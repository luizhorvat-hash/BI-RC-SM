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ctrlProps/ctrlProp1.xml" ContentType="application/vnd.ms-excel.controlpropertie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5"/>
  <workbookPr codeName="ThisWorkbook" defaultThemeVersion="124226"/>
  <mc:AlternateContent xmlns:mc="http://schemas.openxmlformats.org/markup-compatibility/2006">
    <mc:Choice Requires="x15">
      <x15ac:absPath xmlns:x15ac="http://schemas.microsoft.com/office/spreadsheetml/2010/11/ac" url="https://ksrsa.sharepoint.com/sites/CMSManagement/Shared Documents/RC06067 Arrocha (MX) CMS 2025/0.Management/Reports/2026/"/>
    </mc:Choice>
  </mc:AlternateContent>
  <xr:revisionPtr revIDLastSave="2" documentId="13_ncr:1_{A6C01436-ABA5-4BBE-A961-CD8AA0A599E1}" xr6:coauthVersionLast="47" xr6:coauthVersionMax="47" xr10:uidLastSave="{504F653E-7664-4E83-AAE6-12FFD030CDA6}"/>
  <bookViews>
    <workbookView xWindow="-16320" yWindow="-120" windowWidth="16440" windowHeight="28320" tabRatio="853" firstSheet="2" activeTab="3" xr2:uid="{00000000-000D-0000-FFFF-FFFF00000000}"/>
  </bookViews>
  <sheets>
    <sheet name="Checklist" sheetId="55" r:id="rId1"/>
    <sheet name="List" sheetId="52" state="hidden" r:id="rId2"/>
    <sheet name="Summary" sheetId="75" r:id="rId3"/>
    <sheet name="MX" sheetId="70" r:id="rId4"/>
    <sheet name="CN" sheetId="78" state="hidden" r:id="rId5"/>
    <sheet name="PT" sheetId="68" state="hidden" r:id="rId6"/>
    <sheet name="MT" sheetId="69" state="hidden" r:id="rId7"/>
    <sheet name="BR" sheetId="71" state="hidden" r:id="rId8"/>
    <sheet name="US" sheetId="72" state="hidden" r:id="rId9"/>
    <sheet name="DE" sheetId="73" state="hidden" r:id="rId10"/>
    <sheet name="CL" sheetId="74" state="hidden" r:id="rId11"/>
    <sheet name="Check" sheetId="54" r:id="rId12"/>
    <sheet name="Guidelines" sheetId="30" r:id="rId13"/>
    <sheet name="Base_Plan" sheetId="32" r:id="rId14"/>
    <sheet name="Actual_Plan" sheetId="31" r:id="rId15"/>
  </sheets>
  <externalReferences>
    <externalReference r:id="rId16"/>
    <externalReference r:id="rId17"/>
  </externalReferences>
  <definedNames>
    <definedName name="_xlnm._FilterDatabase" localSheetId="5" hidden="1">PT!$A$1:$Y$63</definedName>
    <definedName name="Actual" localSheetId="13">(Base_Plan!PeriodInActual*(Base_Plan!#REF!&gt;0))*Base_Plan!PeriodInPlan</definedName>
    <definedName name="Actual">(PeriodInActual*(Actual_Plan!$F1&gt;0))*PeriodInPlan</definedName>
    <definedName name="ActualBeyond" localSheetId="13">Base_Plan!PeriodInActual*(Base_Plan!#REF!&gt;0)</definedName>
    <definedName name="ActualBeyond">PeriodInActual*(Actual_Plan!$F1&gt;0)</definedName>
    <definedName name="PercentComplete" localSheetId="13">Base_Plan!PercentCompleteBeyond*Base_Plan!PeriodInPlan</definedName>
    <definedName name="PercentComplete">PercentCompleteBeyond*PeriodInPlan</definedName>
    <definedName name="PercentCompleteBeyond" localSheetId="13">(Base_Plan!A$5=MEDIAN(Base_Plan!A$5,Base_Plan!#REF!,Base_Plan!#REF!+Base_Plan!#REF!)*(Base_Plan!#REF!&gt;0))*((Base_Plan!A$5&lt;(INT(Base_Plan!#REF!+Base_Plan!#REF!*Base_Plan!#REF!)))+(Base_Plan!A$5=Base_Plan!#REF!))*(Base_Plan!#REF!&gt;0)</definedName>
    <definedName name="PercentCompleteBeyond">(Actual_Plan!A$8=MEDIAN(Actual_Plan!A$8,Actual_Plan!$F1,Actual_Plan!$F1+Actual_Plan!$G1)*(Actual_Plan!$F1&gt;0))*((Actual_Plan!A$8&lt;(INT(Actual_Plan!$F1+Actual_Plan!$G1*Actual_Plan!$H1)))+(Actual_Plan!A$8=Actual_Plan!$F1))*(Actual_Plan!$H1&gt;0)</definedName>
    <definedName name="period_selected" localSheetId="13">Base_Plan!$P$1</definedName>
    <definedName name="period_selected">Actual_Plan!$P$3</definedName>
    <definedName name="PeriodInActual" localSheetId="13">Base_Plan!A$5=MEDIAN(Base_Plan!A$5,Base_Plan!#REF!,Base_Plan!#REF!+Base_Plan!#REF!-1)</definedName>
    <definedName name="PeriodInActual">Actual_Plan!A$8=MEDIAN(Actual_Plan!A$8,Actual_Plan!$F1,Actual_Plan!$F1+Actual_Plan!$G1-1)</definedName>
    <definedName name="PeriodInPlan" localSheetId="13">Base_Plan!A$5=MEDIAN(Base_Plan!A$5,Base_Plan!$D1,Base_Plan!$D1+Base_Plan!$E1-1)</definedName>
    <definedName name="PeriodInPlan">Actual_Plan!A$8=MEDIAN(Actual_Plan!A$8,Actual_Plan!$D1,Actual_Plan!$D1+Actual_Plan!$E1-1)</definedName>
    <definedName name="Plan" localSheetId="13">Base_Plan!PeriodInPlan*(Base_Plan!$D1&gt;0)</definedName>
    <definedName name="Plan">PeriodInPlan*(Actual_Plan!$D1&gt;0)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9" i="54" l="1"/>
  <c r="I9" i="54"/>
  <c r="G9" i="54"/>
  <c r="P9" i="54" s="1"/>
  <c r="F9" i="54"/>
  <c r="O9" i="54" s="1"/>
  <c r="E9" i="54"/>
  <c r="N9" i="54" s="1"/>
  <c r="D9" i="54"/>
  <c r="C9" i="54"/>
  <c r="J6" i="54"/>
  <c r="S6" i="54" s="1"/>
  <c r="I6" i="54"/>
  <c r="R6" i="54" s="1"/>
  <c r="H6" i="54"/>
  <c r="Q6" i="54" s="1"/>
  <c r="G6" i="54"/>
  <c r="P6" i="54" s="1"/>
  <c r="F6" i="54"/>
  <c r="O6" i="54" s="1"/>
  <c r="E6" i="54"/>
  <c r="N6" i="54" s="1"/>
  <c r="D6" i="54"/>
  <c r="M6" i="54" s="1"/>
  <c r="C6" i="54"/>
  <c r="L6" i="54" s="1"/>
  <c r="J3" i="54"/>
  <c r="S3" i="54" s="1"/>
  <c r="I3" i="54"/>
  <c r="R3" i="54" s="1"/>
  <c r="H3" i="54"/>
  <c r="Q3" i="54" s="1"/>
  <c r="G3" i="54"/>
  <c r="P3" i="54" s="1"/>
  <c r="F3" i="54"/>
  <c r="E3" i="54"/>
  <c r="N3" i="54" s="1"/>
  <c r="D3" i="54"/>
  <c r="M3" i="54" s="1"/>
  <c r="C3" i="54"/>
  <c r="L3" i="54" s="1"/>
  <c r="S9" i="54"/>
  <c r="R9" i="54"/>
  <c r="M9" i="54"/>
  <c r="L9" i="54"/>
  <c r="K6" i="54"/>
  <c r="K7" i="54" s="1"/>
  <c r="K8" i="54" s="1"/>
  <c r="K9" i="54" s="1"/>
  <c r="K5" i="54"/>
  <c r="K4" i="54"/>
  <c r="K3" i="54"/>
  <c r="B3" i="55"/>
  <c r="B4" i="55" s="1"/>
  <c r="B5" i="55" s="1"/>
  <c r="B6" i="55" s="1"/>
  <c r="B7" i="55" s="1"/>
  <c r="B8" i="55" s="1"/>
  <c r="B9" i="55" s="1"/>
  <c r="I8" i="70"/>
  <c r="D4" i="54"/>
  <c r="H8" i="54"/>
  <c r="F8" i="54"/>
  <c r="C4" i="54"/>
  <c r="I8" i="54"/>
  <c r="E2" i="54"/>
  <c r="C8" i="54"/>
  <c r="G2" i="54"/>
  <c r="F4" i="54"/>
  <c r="H4" i="54"/>
  <c r="D2" i="54"/>
  <c r="I2" i="54"/>
  <c r="G8" i="54"/>
  <c r="F2" i="54"/>
  <c r="C2" i="54"/>
  <c r="E4" i="54"/>
  <c r="J8" i="54"/>
  <c r="J2" i="54"/>
  <c r="G4" i="54"/>
  <c r="D8" i="54"/>
  <c r="H2" i="54"/>
  <c r="J4" i="54"/>
  <c r="E8" i="54"/>
  <c r="I4" i="54"/>
  <c r="S4" i="54" l="1"/>
  <c r="L4" i="54"/>
  <c r="M4" i="54"/>
  <c r="N4" i="54"/>
  <c r="O4" i="54"/>
  <c r="P4" i="54"/>
  <c r="Q4" i="54"/>
  <c r="R4" i="54"/>
  <c r="B6" i="54"/>
  <c r="R2" i="54"/>
  <c r="S8" i="54"/>
  <c r="S2" i="54"/>
  <c r="B4" i="54"/>
  <c r="L8" i="54"/>
  <c r="B8" i="54"/>
  <c r="L2" i="54"/>
  <c r="B2" i="54"/>
  <c r="M8" i="54"/>
  <c r="M2" i="54"/>
  <c r="N8" i="54"/>
  <c r="N2" i="54"/>
  <c r="O8" i="54"/>
  <c r="O2" i="54"/>
  <c r="P8" i="54"/>
  <c r="P2" i="54"/>
  <c r="Q8" i="54"/>
  <c r="Q2" i="54"/>
  <c r="R8" i="54"/>
  <c r="B3" i="54"/>
  <c r="O3" i="54"/>
  <c r="B3941" i="52"/>
  <c r="B3942" i="52"/>
  <c r="B3943" i="52"/>
  <c r="B3944" i="52"/>
  <c r="B3945" i="52"/>
  <c r="B3946" i="52"/>
  <c r="B3947" i="52"/>
  <c r="B3948" i="52"/>
  <c r="B3949" i="52"/>
  <c r="B3950" i="52"/>
  <c r="B3951" i="52"/>
  <c r="B3952" i="52"/>
  <c r="B3953" i="52"/>
  <c r="B3954" i="52"/>
  <c r="B3955" i="52"/>
  <c r="B3956" i="52"/>
  <c r="B3957" i="52"/>
  <c r="B3958" i="52"/>
  <c r="B3959" i="52"/>
  <c r="B3960" i="52"/>
  <c r="B3961" i="52"/>
  <c r="B3962" i="52"/>
  <c r="B3963" i="52"/>
  <c r="B3964" i="52"/>
  <c r="B3965" i="52"/>
  <c r="B3966" i="52"/>
  <c r="B3967" i="52"/>
  <c r="B3968" i="52"/>
  <c r="B3969" i="52"/>
  <c r="B3970" i="52"/>
  <c r="B3971" i="52"/>
  <c r="B3972" i="52"/>
  <c r="B3973" i="52"/>
  <c r="B3974" i="52"/>
  <c r="B3975" i="52"/>
  <c r="B3976" i="52"/>
  <c r="B3977" i="52"/>
  <c r="B3978" i="52"/>
  <c r="B3979" i="52"/>
  <c r="B3980" i="52"/>
  <c r="B3981" i="52"/>
  <c r="B3982" i="52"/>
  <c r="B3983" i="52"/>
  <c r="B3984" i="52"/>
  <c r="B3985" i="52"/>
  <c r="B3986" i="52"/>
  <c r="B3987" i="52"/>
  <c r="B3988" i="52"/>
  <c r="B3989" i="52"/>
  <c r="B3990" i="52"/>
  <c r="B3991" i="52"/>
  <c r="B3992" i="52"/>
  <c r="B3993" i="52"/>
  <c r="B3994" i="52"/>
  <c r="B3995" i="52"/>
  <c r="B3996" i="52"/>
  <c r="B3997" i="52"/>
  <c r="B3998" i="52"/>
  <c r="B3999" i="52"/>
  <c r="B4000" i="52"/>
  <c r="B4001" i="52"/>
  <c r="B4002" i="52"/>
  <c r="B4003" i="52"/>
  <c r="B4004" i="52"/>
  <c r="B4005" i="52"/>
  <c r="B4006" i="52"/>
  <c r="B4007" i="52"/>
  <c r="B4008" i="52"/>
  <c r="B4009" i="52"/>
  <c r="B4010" i="52"/>
  <c r="B4011" i="52"/>
  <c r="B4012" i="52"/>
  <c r="B4013" i="52"/>
  <c r="B4014" i="52"/>
  <c r="B4015" i="52"/>
  <c r="B4016" i="52"/>
  <c r="B4017" i="52"/>
  <c r="B4018" i="52"/>
  <c r="B4019" i="52"/>
  <c r="B4020" i="52"/>
  <c r="B4021" i="52"/>
  <c r="B4022" i="52"/>
  <c r="B4023" i="52"/>
  <c r="B4024" i="52"/>
  <c r="B4025" i="52"/>
  <c r="B4026" i="52"/>
  <c r="B4027" i="52"/>
  <c r="B4028" i="52"/>
  <c r="B4029" i="52"/>
  <c r="B4030" i="52"/>
  <c r="B4031" i="52"/>
  <c r="B4032" i="52"/>
  <c r="B4033" i="52"/>
  <c r="B4034" i="52"/>
  <c r="B4035" i="52"/>
  <c r="B4036" i="52"/>
  <c r="B4037" i="52"/>
  <c r="B4038" i="52"/>
  <c r="B4039" i="52"/>
  <c r="B4040" i="52"/>
  <c r="B4041" i="52"/>
  <c r="B4042" i="52"/>
  <c r="B4043" i="52"/>
  <c r="B4044" i="52"/>
  <c r="B4045" i="52"/>
  <c r="B4046" i="52"/>
  <c r="B4047" i="52"/>
  <c r="B4048" i="52"/>
  <c r="B4049" i="52"/>
  <c r="B4050" i="52"/>
  <c r="B4051" i="52"/>
  <c r="B4052" i="52"/>
  <c r="B4053" i="52"/>
  <c r="B4054" i="52"/>
  <c r="B4055" i="52"/>
  <c r="B4056" i="52"/>
  <c r="B4057" i="52"/>
  <c r="B4058" i="52"/>
  <c r="B4059" i="52"/>
  <c r="B4060" i="52"/>
  <c r="B4061" i="52"/>
  <c r="B4062" i="52"/>
  <c r="B4063" i="52"/>
  <c r="B4064" i="52"/>
  <c r="B4065" i="52"/>
  <c r="B4066" i="52"/>
  <c r="B4067" i="52"/>
  <c r="B4068" i="52"/>
  <c r="B4069" i="52"/>
  <c r="B4070" i="52"/>
  <c r="B4071" i="52"/>
  <c r="B4072" i="52"/>
  <c r="B4073" i="52"/>
  <c r="B4074" i="52"/>
  <c r="B4075" i="52"/>
  <c r="B4076" i="52"/>
  <c r="B4077" i="52"/>
  <c r="B4078" i="52"/>
  <c r="B4079" i="52"/>
  <c r="B4080" i="52"/>
  <c r="B4081" i="52"/>
  <c r="B4082" i="52"/>
  <c r="B4083" i="52"/>
  <c r="B4084" i="52"/>
  <c r="B4085" i="52"/>
  <c r="B4086" i="52"/>
  <c r="B4087" i="52"/>
  <c r="B4088" i="52"/>
  <c r="B4089" i="52"/>
  <c r="B4090" i="52"/>
  <c r="B4091" i="52"/>
  <c r="B4092" i="52"/>
  <c r="B4093" i="52"/>
  <c r="B4094" i="52"/>
  <c r="B4095" i="52"/>
  <c r="B4096" i="52"/>
  <c r="B4097" i="52"/>
  <c r="B4098" i="52"/>
  <c r="B4099" i="52"/>
  <c r="B4100" i="52"/>
  <c r="B4101" i="52"/>
  <c r="B4102" i="52"/>
  <c r="B4103" i="52"/>
  <c r="B4104" i="52"/>
  <c r="B4105" i="52"/>
  <c r="B4106" i="52"/>
  <c r="B4107" i="52"/>
  <c r="B4108" i="52"/>
  <c r="B4109" i="52"/>
  <c r="B4110" i="52"/>
  <c r="B4111" i="52"/>
  <c r="B4112" i="52"/>
  <c r="B4113" i="52"/>
  <c r="B4114" i="52"/>
  <c r="B4115" i="52"/>
  <c r="B4116" i="52"/>
  <c r="B4117" i="52"/>
  <c r="B4118" i="52"/>
  <c r="B4119" i="52"/>
  <c r="B4120" i="52"/>
  <c r="B4121" i="52"/>
  <c r="B4122" i="52"/>
  <c r="B4123" i="52"/>
  <c r="B4124" i="52"/>
  <c r="B4125" i="52"/>
  <c r="B4126" i="52"/>
  <c r="B4127" i="52"/>
  <c r="B4128" i="52"/>
  <c r="B4129" i="52"/>
  <c r="B4130" i="52"/>
  <c r="B4131" i="52"/>
  <c r="B4132" i="52"/>
  <c r="B4133" i="52"/>
  <c r="B4134" i="52"/>
  <c r="B4135" i="52"/>
  <c r="B4136" i="52"/>
  <c r="B4137" i="52"/>
  <c r="B4138" i="52"/>
  <c r="B4139" i="52"/>
  <c r="B4140" i="52"/>
  <c r="B4141" i="52"/>
  <c r="B4142" i="52"/>
  <c r="B4143" i="52"/>
  <c r="B4144" i="52"/>
  <c r="B4145" i="52"/>
  <c r="B4146" i="52"/>
  <c r="B4147" i="52"/>
  <c r="B4148" i="52"/>
  <c r="B4149" i="52"/>
  <c r="B4150" i="52"/>
  <c r="B4151" i="52"/>
  <c r="B4152" i="52"/>
  <c r="B4153" i="52"/>
  <c r="B4154" i="52"/>
  <c r="B4155" i="52"/>
  <c r="B4156" i="52"/>
  <c r="B4157" i="52"/>
  <c r="B4158" i="52"/>
  <c r="B4159" i="52"/>
  <c r="B4160" i="52"/>
  <c r="B4161" i="52"/>
  <c r="B4162" i="52"/>
  <c r="B4163" i="52"/>
  <c r="B4164" i="52"/>
  <c r="B4165" i="52"/>
  <c r="B4166" i="52"/>
  <c r="B4167" i="52"/>
  <c r="B4168" i="52"/>
  <c r="B4169" i="52"/>
  <c r="B4170" i="52"/>
  <c r="B4171" i="52"/>
  <c r="B4172" i="52"/>
  <c r="B4173" i="52"/>
  <c r="B4174" i="52"/>
  <c r="B4175" i="52"/>
  <c r="B4176" i="52"/>
  <c r="B4177" i="52"/>
  <c r="B4178" i="52"/>
  <c r="B4179" i="52"/>
  <c r="B4180" i="52"/>
  <c r="B4181" i="52"/>
  <c r="B4182" i="52"/>
  <c r="B4183" i="52"/>
  <c r="B4184" i="52"/>
  <c r="B4185" i="52"/>
  <c r="B4186" i="52"/>
  <c r="B4187" i="52"/>
  <c r="B4188" i="52"/>
  <c r="B4189" i="52"/>
  <c r="B4190" i="52"/>
  <c r="B4191" i="52"/>
  <c r="B4192" i="52"/>
  <c r="B4193" i="52"/>
  <c r="B4194" i="52"/>
  <c r="B4195" i="52"/>
  <c r="B4196" i="52"/>
  <c r="B4197" i="52"/>
  <c r="B4198" i="52"/>
  <c r="B4199" i="52"/>
  <c r="B4200" i="52"/>
  <c r="B4201" i="52"/>
  <c r="B4202" i="52"/>
  <c r="B4203" i="52"/>
  <c r="B4204" i="52"/>
  <c r="B4205" i="52"/>
  <c r="B4206" i="52"/>
  <c r="B4207" i="52"/>
  <c r="B4208" i="52"/>
  <c r="B4209" i="52"/>
  <c r="B4210" i="52"/>
  <c r="B4211" i="52"/>
  <c r="B4212" i="52"/>
  <c r="B4213" i="52"/>
  <c r="B4214" i="52"/>
  <c r="B4215" i="52"/>
  <c r="B4216" i="52"/>
  <c r="B4217" i="52"/>
  <c r="B4218" i="52"/>
  <c r="B4219" i="52"/>
  <c r="B4220" i="52"/>
  <c r="B4221" i="52"/>
  <c r="B4222" i="52"/>
  <c r="B4223" i="52"/>
  <c r="B4224" i="52"/>
  <c r="B4225" i="52"/>
  <c r="B4226" i="52"/>
  <c r="B4227" i="52"/>
  <c r="B4228" i="52"/>
  <c r="B4229" i="52"/>
  <c r="B4230" i="52"/>
  <c r="B4231" i="52"/>
  <c r="B4232" i="52"/>
  <c r="B4233" i="52"/>
  <c r="B4234" i="52"/>
  <c r="B4235" i="52"/>
  <c r="B4236" i="52"/>
  <c r="B4237" i="52"/>
  <c r="B4238" i="52"/>
  <c r="B4239" i="52"/>
  <c r="B4240" i="52"/>
  <c r="B4241" i="52"/>
  <c r="B4242" i="52"/>
  <c r="B4243" i="52"/>
  <c r="B4244" i="52"/>
  <c r="B4245" i="52"/>
  <c r="B4246" i="52"/>
  <c r="B4247" i="52"/>
  <c r="B4248" i="52"/>
  <c r="B4249" i="52"/>
  <c r="B4250" i="52"/>
  <c r="B4251" i="52"/>
  <c r="B4252" i="52"/>
  <c r="B4253" i="52"/>
  <c r="B4254" i="52"/>
  <c r="B4255" i="52"/>
  <c r="B4256" i="52"/>
  <c r="B4257" i="52"/>
  <c r="B4258" i="52"/>
  <c r="B4259" i="52"/>
  <c r="B4260" i="52"/>
  <c r="B4261" i="52"/>
  <c r="B4262" i="52"/>
  <c r="B4263" i="52"/>
  <c r="B4264" i="52"/>
  <c r="B4265" i="52"/>
  <c r="B4266" i="52"/>
  <c r="B4267" i="52"/>
  <c r="B4268" i="52"/>
  <c r="B4269" i="52"/>
  <c r="B4270" i="52"/>
  <c r="B4271" i="52"/>
  <c r="B4272" i="52"/>
  <c r="B4273" i="52"/>
  <c r="B4274" i="52"/>
  <c r="B4275" i="52"/>
  <c r="B4276" i="52"/>
  <c r="B4277" i="52"/>
  <c r="B4278" i="52"/>
  <c r="B4279" i="52"/>
  <c r="B4280" i="52"/>
  <c r="B4281" i="52"/>
  <c r="B4282" i="52"/>
  <c r="B4283" i="52"/>
  <c r="B4284" i="52"/>
  <c r="B4285" i="52"/>
  <c r="B4286" i="52"/>
  <c r="B4287" i="52"/>
  <c r="B4288" i="52"/>
  <c r="B4289" i="52"/>
  <c r="B4290" i="52"/>
  <c r="B4291" i="52"/>
  <c r="B4292" i="52"/>
  <c r="B4293" i="52"/>
  <c r="B4294" i="52"/>
  <c r="B4295" i="52"/>
  <c r="B4296" i="52"/>
  <c r="B4297" i="52"/>
  <c r="B4298" i="52"/>
  <c r="B4299" i="52"/>
  <c r="B4300" i="52"/>
  <c r="B4301" i="52"/>
  <c r="B4302" i="52"/>
  <c r="B4303" i="52"/>
  <c r="B4304" i="52"/>
  <c r="B4305" i="52"/>
  <c r="B4306" i="52"/>
  <c r="B4307" i="52"/>
  <c r="B4308" i="52"/>
  <c r="B4309" i="52"/>
  <c r="B4310" i="52"/>
  <c r="B4311" i="52"/>
  <c r="B4312" i="52"/>
  <c r="B4313" i="52"/>
  <c r="B4314" i="52"/>
  <c r="B4315" i="52"/>
  <c r="B4316" i="52"/>
  <c r="B4317" i="52"/>
  <c r="B4318" i="52"/>
  <c r="B4319" i="52"/>
  <c r="B4320" i="52"/>
  <c r="B4321" i="52"/>
  <c r="B4322" i="52"/>
  <c r="B4323" i="52"/>
  <c r="B4324" i="52"/>
  <c r="B4325" i="52"/>
  <c r="B4326" i="52"/>
  <c r="B4327" i="52"/>
  <c r="B4328" i="52"/>
  <c r="B4329" i="52"/>
  <c r="B4330" i="52"/>
  <c r="B4331" i="52"/>
  <c r="B4332" i="52"/>
  <c r="B4333" i="52"/>
  <c r="B4334" i="52"/>
  <c r="B4335" i="52"/>
  <c r="B4336" i="52"/>
  <c r="B4337" i="52"/>
  <c r="B4338" i="52"/>
  <c r="B4339" i="52"/>
  <c r="B4340" i="52"/>
  <c r="B4341" i="52"/>
  <c r="B4342" i="52"/>
  <c r="B4343" i="52"/>
  <c r="B4344" i="52"/>
  <c r="B4345" i="52"/>
  <c r="B4346" i="52"/>
  <c r="B4347" i="52"/>
  <c r="B4348" i="52"/>
  <c r="B4349" i="52"/>
  <c r="B4350" i="52"/>
  <c r="B4351" i="52"/>
  <c r="B4352" i="52"/>
  <c r="B4353" i="52"/>
  <c r="B4354" i="52"/>
  <c r="B4355" i="52"/>
  <c r="B4356" i="52"/>
  <c r="B4357" i="52"/>
  <c r="B4358" i="52"/>
  <c r="B4359" i="52"/>
  <c r="B4360" i="52"/>
  <c r="B4361" i="52"/>
  <c r="B4362" i="52"/>
  <c r="B4363" i="52"/>
  <c r="B4364" i="52"/>
  <c r="B4365" i="52"/>
  <c r="B4366" i="52"/>
  <c r="B4367" i="52"/>
  <c r="B4368" i="52"/>
  <c r="B4369" i="52"/>
  <c r="B4370" i="52"/>
  <c r="B4371" i="52"/>
  <c r="B4372" i="52"/>
  <c r="B4373" i="52"/>
  <c r="B4374" i="52"/>
  <c r="B4375" i="52"/>
  <c r="B4376" i="52"/>
  <c r="B4377" i="52"/>
  <c r="B4378" i="52"/>
  <c r="B4379" i="52"/>
  <c r="B4380" i="52"/>
  <c r="B4381" i="52"/>
  <c r="B4382" i="52"/>
  <c r="B4383" i="52"/>
  <c r="B4384" i="52"/>
  <c r="B4385" i="52"/>
  <c r="B4386" i="52"/>
  <c r="B4387" i="52"/>
  <c r="B4388" i="52"/>
  <c r="B4389" i="52"/>
  <c r="B4390" i="52"/>
  <c r="B4391" i="52"/>
  <c r="B4392" i="52"/>
  <c r="B4393" i="52"/>
  <c r="B4394" i="52"/>
  <c r="B4395" i="52"/>
  <c r="B4396" i="52"/>
  <c r="B4397" i="52"/>
  <c r="B4398" i="52"/>
  <c r="B4399" i="52"/>
  <c r="B4400" i="52"/>
  <c r="B4401" i="52"/>
  <c r="B4402" i="52"/>
  <c r="B4403" i="52"/>
  <c r="B4404" i="52"/>
  <c r="B4405" i="52"/>
  <c r="B4406" i="52"/>
  <c r="B4407" i="52"/>
  <c r="B4408" i="52"/>
  <c r="B4409" i="52"/>
  <c r="B4410" i="52"/>
  <c r="B4411" i="52"/>
  <c r="B4412" i="52"/>
  <c r="B4413" i="52"/>
  <c r="B4414" i="52"/>
  <c r="B4415" i="52"/>
  <c r="B4416" i="52"/>
  <c r="B4417" i="52"/>
  <c r="B4418" i="52"/>
  <c r="B4419" i="52"/>
  <c r="B4420" i="52"/>
  <c r="B4421" i="52"/>
  <c r="B4422" i="52"/>
  <c r="B4423" i="52"/>
  <c r="B4424" i="52"/>
  <c r="B4425" i="52"/>
  <c r="B4426" i="52"/>
  <c r="B4427" i="52"/>
  <c r="B4428" i="52"/>
  <c r="B4429" i="52"/>
  <c r="B4430" i="52"/>
  <c r="B4431" i="52"/>
  <c r="B4432" i="52"/>
  <c r="B4433" i="52"/>
  <c r="B4434" i="52"/>
  <c r="B4435" i="52"/>
  <c r="B4436" i="52"/>
  <c r="B4437" i="52"/>
  <c r="B4438" i="52"/>
  <c r="B4439" i="52"/>
  <c r="B4440" i="52"/>
  <c r="B4441" i="52"/>
  <c r="B4442" i="52"/>
  <c r="B4443" i="52"/>
  <c r="B4444" i="52"/>
  <c r="B4445" i="52"/>
  <c r="B4446" i="52"/>
  <c r="B4447" i="52"/>
  <c r="B4448" i="52"/>
  <c r="B4449" i="52"/>
  <c r="B4450" i="52"/>
  <c r="B4451" i="52"/>
  <c r="B4452" i="52"/>
  <c r="B4453" i="52"/>
  <c r="B4454" i="52"/>
  <c r="B4455" i="52"/>
  <c r="B4456" i="52"/>
  <c r="B4457" i="52"/>
  <c r="B4458" i="52"/>
  <c r="B4459" i="52"/>
  <c r="B4460" i="52"/>
  <c r="B4461" i="52"/>
  <c r="B4462" i="52"/>
  <c r="B4463" i="52"/>
  <c r="B4464" i="52"/>
  <c r="B4465" i="52"/>
  <c r="B4466" i="52"/>
  <c r="B4467" i="52"/>
  <c r="B4468" i="52"/>
  <c r="B4469" i="52"/>
  <c r="B4470" i="52"/>
  <c r="B4471" i="52"/>
  <c r="B4472" i="52"/>
  <c r="B4473" i="52"/>
  <c r="B4474" i="52"/>
  <c r="B4475" i="52"/>
  <c r="B4476" i="52"/>
  <c r="B4477" i="52"/>
  <c r="B4478" i="52"/>
  <c r="B4479" i="52"/>
  <c r="B4480" i="52"/>
  <c r="B4481" i="52"/>
  <c r="B4482" i="52"/>
  <c r="B4483" i="52"/>
  <c r="B4484" i="52"/>
  <c r="B4485" i="52"/>
  <c r="B4486" i="52"/>
  <c r="B4487" i="52"/>
  <c r="B4488" i="52"/>
  <c r="B4489" i="52"/>
  <c r="B4490" i="52"/>
  <c r="B4491" i="52"/>
  <c r="B4492" i="52"/>
  <c r="B4493" i="52"/>
  <c r="B4494" i="52"/>
  <c r="B4495" i="52"/>
  <c r="B4496" i="52"/>
  <c r="B4497" i="52"/>
  <c r="B4498" i="52"/>
  <c r="B4499" i="52"/>
  <c r="B4500" i="52"/>
  <c r="B4501" i="52"/>
  <c r="B4502" i="52"/>
  <c r="B4503" i="52"/>
  <c r="B4504" i="52"/>
  <c r="B4505" i="52"/>
  <c r="B4506" i="52"/>
  <c r="B4507" i="52"/>
  <c r="B4508" i="52"/>
  <c r="B4509" i="52"/>
  <c r="B4510" i="52"/>
  <c r="B4511" i="52"/>
  <c r="B4512" i="52"/>
  <c r="B4513" i="52"/>
  <c r="B4514" i="52"/>
  <c r="B4515" i="52"/>
  <c r="B4516" i="52"/>
  <c r="B4517" i="52"/>
  <c r="B4518" i="52"/>
  <c r="B4519" i="52"/>
  <c r="B4520" i="52"/>
  <c r="B4521" i="52"/>
  <c r="B4522" i="52"/>
  <c r="B4523" i="52"/>
  <c r="B4524" i="52"/>
  <c r="B4525" i="52"/>
  <c r="B4526" i="52"/>
  <c r="B4527" i="52"/>
  <c r="B4528" i="52"/>
  <c r="B4529" i="52"/>
  <c r="B4530" i="52"/>
  <c r="B4531" i="52"/>
  <c r="B4532" i="52"/>
  <c r="B4533" i="52"/>
  <c r="B4534" i="52"/>
  <c r="B4535" i="52"/>
  <c r="B4536" i="52"/>
  <c r="B4537" i="52"/>
  <c r="B4538" i="52"/>
  <c r="B4539" i="52"/>
  <c r="B4540" i="52"/>
  <c r="B4541" i="52"/>
  <c r="B4542" i="52"/>
  <c r="B4543" i="52"/>
  <c r="B4544" i="52"/>
  <c r="B4545" i="52"/>
  <c r="B4546" i="52"/>
  <c r="B4547" i="52"/>
  <c r="B4548" i="52"/>
  <c r="B4549" i="52"/>
  <c r="B4550" i="52"/>
  <c r="B4551" i="52"/>
  <c r="B4552" i="52"/>
  <c r="B4553" i="52"/>
  <c r="B4554" i="52"/>
  <c r="B4555" i="52"/>
  <c r="B4556" i="52"/>
  <c r="B4557" i="52"/>
  <c r="B4558" i="52"/>
  <c r="B4559" i="52"/>
  <c r="B4560" i="52"/>
  <c r="B4561" i="52"/>
  <c r="B4562" i="52"/>
  <c r="B4563" i="52"/>
  <c r="B4564" i="52"/>
  <c r="B4565" i="52"/>
  <c r="B4566" i="52"/>
  <c r="B4567" i="52"/>
  <c r="B4568" i="52"/>
  <c r="B4569" i="52"/>
  <c r="B4570" i="52"/>
  <c r="B4571" i="52"/>
  <c r="B4572" i="52"/>
  <c r="B4573" i="52"/>
  <c r="B4574" i="52"/>
  <c r="B4575" i="52"/>
  <c r="B4576" i="52"/>
  <c r="B4577" i="52"/>
  <c r="B4578" i="52"/>
  <c r="B4579" i="52"/>
  <c r="B4580" i="52"/>
  <c r="B4581" i="52"/>
  <c r="B4582" i="52"/>
  <c r="B4583" i="52"/>
  <c r="B4584" i="52"/>
  <c r="B4585" i="52"/>
  <c r="B4586" i="52"/>
  <c r="B4587" i="52"/>
  <c r="B4588" i="52"/>
  <c r="B4589" i="52"/>
  <c r="B4590" i="52"/>
  <c r="B4591" i="52"/>
  <c r="B4592" i="52"/>
  <c r="B4593" i="52"/>
  <c r="B4594" i="52"/>
  <c r="B4595" i="52"/>
  <c r="B4596" i="52"/>
  <c r="B4597" i="52"/>
  <c r="B4598" i="52"/>
  <c r="B4599" i="52"/>
  <c r="B4600" i="52"/>
  <c r="B4601" i="52"/>
  <c r="B4602" i="52"/>
  <c r="B4603" i="52"/>
  <c r="B4604" i="52"/>
  <c r="B4605" i="52"/>
  <c r="B4606" i="52"/>
  <c r="B4607" i="52"/>
  <c r="B4608" i="52"/>
  <c r="B4609" i="52"/>
  <c r="B4610" i="52"/>
  <c r="B4611" i="52"/>
  <c r="B4612" i="52"/>
  <c r="B4613" i="52"/>
  <c r="B4614" i="52"/>
  <c r="B4615" i="52"/>
  <c r="B4616" i="52"/>
  <c r="B4617" i="52"/>
  <c r="B4618" i="52"/>
  <c r="B4619" i="52"/>
  <c r="B4620" i="52"/>
  <c r="B4621" i="52"/>
  <c r="B4622" i="52"/>
  <c r="B4623" i="52"/>
  <c r="B4624" i="52"/>
  <c r="B4625" i="52"/>
  <c r="B4626" i="52"/>
  <c r="B4627" i="52"/>
  <c r="B4628" i="52"/>
  <c r="B4629" i="52"/>
  <c r="B4630" i="52"/>
  <c r="B4631" i="52"/>
  <c r="B4632" i="52"/>
  <c r="B4633" i="52"/>
  <c r="B4634" i="52"/>
  <c r="B4635" i="52"/>
  <c r="B4636" i="52"/>
  <c r="B4637" i="52"/>
  <c r="B4638" i="52"/>
  <c r="B4639" i="52"/>
  <c r="B4640" i="52"/>
  <c r="B4641" i="52"/>
  <c r="B4642" i="52"/>
  <c r="B4643" i="52"/>
  <c r="B4644" i="52"/>
  <c r="B4645" i="52"/>
  <c r="B4646" i="52"/>
  <c r="B4647" i="52"/>
  <c r="B4648" i="52"/>
  <c r="B4649" i="52"/>
  <c r="B4650" i="52"/>
  <c r="B4651" i="52"/>
  <c r="B4652" i="52"/>
  <c r="B4653" i="52"/>
  <c r="B4654" i="52"/>
  <c r="B4655" i="52"/>
  <c r="B4656" i="52"/>
  <c r="B4657" i="52"/>
  <c r="B4658" i="52"/>
  <c r="B4659" i="52"/>
  <c r="B4660" i="52"/>
  <c r="B4661" i="52"/>
  <c r="B4662" i="52"/>
  <c r="B4663" i="52"/>
  <c r="B4664" i="52"/>
  <c r="B4665" i="52"/>
  <c r="B4666" i="52"/>
  <c r="B4667" i="52"/>
  <c r="B4668" i="52"/>
  <c r="B4669" i="52"/>
  <c r="B4670" i="52"/>
  <c r="B4671" i="52"/>
  <c r="B4672" i="52"/>
  <c r="B4673" i="52"/>
  <c r="B4674" i="52"/>
  <c r="B4675" i="52"/>
  <c r="B4676" i="52"/>
  <c r="B4677" i="52"/>
  <c r="B4678" i="52"/>
  <c r="B4679" i="52"/>
  <c r="B4680" i="52"/>
  <c r="B4681" i="52"/>
  <c r="B4682" i="52"/>
  <c r="B4683" i="52"/>
  <c r="B4684" i="52"/>
  <c r="B4685" i="52"/>
  <c r="B4686" i="52"/>
  <c r="B4687" i="52"/>
  <c r="B4688" i="52"/>
  <c r="B4689" i="52"/>
  <c r="B4690" i="52"/>
  <c r="B4691" i="52"/>
  <c r="B4692" i="52"/>
  <c r="B4693" i="52"/>
  <c r="B4694" i="52"/>
  <c r="B4695" i="52"/>
  <c r="B4696" i="52"/>
  <c r="B4697" i="52"/>
  <c r="B4698" i="52"/>
  <c r="B4699" i="52"/>
  <c r="B4700" i="52"/>
  <c r="B4701" i="52"/>
  <c r="B4702" i="52"/>
  <c r="B4703" i="52"/>
  <c r="B4704" i="52"/>
  <c r="B4705" i="52"/>
  <c r="B4706" i="52"/>
  <c r="B4707" i="52"/>
  <c r="B4708" i="52"/>
  <c r="B4709" i="52"/>
  <c r="B4710" i="52"/>
  <c r="B4711" i="52"/>
  <c r="B4712" i="52"/>
  <c r="B4713" i="52"/>
  <c r="B4714" i="52"/>
  <c r="B4715" i="52"/>
  <c r="B4716" i="52"/>
  <c r="B4717" i="52"/>
  <c r="B4718" i="52"/>
  <c r="B4719" i="52"/>
  <c r="B4720" i="52"/>
  <c r="B4721" i="52"/>
  <c r="B4722" i="52"/>
  <c r="B4723" i="52"/>
  <c r="B4724" i="52"/>
  <c r="B4725" i="52"/>
  <c r="B4726" i="52"/>
  <c r="B4727" i="52"/>
  <c r="B4728" i="52"/>
  <c r="B4729" i="52"/>
  <c r="B4730" i="52"/>
  <c r="B4731" i="52"/>
  <c r="B4732" i="52"/>
  <c r="B4733" i="52"/>
  <c r="B4734" i="52"/>
  <c r="B4735" i="52"/>
  <c r="B4736" i="52"/>
  <c r="B4737" i="52"/>
  <c r="B4738" i="52"/>
  <c r="B4739" i="52"/>
  <c r="B4740" i="52"/>
  <c r="B4741" i="52"/>
  <c r="B4742" i="52"/>
  <c r="B4743" i="52"/>
  <c r="B4744" i="52"/>
  <c r="B4745" i="52"/>
  <c r="B4746" i="52"/>
  <c r="B4747" i="52"/>
  <c r="B4748" i="52"/>
  <c r="B4749" i="52"/>
  <c r="P5" i="78"/>
  <c r="P6" i="78" s="1"/>
  <c r="P7" i="78" s="1"/>
  <c r="P8" i="78" s="1"/>
  <c r="P9" i="78" s="1"/>
  <c r="P10" i="78" s="1"/>
  <c r="P11" i="78" s="1"/>
  <c r="P12" i="78" s="1"/>
  <c r="P13" i="78" s="1"/>
  <c r="P14" i="78" s="1"/>
  <c r="P15" i="78" s="1"/>
  <c r="P16" i="78" s="1"/>
  <c r="P17" i="78" s="1"/>
  <c r="P18" i="78" s="1"/>
  <c r="P19" i="78" s="1"/>
  <c r="P20" i="78" s="1"/>
  <c r="P21" i="78" s="1"/>
  <c r="P22" i="78" s="1"/>
  <c r="P23" i="78" s="1"/>
  <c r="P24" i="78" s="1"/>
  <c r="P25" i="78" s="1"/>
  <c r="P26" i="78" s="1"/>
  <c r="P27" i="78" s="1"/>
  <c r="P28" i="78" s="1"/>
  <c r="P29" i="78" s="1"/>
  <c r="P30" i="78" s="1"/>
  <c r="P31" i="78" s="1"/>
  <c r="P32" i="78" s="1"/>
  <c r="P33" i="78" s="1"/>
  <c r="P34" i="78" s="1"/>
  <c r="P35" i="78" s="1"/>
  <c r="P36" i="78" s="1"/>
  <c r="P37" i="78" s="1"/>
  <c r="P38" i="78" s="1"/>
  <c r="P39" i="78" s="1"/>
  <c r="P40" i="78" s="1"/>
  <c r="P41" i="78" s="1"/>
  <c r="P42" i="78" s="1"/>
  <c r="P43" i="78" s="1"/>
  <c r="P44" i="78" s="1"/>
  <c r="P45" i="78" s="1"/>
  <c r="P46" i="78" s="1"/>
  <c r="P47" i="78" s="1"/>
  <c r="P48" i="78" s="1"/>
  <c r="P49" i="78" s="1"/>
  <c r="P50" i="78" s="1"/>
  <c r="P51" i="78" s="1"/>
  <c r="P52" i="78" s="1"/>
  <c r="P53" i="78" s="1"/>
  <c r="P54" i="78" s="1"/>
  <c r="P55" i="78" s="1"/>
  <c r="P56" i="78" s="1"/>
  <c r="P57" i="78" s="1"/>
  <c r="P58" i="78" s="1"/>
  <c r="P59" i="78" s="1"/>
  <c r="P60" i="78" s="1"/>
  <c r="P61" i="78" s="1"/>
  <c r="P62" i="78" s="1"/>
  <c r="P63" i="78" s="1"/>
  <c r="R4" i="78"/>
  <c r="R5" i="78" s="1"/>
  <c r="R6" i="78" s="1"/>
  <c r="R7" i="78" s="1"/>
  <c r="R8" i="78" s="1"/>
  <c r="R9" i="78" s="1"/>
  <c r="R10" i="78" s="1"/>
  <c r="R11" i="78" s="1"/>
  <c r="R12" i="78" s="1"/>
  <c r="R13" i="78" s="1"/>
  <c r="R14" i="78" s="1"/>
  <c r="R15" i="78" s="1"/>
  <c r="R16" i="78" s="1"/>
  <c r="R17" i="78" s="1"/>
  <c r="R18" i="78" s="1"/>
  <c r="R19" i="78" s="1"/>
  <c r="R20" i="78" s="1"/>
  <c r="R21" i="78" s="1"/>
  <c r="R22" i="78" s="1"/>
  <c r="R23" i="78" s="1"/>
  <c r="R24" i="78" s="1"/>
  <c r="R25" i="78" s="1"/>
  <c r="R26" i="78" s="1"/>
  <c r="R27" i="78" s="1"/>
  <c r="R28" i="78" s="1"/>
  <c r="R29" i="78" s="1"/>
  <c r="R30" i="78" s="1"/>
  <c r="R31" i="78" s="1"/>
  <c r="R32" i="78" s="1"/>
  <c r="R33" i="78" s="1"/>
  <c r="R34" i="78" s="1"/>
  <c r="R35" i="78" s="1"/>
  <c r="R36" i="78" s="1"/>
  <c r="R37" i="78" s="1"/>
  <c r="R38" i="78" s="1"/>
  <c r="R39" i="78" s="1"/>
  <c r="R40" i="78" s="1"/>
  <c r="R41" i="78" s="1"/>
  <c r="R42" i="78" s="1"/>
  <c r="R43" i="78" s="1"/>
  <c r="R44" i="78" s="1"/>
  <c r="R45" i="78" s="1"/>
  <c r="R46" i="78" s="1"/>
  <c r="R47" i="78" s="1"/>
  <c r="R48" i="78" s="1"/>
  <c r="R49" i="78" s="1"/>
  <c r="R50" i="78" s="1"/>
  <c r="R51" i="78" s="1"/>
  <c r="R52" i="78" s="1"/>
  <c r="R53" i="78" s="1"/>
  <c r="R54" i="78" s="1"/>
  <c r="R55" i="78" s="1"/>
  <c r="R56" i="78" s="1"/>
  <c r="R57" i="78" s="1"/>
  <c r="R58" i="78" s="1"/>
  <c r="R59" i="78" s="1"/>
  <c r="R60" i="78" s="1"/>
  <c r="R61" i="78" s="1"/>
  <c r="R62" i="78" s="1"/>
  <c r="R63" i="78" s="1"/>
  <c r="Q4" i="78"/>
  <c r="U4" i="78" s="1"/>
  <c r="P4" i="78"/>
  <c r="C4" i="78"/>
  <c r="B4" i="78"/>
  <c r="E4" i="78" s="1"/>
  <c r="W2" i="78"/>
  <c r="C56" i="78" s="1"/>
  <c r="V2" i="54" l="1"/>
  <c r="U2" i="54"/>
  <c r="V8" i="54"/>
  <c r="U8" i="54"/>
  <c r="U6" i="54"/>
  <c r="V6" i="54"/>
  <c r="V3" i="54"/>
  <c r="U3" i="54"/>
  <c r="V4" i="54"/>
  <c r="U4" i="54"/>
  <c r="B31" i="78"/>
  <c r="E31" i="78" s="1"/>
  <c r="B5" i="78"/>
  <c r="H5" i="78" s="1"/>
  <c r="C5" i="78"/>
  <c r="O5" i="78" s="1"/>
  <c r="N5" i="78" s="1"/>
  <c r="C39" i="78"/>
  <c r="B55" i="78"/>
  <c r="F55" i="78" s="1"/>
  <c r="C55" i="78"/>
  <c r="D55" i="78" s="1"/>
  <c r="B6" i="78"/>
  <c r="E6" i="78" s="1"/>
  <c r="H4" i="78"/>
  <c r="G4" i="78"/>
  <c r="F4" i="78"/>
  <c r="A4" i="78"/>
  <c r="D4" i="78"/>
  <c r="G5" i="78"/>
  <c r="F5" i="78"/>
  <c r="O4" i="78"/>
  <c r="F31" i="78"/>
  <c r="H31" i="78"/>
  <c r="G31" i="78"/>
  <c r="E5" i="78"/>
  <c r="Q5" i="78"/>
  <c r="B41" i="78"/>
  <c r="B34" i="78"/>
  <c r="C47" i="78"/>
  <c r="B63" i="78"/>
  <c r="C34" i="78"/>
  <c r="C61" i="78"/>
  <c r="B60" i="78"/>
  <c r="C53" i="78"/>
  <c r="B52" i="78"/>
  <c r="C45" i="78"/>
  <c r="B44" i="78"/>
  <c r="C37" i="78"/>
  <c r="B36" i="78"/>
  <c r="C62" i="78"/>
  <c r="B61" i="78"/>
  <c r="C54" i="78"/>
  <c r="B53" i="78"/>
  <c r="C46" i="78"/>
  <c r="B45" i="78"/>
  <c r="C38" i="78"/>
  <c r="B37" i="78"/>
  <c r="C57" i="78"/>
  <c r="B56" i="78"/>
  <c r="D56" i="78" s="1"/>
  <c r="C49" i="78"/>
  <c r="B48" i="78"/>
  <c r="C41" i="78"/>
  <c r="B40" i="78"/>
  <c r="B62" i="78"/>
  <c r="B57" i="78"/>
  <c r="C52" i="78"/>
  <c r="B47" i="78"/>
  <c r="B42" i="78"/>
  <c r="C63" i="78"/>
  <c r="C58" i="78"/>
  <c r="C48" i="78"/>
  <c r="C43" i="78"/>
  <c r="B38" i="78"/>
  <c r="C59" i="78"/>
  <c r="B54" i="78"/>
  <c r="B49" i="78"/>
  <c r="C44" i="78"/>
  <c r="B39" i="78"/>
  <c r="C32" i="78"/>
  <c r="C31" i="78"/>
  <c r="C30" i="78"/>
  <c r="C29" i="78"/>
  <c r="C60" i="78"/>
  <c r="C36" i="78"/>
  <c r="C35" i="78"/>
  <c r="B32" i="78"/>
  <c r="B59" i="78"/>
  <c r="C51" i="78"/>
  <c r="C50" i="78"/>
  <c r="B43" i="78"/>
  <c r="B35" i="78"/>
  <c r="C33" i="78"/>
  <c r="B58" i="78"/>
  <c r="B51" i="78"/>
  <c r="B50" i="78"/>
  <c r="C42" i="78"/>
  <c r="B33" i="78"/>
  <c r="B29" i="78"/>
  <c r="C40" i="78"/>
  <c r="B30" i="78"/>
  <c r="B46" i="78"/>
  <c r="C6" i="78" l="1"/>
  <c r="C7" i="78" s="1"/>
  <c r="B7" i="78"/>
  <c r="A55" i="78"/>
  <c r="D39" i="78"/>
  <c r="G55" i="78"/>
  <c r="O6" i="78"/>
  <c r="N6" i="78" s="1"/>
  <c r="H55" i="78"/>
  <c r="E55" i="78"/>
  <c r="O55" i="78"/>
  <c r="N55" i="78" s="1"/>
  <c r="F6" i="78"/>
  <c r="G6" i="78"/>
  <c r="H6" i="78"/>
  <c r="A5" i="78"/>
  <c r="D6" i="78"/>
  <c r="A39" i="78"/>
  <c r="A6" i="78"/>
  <c r="O39" i="78"/>
  <c r="N39" i="78" s="1"/>
  <c r="D5" i="78"/>
  <c r="H58" i="78"/>
  <c r="G58" i="78"/>
  <c r="E58" i="78"/>
  <c r="F58" i="78"/>
  <c r="O44" i="78"/>
  <c r="A44" i="78"/>
  <c r="D44" i="78"/>
  <c r="D63" i="78"/>
  <c r="A63" i="78"/>
  <c r="O63" i="78"/>
  <c r="F48" i="78"/>
  <c r="E48" i="78"/>
  <c r="H48" i="78"/>
  <c r="G48" i="78"/>
  <c r="G53" i="78"/>
  <c r="E53" i="78"/>
  <c r="F53" i="78"/>
  <c r="H53" i="78"/>
  <c r="F52" i="78"/>
  <c r="E52" i="78"/>
  <c r="G52" i="78"/>
  <c r="H52" i="78"/>
  <c r="H46" i="78"/>
  <c r="G46" i="78"/>
  <c r="F46" i="78"/>
  <c r="E46" i="78"/>
  <c r="D42" i="78"/>
  <c r="A42" i="78"/>
  <c r="O42" i="78"/>
  <c r="D50" i="78"/>
  <c r="O50" i="78"/>
  <c r="A50" i="78"/>
  <c r="O60" i="78"/>
  <c r="A60" i="78"/>
  <c r="D60" i="78"/>
  <c r="A31" i="78"/>
  <c r="O31" i="78"/>
  <c r="D31" i="78"/>
  <c r="A43" i="78"/>
  <c r="D43" i="78"/>
  <c r="O43" i="78"/>
  <c r="H62" i="78"/>
  <c r="E62" i="78"/>
  <c r="G62" i="78"/>
  <c r="F62" i="78"/>
  <c r="D38" i="78"/>
  <c r="O38" i="78"/>
  <c r="A38" i="78"/>
  <c r="O37" i="78"/>
  <c r="A37" i="78"/>
  <c r="D37" i="78"/>
  <c r="G49" i="78"/>
  <c r="F49" i="78"/>
  <c r="H49" i="78"/>
  <c r="E49" i="78"/>
  <c r="H42" i="78"/>
  <c r="G42" i="78"/>
  <c r="F42" i="78"/>
  <c r="E42" i="78"/>
  <c r="O49" i="78"/>
  <c r="D49" i="78"/>
  <c r="A49" i="78"/>
  <c r="D54" i="78"/>
  <c r="O54" i="78"/>
  <c r="A54" i="78"/>
  <c r="O53" i="78"/>
  <c r="D53" i="78"/>
  <c r="A53" i="78"/>
  <c r="E63" i="78"/>
  <c r="F63" i="78"/>
  <c r="H63" i="78"/>
  <c r="G63" i="78"/>
  <c r="G41" i="78"/>
  <c r="F41" i="78"/>
  <c r="H41" i="78"/>
  <c r="E41" i="78"/>
  <c r="A56" i="78"/>
  <c r="O40" i="78"/>
  <c r="D40" i="78"/>
  <c r="A40" i="78"/>
  <c r="H35" i="78"/>
  <c r="E35" i="78"/>
  <c r="G35" i="78"/>
  <c r="F35" i="78"/>
  <c r="A35" i="78"/>
  <c r="O35" i="78"/>
  <c r="D35" i="78"/>
  <c r="O29" i="78"/>
  <c r="D29" i="78"/>
  <c r="A29" i="78"/>
  <c r="A59" i="78"/>
  <c r="O59" i="78"/>
  <c r="D59" i="78"/>
  <c r="O52" i="78"/>
  <c r="A52" i="78"/>
  <c r="D52" i="78"/>
  <c r="A57" i="78"/>
  <c r="O57" i="78"/>
  <c r="D57" i="78"/>
  <c r="D62" i="78"/>
  <c r="A62" i="78"/>
  <c r="O62" i="78"/>
  <c r="O61" i="78"/>
  <c r="D61" i="78"/>
  <c r="A61" i="78"/>
  <c r="H34" i="78"/>
  <c r="G34" i="78"/>
  <c r="E34" i="78"/>
  <c r="F34" i="78"/>
  <c r="D33" i="78"/>
  <c r="O33" i="78"/>
  <c r="A33" i="78"/>
  <c r="F32" i="78"/>
  <c r="E32" i="78"/>
  <c r="G32" i="78"/>
  <c r="H32" i="78"/>
  <c r="H54" i="78"/>
  <c r="G54" i="78"/>
  <c r="F54" i="78"/>
  <c r="E54" i="78"/>
  <c r="E47" i="78"/>
  <c r="H47" i="78"/>
  <c r="G47" i="78"/>
  <c r="F47" i="78"/>
  <c r="F56" i="78"/>
  <c r="E56" i="78"/>
  <c r="H56" i="78"/>
  <c r="G56" i="78"/>
  <c r="G61" i="78"/>
  <c r="H61" i="78"/>
  <c r="E61" i="78"/>
  <c r="F61" i="78"/>
  <c r="F60" i="78"/>
  <c r="H60" i="78"/>
  <c r="E60" i="78"/>
  <c r="G60" i="78"/>
  <c r="D47" i="78"/>
  <c r="A47" i="78"/>
  <c r="O47" i="78"/>
  <c r="F29" i="78"/>
  <c r="E29" i="78"/>
  <c r="H29" i="78"/>
  <c r="G29" i="78"/>
  <c r="G33" i="78"/>
  <c r="F33" i="78"/>
  <c r="E33" i="78"/>
  <c r="H33" i="78"/>
  <c r="H43" i="78"/>
  <c r="E43" i="78"/>
  <c r="G43" i="78"/>
  <c r="F43" i="78"/>
  <c r="O36" i="78"/>
  <c r="A36" i="78"/>
  <c r="D36" i="78"/>
  <c r="O30" i="78"/>
  <c r="A30" i="78"/>
  <c r="D30" i="78"/>
  <c r="H38" i="78"/>
  <c r="E38" i="78"/>
  <c r="G38" i="78"/>
  <c r="F38" i="78"/>
  <c r="G57" i="78"/>
  <c r="F57" i="78"/>
  <c r="H57" i="78"/>
  <c r="E57" i="78"/>
  <c r="G37" i="78"/>
  <c r="F37" i="78"/>
  <c r="E37" i="78"/>
  <c r="H37" i="78"/>
  <c r="F36" i="78"/>
  <c r="G36" i="78"/>
  <c r="H36" i="78"/>
  <c r="E36" i="78"/>
  <c r="D34" i="78"/>
  <c r="O34" i="78"/>
  <c r="A34" i="78"/>
  <c r="U5" i="78"/>
  <c r="Q6" i="78"/>
  <c r="O56" i="78"/>
  <c r="N4" i="78"/>
  <c r="S4" i="78" s="1"/>
  <c r="V4" i="78" s="1"/>
  <c r="T4" i="78"/>
  <c r="T5" i="78" s="1"/>
  <c r="F30" i="78"/>
  <c r="E30" i="78"/>
  <c r="H30" i="78"/>
  <c r="G30" i="78"/>
  <c r="H50" i="78"/>
  <c r="G50" i="78"/>
  <c r="E50" i="78"/>
  <c r="F50" i="78"/>
  <c r="A51" i="78"/>
  <c r="D51" i="78"/>
  <c r="O51" i="78"/>
  <c r="A32" i="78"/>
  <c r="O32" i="78"/>
  <c r="D32" i="78"/>
  <c r="O48" i="78"/>
  <c r="D48" i="78"/>
  <c r="A48" i="78"/>
  <c r="F40" i="78"/>
  <c r="E40" i="78"/>
  <c r="H40" i="78"/>
  <c r="G40" i="78"/>
  <c r="G45" i="78"/>
  <c r="H45" i="78"/>
  <c r="E45" i="78"/>
  <c r="F45" i="78"/>
  <c r="F44" i="78"/>
  <c r="G44" i="78"/>
  <c r="E44" i="78"/>
  <c r="H44" i="78"/>
  <c r="H51" i="78"/>
  <c r="E51" i="78"/>
  <c r="G51" i="78"/>
  <c r="F51" i="78"/>
  <c r="H59" i="78"/>
  <c r="E59" i="78"/>
  <c r="G59" i="78"/>
  <c r="F59" i="78"/>
  <c r="E39" i="78"/>
  <c r="G39" i="78"/>
  <c r="F39" i="78"/>
  <c r="H39" i="78"/>
  <c r="D58" i="78"/>
  <c r="A58" i="78"/>
  <c r="O58" i="78"/>
  <c r="O41" i="78"/>
  <c r="D41" i="78"/>
  <c r="A41" i="78"/>
  <c r="D46" i="78"/>
  <c r="O46" i="78"/>
  <c r="A46" i="78"/>
  <c r="O45" i="78"/>
  <c r="A45" i="78"/>
  <c r="D45" i="78"/>
  <c r="O7" i="78" l="1"/>
  <c r="N7" i="78" s="1"/>
  <c r="D7" i="78"/>
  <c r="A7" i="78"/>
  <c r="E7" i="78"/>
  <c r="B8" i="78"/>
  <c r="C8" i="78"/>
  <c r="G7" i="78"/>
  <c r="F7" i="78"/>
  <c r="H7" i="78"/>
  <c r="T6" i="78"/>
  <c r="N45" i="78"/>
  <c r="N46" i="78"/>
  <c r="N32" i="78"/>
  <c r="N57" i="78"/>
  <c r="N40" i="78"/>
  <c r="N48" i="78"/>
  <c r="N47" i="78"/>
  <c r="N56" i="78"/>
  <c r="N41" i="78"/>
  <c r="N29" i="78"/>
  <c r="N37" i="78"/>
  <c r="N43" i="78"/>
  <c r="N60" i="78"/>
  <c r="N49" i="78"/>
  <c r="N44" i="78"/>
  <c r="N61" i="78"/>
  <c r="N52" i="78"/>
  <c r="N35" i="78"/>
  <c r="N38" i="78"/>
  <c r="N50" i="78"/>
  <c r="N30" i="78"/>
  <c r="N36" i="78"/>
  <c r="N53" i="78"/>
  <c r="N58" i="78"/>
  <c r="N51" i="78"/>
  <c r="N31" i="78"/>
  <c r="N42" i="78"/>
  <c r="N63" i="78"/>
  <c r="N62" i="78"/>
  <c r="N34" i="78"/>
  <c r="N59" i="78"/>
  <c r="U6" i="78"/>
  <c r="Q7" i="78"/>
  <c r="N33" i="78"/>
  <c r="S5" i="78"/>
  <c r="N54" i="78"/>
  <c r="T7" i="78" l="1"/>
  <c r="A8" i="78"/>
  <c r="O8" i="78"/>
  <c r="N8" i="78" s="1"/>
  <c r="D8" i="78"/>
  <c r="F8" i="78"/>
  <c r="B9" i="78"/>
  <c r="C9" i="78"/>
  <c r="H8" i="78"/>
  <c r="E8" i="78"/>
  <c r="G8" i="78"/>
  <c r="U7" i="78"/>
  <c r="Q8" i="78"/>
  <c r="V5" i="78"/>
  <c r="S6" i="78"/>
  <c r="W2" i="74"/>
  <c r="W2" i="73"/>
  <c r="W2" i="72"/>
  <c r="W2" i="71"/>
  <c r="W2" i="70"/>
  <c r="W2" i="69"/>
  <c r="T8" i="78" l="1"/>
  <c r="B10" i="78"/>
  <c r="C10" i="78"/>
  <c r="F9" i="78"/>
  <c r="E9" i="78"/>
  <c r="H9" i="78"/>
  <c r="G9" i="78"/>
  <c r="O9" i="78"/>
  <c r="A9" i="78"/>
  <c r="D9" i="78"/>
  <c r="Q9" i="78"/>
  <c r="U8" i="78"/>
  <c r="V6" i="78"/>
  <c r="S7" i="78"/>
  <c r="D10" i="78" l="1"/>
  <c r="A10" i="78"/>
  <c r="O10" i="78"/>
  <c r="N10" i="78" s="1"/>
  <c r="N9" i="78"/>
  <c r="T9" i="78"/>
  <c r="H10" i="78"/>
  <c r="C11" i="78"/>
  <c r="B11" i="78"/>
  <c r="E10" i="78"/>
  <c r="F10" i="78"/>
  <c r="G10" i="78"/>
  <c r="Q10" i="78"/>
  <c r="U9" i="78"/>
  <c r="V7" i="78"/>
  <c r="S8" i="78"/>
  <c r="A11" i="78" l="1"/>
  <c r="D11" i="78"/>
  <c r="O11" i="78"/>
  <c r="N11" i="78" s="1"/>
  <c r="T10" i="78"/>
  <c r="F11" i="78"/>
  <c r="B12" i="78"/>
  <c r="C12" i="78"/>
  <c r="E11" i="78"/>
  <c r="G11" i="78"/>
  <c r="H11" i="78"/>
  <c r="U10" i="78"/>
  <c r="Q11" i="78"/>
  <c r="V8" i="78"/>
  <c r="S9" i="78"/>
  <c r="A12" i="78" l="1"/>
  <c r="D12" i="78"/>
  <c r="O12" i="78"/>
  <c r="N12" i="78" s="1"/>
  <c r="C13" i="78"/>
  <c r="B13" i="78"/>
  <c r="G12" i="78"/>
  <c r="E12" i="78"/>
  <c r="H12" i="78"/>
  <c r="F12" i="78"/>
  <c r="T11" i="78"/>
  <c r="V9" i="78"/>
  <c r="S10" i="78"/>
  <c r="Q12" i="78"/>
  <c r="U11" i="78"/>
  <c r="A13" i="78" l="1"/>
  <c r="D13" i="78"/>
  <c r="O13" i="78"/>
  <c r="N13" i="78" s="1"/>
  <c r="C14" i="78"/>
  <c r="B14" i="78"/>
  <c r="G13" i="78"/>
  <c r="E13" i="78"/>
  <c r="F13" i="78"/>
  <c r="H13" i="78"/>
  <c r="T12" i="78"/>
  <c r="U12" i="78"/>
  <c r="Q13" i="78"/>
  <c r="V10" i="78"/>
  <c r="S11" i="78"/>
  <c r="C15" i="78" l="1"/>
  <c r="B15" i="78"/>
  <c r="F14" i="78"/>
  <c r="E14" i="78"/>
  <c r="H14" i="78"/>
  <c r="G14" i="78"/>
  <c r="A14" i="78"/>
  <c r="O14" i="78"/>
  <c r="N14" i="78" s="1"/>
  <c r="D14" i="78"/>
  <c r="T13" i="78"/>
  <c r="V11" i="78"/>
  <c r="S12" i="78"/>
  <c r="U13" i="78"/>
  <c r="Q14" i="78"/>
  <c r="T14" i="78" l="1"/>
  <c r="C16" i="78"/>
  <c r="B16" i="78"/>
  <c r="E15" i="78"/>
  <c r="H15" i="78"/>
  <c r="F15" i="78"/>
  <c r="G15" i="78"/>
  <c r="A15" i="78"/>
  <c r="D15" i="78"/>
  <c r="O15" i="78"/>
  <c r="N15" i="78" s="1"/>
  <c r="U14" i="78"/>
  <c r="Q15" i="78"/>
  <c r="V12" i="78"/>
  <c r="S13" i="78"/>
  <c r="C17" i="78" l="1"/>
  <c r="B17" i="78"/>
  <c r="E16" i="78"/>
  <c r="F16" i="78"/>
  <c r="H16" i="78"/>
  <c r="G16" i="78"/>
  <c r="A16" i="78"/>
  <c r="D16" i="78"/>
  <c r="O16" i="78"/>
  <c r="N16" i="78" s="1"/>
  <c r="T15" i="78"/>
  <c r="V13" i="78"/>
  <c r="S14" i="78"/>
  <c r="U15" i="78"/>
  <c r="Q16" i="78"/>
  <c r="B62" i="52"/>
  <c r="B63" i="52"/>
  <c r="B64" i="52"/>
  <c r="B65" i="52"/>
  <c r="B66" i="52"/>
  <c r="B67" i="52"/>
  <c r="B68" i="52"/>
  <c r="B69" i="52"/>
  <c r="B70" i="52"/>
  <c r="B71" i="52"/>
  <c r="B72" i="52"/>
  <c r="B73" i="52"/>
  <c r="B74" i="52"/>
  <c r="B75" i="52"/>
  <c r="B76" i="52"/>
  <c r="B77" i="52"/>
  <c r="B78" i="52"/>
  <c r="B79" i="52"/>
  <c r="B80" i="52"/>
  <c r="B81" i="52"/>
  <c r="B82" i="52"/>
  <c r="B83" i="52"/>
  <c r="B84" i="52"/>
  <c r="B85" i="52"/>
  <c r="B86" i="52"/>
  <c r="B87" i="52"/>
  <c r="B88" i="52"/>
  <c r="B89" i="52"/>
  <c r="B90" i="52"/>
  <c r="B91" i="52"/>
  <c r="B92" i="52"/>
  <c r="B93" i="52"/>
  <c r="B94" i="52"/>
  <c r="B95" i="52"/>
  <c r="B96" i="52"/>
  <c r="B97" i="52"/>
  <c r="B98" i="52"/>
  <c r="B99" i="52"/>
  <c r="B100" i="52"/>
  <c r="B101" i="52"/>
  <c r="B102" i="52"/>
  <c r="B103" i="52"/>
  <c r="B104" i="52"/>
  <c r="B105" i="52"/>
  <c r="B106" i="52"/>
  <c r="B107" i="52"/>
  <c r="B108" i="52"/>
  <c r="B109" i="52"/>
  <c r="B110" i="52"/>
  <c r="B111" i="52"/>
  <c r="B112" i="52"/>
  <c r="B113" i="52"/>
  <c r="B114" i="52"/>
  <c r="B115" i="52"/>
  <c r="B116" i="52"/>
  <c r="B117" i="52"/>
  <c r="B118" i="52"/>
  <c r="B119" i="52"/>
  <c r="B120" i="52"/>
  <c r="B121" i="52"/>
  <c r="B122" i="52"/>
  <c r="B123" i="52"/>
  <c r="B124" i="52"/>
  <c r="B125" i="52"/>
  <c r="B126" i="52"/>
  <c r="B127" i="52"/>
  <c r="B128" i="52"/>
  <c r="B129" i="52"/>
  <c r="B130" i="52"/>
  <c r="B131" i="52"/>
  <c r="B132" i="52"/>
  <c r="B133" i="52"/>
  <c r="B134" i="52"/>
  <c r="B135" i="52"/>
  <c r="B136" i="52"/>
  <c r="B137" i="52"/>
  <c r="B138" i="52"/>
  <c r="B139" i="52"/>
  <c r="B140" i="52"/>
  <c r="B141" i="52"/>
  <c r="B142" i="52"/>
  <c r="B143" i="52"/>
  <c r="B144" i="52"/>
  <c r="B145" i="52"/>
  <c r="B146" i="52"/>
  <c r="B147" i="52"/>
  <c r="B148" i="52"/>
  <c r="B149" i="52"/>
  <c r="B150" i="52"/>
  <c r="B151" i="52"/>
  <c r="B152" i="52"/>
  <c r="B153" i="52"/>
  <c r="B154" i="52"/>
  <c r="B155" i="52"/>
  <c r="B156" i="52"/>
  <c r="B157" i="52"/>
  <c r="B158" i="52"/>
  <c r="B159" i="52"/>
  <c r="B160" i="52"/>
  <c r="B161" i="52"/>
  <c r="B162" i="52"/>
  <c r="B163" i="52"/>
  <c r="B164" i="52"/>
  <c r="B165" i="52"/>
  <c r="B166" i="52"/>
  <c r="B167" i="52"/>
  <c r="B168" i="52"/>
  <c r="B169" i="52"/>
  <c r="B170" i="52"/>
  <c r="B171" i="52"/>
  <c r="B172" i="52"/>
  <c r="B173" i="52"/>
  <c r="B174" i="52"/>
  <c r="B175" i="52"/>
  <c r="B176" i="52"/>
  <c r="B177" i="52"/>
  <c r="B178" i="52"/>
  <c r="B179" i="52"/>
  <c r="B180" i="52"/>
  <c r="B181" i="52"/>
  <c r="B182" i="52"/>
  <c r="B183" i="52"/>
  <c r="B184" i="52"/>
  <c r="B185" i="52"/>
  <c r="B186" i="52"/>
  <c r="B187" i="52"/>
  <c r="B188" i="52"/>
  <c r="B189" i="52"/>
  <c r="B190" i="52"/>
  <c r="B191" i="52"/>
  <c r="B192" i="52"/>
  <c r="B193" i="52"/>
  <c r="B194" i="52"/>
  <c r="B195" i="52"/>
  <c r="B196" i="52"/>
  <c r="B197" i="52"/>
  <c r="B198" i="52"/>
  <c r="B199" i="52"/>
  <c r="B200" i="52"/>
  <c r="B201" i="52"/>
  <c r="B202" i="52"/>
  <c r="B203" i="52"/>
  <c r="B204" i="52"/>
  <c r="B205" i="52"/>
  <c r="B206" i="52"/>
  <c r="B207" i="52"/>
  <c r="B208" i="52"/>
  <c r="B209" i="52"/>
  <c r="B210" i="52"/>
  <c r="B211" i="52"/>
  <c r="B212" i="52"/>
  <c r="B213" i="52"/>
  <c r="B214" i="52"/>
  <c r="B215" i="52"/>
  <c r="B216" i="52"/>
  <c r="B217" i="52"/>
  <c r="B218" i="52"/>
  <c r="B219" i="52"/>
  <c r="B220" i="52"/>
  <c r="B221" i="52"/>
  <c r="B222" i="52"/>
  <c r="B223" i="52"/>
  <c r="B224" i="52"/>
  <c r="B225" i="52"/>
  <c r="B226" i="52"/>
  <c r="B227" i="52"/>
  <c r="B228" i="52"/>
  <c r="B229" i="52"/>
  <c r="B230" i="52"/>
  <c r="B231" i="52"/>
  <c r="B232" i="52"/>
  <c r="B233" i="52"/>
  <c r="B234" i="52"/>
  <c r="B235" i="52"/>
  <c r="B236" i="52"/>
  <c r="B237" i="52"/>
  <c r="B238" i="52"/>
  <c r="B239" i="52"/>
  <c r="B240" i="52"/>
  <c r="B241" i="52"/>
  <c r="B242" i="52"/>
  <c r="B243" i="52"/>
  <c r="B244" i="52"/>
  <c r="B245" i="52"/>
  <c r="B246" i="52"/>
  <c r="B247" i="52"/>
  <c r="B248" i="52"/>
  <c r="B249" i="52"/>
  <c r="B250" i="52"/>
  <c r="B251" i="52"/>
  <c r="B252" i="52"/>
  <c r="B253" i="52"/>
  <c r="B254" i="52"/>
  <c r="B255" i="52"/>
  <c r="B256" i="52"/>
  <c r="B257" i="52"/>
  <c r="B258" i="52"/>
  <c r="B259" i="52"/>
  <c r="B260" i="52"/>
  <c r="B261" i="52"/>
  <c r="B262" i="52"/>
  <c r="B263" i="52"/>
  <c r="B264" i="52"/>
  <c r="B265" i="52"/>
  <c r="B266" i="52"/>
  <c r="B267" i="52"/>
  <c r="B268" i="52"/>
  <c r="B269" i="52"/>
  <c r="B270" i="52"/>
  <c r="B271" i="52"/>
  <c r="B272" i="52"/>
  <c r="B273" i="52"/>
  <c r="B274" i="52"/>
  <c r="B275" i="52"/>
  <c r="B276" i="52"/>
  <c r="B277" i="52"/>
  <c r="B278" i="52"/>
  <c r="B279" i="52"/>
  <c r="B280" i="52"/>
  <c r="B281" i="52"/>
  <c r="B282" i="52"/>
  <c r="B283" i="52"/>
  <c r="B284" i="52"/>
  <c r="B285" i="52"/>
  <c r="B286" i="52"/>
  <c r="B287" i="52"/>
  <c r="B288" i="52"/>
  <c r="B289" i="52"/>
  <c r="B290" i="52"/>
  <c r="B291" i="52"/>
  <c r="B292" i="52"/>
  <c r="B293" i="52"/>
  <c r="B294" i="52"/>
  <c r="B295" i="52"/>
  <c r="B296" i="52"/>
  <c r="B297" i="52"/>
  <c r="B298" i="52"/>
  <c r="B299" i="52"/>
  <c r="B300" i="52"/>
  <c r="B301" i="52"/>
  <c r="B302" i="52"/>
  <c r="B303" i="52"/>
  <c r="B304" i="52"/>
  <c r="B305" i="52"/>
  <c r="B306" i="52"/>
  <c r="B307" i="52"/>
  <c r="B308" i="52"/>
  <c r="B309" i="52"/>
  <c r="B310" i="52"/>
  <c r="B311" i="52"/>
  <c r="B312" i="52"/>
  <c r="B313" i="52"/>
  <c r="B314" i="52"/>
  <c r="B315" i="52"/>
  <c r="B316" i="52"/>
  <c r="B317" i="52"/>
  <c r="B318" i="52"/>
  <c r="B319" i="52"/>
  <c r="B320" i="52"/>
  <c r="B321" i="52"/>
  <c r="B322" i="52"/>
  <c r="B323" i="52"/>
  <c r="B324" i="52"/>
  <c r="B325" i="52"/>
  <c r="B326" i="52"/>
  <c r="B327" i="52"/>
  <c r="B328" i="52"/>
  <c r="B329" i="52"/>
  <c r="B330" i="52"/>
  <c r="B331" i="52"/>
  <c r="B332" i="52"/>
  <c r="B333" i="52"/>
  <c r="B334" i="52"/>
  <c r="B335" i="52"/>
  <c r="B336" i="52"/>
  <c r="B337" i="52"/>
  <c r="B338" i="52"/>
  <c r="B339" i="52"/>
  <c r="B340" i="52"/>
  <c r="B341" i="52"/>
  <c r="B342" i="52"/>
  <c r="B343" i="52"/>
  <c r="B344" i="52"/>
  <c r="B345" i="52"/>
  <c r="B346" i="52"/>
  <c r="B347" i="52"/>
  <c r="B348" i="52"/>
  <c r="B349" i="52"/>
  <c r="B350" i="52"/>
  <c r="B351" i="52"/>
  <c r="B352" i="52"/>
  <c r="B353" i="52"/>
  <c r="B354" i="52"/>
  <c r="B355" i="52"/>
  <c r="B356" i="52"/>
  <c r="B357" i="52"/>
  <c r="B358" i="52"/>
  <c r="B359" i="52"/>
  <c r="B360" i="52"/>
  <c r="B361" i="52"/>
  <c r="B362" i="52"/>
  <c r="B363" i="52"/>
  <c r="B364" i="52"/>
  <c r="B365" i="52"/>
  <c r="B366" i="52"/>
  <c r="B367" i="52"/>
  <c r="B368" i="52"/>
  <c r="B369" i="52"/>
  <c r="B370" i="52"/>
  <c r="B371" i="52"/>
  <c r="B372" i="52"/>
  <c r="B373" i="52"/>
  <c r="B374" i="52"/>
  <c r="B375" i="52"/>
  <c r="B376" i="52"/>
  <c r="B377" i="52"/>
  <c r="B378" i="52"/>
  <c r="B379" i="52"/>
  <c r="B380" i="52"/>
  <c r="B381" i="52"/>
  <c r="B382" i="52"/>
  <c r="B383" i="52"/>
  <c r="B384" i="52"/>
  <c r="B385" i="52"/>
  <c r="B386" i="52"/>
  <c r="B387" i="52"/>
  <c r="B388" i="52"/>
  <c r="B389" i="52"/>
  <c r="B390" i="52"/>
  <c r="B391" i="52"/>
  <c r="B392" i="52"/>
  <c r="B393" i="52"/>
  <c r="B394" i="52"/>
  <c r="B395" i="52"/>
  <c r="B396" i="52"/>
  <c r="B397" i="52"/>
  <c r="B398" i="52"/>
  <c r="B399" i="52"/>
  <c r="B400" i="52"/>
  <c r="B401" i="52"/>
  <c r="B402" i="52"/>
  <c r="B403" i="52"/>
  <c r="B404" i="52"/>
  <c r="B405" i="52"/>
  <c r="B406" i="52"/>
  <c r="B407" i="52"/>
  <c r="B408" i="52"/>
  <c r="B409" i="52"/>
  <c r="B410" i="52"/>
  <c r="B411" i="52"/>
  <c r="B412" i="52"/>
  <c r="B413" i="52"/>
  <c r="B414" i="52"/>
  <c r="B415" i="52"/>
  <c r="B416" i="52"/>
  <c r="B417" i="52"/>
  <c r="B418" i="52"/>
  <c r="B419" i="52"/>
  <c r="B420" i="52"/>
  <c r="B421" i="52"/>
  <c r="B422" i="52"/>
  <c r="B423" i="52"/>
  <c r="B424" i="52"/>
  <c r="B425" i="52"/>
  <c r="B426" i="52"/>
  <c r="B427" i="52"/>
  <c r="B428" i="52"/>
  <c r="B429" i="52"/>
  <c r="B430" i="52"/>
  <c r="B431" i="52"/>
  <c r="B432" i="52"/>
  <c r="B433" i="52"/>
  <c r="B434" i="52"/>
  <c r="B435" i="52"/>
  <c r="B436" i="52"/>
  <c r="B437" i="52"/>
  <c r="B438" i="52"/>
  <c r="B439" i="52"/>
  <c r="B440" i="52"/>
  <c r="B441" i="52"/>
  <c r="B442" i="52"/>
  <c r="B443" i="52"/>
  <c r="B444" i="52"/>
  <c r="B445" i="52"/>
  <c r="B446" i="52"/>
  <c r="B447" i="52"/>
  <c r="B448" i="52"/>
  <c r="B449" i="52"/>
  <c r="B450" i="52"/>
  <c r="B451" i="52"/>
  <c r="B452" i="52"/>
  <c r="B453" i="52"/>
  <c r="B454" i="52"/>
  <c r="B455" i="52"/>
  <c r="B456" i="52"/>
  <c r="B457" i="52"/>
  <c r="B458" i="52"/>
  <c r="B459" i="52"/>
  <c r="B460" i="52"/>
  <c r="B461" i="52"/>
  <c r="B462" i="52"/>
  <c r="B463" i="52"/>
  <c r="B464" i="52"/>
  <c r="B465" i="52"/>
  <c r="B466" i="52"/>
  <c r="B467" i="52"/>
  <c r="B468" i="52"/>
  <c r="B469" i="52"/>
  <c r="B470" i="52"/>
  <c r="B471" i="52"/>
  <c r="B472" i="52"/>
  <c r="B473" i="52"/>
  <c r="B474" i="52"/>
  <c r="B475" i="52"/>
  <c r="B476" i="52"/>
  <c r="B477" i="52"/>
  <c r="B478" i="52"/>
  <c r="B479" i="52"/>
  <c r="B480" i="52"/>
  <c r="B481" i="52"/>
  <c r="B482" i="52"/>
  <c r="B483" i="52"/>
  <c r="B484" i="52"/>
  <c r="B485" i="52"/>
  <c r="B486" i="52"/>
  <c r="B487" i="52"/>
  <c r="B488" i="52"/>
  <c r="B489" i="52"/>
  <c r="B490" i="52"/>
  <c r="B491" i="52"/>
  <c r="B492" i="52"/>
  <c r="B493" i="52"/>
  <c r="B494" i="52"/>
  <c r="B495" i="52"/>
  <c r="B496" i="52"/>
  <c r="B497" i="52"/>
  <c r="B498" i="52"/>
  <c r="B499" i="52"/>
  <c r="B500" i="52"/>
  <c r="B501" i="52"/>
  <c r="B502" i="52"/>
  <c r="B503" i="52"/>
  <c r="B504" i="52"/>
  <c r="B505" i="52"/>
  <c r="B506" i="52"/>
  <c r="B507" i="52"/>
  <c r="B508" i="52"/>
  <c r="B509" i="52"/>
  <c r="B510" i="52"/>
  <c r="B511" i="52"/>
  <c r="B512" i="52"/>
  <c r="B513" i="52"/>
  <c r="B514" i="52"/>
  <c r="B515" i="52"/>
  <c r="B516" i="52"/>
  <c r="B517" i="52"/>
  <c r="B518" i="52"/>
  <c r="B519" i="52"/>
  <c r="B520" i="52"/>
  <c r="B521" i="52"/>
  <c r="B522" i="52"/>
  <c r="B523" i="52"/>
  <c r="B524" i="52"/>
  <c r="B525" i="52"/>
  <c r="B526" i="52"/>
  <c r="B527" i="52"/>
  <c r="B528" i="52"/>
  <c r="B529" i="52"/>
  <c r="B530" i="52"/>
  <c r="B531" i="52"/>
  <c r="B532" i="52"/>
  <c r="B533" i="52"/>
  <c r="B534" i="52"/>
  <c r="B535" i="52"/>
  <c r="B536" i="52"/>
  <c r="B537" i="52"/>
  <c r="B538" i="52"/>
  <c r="B539" i="52"/>
  <c r="B540" i="52"/>
  <c r="B541" i="52"/>
  <c r="B542" i="52"/>
  <c r="B543" i="52"/>
  <c r="B544" i="52"/>
  <c r="B545" i="52"/>
  <c r="B546" i="52"/>
  <c r="B547" i="52"/>
  <c r="B548" i="52"/>
  <c r="B549" i="52"/>
  <c r="B550" i="52"/>
  <c r="B551" i="52"/>
  <c r="B552" i="52"/>
  <c r="B553" i="52"/>
  <c r="B554" i="52"/>
  <c r="B555" i="52"/>
  <c r="B556" i="52"/>
  <c r="B557" i="52"/>
  <c r="B558" i="52"/>
  <c r="B559" i="52"/>
  <c r="B560" i="52"/>
  <c r="B561" i="52"/>
  <c r="B562" i="52"/>
  <c r="B563" i="52"/>
  <c r="B564" i="52"/>
  <c r="B565" i="52"/>
  <c r="B566" i="52"/>
  <c r="B567" i="52"/>
  <c r="B568" i="52"/>
  <c r="B569" i="52"/>
  <c r="B570" i="52"/>
  <c r="B571" i="52"/>
  <c r="B572" i="52"/>
  <c r="B573" i="52"/>
  <c r="B574" i="52"/>
  <c r="B575" i="52"/>
  <c r="B576" i="52"/>
  <c r="B577" i="52"/>
  <c r="B578" i="52"/>
  <c r="B579" i="52"/>
  <c r="B580" i="52"/>
  <c r="B581" i="52"/>
  <c r="B582" i="52"/>
  <c r="B583" i="52"/>
  <c r="B584" i="52"/>
  <c r="B585" i="52"/>
  <c r="B586" i="52"/>
  <c r="B587" i="52"/>
  <c r="B588" i="52"/>
  <c r="B589" i="52"/>
  <c r="B590" i="52"/>
  <c r="B591" i="52"/>
  <c r="B592" i="52"/>
  <c r="B593" i="52"/>
  <c r="B594" i="52"/>
  <c r="B595" i="52"/>
  <c r="B596" i="52"/>
  <c r="B597" i="52"/>
  <c r="B598" i="52"/>
  <c r="B599" i="52"/>
  <c r="B600" i="52"/>
  <c r="B601" i="52"/>
  <c r="B602" i="52"/>
  <c r="B603" i="52"/>
  <c r="B604" i="52"/>
  <c r="B605" i="52"/>
  <c r="B606" i="52"/>
  <c r="B607" i="52"/>
  <c r="B608" i="52"/>
  <c r="B609" i="52"/>
  <c r="B610" i="52"/>
  <c r="B611" i="52"/>
  <c r="B612" i="52"/>
  <c r="B613" i="52"/>
  <c r="B614" i="52"/>
  <c r="B615" i="52"/>
  <c r="B616" i="52"/>
  <c r="B617" i="52"/>
  <c r="B618" i="52"/>
  <c r="B619" i="52"/>
  <c r="B620" i="52"/>
  <c r="B621" i="52"/>
  <c r="B622" i="52"/>
  <c r="B623" i="52"/>
  <c r="B624" i="52"/>
  <c r="B625" i="52"/>
  <c r="B626" i="52"/>
  <c r="B627" i="52"/>
  <c r="B628" i="52"/>
  <c r="B629" i="52"/>
  <c r="B630" i="52"/>
  <c r="B631" i="52"/>
  <c r="B632" i="52"/>
  <c r="B633" i="52"/>
  <c r="B634" i="52"/>
  <c r="B635" i="52"/>
  <c r="B636" i="52"/>
  <c r="B637" i="52"/>
  <c r="B638" i="52"/>
  <c r="B639" i="52"/>
  <c r="B640" i="52"/>
  <c r="B641" i="52"/>
  <c r="B642" i="52"/>
  <c r="B643" i="52"/>
  <c r="B644" i="52"/>
  <c r="B645" i="52"/>
  <c r="B646" i="52"/>
  <c r="B647" i="52"/>
  <c r="B648" i="52"/>
  <c r="B649" i="52"/>
  <c r="B650" i="52"/>
  <c r="B651" i="52"/>
  <c r="B652" i="52"/>
  <c r="B653" i="52"/>
  <c r="B654" i="52"/>
  <c r="B655" i="52"/>
  <c r="B656" i="52"/>
  <c r="B657" i="52"/>
  <c r="B658" i="52"/>
  <c r="B659" i="52"/>
  <c r="B660" i="52"/>
  <c r="B661" i="52"/>
  <c r="B662" i="52"/>
  <c r="B663" i="52"/>
  <c r="B664" i="52"/>
  <c r="B665" i="52"/>
  <c r="B666" i="52"/>
  <c r="B667" i="52"/>
  <c r="B668" i="52"/>
  <c r="B669" i="52"/>
  <c r="B670" i="52"/>
  <c r="B671" i="52"/>
  <c r="B672" i="52"/>
  <c r="B673" i="52"/>
  <c r="B674" i="52"/>
  <c r="B675" i="52"/>
  <c r="B676" i="52"/>
  <c r="B677" i="52"/>
  <c r="B678" i="52"/>
  <c r="B679" i="52"/>
  <c r="B680" i="52"/>
  <c r="B681" i="52"/>
  <c r="B682" i="52"/>
  <c r="B683" i="52"/>
  <c r="B684" i="52"/>
  <c r="B685" i="52"/>
  <c r="B686" i="52"/>
  <c r="B687" i="52"/>
  <c r="B688" i="52"/>
  <c r="B689" i="52"/>
  <c r="B690" i="52"/>
  <c r="B691" i="52"/>
  <c r="B692" i="52"/>
  <c r="B693" i="52"/>
  <c r="B694" i="52"/>
  <c r="B695" i="52"/>
  <c r="B696" i="52"/>
  <c r="B697" i="52"/>
  <c r="B698" i="52"/>
  <c r="B699" i="52"/>
  <c r="B700" i="52"/>
  <c r="B701" i="52"/>
  <c r="B702" i="52"/>
  <c r="B703" i="52"/>
  <c r="B704" i="52"/>
  <c r="B705" i="52"/>
  <c r="B706" i="52"/>
  <c r="B707" i="52"/>
  <c r="B708" i="52"/>
  <c r="B709" i="52"/>
  <c r="B710" i="52"/>
  <c r="B711" i="52"/>
  <c r="B712" i="52"/>
  <c r="B713" i="52"/>
  <c r="B714" i="52"/>
  <c r="B715" i="52"/>
  <c r="B716" i="52"/>
  <c r="B717" i="52"/>
  <c r="B718" i="52"/>
  <c r="B719" i="52"/>
  <c r="B720" i="52"/>
  <c r="B721" i="52"/>
  <c r="B722" i="52"/>
  <c r="B723" i="52"/>
  <c r="B724" i="52"/>
  <c r="B725" i="52"/>
  <c r="B726" i="52"/>
  <c r="B727" i="52"/>
  <c r="B728" i="52"/>
  <c r="B729" i="52"/>
  <c r="B730" i="52"/>
  <c r="B731" i="52"/>
  <c r="B732" i="52"/>
  <c r="B733" i="52"/>
  <c r="B734" i="52"/>
  <c r="B735" i="52"/>
  <c r="B736" i="52"/>
  <c r="B737" i="52"/>
  <c r="B738" i="52"/>
  <c r="B739" i="52"/>
  <c r="B740" i="52"/>
  <c r="B741" i="52"/>
  <c r="B742" i="52"/>
  <c r="B743" i="52"/>
  <c r="B744" i="52"/>
  <c r="B745" i="52"/>
  <c r="B746" i="52"/>
  <c r="B747" i="52"/>
  <c r="B748" i="52"/>
  <c r="B749" i="52"/>
  <c r="B750" i="52"/>
  <c r="B751" i="52"/>
  <c r="B752" i="52"/>
  <c r="B753" i="52"/>
  <c r="B754" i="52"/>
  <c r="B755" i="52"/>
  <c r="B756" i="52"/>
  <c r="B757" i="52"/>
  <c r="B758" i="52"/>
  <c r="B759" i="52"/>
  <c r="B760" i="52"/>
  <c r="B761" i="52"/>
  <c r="B762" i="52"/>
  <c r="B763" i="52"/>
  <c r="B764" i="52"/>
  <c r="B765" i="52"/>
  <c r="B766" i="52"/>
  <c r="B767" i="52"/>
  <c r="B768" i="52"/>
  <c r="B769" i="52"/>
  <c r="B770" i="52"/>
  <c r="B771" i="52"/>
  <c r="B772" i="52"/>
  <c r="B773" i="52"/>
  <c r="B774" i="52"/>
  <c r="B775" i="52"/>
  <c r="B776" i="52"/>
  <c r="B777" i="52"/>
  <c r="B778" i="52"/>
  <c r="B779" i="52"/>
  <c r="B780" i="52"/>
  <c r="B781" i="52"/>
  <c r="B782" i="52"/>
  <c r="B783" i="52"/>
  <c r="B784" i="52"/>
  <c r="B785" i="52"/>
  <c r="B786" i="52"/>
  <c r="B787" i="52"/>
  <c r="B788" i="52"/>
  <c r="B789" i="52"/>
  <c r="B790" i="52"/>
  <c r="B791" i="52"/>
  <c r="B792" i="52"/>
  <c r="B793" i="52"/>
  <c r="B794" i="52"/>
  <c r="B795" i="52"/>
  <c r="B796" i="52"/>
  <c r="B797" i="52"/>
  <c r="B798" i="52"/>
  <c r="B799" i="52"/>
  <c r="B800" i="52"/>
  <c r="B801" i="52"/>
  <c r="B802" i="52"/>
  <c r="B803" i="52"/>
  <c r="B804" i="52"/>
  <c r="B805" i="52"/>
  <c r="B806" i="52"/>
  <c r="B807" i="52"/>
  <c r="B808" i="52"/>
  <c r="B809" i="52"/>
  <c r="B810" i="52"/>
  <c r="B811" i="52"/>
  <c r="B812" i="52"/>
  <c r="B813" i="52"/>
  <c r="B814" i="52"/>
  <c r="B815" i="52"/>
  <c r="B816" i="52"/>
  <c r="B817" i="52"/>
  <c r="B818" i="52"/>
  <c r="B819" i="52"/>
  <c r="B820" i="52"/>
  <c r="B821" i="52"/>
  <c r="B822" i="52"/>
  <c r="B823" i="52"/>
  <c r="B824" i="52"/>
  <c r="B825" i="52"/>
  <c r="B826" i="52"/>
  <c r="B827" i="52"/>
  <c r="B828" i="52"/>
  <c r="B829" i="52"/>
  <c r="B830" i="52"/>
  <c r="B831" i="52"/>
  <c r="B832" i="52"/>
  <c r="B833" i="52"/>
  <c r="B834" i="52"/>
  <c r="B835" i="52"/>
  <c r="B836" i="52"/>
  <c r="B837" i="52"/>
  <c r="B838" i="52"/>
  <c r="B839" i="52"/>
  <c r="B840" i="52"/>
  <c r="B841" i="52"/>
  <c r="B842" i="52"/>
  <c r="B843" i="52"/>
  <c r="B844" i="52"/>
  <c r="B845" i="52"/>
  <c r="B846" i="52"/>
  <c r="B847" i="52"/>
  <c r="B848" i="52"/>
  <c r="B849" i="52"/>
  <c r="B850" i="52"/>
  <c r="B851" i="52"/>
  <c r="B852" i="52"/>
  <c r="B853" i="52"/>
  <c r="B854" i="52"/>
  <c r="B855" i="52"/>
  <c r="B856" i="52"/>
  <c r="B857" i="52"/>
  <c r="B858" i="52"/>
  <c r="B859" i="52"/>
  <c r="B860" i="52"/>
  <c r="B861" i="52"/>
  <c r="B862" i="52"/>
  <c r="B863" i="52"/>
  <c r="B864" i="52"/>
  <c r="B865" i="52"/>
  <c r="B866" i="52"/>
  <c r="B867" i="52"/>
  <c r="B868" i="52"/>
  <c r="B869" i="52"/>
  <c r="B870" i="52"/>
  <c r="B871" i="52"/>
  <c r="B872" i="52"/>
  <c r="B873" i="52"/>
  <c r="B874" i="52"/>
  <c r="B875" i="52"/>
  <c r="B876" i="52"/>
  <c r="B877" i="52"/>
  <c r="B878" i="52"/>
  <c r="B879" i="52"/>
  <c r="B880" i="52"/>
  <c r="B881" i="52"/>
  <c r="B882" i="52"/>
  <c r="B883" i="52"/>
  <c r="B884" i="52"/>
  <c r="B885" i="52"/>
  <c r="B886" i="52"/>
  <c r="B887" i="52"/>
  <c r="B888" i="52"/>
  <c r="B889" i="52"/>
  <c r="B890" i="52"/>
  <c r="B891" i="52"/>
  <c r="B892" i="52"/>
  <c r="B893" i="52"/>
  <c r="B894" i="52"/>
  <c r="B895" i="52"/>
  <c r="B896" i="52"/>
  <c r="B897" i="52"/>
  <c r="B898" i="52"/>
  <c r="B899" i="52"/>
  <c r="B900" i="52"/>
  <c r="B901" i="52"/>
  <c r="B902" i="52"/>
  <c r="B903" i="52"/>
  <c r="B904" i="52"/>
  <c r="B905" i="52"/>
  <c r="B906" i="52"/>
  <c r="B907" i="52"/>
  <c r="B908" i="52"/>
  <c r="B909" i="52"/>
  <c r="B910" i="52"/>
  <c r="B911" i="52"/>
  <c r="B912" i="52"/>
  <c r="B913" i="52"/>
  <c r="B914" i="52"/>
  <c r="B915" i="52"/>
  <c r="B916" i="52"/>
  <c r="B917" i="52"/>
  <c r="B918" i="52"/>
  <c r="B919" i="52"/>
  <c r="B920" i="52"/>
  <c r="B921" i="52"/>
  <c r="B922" i="52"/>
  <c r="B923" i="52"/>
  <c r="B924" i="52"/>
  <c r="B925" i="52"/>
  <c r="B926" i="52"/>
  <c r="B927" i="52"/>
  <c r="B928" i="52"/>
  <c r="B929" i="52"/>
  <c r="B930" i="52"/>
  <c r="B931" i="52"/>
  <c r="B932" i="52"/>
  <c r="B933" i="52"/>
  <c r="B934" i="52"/>
  <c r="B935" i="52"/>
  <c r="B936" i="52"/>
  <c r="B937" i="52"/>
  <c r="B938" i="52"/>
  <c r="B939" i="52"/>
  <c r="B940" i="52"/>
  <c r="B941" i="52"/>
  <c r="B942" i="52"/>
  <c r="B943" i="52"/>
  <c r="B944" i="52"/>
  <c r="B945" i="52"/>
  <c r="B946" i="52"/>
  <c r="B947" i="52"/>
  <c r="B948" i="52"/>
  <c r="B949" i="52"/>
  <c r="B950" i="52"/>
  <c r="B951" i="52"/>
  <c r="B952" i="52"/>
  <c r="B953" i="52"/>
  <c r="B954" i="52"/>
  <c r="B955" i="52"/>
  <c r="B956" i="52"/>
  <c r="B957" i="52"/>
  <c r="B958" i="52"/>
  <c r="B959" i="52"/>
  <c r="B960" i="52"/>
  <c r="B961" i="52"/>
  <c r="B962" i="52"/>
  <c r="B963" i="52"/>
  <c r="B964" i="52"/>
  <c r="B965" i="52"/>
  <c r="B966" i="52"/>
  <c r="B967" i="52"/>
  <c r="B968" i="52"/>
  <c r="B969" i="52"/>
  <c r="B970" i="52"/>
  <c r="B971" i="52"/>
  <c r="B972" i="52"/>
  <c r="B973" i="52"/>
  <c r="B974" i="52"/>
  <c r="B975" i="52"/>
  <c r="B976" i="52"/>
  <c r="B977" i="52"/>
  <c r="B978" i="52"/>
  <c r="B979" i="52"/>
  <c r="B980" i="52"/>
  <c r="B981" i="52"/>
  <c r="B982" i="52"/>
  <c r="B983" i="52"/>
  <c r="B984" i="52"/>
  <c r="B985" i="52"/>
  <c r="B986" i="52"/>
  <c r="B987" i="52"/>
  <c r="B988" i="52"/>
  <c r="B989" i="52"/>
  <c r="B990" i="52"/>
  <c r="B991" i="52"/>
  <c r="B992" i="52"/>
  <c r="B993" i="52"/>
  <c r="B994" i="52"/>
  <c r="B995" i="52"/>
  <c r="B996" i="52"/>
  <c r="B997" i="52"/>
  <c r="B998" i="52"/>
  <c r="B999" i="52"/>
  <c r="B1000" i="52"/>
  <c r="B1001" i="52"/>
  <c r="B1002" i="52"/>
  <c r="B1003" i="52"/>
  <c r="B1004" i="52"/>
  <c r="B1005" i="52"/>
  <c r="B1006" i="52"/>
  <c r="B1007" i="52"/>
  <c r="B1008" i="52"/>
  <c r="B1009" i="52"/>
  <c r="B1010" i="52"/>
  <c r="B1011" i="52"/>
  <c r="B1012" i="52"/>
  <c r="B1013" i="52"/>
  <c r="B1014" i="52"/>
  <c r="B1015" i="52"/>
  <c r="B1016" i="52"/>
  <c r="B1017" i="52"/>
  <c r="B1018" i="52"/>
  <c r="B1019" i="52"/>
  <c r="B1020" i="52"/>
  <c r="B1021" i="52"/>
  <c r="B1022" i="52"/>
  <c r="B1023" i="52"/>
  <c r="B1024" i="52"/>
  <c r="B1025" i="52"/>
  <c r="B1026" i="52"/>
  <c r="B1027" i="52"/>
  <c r="B1028" i="52"/>
  <c r="B1029" i="52"/>
  <c r="B1030" i="52"/>
  <c r="B1031" i="52"/>
  <c r="B1032" i="52"/>
  <c r="B1033" i="52"/>
  <c r="B1034" i="52"/>
  <c r="B1035" i="52"/>
  <c r="B1036" i="52"/>
  <c r="B1037" i="52"/>
  <c r="B1038" i="52"/>
  <c r="B1039" i="52"/>
  <c r="B1040" i="52"/>
  <c r="B1041" i="52"/>
  <c r="B1042" i="52"/>
  <c r="B1043" i="52"/>
  <c r="B1044" i="52"/>
  <c r="B1045" i="52"/>
  <c r="B1046" i="52"/>
  <c r="B1047" i="52"/>
  <c r="B1048" i="52"/>
  <c r="B1049" i="52"/>
  <c r="B1050" i="52"/>
  <c r="B1051" i="52"/>
  <c r="B1052" i="52"/>
  <c r="B1053" i="52"/>
  <c r="B1054" i="52"/>
  <c r="B1055" i="52"/>
  <c r="B1056" i="52"/>
  <c r="B1057" i="52"/>
  <c r="B1058" i="52"/>
  <c r="B1059" i="52"/>
  <c r="B1060" i="52"/>
  <c r="B1061" i="52"/>
  <c r="B1062" i="52"/>
  <c r="B1063" i="52"/>
  <c r="B1064" i="52"/>
  <c r="B1065" i="52"/>
  <c r="B1066" i="52"/>
  <c r="B1067" i="52"/>
  <c r="B1068" i="52"/>
  <c r="B1069" i="52"/>
  <c r="B1070" i="52"/>
  <c r="B1071" i="52"/>
  <c r="B1072" i="52"/>
  <c r="B1073" i="52"/>
  <c r="B1074" i="52"/>
  <c r="B1075" i="52"/>
  <c r="B1076" i="52"/>
  <c r="B1077" i="52"/>
  <c r="B1078" i="52"/>
  <c r="B1079" i="52"/>
  <c r="B1080" i="52"/>
  <c r="B1081" i="52"/>
  <c r="B1082" i="52"/>
  <c r="B1083" i="52"/>
  <c r="B1084" i="52"/>
  <c r="B1085" i="52"/>
  <c r="B1086" i="52"/>
  <c r="B1087" i="52"/>
  <c r="B1088" i="52"/>
  <c r="B1089" i="52"/>
  <c r="B1090" i="52"/>
  <c r="B1091" i="52"/>
  <c r="B1092" i="52"/>
  <c r="B1093" i="52"/>
  <c r="B1094" i="52"/>
  <c r="B1095" i="52"/>
  <c r="B1096" i="52"/>
  <c r="B1097" i="52"/>
  <c r="B1098" i="52"/>
  <c r="B1099" i="52"/>
  <c r="B1100" i="52"/>
  <c r="B1101" i="52"/>
  <c r="B1102" i="52"/>
  <c r="B1103" i="52"/>
  <c r="B1104" i="52"/>
  <c r="B1105" i="52"/>
  <c r="B1106" i="52"/>
  <c r="B1107" i="52"/>
  <c r="B1108" i="52"/>
  <c r="B1109" i="52"/>
  <c r="B1110" i="52"/>
  <c r="B1111" i="52"/>
  <c r="B1112" i="52"/>
  <c r="B1113" i="52"/>
  <c r="B1114" i="52"/>
  <c r="B1115" i="52"/>
  <c r="B1116" i="52"/>
  <c r="B1117" i="52"/>
  <c r="B1118" i="52"/>
  <c r="B1119" i="52"/>
  <c r="B1120" i="52"/>
  <c r="B1121" i="52"/>
  <c r="B1122" i="52"/>
  <c r="B1123" i="52"/>
  <c r="B1124" i="52"/>
  <c r="B1125" i="52"/>
  <c r="B1126" i="52"/>
  <c r="B1127" i="52"/>
  <c r="B1128" i="52"/>
  <c r="B1129" i="52"/>
  <c r="B1130" i="52"/>
  <c r="B1131" i="52"/>
  <c r="B1132" i="52"/>
  <c r="B1133" i="52"/>
  <c r="B1134" i="52"/>
  <c r="B1135" i="52"/>
  <c r="B1136" i="52"/>
  <c r="B1137" i="52"/>
  <c r="B1138" i="52"/>
  <c r="B1139" i="52"/>
  <c r="B1140" i="52"/>
  <c r="B1141" i="52"/>
  <c r="B1142" i="52"/>
  <c r="B1143" i="52"/>
  <c r="B1144" i="52"/>
  <c r="B1145" i="52"/>
  <c r="B1146" i="52"/>
  <c r="B1147" i="52"/>
  <c r="B1148" i="52"/>
  <c r="B1149" i="52"/>
  <c r="B1150" i="52"/>
  <c r="B1151" i="52"/>
  <c r="B1152" i="52"/>
  <c r="B1153" i="52"/>
  <c r="B1154" i="52"/>
  <c r="B1155" i="52"/>
  <c r="B1156" i="52"/>
  <c r="B1157" i="52"/>
  <c r="B1158" i="52"/>
  <c r="B1159" i="52"/>
  <c r="B1160" i="52"/>
  <c r="B1161" i="52"/>
  <c r="B1162" i="52"/>
  <c r="B1163" i="52"/>
  <c r="B1164" i="52"/>
  <c r="B1165" i="52"/>
  <c r="B1166" i="52"/>
  <c r="B1167" i="52"/>
  <c r="B1168" i="52"/>
  <c r="B1169" i="52"/>
  <c r="B1170" i="52"/>
  <c r="B1171" i="52"/>
  <c r="B1172" i="52"/>
  <c r="B1173" i="52"/>
  <c r="B1174" i="52"/>
  <c r="B1175" i="52"/>
  <c r="B1176" i="52"/>
  <c r="B1177" i="52"/>
  <c r="B1178" i="52"/>
  <c r="B1179" i="52"/>
  <c r="B1180" i="52"/>
  <c r="B1181" i="52"/>
  <c r="B1182" i="52"/>
  <c r="B1183" i="52"/>
  <c r="B1184" i="52"/>
  <c r="B1185" i="52"/>
  <c r="B1186" i="52"/>
  <c r="B1187" i="52"/>
  <c r="B1188" i="52"/>
  <c r="B1189" i="52"/>
  <c r="B1190" i="52"/>
  <c r="B1191" i="52"/>
  <c r="B1192" i="52"/>
  <c r="B1193" i="52"/>
  <c r="B1194" i="52"/>
  <c r="B1195" i="52"/>
  <c r="B1196" i="52"/>
  <c r="B1197" i="52"/>
  <c r="B1198" i="52"/>
  <c r="B1199" i="52"/>
  <c r="B1200" i="52"/>
  <c r="B1201" i="52"/>
  <c r="B1202" i="52"/>
  <c r="B1203" i="52"/>
  <c r="B1204" i="52"/>
  <c r="B1205" i="52"/>
  <c r="B1206" i="52"/>
  <c r="B1207" i="52"/>
  <c r="B1208" i="52"/>
  <c r="B1209" i="52"/>
  <c r="B1210" i="52"/>
  <c r="B1211" i="52"/>
  <c r="B1212" i="52"/>
  <c r="B1213" i="52"/>
  <c r="B1214" i="52"/>
  <c r="B1215" i="52"/>
  <c r="B1216" i="52"/>
  <c r="B1217" i="52"/>
  <c r="B1218" i="52"/>
  <c r="B1219" i="52"/>
  <c r="B1220" i="52"/>
  <c r="B1221" i="52"/>
  <c r="B1222" i="52"/>
  <c r="B1223" i="52"/>
  <c r="B1224" i="52"/>
  <c r="B1225" i="52"/>
  <c r="B1226" i="52"/>
  <c r="B1227" i="52"/>
  <c r="B1228" i="52"/>
  <c r="B1229" i="52"/>
  <c r="B1230" i="52"/>
  <c r="B1231" i="52"/>
  <c r="B1232" i="52"/>
  <c r="B1233" i="52"/>
  <c r="B1234" i="52"/>
  <c r="B1235" i="52"/>
  <c r="B1236" i="52"/>
  <c r="B1237" i="52"/>
  <c r="B1238" i="52"/>
  <c r="B1239" i="52"/>
  <c r="B1240" i="52"/>
  <c r="B1241" i="52"/>
  <c r="B1242" i="52"/>
  <c r="B1243" i="52"/>
  <c r="B1244" i="52"/>
  <c r="B1245" i="52"/>
  <c r="B1246" i="52"/>
  <c r="B1247" i="52"/>
  <c r="B1248" i="52"/>
  <c r="B1249" i="52"/>
  <c r="B1250" i="52"/>
  <c r="B1251" i="52"/>
  <c r="B1252" i="52"/>
  <c r="B1253" i="52"/>
  <c r="B1254" i="52"/>
  <c r="B1255" i="52"/>
  <c r="B1256" i="52"/>
  <c r="B1257" i="52"/>
  <c r="B1258" i="52"/>
  <c r="B1259" i="52"/>
  <c r="B1260" i="52"/>
  <c r="B1261" i="52"/>
  <c r="B1262" i="52"/>
  <c r="B1263" i="52"/>
  <c r="B1264" i="52"/>
  <c r="B1265" i="52"/>
  <c r="B1266" i="52"/>
  <c r="B1267" i="52"/>
  <c r="B1268" i="52"/>
  <c r="B1269" i="52"/>
  <c r="B1270" i="52"/>
  <c r="B1271" i="52"/>
  <c r="B1272" i="52"/>
  <c r="B1273" i="52"/>
  <c r="B1274" i="52"/>
  <c r="B1275" i="52"/>
  <c r="B1276" i="52"/>
  <c r="B1277" i="52"/>
  <c r="B1278" i="52"/>
  <c r="B1279" i="52"/>
  <c r="B1280" i="52"/>
  <c r="B1281" i="52"/>
  <c r="B1282" i="52"/>
  <c r="B1283" i="52"/>
  <c r="B1284" i="52"/>
  <c r="B1285" i="52"/>
  <c r="B1286" i="52"/>
  <c r="B1287" i="52"/>
  <c r="B1288" i="52"/>
  <c r="B1289" i="52"/>
  <c r="B1290" i="52"/>
  <c r="B1291" i="52"/>
  <c r="B1292" i="52"/>
  <c r="B1293" i="52"/>
  <c r="B1294" i="52"/>
  <c r="B1295" i="52"/>
  <c r="B1296" i="52"/>
  <c r="B1297" i="52"/>
  <c r="B1298" i="52"/>
  <c r="B1299" i="52"/>
  <c r="B1300" i="52"/>
  <c r="B1301" i="52"/>
  <c r="B1302" i="52"/>
  <c r="B1303" i="52"/>
  <c r="B1304" i="52"/>
  <c r="B1305" i="52"/>
  <c r="B1306" i="52"/>
  <c r="B1307" i="52"/>
  <c r="B1308" i="52"/>
  <c r="B1309" i="52"/>
  <c r="B1310" i="52"/>
  <c r="B1311" i="52"/>
  <c r="B1312" i="52"/>
  <c r="B1313" i="52"/>
  <c r="B1314" i="52"/>
  <c r="B1315" i="52"/>
  <c r="B1316" i="52"/>
  <c r="B1317" i="52"/>
  <c r="B1318" i="52"/>
  <c r="B1319" i="52"/>
  <c r="B1320" i="52"/>
  <c r="B1321" i="52"/>
  <c r="B1322" i="52"/>
  <c r="B1323" i="52"/>
  <c r="B1324" i="52"/>
  <c r="B1325" i="52"/>
  <c r="B1326" i="52"/>
  <c r="B1327" i="52"/>
  <c r="B1328" i="52"/>
  <c r="B1329" i="52"/>
  <c r="B1330" i="52"/>
  <c r="B1331" i="52"/>
  <c r="B1332" i="52"/>
  <c r="B1333" i="52"/>
  <c r="B1334" i="52"/>
  <c r="B1335" i="52"/>
  <c r="B1336" i="52"/>
  <c r="B1337" i="52"/>
  <c r="B1338" i="52"/>
  <c r="B1339" i="52"/>
  <c r="B1340" i="52"/>
  <c r="B1341" i="52"/>
  <c r="B1342" i="52"/>
  <c r="B1343" i="52"/>
  <c r="B1344" i="52"/>
  <c r="B1345" i="52"/>
  <c r="B1346" i="52"/>
  <c r="B1347" i="52"/>
  <c r="B1348" i="52"/>
  <c r="B1349" i="52"/>
  <c r="B1350" i="52"/>
  <c r="B1351" i="52"/>
  <c r="B1352" i="52"/>
  <c r="B1353" i="52"/>
  <c r="B1354" i="52"/>
  <c r="B1355" i="52"/>
  <c r="B1356" i="52"/>
  <c r="B1357" i="52"/>
  <c r="B1358" i="52"/>
  <c r="B1359" i="52"/>
  <c r="B1360" i="52"/>
  <c r="B1361" i="52"/>
  <c r="B1362" i="52"/>
  <c r="B1363" i="52"/>
  <c r="B1364" i="52"/>
  <c r="B1365" i="52"/>
  <c r="B1366" i="52"/>
  <c r="B1367" i="52"/>
  <c r="B1368" i="52"/>
  <c r="B1369" i="52"/>
  <c r="B1370" i="52"/>
  <c r="B1371" i="52"/>
  <c r="B1372" i="52"/>
  <c r="B1373" i="52"/>
  <c r="B1374" i="52"/>
  <c r="B1375" i="52"/>
  <c r="B1376" i="52"/>
  <c r="B1377" i="52"/>
  <c r="B1378" i="52"/>
  <c r="B1379" i="52"/>
  <c r="B1380" i="52"/>
  <c r="B1381" i="52"/>
  <c r="B1382" i="52"/>
  <c r="B1383" i="52"/>
  <c r="B1384" i="52"/>
  <c r="B1385" i="52"/>
  <c r="B1386" i="52"/>
  <c r="B1387" i="52"/>
  <c r="B1388" i="52"/>
  <c r="B1389" i="52"/>
  <c r="B1390" i="52"/>
  <c r="B1391" i="52"/>
  <c r="B1392" i="52"/>
  <c r="B1393" i="52"/>
  <c r="B1394" i="52"/>
  <c r="B1395" i="52"/>
  <c r="B1396" i="52"/>
  <c r="B1397" i="52"/>
  <c r="B1398" i="52"/>
  <c r="B1399" i="52"/>
  <c r="B1400" i="52"/>
  <c r="B1401" i="52"/>
  <c r="B1402" i="52"/>
  <c r="B1403" i="52"/>
  <c r="B1404" i="52"/>
  <c r="B1405" i="52"/>
  <c r="B1406" i="52"/>
  <c r="B1407" i="52"/>
  <c r="B1408" i="52"/>
  <c r="B1409" i="52"/>
  <c r="B1410" i="52"/>
  <c r="B1411" i="52"/>
  <c r="B1412" i="52"/>
  <c r="B1413" i="52"/>
  <c r="B1414" i="52"/>
  <c r="B1415" i="52"/>
  <c r="B1416" i="52"/>
  <c r="B1417" i="52"/>
  <c r="B1418" i="52"/>
  <c r="B1419" i="52"/>
  <c r="B1420" i="52"/>
  <c r="B1421" i="52"/>
  <c r="B1422" i="52"/>
  <c r="B1423" i="52"/>
  <c r="B1424" i="52"/>
  <c r="B1425" i="52"/>
  <c r="B1426" i="52"/>
  <c r="B1427" i="52"/>
  <c r="B1428" i="52"/>
  <c r="B1429" i="52"/>
  <c r="B1430" i="52"/>
  <c r="B1431" i="52"/>
  <c r="B1432" i="52"/>
  <c r="B1433" i="52"/>
  <c r="B1434" i="52"/>
  <c r="B1435" i="52"/>
  <c r="B1436" i="52"/>
  <c r="B1437" i="52"/>
  <c r="B1438" i="52"/>
  <c r="B1439" i="52"/>
  <c r="B1440" i="52"/>
  <c r="B1441" i="52"/>
  <c r="B1442" i="52"/>
  <c r="B1443" i="52"/>
  <c r="B1444" i="52"/>
  <c r="B1445" i="52"/>
  <c r="B1446" i="52"/>
  <c r="B1447" i="52"/>
  <c r="B1448" i="52"/>
  <c r="B1449" i="52"/>
  <c r="B1450" i="52"/>
  <c r="B1451" i="52"/>
  <c r="B1452" i="52"/>
  <c r="B1453" i="52"/>
  <c r="B1454" i="52"/>
  <c r="B1455" i="52"/>
  <c r="B1456" i="52"/>
  <c r="B1457" i="52"/>
  <c r="B1458" i="52"/>
  <c r="B1459" i="52"/>
  <c r="B1460" i="52"/>
  <c r="B1461" i="52"/>
  <c r="B1462" i="52"/>
  <c r="B1463" i="52"/>
  <c r="B1464" i="52"/>
  <c r="B1465" i="52"/>
  <c r="B1466" i="52"/>
  <c r="B1467" i="52"/>
  <c r="B1468" i="52"/>
  <c r="B1469" i="52"/>
  <c r="B1470" i="52"/>
  <c r="B1471" i="52"/>
  <c r="B1472" i="52"/>
  <c r="B1473" i="52"/>
  <c r="B1474" i="52"/>
  <c r="B1475" i="52"/>
  <c r="B1476" i="52"/>
  <c r="B1477" i="52"/>
  <c r="B1478" i="52"/>
  <c r="B1479" i="52"/>
  <c r="B1480" i="52"/>
  <c r="B1481" i="52"/>
  <c r="B1482" i="52"/>
  <c r="B1483" i="52"/>
  <c r="B1484" i="52"/>
  <c r="B1485" i="52"/>
  <c r="B1486" i="52"/>
  <c r="B1487" i="52"/>
  <c r="B1488" i="52"/>
  <c r="B1489" i="52"/>
  <c r="B1490" i="52"/>
  <c r="B1491" i="52"/>
  <c r="B1492" i="52"/>
  <c r="B1493" i="52"/>
  <c r="B1494" i="52"/>
  <c r="B1495" i="52"/>
  <c r="B1496" i="52"/>
  <c r="B1497" i="52"/>
  <c r="B1498" i="52"/>
  <c r="B1499" i="52"/>
  <c r="B1500" i="52"/>
  <c r="B1501" i="52"/>
  <c r="B1502" i="52"/>
  <c r="B1503" i="52"/>
  <c r="B1504" i="52"/>
  <c r="B1505" i="52"/>
  <c r="B1506" i="52"/>
  <c r="B1507" i="52"/>
  <c r="B1508" i="52"/>
  <c r="B1509" i="52"/>
  <c r="B1510" i="52"/>
  <c r="B1511" i="52"/>
  <c r="B1512" i="52"/>
  <c r="B1513" i="52"/>
  <c r="B1514" i="52"/>
  <c r="B1515" i="52"/>
  <c r="B1516" i="52"/>
  <c r="B1517" i="52"/>
  <c r="B1518" i="52"/>
  <c r="B1519" i="52"/>
  <c r="B1520" i="52"/>
  <c r="B1521" i="52"/>
  <c r="B1522" i="52"/>
  <c r="B1523" i="52"/>
  <c r="B1524" i="52"/>
  <c r="B1525" i="52"/>
  <c r="B1526" i="52"/>
  <c r="B1527" i="52"/>
  <c r="B1528" i="52"/>
  <c r="B1529" i="52"/>
  <c r="B1530" i="52"/>
  <c r="B1531" i="52"/>
  <c r="B1532" i="52"/>
  <c r="B1533" i="52"/>
  <c r="B1534" i="52"/>
  <c r="B1535" i="52"/>
  <c r="B1536" i="52"/>
  <c r="B1537" i="52"/>
  <c r="B1538" i="52"/>
  <c r="B1539" i="52"/>
  <c r="B1540" i="52"/>
  <c r="B1541" i="52"/>
  <c r="B1542" i="52"/>
  <c r="B1543" i="52"/>
  <c r="B1544" i="52"/>
  <c r="B1545" i="52"/>
  <c r="B1546" i="52"/>
  <c r="B1547" i="52"/>
  <c r="B1548" i="52"/>
  <c r="B1549" i="52"/>
  <c r="B1550" i="52"/>
  <c r="B1551" i="52"/>
  <c r="B1552" i="52"/>
  <c r="B1553" i="52"/>
  <c r="B1554" i="52"/>
  <c r="B1555" i="52"/>
  <c r="B1556" i="52"/>
  <c r="B1557" i="52"/>
  <c r="B1558" i="52"/>
  <c r="B1559" i="52"/>
  <c r="B1560" i="52"/>
  <c r="B1561" i="52"/>
  <c r="B1562" i="52"/>
  <c r="B1563" i="52"/>
  <c r="B1564" i="52"/>
  <c r="B1565" i="52"/>
  <c r="B1566" i="52"/>
  <c r="B1567" i="52"/>
  <c r="B1568" i="52"/>
  <c r="B1569" i="52"/>
  <c r="B1570" i="52"/>
  <c r="B1571" i="52"/>
  <c r="B1572" i="52"/>
  <c r="B1573" i="52"/>
  <c r="B1574" i="52"/>
  <c r="B1575" i="52"/>
  <c r="B1576" i="52"/>
  <c r="B1577" i="52"/>
  <c r="B1578" i="52"/>
  <c r="B1579" i="52"/>
  <c r="B1580" i="52"/>
  <c r="B1581" i="52"/>
  <c r="B1582" i="52"/>
  <c r="B1583" i="52"/>
  <c r="B1584" i="52"/>
  <c r="B1585" i="52"/>
  <c r="B1586" i="52"/>
  <c r="B1587" i="52"/>
  <c r="B1588" i="52"/>
  <c r="B1589" i="52"/>
  <c r="B1590" i="52"/>
  <c r="B1591" i="52"/>
  <c r="B1592" i="52"/>
  <c r="B1593" i="52"/>
  <c r="B1594" i="52"/>
  <c r="B1595" i="52"/>
  <c r="B1596" i="52"/>
  <c r="B1597" i="52"/>
  <c r="B1598" i="52"/>
  <c r="B1599" i="52"/>
  <c r="B1600" i="52"/>
  <c r="B1601" i="52"/>
  <c r="B1602" i="52"/>
  <c r="B1603" i="52"/>
  <c r="B1604" i="52"/>
  <c r="B1605" i="52"/>
  <c r="B1606" i="52"/>
  <c r="B1607" i="52"/>
  <c r="B1608" i="52"/>
  <c r="B1609" i="52"/>
  <c r="B1610" i="52"/>
  <c r="B1611" i="52"/>
  <c r="B1612" i="52"/>
  <c r="B1613" i="52"/>
  <c r="B1614" i="52"/>
  <c r="B1615" i="52"/>
  <c r="B1616" i="52"/>
  <c r="B1617" i="52"/>
  <c r="B1618" i="52"/>
  <c r="B1619" i="52"/>
  <c r="B1620" i="52"/>
  <c r="B1621" i="52"/>
  <c r="B1622" i="52"/>
  <c r="B1623" i="52"/>
  <c r="B1624" i="52"/>
  <c r="B1625" i="52"/>
  <c r="B1626" i="52"/>
  <c r="B1627" i="52"/>
  <c r="B1628" i="52"/>
  <c r="B1629" i="52"/>
  <c r="B1630" i="52"/>
  <c r="B1631" i="52"/>
  <c r="B1632" i="52"/>
  <c r="B1633" i="52"/>
  <c r="B1634" i="52"/>
  <c r="B1635" i="52"/>
  <c r="B1636" i="52"/>
  <c r="B1637" i="52"/>
  <c r="B1638" i="52"/>
  <c r="B1639" i="52"/>
  <c r="B1640" i="52"/>
  <c r="B1641" i="52"/>
  <c r="B1642" i="52"/>
  <c r="B1643" i="52"/>
  <c r="B1644" i="52"/>
  <c r="B1645" i="52"/>
  <c r="B1646" i="52"/>
  <c r="B1647" i="52"/>
  <c r="B1648" i="52"/>
  <c r="B1649" i="52"/>
  <c r="B1650" i="52"/>
  <c r="B1651" i="52"/>
  <c r="B1652" i="52"/>
  <c r="B1653" i="52"/>
  <c r="B1654" i="52"/>
  <c r="B1655" i="52"/>
  <c r="B1656" i="52"/>
  <c r="B1657" i="52"/>
  <c r="B1658" i="52"/>
  <c r="B1659" i="52"/>
  <c r="B1660" i="52"/>
  <c r="B1661" i="52"/>
  <c r="B1662" i="52"/>
  <c r="B1663" i="52"/>
  <c r="B1664" i="52"/>
  <c r="B1665" i="52"/>
  <c r="B1666" i="52"/>
  <c r="B1667" i="52"/>
  <c r="B1668" i="52"/>
  <c r="B1669" i="52"/>
  <c r="B1670" i="52"/>
  <c r="B1671" i="52"/>
  <c r="B1672" i="52"/>
  <c r="B1673" i="52"/>
  <c r="B1674" i="52"/>
  <c r="B1675" i="52"/>
  <c r="B1676" i="52"/>
  <c r="B1677" i="52"/>
  <c r="B1678" i="52"/>
  <c r="B1679" i="52"/>
  <c r="B1680" i="52"/>
  <c r="B1681" i="52"/>
  <c r="B1682" i="52"/>
  <c r="B1683" i="52"/>
  <c r="B1684" i="52"/>
  <c r="B1685" i="52"/>
  <c r="B1686" i="52"/>
  <c r="B1687" i="52"/>
  <c r="B1688" i="52"/>
  <c r="B1689" i="52"/>
  <c r="B1690" i="52"/>
  <c r="B1691" i="52"/>
  <c r="B1692" i="52"/>
  <c r="B1693" i="52"/>
  <c r="B1694" i="52"/>
  <c r="B1695" i="52"/>
  <c r="B1696" i="52"/>
  <c r="B1697" i="52"/>
  <c r="B1698" i="52"/>
  <c r="B1699" i="52"/>
  <c r="B1700" i="52"/>
  <c r="B1701" i="52"/>
  <c r="B1702" i="52"/>
  <c r="B1703" i="52"/>
  <c r="B1704" i="52"/>
  <c r="B1705" i="52"/>
  <c r="B1706" i="52"/>
  <c r="B1707" i="52"/>
  <c r="B1708" i="52"/>
  <c r="B1709" i="52"/>
  <c r="B1710" i="52"/>
  <c r="B1711" i="52"/>
  <c r="B1712" i="52"/>
  <c r="B1713" i="52"/>
  <c r="B1714" i="52"/>
  <c r="B1715" i="52"/>
  <c r="B1716" i="52"/>
  <c r="B1717" i="52"/>
  <c r="B1718" i="52"/>
  <c r="B1719" i="52"/>
  <c r="B1720" i="52"/>
  <c r="B1721" i="52"/>
  <c r="B1722" i="52"/>
  <c r="B1723" i="52"/>
  <c r="B1724" i="52"/>
  <c r="B1725" i="52"/>
  <c r="B1726" i="52"/>
  <c r="B1727" i="52"/>
  <c r="B1728" i="52"/>
  <c r="B1729" i="52"/>
  <c r="B1730" i="52"/>
  <c r="B1731" i="52"/>
  <c r="B1732" i="52"/>
  <c r="B1733" i="52"/>
  <c r="B1734" i="52"/>
  <c r="B1735" i="52"/>
  <c r="B1736" i="52"/>
  <c r="B1737" i="52"/>
  <c r="B1738" i="52"/>
  <c r="B1739" i="52"/>
  <c r="B1740" i="52"/>
  <c r="B1741" i="52"/>
  <c r="B1742" i="52"/>
  <c r="B1743" i="52"/>
  <c r="B1744" i="52"/>
  <c r="B1745" i="52"/>
  <c r="B1746" i="52"/>
  <c r="B1747" i="52"/>
  <c r="B1748" i="52"/>
  <c r="B1749" i="52"/>
  <c r="B1750" i="52"/>
  <c r="B1751" i="52"/>
  <c r="B1752" i="52"/>
  <c r="B1753" i="52"/>
  <c r="B1754" i="52"/>
  <c r="B1755" i="52"/>
  <c r="B1756" i="52"/>
  <c r="B1757" i="52"/>
  <c r="B1758" i="52"/>
  <c r="B1759" i="52"/>
  <c r="B1760" i="52"/>
  <c r="B1761" i="52"/>
  <c r="B1762" i="52"/>
  <c r="B1763" i="52"/>
  <c r="B1764" i="52"/>
  <c r="B1765" i="52"/>
  <c r="B1766" i="52"/>
  <c r="B1767" i="52"/>
  <c r="B1768" i="52"/>
  <c r="B1769" i="52"/>
  <c r="B1770" i="52"/>
  <c r="B1771" i="52"/>
  <c r="B1772" i="52"/>
  <c r="B1773" i="52"/>
  <c r="B1774" i="52"/>
  <c r="B1775" i="52"/>
  <c r="B1776" i="52"/>
  <c r="B1777" i="52"/>
  <c r="B1778" i="52"/>
  <c r="B1779" i="52"/>
  <c r="B1780" i="52"/>
  <c r="B1781" i="52"/>
  <c r="B1782" i="52"/>
  <c r="B1783" i="52"/>
  <c r="B1784" i="52"/>
  <c r="B1785" i="52"/>
  <c r="B1786" i="52"/>
  <c r="B1787" i="52"/>
  <c r="B1788" i="52"/>
  <c r="B1789" i="52"/>
  <c r="B1790" i="52"/>
  <c r="B1791" i="52"/>
  <c r="B1792" i="52"/>
  <c r="B1793" i="52"/>
  <c r="B1794" i="52"/>
  <c r="B1795" i="52"/>
  <c r="B1796" i="52"/>
  <c r="B1797" i="52"/>
  <c r="B1798" i="52"/>
  <c r="B1799" i="52"/>
  <c r="B1800" i="52"/>
  <c r="B1801" i="52"/>
  <c r="B1802" i="52"/>
  <c r="B1803" i="52"/>
  <c r="B1804" i="52"/>
  <c r="B1805" i="52"/>
  <c r="B1806" i="52"/>
  <c r="B1807" i="52"/>
  <c r="B1808" i="52"/>
  <c r="B1809" i="52"/>
  <c r="B1810" i="52"/>
  <c r="B1811" i="52"/>
  <c r="B1812" i="52"/>
  <c r="B1813" i="52"/>
  <c r="B1814" i="52"/>
  <c r="B1815" i="52"/>
  <c r="B1816" i="52"/>
  <c r="B1817" i="52"/>
  <c r="B1818" i="52"/>
  <c r="B1819" i="52"/>
  <c r="B1820" i="52"/>
  <c r="B1821" i="52"/>
  <c r="B1822" i="52"/>
  <c r="B1823" i="52"/>
  <c r="B1824" i="52"/>
  <c r="B1825" i="52"/>
  <c r="B1826" i="52"/>
  <c r="B1827" i="52"/>
  <c r="B1828" i="52"/>
  <c r="B1829" i="52"/>
  <c r="B1830" i="52"/>
  <c r="B1831" i="52"/>
  <c r="B1832" i="52"/>
  <c r="B1833" i="52"/>
  <c r="B1834" i="52"/>
  <c r="B1835" i="52"/>
  <c r="B1836" i="52"/>
  <c r="B1837" i="52"/>
  <c r="B1838" i="52"/>
  <c r="B1839" i="52"/>
  <c r="B1840" i="52"/>
  <c r="B1841" i="52"/>
  <c r="B1842" i="52"/>
  <c r="B1843" i="52"/>
  <c r="B1844" i="52"/>
  <c r="B1845" i="52"/>
  <c r="B1846" i="52"/>
  <c r="B1847" i="52"/>
  <c r="B1848" i="52"/>
  <c r="B1849" i="52"/>
  <c r="B1850" i="52"/>
  <c r="B1851" i="52"/>
  <c r="B1852" i="52"/>
  <c r="B1853" i="52"/>
  <c r="B1854" i="52"/>
  <c r="B1855" i="52"/>
  <c r="B1856" i="52"/>
  <c r="B1857" i="52"/>
  <c r="B1858" i="52"/>
  <c r="B1859" i="52"/>
  <c r="B1860" i="52"/>
  <c r="B1861" i="52"/>
  <c r="B1862" i="52"/>
  <c r="B1863" i="52"/>
  <c r="B1864" i="52"/>
  <c r="B1865" i="52"/>
  <c r="B1866" i="52"/>
  <c r="B1867" i="52"/>
  <c r="B1868" i="52"/>
  <c r="B1869" i="52"/>
  <c r="B1870" i="52"/>
  <c r="B1871" i="52"/>
  <c r="B1872" i="52"/>
  <c r="B1873" i="52"/>
  <c r="B1874" i="52"/>
  <c r="B1875" i="52"/>
  <c r="B1876" i="52"/>
  <c r="B1877" i="52"/>
  <c r="B1878" i="52"/>
  <c r="B1879" i="52"/>
  <c r="B1880" i="52"/>
  <c r="B1881" i="52"/>
  <c r="B1882" i="52"/>
  <c r="B1883" i="52"/>
  <c r="B1884" i="52"/>
  <c r="B1885" i="52"/>
  <c r="B1886" i="52"/>
  <c r="B1887" i="52"/>
  <c r="B1888" i="52"/>
  <c r="B1889" i="52"/>
  <c r="B1890" i="52"/>
  <c r="B1891" i="52"/>
  <c r="B1892" i="52"/>
  <c r="B1893" i="52"/>
  <c r="B1894" i="52"/>
  <c r="B1895" i="52"/>
  <c r="B1896" i="52"/>
  <c r="B1897" i="52"/>
  <c r="B1898" i="52"/>
  <c r="B1899" i="52"/>
  <c r="B1900" i="52"/>
  <c r="B1901" i="52"/>
  <c r="B1902" i="52"/>
  <c r="B1903" i="52"/>
  <c r="B1904" i="52"/>
  <c r="B1905" i="52"/>
  <c r="B1906" i="52"/>
  <c r="B1907" i="52"/>
  <c r="B1908" i="52"/>
  <c r="B1909" i="52"/>
  <c r="B1910" i="52"/>
  <c r="B1911" i="52"/>
  <c r="B1912" i="52"/>
  <c r="B1913" i="52"/>
  <c r="B1914" i="52"/>
  <c r="B1915" i="52"/>
  <c r="B1916" i="52"/>
  <c r="B1917" i="52"/>
  <c r="B1918" i="52"/>
  <c r="B1919" i="52"/>
  <c r="B1920" i="52"/>
  <c r="B1921" i="52"/>
  <c r="B1922" i="52"/>
  <c r="B1923" i="52"/>
  <c r="B1924" i="52"/>
  <c r="B1925" i="52"/>
  <c r="B1926" i="52"/>
  <c r="B1927" i="52"/>
  <c r="B1928" i="52"/>
  <c r="B1929" i="52"/>
  <c r="B1930" i="52"/>
  <c r="B1931" i="52"/>
  <c r="B1932" i="52"/>
  <c r="B1933" i="52"/>
  <c r="B1934" i="52"/>
  <c r="B1935" i="52"/>
  <c r="B1936" i="52"/>
  <c r="B1937" i="52"/>
  <c r="B1938" i="52"/>
  <c r="B1939" i="52"/>
  <c r="B1940" i="52"/>
  <c r="B1941" i="52"/>
  <c r="B1942" i="52"/>
  <c r="B1943" i="52"/>
  <c r="B1944" i="52"/>
  <c r="B1945" i="52"/>
  <c r="B1946" i="52"/>
  <c r="B1947" i="52"/>
  <c r="B1948" i="52"/>
  <c r="B1949" i="52"/>
  <c r="B1950" i="52"/>
  <c r="B1951" i="52"/>
  <c r="B1952" i="52"/>
  <c r="B1953" i="52"/>
  <c r="B1954" i="52"/>
  <c r="B1955" i="52"/>
  <c r="B1956" i="52"/>
  <c r="B1957" i="52"/>
  <c r="B1958" i="52"/>
  <c r="B1959" i="52"/>
  <c r="B1960" i="52"/>
  <c r="B1961" i="52"/>
  <c r="B1962" i="52"/>
  <c r="B1963" i="52"/>
  <c r="B1964" i="52"/>
  <c r="B1965" i="52"/>
  <c r="B1966" i="52"/>
  <c r="B1967" i="52"/>
  <c r="B1968" i="52"/>
  <c r="B1969" i="52"/>
  <c r="B1970" i="52"/>
  <c r="B1971" i="52"/>
  <c r="B1972" i="52"/>
  <c r="B1973" i="52"/>
  <c r="B1974" i="52"/>
  <c r="B1975" i="52"/>
  <c r="B1976" i="52"/>
  <c r="B1977" i="52"/>
  <c r="B1978" i="52"/>
  <c r="B1979" i="52"/>
  <c r="B1980" i="52"/>
  <c r="B1981" i="52"/>
  <c r="B1982" i="52"/>
  <c r="B1983" i="52"/>
  <c r="B1984" i="52"/>
  <c r="B1985" i="52"/>
  <c r="B1986" i="52"/>
  <c r="B1987" i="52"/>
  <c r="B1988" i="52"/>
  <c r="B1989" i="52"/>
  <c r="B1990" i="52"/>
  <c r="B1991" i="52"/>
  <c r="B1992" i="52"/>
  <c r="B1993" i="52"/>
  <c r="B1994" i="52"/>
  <c r="B1995" i="52"/>
  <c r="B1996" i="52"/>
  <c r="B1997" i="52"/>
  <c r="B1998" i="52"/>
  <c r="B1999" i="52"/>
  <c r="B2000" i="52"/>
  <c r="B2001" i="52"/>
  <c r="B2002" i="52"/>
  <c r="B2003" i="52"/>
  <c r="B2004" i="52"/>
  <c r="B2005" i="52"/>
  <c r="B2006" i="52"/>
  <c r="B2007" i="52"/>
  <c r="B2008" i="52"/>
  <c r="B2009" i="52"/>
  <c r="B2010" i="52"/>
  <c r="B2011" i="52"/>
  <c r="B2012" i="52"/>
  <c r="B2013" i="52"/>
  <c r="B2014" i="52"/>
  <c r="B2015" i="52"/>
  <c r="B2016" i="52"/>
  <c r="B2017" i="52"/>
  <c r="B2018" i="52"/>
  <c r="B2019" i="52"/>
  <c r="B2020" i="52"/>
  <c r="B2021" i="52"/>
  <c r="B2022" i="52"/>
  <c r="B2023" i="52"/>
  <c r="B2024" i="52"/>
  <c r="B2025" i="52"/>
  <c r="B2026" i="52"/>
  <c r="B2027" i="52"/>
  <c r="B2028" i="52"/>
  <c r="B2029" i="52"/>
  <c r="B2030" i="52"/>
  <c r="B2031" i="52"/>
  <c r="B2032" i="52"/>
  <c r="B2033" i="52"/>
  <c r="B2034" i="52"/>
  <c r="B2035" i="52"/>
  <c r="B2036" i="52"/>
  <c r="B2037" i="52"/>
  <c r="B2038" i="52"/>
  <c r="B2039" i="52"/>
  <c r="B2040" i="52"/>
  <c r="B2041" i="52"/>
  <c r="B2042" i="52"/>
  <c r="B2043" i="52"/>
  <c r="B2044" i="52"/>
  <c r="B2045" i="52"/>
  <c r="B2046" i="52"/>
  <c r="B2047" i="52"/>
  <c r="B2048" i="52"/>
  <c r="B2049" i="52"/>
  <c r="B2050" i="52"/>
  <c r="B2051" i="52"/>
  <c r="B2052" i="52"/>
  <c r="B2053" i="52"/>
  <c r="B2054" i="52"/>
  <c r="B2055" i="52"/>
  <c r="B2056" i="52"/>
  <c r="B2057" i="52"/>
  <c r="B2058" i="52"/>
  <c r="B2059" i="52"/>
  <c r="B2060" i="52"/>
  <c r="B2061" i="52"/>
  <c r="B2062" i="52"/>
  <c r="B2063" i="52"/>
  <c r="B2064" i="52"/>
  <c r="B2065" i="52"/>
  <c r="B2066" i="52"/>
  <c r="B2067" i="52"/>
  <c r="B2068" i="52"/>
  <c r="B2069" i="52"/>
  <c r="B2070" i="52"/>
  <c r="B2071" i="52"/>
  <c r="B2072" i="52"/>
  <c r="B2073" i="52"/>
  <c r="B2074" i="52"/>
  <c r="B2075" i="52"/>
  <c r="B2076" i="52"/>
  <c r="B2077" i="52"/>
  <c r="B2078" i="52"/>
  <c r="B2079" i="52"/>
  <c r="B2080" i="52"/>
  <c r="B2081" i="52"/>
  <c r="B2082" i="52"/>
  <c r="B2083" i="52"/>
  <c r="B2084" i="52"/>
  <c r="B2085" i="52"/>
  <c r="B2086" i="52"/>
  <c r="B2087" i="52"/>
  <c r="B2088" i="52"/>
  <c r="B2089" i="52"/>
  <c r="B2090" i="52"/>
  <c r="B2091" i="52"/>
  <c r="B2092" i="52"/>
  <c r="B2093" i="52"/>
  <c r="B2094" i="52"/>
  <c r="B2095" i="52"/>
  <c r="B2096" i="52"/>
  <c r="B2097" i="52"/>
  <c r="B2098" i="52"/>
  <c r="B2099" i="52"/>
  <c r="B2100" i="52"/>
  <c r="B2101" i="52"/>
  <c r="B2102" i="52"/>
  <c r="B2103" i="52"/>
  <c r="B2104" i="52"/>
  <c r="B2105" i="52"/>
  <c r="B2106" i="52"/>
  <c r="B2107" i="52"/>
  <c r="B2108" i="52"/>
  <c r="B2109" i="52"/>
  <c r="B2110" i="52"/>
  <c r="B2111" i="52"/>
  <c r="B2112" i="52"/>
  <c r="B2113" i="52"/>
  <c r="B2114" i="52"/>
  <c r="B2115" i="52"/>
  <c r="B2116" i="52"/>
  <c r="B2117" i="52"/>
  <c r="B2118" i="52"/>
  <c r="B2119" i="52"/>
  <c r="B2120" i="52"/>
  <c r="B2121" i="52"/>
  <c r="B2122" i="52"/>
  <c r="B2123" i="52"/>
  <c r="B2124" i="52"/>
  <c r="B2125" i="52"/>
  <c r="B2126" i="52"/>
  <c r="B2127" i="52"/>
  <c r="B2128" i="52"/>
  <c r="B2129" i="52"/>
  <c r="B2130" i="52"/>
  <c r="B2131" i="52"/>
  <c r="B2132" i="52"/>
  <c r="B2133" i="52"/>
  <c r="B2134" i="52"/>
  <c r="B2135" i="52"/>
  <c r="B2136" i="52"/>
  <c r="B2137" i="52"/>
  <c r="B2138" i="52"/>
  <c r="B2139" i="52"/>
  <c r="B2140" i="52"/>
  <c r="B2141" i="52"/>
  <c r="B2142" i="52"/>
  <c r="B2143" i="52"/>
  <c r="B2144" i="52"/>
  <c r="B2145" i="52"/>
  <c r="B2146" i="52"/>
  <c r="B2147" i="52"/>
  <c r="B2148" i="52"/>
  <c r="B2149" i="52"/>
  <c r="B2150" i="52"/>
  <c r="B2151" i="52"/>
  <c r="B2152" i="52"/>
  <c r="B2153" i="52"/>
  <c r="B2154" i="52"/>
  <c r="B2155" i="52"/>
  <c r="B2156" i="52"/>
  <c r="B2157" i="52"/>
  <c r="B2158" i="52"/>
  <c r="B2159" i="52"/>
  <c r="B2160" i="52"/>
  <c r="B2161" i="52"/>
  <c r="B2162" i="52"/>
  <c r="B2163" i="52"/>
  <c r="B2164" i="52"/>
  <c r="B2165" i="52"/>
  <c r="B2166" i="52"/>
  <c r="B2167" i="52"/>
  <c r="B2168" i="52"/>
  <c r="B2169" i="52"/>
  <c r="B2170" i="52"/>
  <c r="B2171" i="52"/>
  <c r="B2172" i="52"/>
  <c r="B2173" i="52"/>
  <c r="B2174" i="52"/>
  <c r="B2175" i="52"/>
  <c r="B2176" i="52"/>
  <c r="B2177" i="52"/>
  <c r="B2178" i="52"/>
  <c r="B2179" i="52"/>
  <c r="B2180" i="52"/>
  <c r="B2181" i="52"/>
  <c r="B2182" i="52"/>
  <c r="B2183" i="52"/>
  <c r="B2184" i="52"/>
  <c r="B2185" i="52"/>
  <c r="B2186" i="52"/>
  <c r="B2187" i="52"/>
  <c r="B2188" i="52"/>
  <c r="B2189" i="52"/>
  <c r="B2190" i="52"/>
  <c r="B2191" i="52"/>
  <c r="B2192" i="52"/>
  <c r="B2193" i="52"/>
  <c r="B2194" i="52"/>
  <c r="B2195" i="52"/>
  <c r="B2196" i="52"/>
  <c r="B2197" i="52"/>
  <c r="B2198" i="52"/>
  <c r="B2199" i="52"/>
  <c r="B2200" i="52"/>
  <c r="B2201" i="52"/>
  <c r="B2202" i="52"/>
  <c r="B2203" i="52"/>
  <c r="B2204" i="52"/>
  <c r="B2205" i="52"/>
  <c r="B2206" i="52"/>
  <c r="B2207" i="52"/>
  <c r="B2208" i="52"/>
  <c r="B2209" i="52"/>
  <c r="B2210" i="52"/>
  <c r="B2211" i="52"/>
  <c r="B2212" i="52"/>
  <c r="B2213" i="52"/>
  <c r="B2214" i="52"/>
  <c r="B2215" i="52"/>
  <c r="B2216" i="52"/>
  <c r="B2217" i="52"/>
  <c r="B2218" i="52"/>
  <c r="B2219" i="52"/>
  <c r="B2220" i="52"/>
  <c r="B2221" i="52"/>
  <c r="B2222" i="52"/>
  <c r="B2223" i="52"/>
  <c r="B2224" i="52"/>
  <c r="B2225" i="52"/>
  <c r="B2226" i="52"/>
  <c r="B2227" i="52"/>
  <c r="B2228" i="52"/>
  <c r="B2229" i="52"/>
  <c r="B2230" i="52"/>
  <c r="B2231" i="52"/>
  <c r="B2232" i="52"/>
  <c r="B2233" i="52"/>
  <c r="B2234" i="52"/>
  <c r="B2235" i="52"/>
  <c r="B2236" i="52"/>
  <c r="B2237" i="52"/>
  <c r="B2238" i="52"/>
  <c r="B2239" i="52"/>
  <c r="B2240" i="52"/>
  <c r="B2241" i="52"/>
  <c r="B2242" i="52"/>
  <c r="B2243" i="52"/>
  <c r="B2244" i="52"/>
  <c r="B2245" i="52"/>
  <c r="B2246" i="52"/>
  <c r="B2247" i="52"/>
  <c r="B2248" i="52"/>
  <c r="B2249" i="52"/>
  <c r="B2250" i="52"/>
  <c r="B2251" i="52"/>
  <c r="B2252" i="52"/>
  <c r="B2253" i="52"/>
  <c r="B2254" i="52"/>
  <c r="B2255" i="52"/>
  <c r="B2256" i="52"/>
  <c r="B2257" i="52"/>
  <c r="B2258" i="52"/>
  <c r="B2259" i="52"/>
  <c r="B2260" i="52"/>
  <c r="B2261" i="52"/>
  <c r="B2262" i="52"/>
  <c r="B2263" i="52"/>
  <c r="B2264" i="52"/>
  <c r="B2265" i="52"/>
  <c r="B2266" i="52"/>
  <c r="B2267" i="52"/>
  <c r="B2268" i="52"/>
  <c r="B2269" i="52"/>
  <c r="B2270" i="52"/>
  <c r="B2271" i="52"/>
  <c r="B2272" i="52"/>
  <c r="B2273" i="52"/>
  <c r="B2274" i="52"/>
  <c r="B2275" i="52"/>
  <c r="B2276" i="52"/>
  <c r="B2277" i="52"/>
  <c r="B2278" i="52"/>
  <c r="B2279" i="52"/>
  <c r="B2280" i="52"/>
  <c r="B2281" i="52"/>
  <c r="B2282" i="52"/>
  <c r="B2283" i="52"/>
  <c r="B2284" i="52"/>
  <c r="B2285" i="52"/>
  <c r="B2286" i="52"/>
  <c r="B2287" i="52"/>
  <c r="B2288" i="52"/>
  <c r="B2289" i="52"/>
  <c r="B2290" i="52"/>
  <c r="B2291" i="52"/>
  <c r="B2292" i="52"/>
  <c r="B2293" i="52"/>
  <c r="B2294" i="52"/>
  <c r="B2295" i="52"/>
  <c r="B2296" i="52"/>
  <c r="B2297" i="52"/>
  <c r="B2298" i="52"/>
  <c r="B2299" i="52"/>
  <c r="B2300" i="52"/>
  <c r="B2301" i="52"/>
  <c r="B2302" i="52"/>
  <c r="B2303" i="52"/>
  <c r="B2304" i="52"/>
  <c r="B2305" i="52"/>
  <c r="B2306" i="52"/>
  <c r="B2307" i="52"/>
  <c r="B2308" i="52"/>
  <c r="B2309" i="52"/>
  <c r="B2310" i="52"/>
  <c r="B2311" i="52"/>
  <c r="B2312" i="52"/>
  <c r="B2313" i="52"/>
  <c r="B2314" i="52"/>
  <c r="B2315" i="52"/>
  <c r="B2316" i="52"/>
  <c r="B2317" i="52"/>
  <c r="B2318" i="52"/>
  <c r="B2319" i="52"/>
  <c r="B2320" i="52"/>
  <c r="B2321" i="52"/>
  <c r="B2322" i="52"/>
  <c r="B2323" i="52"/>
  <c r="B2324" i="52"/>
  <c r="B2325" i="52"/>
  <c r="B2326" i="52"/>
  <c r="B2327" i="52"/>
  <c r="B2328" i="52"/>
  <c r="B2329" i="52"/>
  <c r="B2330" i="52"/>
  <c r="B2331" i="52"/>
  <c r="B2332" i="52"/>
  <c r="B2333" i="52"/>
  <c r="B2334" i="52"/>
  <c r="B2335" i="52"/>
  <c r="B2336" i="52"/>
  <c r="B2337" i="52"/>
  <c r="B2338" i="52"/>
  <c r="B2339" i="52"/>
  <c r="B2340" i="52"/>
  <c r="B2341" i="52"/>
  <c r="B2342" i="52"/>
  <c r="B2343" i="52"/>
  <c r="B2344" i="52"/>
  <c r="B2345" i="52"/>
  <c r="B2346" i="52"/>
  <c r="B2347" i="52"/>
  <c r="B2348" i="52"/>
  <c r="B2349" i="52"/>
  <c r="B2350" i="52"/>
  <c r="B2351" i="52"/>
  <c r="B2352" i="52"/>
  <c r="B2353" i="52"/>
  <c r="B2354" i="52"/>
  <c r="B2355" i="52"/>
  <c r="B2356" i="52"/>
  <c r="B2357" i="52"/>
  <c r="B2358" i="52"/>
  <c r="B2359" i="52"/>
  <c r="B2360" i="52"/>
  <c r="B2361" i="52"/>
  <c r="B2362" i="52"/>
  <c r="B2363" i="52"/>
  <c r="B2364" i="52"/>
  <c r="B2365" i="52"/>
  <c r="B2366" i="52"/>
  <c r="B2367" i="52"/>
  <c r="B2368" i="52"/>
  <c r="B2369" i="52"/>
  <c r="B2370" i="52"/>
  <c r="B2371" i="52"/>
  <c r="B2372" i="52"/>
  <c r="B2373" i="52"/>
  <c r="B2374" i="52"/>
  <c r="B2375" i="52"/>
  <c r="B2376" i="52"/>
  <c r="B2377" i="52"/>
  <c r="B2378" i="52"/>
  <c r="B2379" i="52"/>
  <c r="B2380" i="52"/>
  <c r="B2381" i="52"/>
  <c r="B2382" i="52"/>
  <c r="B2383" i="52"/>
  <c r="B2384" i="52"/>
  <c r="B2385" i="52"/>
  <c r="B2386" i="52"/>
  <c r="B2387" i="52"/>
  <c r="B2388" i="52"/>
  <c r="B2389" i="52"/>
  <c r="B2390" i="52"/>
  <c r="B2391" i="52"/>
  <c r="B2392" i="52"/>
  <c r="B2393" i="52"/>
  <c r="B2394" i="52"/>
  <c r="B2395" i="52"/>
  <c r="B2396" i="52"/>
  <c r="B2397" i="52"/>
  <c r="B2398" i="52"/>
  <c r="B2399" i="52"/>
  <c r="B2400" i="52"/>
  <c r="B2401" i="52"/>
  <c r="B2402" i="52"/>
  <c r="B2403" i="52"/>
  <c r="B2404" i="52"/>
  <c r="B2405" i="52"/>
  <c r="B2406" i="52"/>
  <c r="B2407" i="52"/>
  <c r="B2408" i="52"/>
  <c r="B2409" i="52"/>
  <c r="B2410" i="52"/>
  <c r="B2411" i="52"/>
  <c r="B2412" i="52"/>
  <c r="B2413" i="52"/>
  <c r="B2414" i="52"/>
  <c r="B2415" i="52"/>
  <c r="B2416" i="52"/>
  <c r="B2417" i="52"/>
  <c r="B2418" i="52"/>
  <c r="B2419" i="52"/>
  <c r="B2420" i="52"/>
  <c r="B2421" i="52"/>
  <c r="B2422" i="52"/>
  <c r="B2423" i="52"/>
  <c r="B2424" i="52"/>
  <c r="B2425" i="52"/>
  <c r="B2426" i="52"/>
  <c r="B2427" i="52"/>
  <c r="B2428" i="52"/>
  <c r="B2429" i="52"/>
  <c r="B2430" i="52"/>
  <c r="B2431" i="52"/>
  <c r="B2432" i="52"/>
  <c r="B2433" i="52"/>
  <c r="B2434" i="52"/>
  <c r="B2435" i="52"/>
  <c r="B2436" i="52"/>
  <c r="B2437" i="52"/>
  <c r="B2438" i="52"/>
  <c r="B2439" i="52"/>
  <c r="B2440" i="52"/>
  <c r="B2441" i="52"/>
  <c r="B2442" i="52"/>
  <c r="B2443" i="52"/>
  <c r="B2444" i="52"/>
  <c r="B2445" i="52"/>
  <c r="B2446" i="52"/>
  <c r="B2447" i="52"/>
  <c r="B2448" i="52"/>
  <c r="B2449" i="52"/>
  <c r="B2450" i="52"/>
  <c r="B2451" i="52"/>
  <c r="B2452" i="52"/>
  <c r="B2453" i="52"/>
  <c r="B2454" i="52"/>
  <c r="B2455" i="52"/>
  <c r="B2456" i="52"/>
  <c r="B2457" i="52"/>
  <c r="B2458" i="52"/>
  <c r="B2459" i="52"/>
  <c r="B2460" i="52"/>
  <c r="B2461" i="52"/>
  <c r="B2462" i="52"/>
  <c r="B2463" i="52"/>
  <c r="B2464" i="52"/>
  <c r="B2465" i="52"/>
  <c r="B2466" i="52"/>
  <c r="B2467" i="52"/>
  <c r="B2468" i="52"/>
  <c r="B2469" i="52"/>
  <c r="B2470" i="52"/>
  <c r="B2471" i="52"/>
  <c r="B2472" i="52"/>
  <c r="B2473" i="52"/>
  <c r="B2474" i="52"/>
  <c r="B2475" i="52"/>
  <c r="B2476" i="52"/>
  <c r="B2477" i="52"/>
  <c r="B2478" i="52"/>
  <c r="B2479" i="52"/>
  <c r="B2480" i="52"/>
  <c r="B2481" i="52"/>
  <c r="B2482" i="52"/>
  <c r="B2483" i="52"/>
  <c r="B2484" i="52"/>
  <c r="B2485" i="52"/>
  <c r="B2486" i="52"/>
  <c r="B2487" i="52"/>
  <c r="B2488" i="52"/>
  <c r="B2489" i="52"/>
  <c r="B2490" i="52"/>
  <c r="B2491" i="52"/>
  <c r="B2492" i="52"/>
  <c r="B2493" i="52"/>
  <c r="B2494" i="52"/>
  <c r="B2495" i="52"/>
  <c r="B2496" i="52"/>
  <c r="B2497" i="52"/>
  <c r="B2498" i="52"/>
  <c r="B2499" i="52"/>
  <c r="B2500" i="52"/>
  <c r="B2501" i="52"/>
  <c r="B2502" i="52"/>
  <c r="B2503" i="52"/>
  <c r="B2504" i="52"/>
  <c r="B2505" i="52"/>
  <c r="B2506" i="52"/>
  <c r="B2507" i="52"/>
  <c r="B2508" i="52"/>
  <c r="B2509" i="52"/>
  <c r="B2510" i="52"/>
  <c r="B2511" i="52"/>
  <c r="B2512" i="52"/>
  <c r="B2513" i="52"/>
  <c r="B2514" i="52"/>
  <c r="B2515" i="52"/>
  <c r="B2516" i="52"/>
  <c r="B2517" i="52"/>
  <c r="B2518" i="52"/>
  <c r="B2519" i="52"/>
  <c r="B2520" i="52"/>
  <c r="B2521" i="52"/>
  <c r="B2522" i="52"/>
  <c r="B2523" i="52"/>
  <c r="B2524" i="52"/>
  <c r="B2525" i="52"/>
  <c r="B2526" i="52"/>
  <c r="B2527" i="52"/>
  <c r="B2528" i="52"/>
  <c r="B2529" i="52"/>
  <c r="B2530" i="52"/>
  <c r="B2531" i="52"/>
  <c r="B2532" i="52"/>
  <c r="B2533" i="52"/>
  <c r="B2534" i="52"/>
  <c r="B2535" i="52"/>
  <c r="B2536" i="52"/>
  <c r="B2537" i="52"/>
  <c r="B2538" i="52"/>
  <c r="B2539" i="52"/>
  <c r="B2540" i="52"/>
  <c r="B2541" i="52"/>
  <c r="B2542" i="52"/>
  <c r="B2543" i="52"/>
  <c r="B2544" i="52"/>
  <c r="B2545" i="52"/>
  <c r="B2546" i="52"/>
  <c r="B2547" i="52"/>
  <c r="B2548" i="52"/>
  <c r="B2549" i="52"/>
  <c r="B2550" i="52"/>
  <c r="B2551" i="52"/>
  <c r="B2552" i="52"/>
  <c r="B2553" i="52"/>
  <c r="B2554" i="52"/>
  <c r="B2555" i="52"/>
  <c r="B2556" i="52"/>
  <c r="B2557" i="52"/>
  <c r="B2558" i="52"/>
  <c r="B2559" i="52"/>
  <c r="B2560" i="52"/>
  <c r="B2561" i="52"/>
  <c r="B2562" i="52"/>
  <c r="B2563" i="52"/>
  <c r="B2564" i="52"/>
  <c r="B2565" i="52"/>
  <c r="B2566" i="52"/>
  <c r="B2567" i="52"/>
  <c r="B2568" i="52"/>
  <c r="B2569" i="52"/>
  <c r="B2570" i="52"/>
  <c r="B2571" i="52"/>
  <c r="B2572" i="52"/>
  <c r="B2573" i="52"/>
  <c r="B2574" i="52"/>
  <c r="B2575" i="52"/>
  <c r="B2576" i="52"/>
  <c r="B2577" i="52"/>
  <c r="B2578" i="52"/>
  <c r="B2579" i="52"/>
  <c r="B2580" i="52"/>
  <c r="B2581" i="52"/>
  <c r="B2582" i="52"/>
  <c r="B2583" i="52"/>
  <c r="B2584" i="52"/>
  <c r="B2585" i="52"/>
  <c r="B2586" i="52"/>
  <c r="B2587" i="52"/>
  <c r="B2588" i="52"/>
  <c r="B2589" i="52"/>
  <c r="B2590" i="52"/>
  <c r="B2591" i="52"/>
  <c r="B2592" i="52"/>
  <c r="B2593" i="52"/>
  <c r="B2594" i="52"/>
  <c r="B2595" i="52"/>
  <c r="B2596" i="52"/>
  <c r="B2597" i="52"/>
  <c r="B2598" i="52"/>
  <c r="B2599" i="52"/>
  <c r="B2600" i="52"/>
  <c r="B2601" i="52"/>
  <c r="B2602" i="52"/>
  <c r="B2603" i="52"/>
  <c r="B2604" i="52"/>
  <c r="B2605" i="52"/>
  <c r="B2606" i="52"/>
  <c r="B2607" i="52"/>
  <c r="B2608" i="52"/>
  <c r="B2609" i="52"/>
  <c r="B2610" i="52"/>
  <c r="B2611" i="52"/>
  <c r="B2612" i="52"/>
  <c r="B2613" i="52"/>
  <c r="B2614" i="52"/>
  <c r="B2615" i="52"/>
  <c r="B2616" i="52"/>
  <c r="B2617" i="52"/>
  <c r="B2618" i="52"/>
  <c r="B2619" i="52"/>
  <c r="B2620" i="52"/>
  <c r="B2621" i="52"/>
  <c r="B2622" i="52"/>
  <c r="B2623" i="52"/>
  <c r="B2624" i="52"/>
  <c r="B2625" i="52"/>
  <c r="B2626" i="52"/>
  <c r="B2627" i="52"/>
  <c r="B2628" i="52"/>
  <c r="B2629" i="52"/>
  <c r="B2630" i="52"/>
  <c r="B2631" i="52"/>
  <c r="B2632" i="52"/>
  <c r="B2633" i="52"/>
  <c r="B2634" i="52"/>
  <c r="B2635" i="52"/>
  <c r="B2636" i="52"/>
  <c r="B2637" i="52"/>
  <c r="B2638" i="52"/>
  <c r="B2639" i="52"/>
  <c r="B2640" i="52"/>
  <c r="B2641" i="52"/>
  <c r="B2642" i="52"/>
  <c r="B2643" i="52"/>
  <c r="B2644" i="52"/>
  <c r="B2645" i="52"/>
  <c r="B2646" i="52"/>
  <c r="B2647" i="52"/>
  <c r="B2648" i="52"/>
  <c r="B2649" i="52"/>
  <c r="B2650" i="52"/>
  <c r="B2651" i="52"/>
  <c r="B2652" i="52"/>
  <c r="B2653" i="52"/>
  <c r="B2654" i="52"/>
  <c r="B2655" i="52"/>
  <c r="B2656" i="52"/>
  <c r="B2657" i="52"/>
  <c r="B2658" i="52"/>
  <c r="B2659" i="52"/>
  <c r="B2660" i="52"/>
  <c r="B2661" i="52"/>
  <c r="B2662" i="52"/>
  <c r="B2663" i="52"/>
  <c r="B2664" i="52"/>
  <c r="B2665" i="52"/>
  <c r="B2666" i="52"/>
  <c r="B2667" i="52"/>
  <c r="B2668" i="52"/>
  <c r="B2669" i="52"/>
  <c r="B2670" i="52"/>
  <c r="B2671" i="52"/>
  <c r="B2672" i="52"/>
  <c r="B2673" i="52"/>
  <c r="B2674" i="52"/>
  <c r="B2675" i="52"/>
  <c r="B2676" i="52"/>
  <c r="B2677" i="52"/>
  <c r="B2678" i="52"/>
  <c r="B2679" i="52"/>
  <c r="B2680" i="52"/>
  <c r="B2681" i="52"/>
  <c r="B2682" i="52"/>
  <c r="B2683" i="52"/>
  <c r="B2684" i="52"/>
  <c r="B2685" i="52"/>
  <c r="B2686" i="52"/>
  <c r="B2687" i="52"/>
  <c r="B2688" i="52"/>
  <c r="B2689" i="52"/>
  <c r="B2690" i="52"/>
  <c r="B2691" i="52"/>
  <c r="B2692" i="52"/>
  <c r="B2693" i="52"/>
  <c r="B2694" i="52"/>
  <c r="B2695" i="52"/>
  <c r="B2696" i="52"/>
  <c r="B2697" i="52"/>
  <c r="B2698" i="52"/>
  <c r="B2699" i="52"/>
  <c r="B2700" i="52"/>
  <c r="B2701" i="52"/>
  <c r="B2702" i="52"/>
  <c r="B2703" i="52"/>
  <c r="B2704" i="52"/>
  <c r="B2705" i="52"/>
  <c r="B2706" i="52"/>
  <c r="B2707" i="52"/>
  <c r="B2708" i="52"/>
  <c r="B2709" i="52"/>
  <c r="B2710" i="52"/>
  <c r="B2711" i="52"/>
  <c r="B2712" i="52"/>
  <c r="B2713" i="52"/>
  <c r="B2714" i="52"/>
  <c r="B2715" i="52"/>
  <c r="B2716" i="52"/>
  <c r="B2717" i="52"/>
  <c r="B2718" i="52"/>
  <c r="B2719" i="52"/>
  <c r="B2720" i="52"/>
  <c r="B2721" i="52"/>
  <c r="B2722" i="52"/>
  <c r="B2723" i="52"/>
  <c r="B2724" i="52"/>
  <c r="B2725" i="52"/>
  <c r="B2726" i="52"/>
  <c r="B2727" i="52"/>
  <c r="B2728" i="52"/>
  <c r="B2729" i="52"/>
  <c r="B2730" i="52"/>
  <c r="B2731" i="52"/>
  <c r="B2732" i="52"/>
  <c r="B2733" i="52"/>
  <c r="B2734" i="52"/>
  <c r="B2735" i="52"/>
  <c r="B2736" i="52"/>
  <c r="B2737" i="52"/>
  <c r="B2738" i="52"/>
  <c r="B2739" i="52"/>
  <c r="B2740" i="52"/>
  <c r="B2741" i="52"/>
  <c r="B2742" i="52"/>
  <c r="B2743" i="52"/>
  <c r="B2744" i="52"/>
  <c r="B2745" i="52"/>
  <c r="B2746" i="52"/>
  <c r="B2747" i="52"/>
  <c r="B2748" i="52"/>
  <c r="B2749" i="52"/>
  <c r="B2750" i="52"/>
  <c r="B2751" i="52"/>
  <c r="B2752" i="52"/>
  <c r="B2753" i="52"/>
  <c r="B2754" i="52"/>
  <c r="B2755" i="52"/>
  <c r="B2756" i="52"/>
  <c r="B2757" i="52"/>
  <c r="B2758" i="52"/>
  <c r="B2759" i="52"/>
  <c r="B2760" i="52"/>
  <c r="B2761" i="52"/>
  <c r="B2762" i="52"/>
  <c r="B2763" i="52"/>
  <c r="B2764" i="52"/>
  <c r="B2765" i="52"/>
  <c r="B2766" i="52"/>
  <c r="B2767" i="52"/>
  <c r="B2768" i="52"/>
  <c r="B2769" i="52"/>
  <c r="B2770" i="52"/>
  <c r="B2771" i="52"/>
  <c r="B2772" i="52"/>
  <c r="B2773" i="52"/>
  <c r="B2774" i="52"/>
  <c r="B2775" i="52"/>
  <c r="B2776" i="52"/>
  <c r="B2777" i="52"/>
  <c r="B2778" i="52"/>
  <c r="B2779" i="52"/>
  <c r="B2780" i="52"/>
  <c r="B2781" i="52"/>
  <c r="B2782" i="52"/>
  <c r="B2783" i="52"/>
  <c r="B2784" i="52"/>
  <c r="B2785" i="52"/>
  <c r="B2786" i="52"/>
  <c r="B2787" i="52"/>
  <c r="B2788" i="52"/>
  <c r="B2789" i="52"/>
  <c r="B2790" i="52"/>
  <c r="B2791" i="52"/>
  <c r="B2792" i="52"/>
  <c r="B2793" i="52"/>
  <c r="B2794" i="52"/>
  <c r="B2795" i="52"/>
  <c r="B2796" i="52"/>
  <c r="B2797" i="52"/>
  <c r="B2798" i="52"/>
  <c r="B2799" i="52"/>
  <c r="B2800" i="52"/>
  <c r="B2801" i="52"/>
  <c r="B2802" i="52"/>
  <c r="B2803" i="52"/>
  <c r="B2804" i="52"/>
  <c r="B2805" i="52"/>
  <c r="B2806" i="52"/>
  <c r="B2807" i="52"/>
  <c r="B2808" i="52"/>
  <c r="B2809" i="52"/>
  <c r="B2810" i="52"/>
  <c r="B2811" i="52"/>
  <c r="B2812" i="52"/>
  <c r="B2813" i="52"/>
  <c r="B2814" i="52"/>
  <c r="B2815" i="52"/>
  <c r="B2816" i="52"/>
  <c r="B2817" i="52"/>
  <c r="B2818" i="52"/>
  <c r="B2819" i="52"/>
  <c r="B2820" i="52"/>
  <c r="B2821" i="52"/>
  <c r="B2822" i="52"/>
  <c r="B2823" i="52"/>
  <c r="B2824" i="52"/>
  <c r="B2825" i="52"/>
  <c r="B2826" i="52"/>
  <c r="B2827" i="52"/>
  <c r="B2828" i="52"/>
  <c r="B2829" i="52"/>
  <c r="B2830" i="52"/>
  <c r="B2831" i="52"/>
  <c r="B2832" i="52"/>
  <c r="B2833" i="52"/>
  <c r="B2834" i="52"/>
  <c r="B2835" i="52"/>
  <c r="B2836" i="52"/>
  <c r="B2837" i="52"/>
  <c r="B2838" i="52"/>
  <c r="B2839" i="52"/>
  <c r="B2840" i="52"/>
  <c r="B2841" i="52"/>
  <c r="B2842" i="52"/>
  <c r="B2843" i="52"/>
  <c r="B2844" i="52"/>
  <c r="B2845" i="52"/>
  <c r="B2846" i="52"/>
  <c r="B2847" i="52"/>
  <c r="B2848" i="52"/>
  <c r="B2849" i="52"/>
  <c r="B2850" i="52"/>
  <c r="B2851" i="52"/>
  <c r="B2852" i="52"/>
  <c r="B2853" i="52"/>
  <c r="B2854" i="52"/>
  <c r="B2855" i="52"/>
  <c r="B2856" i="52"/>
  <c r="B2857" i="52"/>
  <c r="B2858" i="52"/>
  <c r="B2859" i="52"/>
  <c r="B2860" i="52"/>
  <c r="B2861" i="52"/>
  <c r="B2862" i="52"/>
  <c r="B2863" i="52"/>
  <c r="B2864" i="52"/>
  <c r="B2865" i="52"/>
  <c r="B2866" i="52"/>
  <c r="B2867" i="52"/>
  <c r="B2868" i="52"/>
  <c r="B2869" i="52"/>
  <c r="B2870" i="52"/>
  <c r="B2871" i="52"/>
  <c r="B2872" i="52"/>
  <c r="B2873" i="52"/>
  <c r="B2874" i="52"/>
  <c r="B2875" i="52"/>
  <c r="B2876" i="52"/>
  <c r="B2877" i="52"/>
  <c r="B2878" i="52"/>
  <c r="B2879" i="52"/>
  <c r="B2880" i="52"/>
  <c r="B2881" i="52"/>
  <c r="B2882" i="52"/>
  <c r="B2883" i="52"/>
  <c r="B2884" i="52"/>
  <c r="B2885" i="52"/>
  <c r="B2886" i="52"/>
  <c r="B2887" i="52"/>
  <c r="B2888" i="52"/>
  <c r="B2889" i="52"/>
  <c r="B2890" i="52"/>
  <c r="B2891" i="52"/>
  <c r="B2892" i="52"/>
  <c r="B2893" i="52"/>
  <c r="B2894" i="52"/>
  <c r="B2895" i="52"/>
  <c r="B2896" i="52"/>
  <c r="B2897" i="52"/>
  <c r="B2898" i="52"/>
  <c r="B2899" i="52"/>
  <c r="B2900" i="52"/>
  <c r="B2901" i="52"/>
  <c r="B2902" i="52"/>
  <c r="B2903" i="52"/>
  <c r="B2904" i="52"/>
  <c r="B2905" i="52"/>
  <c r="B2906" i="52"/>
  <c r="B2907" i="52"/>
  <c r="B2908" i="52"/>
  <c r="B2909" i="52"/>
  <c r="B2910" i="52"/>
  <c r="B2911" i="52"/>
  <c r="B2912" i="52"/>
  <c r="B2913" i="52"/>
  <c r="B2914" i="52"/>
  <c r="B2915" i="52"/>
  <c r="B2916" i="52"/>
  <c r="B2917" i="52"/>
  <c r="B2918" i="52"/>
  <c r="B2919" i="52"/>
  <c r="B2920" i="52"/>
  <c r="B2921" i="52"/>
  <c r="B2922" i="52"/>
  <c r="B2923" i="52"/>
  <c r="B2924" i="52"/>
  <c r="B2925" i="52"/>
  <c r="B2926" i="52"/>
  <c r="B2927" i="52"/>
  <c r="B2928" i="52"/>
  <c r="B2929" i="52"/>
  <c r="B2930" i="52"/>
  <c r="B2931" i="52"/>
  <c r="B2932" i="52"/>
  <c r="B2933" i="52"/>
  <c r="B2934" i="52"/>
  <c r="B2935" i="52"/>
  <c r="B2936" i="52"/>
  <c r="B2937" i="52"/>
  <c r="B2938" i="52"/>
  <c r="B2939" i="52"/>
  <c r="B2940" i="52"/>
  <c r="B2941" i="52"/>
  <c r="B2942" i="52"/>
  <c r="B2943" i="52"/>
  <c r="B2944" i="52"/>
  <c r="B2945" i="52"/>
  <c r="B2946" i="52"/>
  <c r="B2947" i="52"/>
  <c r="B2948" i="52"/>
  <c r="B2949" i="52"/>
  <c r="B2950" i="52"/>
  <c r="B2951" i="52"/>
  <c r="B2952" i="52"/>
  <c r="B2953" i="52"/>
  <c r="B2954" i="52"/>
  <c r="B2955" i="52"/>
  <c r="B2956" i="52"/>
  <c r="B2957" i="52"/>
  <c r="B2958" i="52"/>
  <c r="B2959" i="52"/>
  <c r="B2960" i="52"/>
  <c r="B2961" i="52"/>
  <c r="B2962" i="52"/>
  <c r="B2963" i="52"/>
  <c r="B2964" i="52"/>
  <c r="B2965" i="52"/>
  <c r="B2966" i="52"/>
  <c r="B2967" i="52"/>
  <c r="B2968" i="52"/>
  <c r="B2969" i="52"/>
  <c r="B2970" i="52"/>
  <c r="B2971" i="52"/>
  <c r="B2972" i="52"/>
  <c r="B2973" i="52"/>
  <c r="B2974" i="52"/>
  <c r="B2975" i="52"/>
  <c r="B2976" i="52"/>
  <c r="B2977" i="52"/>
  <c r="B2978" i="52"/>
  <c r="B2979" i="52"/>
  <c r="B2980" i="52"/>
  <c r="B2981" i="52"/>
  <c r="B2982" i="52"/>
  <c r="B2983" i="52"/>
  <c r="B2984" i="52"/>
  <c r="B2985" i="52"/>
  <c r="B2986" i="52"/>
  <c r="B2987" i="52"/>
  <c r="B2988" i="52"/>
  <c r="B2989" i="52"/>
  <c r="B2990" i="52"/>
  <c r="B2991" i="52"/>
  <c r="B2992" i="52"/>
  <c r="B2993" i="52"/>
  <c r="B2994" i="52"/>
  <c r="B2995" i="52"/>
  <c r="B2996" i="52"/>
  <c r="B2997" i="52"/>
  <c r="B2998" i="52"/>
  <c r="B2999" i="52"/>
  <c r="B3000" i="52"/>
  <c r="B3001" i="52"/>
  <c r="B3002" i="52"/>
  <c r="B3003" i="52"/>
  <c r="B3004" i="52"/>
  <c r="B3005" i="52"/>
  <c r="B3006" i="52"/>
  <c r="B3007" i="52"/>
  <c r="B3008" i="52"/>
  <c r="B3009" i="52"/>
  <c r="B3010" i="52"/>
  <c r="B3011" i="52"/>
  <c r="B3012" i="52"/>
  <c r="B3013" i="52"/>
  <c r="B3014" i="52"/>
  <c r="B3015" i="52"/>
  <c r="B3016" i="52"/>
  <c r="B3017" i="52"/>
  <c r="B3018" i="52"/>
  <c r="B3019" i="52"/>
  <c r="B3020" i="52"/>
  <c r="B3021" i="52"/>
  <c r="B3022" i="52"/>
  <c r="B3023" i="52"/>
  <c r="B3024" i="52"/>
  <c r="B3025" i="52"/>
  <c r="B3026" i="52"/>
  <c r="B3027" i="52"/>
  <c r="B3028" i="52"/>
  <c r="B3029" i="52"/>
  <c r="B3030" i="52"/>
  <c r="B3031" i="52"/>
  <c r="B3032" i="52"/>
  <c r="B3033" i="52"/>
  <c r="B3034" i="52"/>
  <c r="B3035" i="52"/>
  <c r="B3036" i="52"/>
  <c r="B3037" i="52"/>
  <c r="B3038" i="52"/>
  <c r="B3039" i="52"/>
  <c r="B3040" i="52"/>
  <c r="B3041" i="52"/>
  <c r="B3042" i="52"/>
  <c r="B3043" i="52"/>
  <c r="B3044" i="52"/>
  <c r="B3045" i="52"/>
  <c r="B3046" i="52"/>
  <c r="B3047" i="52"/>
  <c r="B3048" i="52"/>
  <c r="B3049" i="52"/>
  <c r="B3050" i="52"/>
  <c r="B3051" i="52"/>
  <c r="B3052" i="52"/>
  <c r="B3053" i="52"/>
  <c r="B3054" i="52"/>
  <c r="B3055" i="52"/>
  <c r="B3056" i="52"/>
  <c r="B3057" i="52"/>
  <c r="B3058" i="52"/>
  <c r="B3059" i="52"/>
  <c r="B3060" i="52"/>
  <c r="B3061" i="52"/>
  <c r="B3062" i="52"/>
  <c r="B3063" i="52"/>
  <c r="B3064" i="52"/>
  <c r="B3065" i="52"/>
  <c r="B3066" i="52"/>
  <c r="B3067" i="52"/>
  <c r="B3068" i="52"/>
  <c r="B3069" i="52"/>
  <c r="B3070" i="52"/>
  <c r="B3071" i="52"/>
  <c r="B3072" i="52"/>
  <c r="B3073" i="52"/>
  <c r="B3074" i="52"/>
  <c r="B3075" i="52"/>
  <c r="B3076" i="52"/>
  <c r="B3077" i="52"/>
  <c r="B3078" i="52"/>
  <c r="B3079" i="52"/>
  <c r="B3080" i="52"/>
  <c r="B3081" i="52"/>
  <c r="B3082" i="52"/>
  <c r="B3083" i="52"/>
  <c r="B3084" i="52"/>
  <c r="B3085" i="52"/>
  <c r="B3086" i="52"/>
  <c r="B3087" i="52"/>
  <c r="B3088" i="52"/>
  <c r="B3089" i="52"/>
  <c r="B3090" i="52"/>
  <c r="B3091" i="52"/>
  <c r="B3092" i="52"/>
  <c r="B3093" i="52"/>
  <c r="B3094" i="52"/>
  <c r="B3095" i="52"/>
  <c r="B3096" i="52"/>
  <c r="B3097" i="52"/>
  <c r="B3098" i="52"/>
  <c r="B3099" i="52"/>
  <c r="B3100" i="52"/>
  <c r="B3101" i="52"/>
  <c r="B3102" i="52"/>
  <c r="B3103" i="52"/>
  <c r="B3104" i="52"/>
  <c r="B3105" i="52"/>
  <c r="B3106" i="52"/>
  <c r="B3107" i="52"/>
  <c r="B3108" i="52"/>
  <c r="B3109" i="52"/>
  <c r="B3110" i="52"/>
  <c r="B3111" i="52"/>
  <c r="B3112" i="52"/>
  <c r="B3113" i="52"/>
  <c r="B3114" i="52"/>
  <c r="B3115" i="52"/>
  <c r="B3116" i="52"/>
  <c r="B3117" i="52"/>
  <c r="B3118" i="52"/>
  <c r="B3119" i="52"/>
  <c r="B3120" i="52"/>
  <c r="B3121" i="52"/>
  <c r="B3122" i="52"/>
  <c r="B3123" i="52"/>
  <c r="B3124" i="52"/>
  <c r="B3125" i="52"/>
  <c r="B3126" i="52"/>
  <c r="B3127" i="52"/>
  <c r="B3128" i="52"/>
  <c r="B3129" i="52"/>
  <c r="B3130" i="52"/>
  <c r="B3131" i="52"/>
  <c r="B3132" i="52"/>
  <c r="B3133" i="52"/>
  <c r="B3134" i="52"/>
  <c r="B3135" i="52"/>
  <c r="B3136" i="52"/>
  <c r="B3137" i="52"/>
  <c r="B3138" i="52"/>
  <c r="B3139" i="52"/>
  <c r="B3140" i="52"/>
  <c r="B3141" i="52"/>
  <c r="B3142" i="52"/>
  <c r="B3143" i="52"/>
  <c r="B3144" i="52"/>
  <c r="B3145" i="52"/>
  <c r="B3146" i="52"/>
  <c r="B3147" i="52"/>
  <c r="B3148" i="52"/>
  <c r="B3149" i="52"/>
  <c r="B3150" i="52"/>
  <c r="B3151" i="52"/>
  <c r="B3152" i="52"/>
  <c r="B3153" i="52"/>
  <c r="B3154" i="52"/>
  <c r="B3155" i="52"/>
  <c r="B3156" i="52"/>
  <c r="B3157" i="52"/>
  <c r="B3158" i="52"/>
  <c r="B3159" i="52"/>
  <c r="B3160" i="52"/>
  <c r="B3161" i="52"/>
  <c r="B3162" i="52"/>
  <c r="B3163" i="52"/>
  <c r="B3164" i="52"/>
  <c r="B3165" i="52"/>
  <c r="B3166" i="52"/>
  <c r="B3167" i="52"/>
  <c r="B3168" i="52"/>
  <c r="B3169" i="52"/>
  <c r="B3170" i="52"/>
  <c r="B3171" i="52"/>
  <c r="B3172" i="52"/>
  <c r="B3173" i="52"/>
  <c r="B3174" i="52"/>
  <c r="B3175" i="52"/>
  <c r="B3176" i="52"/>
  <c r="B3177" i="52"/>
  <c r="B3178" i="52"/>
  <c r="B3179" i="52"/>
  <c r="B3180" i="52"/>
  <c r="B3181" i="52"/>
  <c r="B3182" i="52"/>
  <c r="B3183" i="52"/>
  <c r="B3184" i="52"/>
  <c r="B3185" i="52"/>
  <c r="B3186" i="52"/>
  <c r="B3187" i="52"/>
  <c r="B3188" i="52"/>
  <c r="B3189" i="52"/>
  <c r="B3190" i="52"/>
  <c r="B3191" i="52"/>
  <c r="B3192" i="52"/>
  <c r="B3193" i="52"/>
  <c r="B3194" i="52"/>
  <c r="B3195" i="52"/>
  <c r="B3196" i="52"/>
  <c r="B3197" i="52"/>
  <c r="B3198" i="52"/>
  <c r="B3199" i="52"/>
  <c r="B3200" i="52"/>
  <c r="B3201" i="52"/>
  <c r="B3202" i="52"/>
  <c r="B3203" i="52"/>
  <c r="B3204" i="52"/>
  <c r="B3205" i="52"/>
  <c r="B3206" i="52"/>
  <c r="B3207" i="52"/>
  <c r="B3208" i="52"/>
  <c r="B3209" i="52"/>
  <c r="B3210" i="52"/>
  <c r="B3211" i="52"/>
  <c r="B3212" i="52"/>
  <c r="B3213" i="52"/>
  <c r="B3214" i="52"/>
  <c r="B3215" i="52"/>
  <c r="B3216" i="52"/>
  <c r="B3217" i="52"/>
  <c r="B3218" i="52"/>
  <c r="B3219" i="52"/>
  <c r="B3220" i="52"/>
  <c r="B3221" i="52"/>
  <c r="B3222" i="52"/>
  <c r="B3223" i="52"/>
  <c r="B3224" i="52"/>
  <c r="B3225" i="52"/>
  <c r="B3226" i="52"/>
  <c r="B3227" i="52"/>
  <c r="B3228" i="52"/>
  <c r="B3229" i="52"/>
  <c r="B3230" i="52"/>
  <c r="B3231" i="52"/>
  <c r="B3232" i="52"/>
  <c r="B3233" i="52"/>
  <c r="B3234" i="52"/>
  <c r="B3235" i="52"/>
  <c r="B3236" i="52"/>
  <c r="B3237" i="52"/>
  <c r="B3238" i="52"/>
  <c r="B3239" i="52"/>
  <c r="B3240" i="52"/>
  <c r="B3241" i="52"/>
  <c r="B3242" i="52"/>
  <c r="B3243" i="52"/>
  <c r="B3244" i="52"/>
  <c r="B3245" i="52"/>
  <c r="B3246" i="52"/>
  <c r="B3247" i="52"/>
  <c r="B3248" i="52"/>
  <c r="B3249" i="52"/>
  <c r="B3250" i="52"/>
  <c r="B3251" i="52"/>
  <c r="B3252" i="52"/>
  <c r="B3253" i="52"/>
  <c r="B3254" i="52"/>
  <c r="B3255" i="52"/>
  <c r="B3256" i="52"/>
  <c r="B3257" i="52"/>
  <c r="B3258" i="52"/>
  <c r="B3259" i="52"/>
  <c r="B3260" i="52"/>
  <c r="B3261" i="52"/>
  <c r="B3262" i="52"/>
  <c r="B3263" i="52"/>
  <c r="B3264" i="52"/>
  <c r="B3265" i="52"/>
  <c r="B3266" i="52"/>
  <c r="B3267" i="52"/>
  <c r="B3268" i="52"/>
  <c r="B3269" i="52"/>
  <c r="B3270" i="52"/>
  <c r="B3271" i="52"/>
  <c r="B3272" i="52"/>
  <c r="B3273" i="52"/>
  <c r="B3274" i="52"/>
  <c r="B3275" i="52"/>
  <c r="B3276" i="52"/>
  <c r="B3277" i="52"/>
  <c r="B3278" i="52"/>
  <c r="B3279" i="52"/>
  <c r="B3280" i="52"/>
  <c r="B3281" i="52"/>
  <c r="B3282" i="52"/>
  <c r="B3283" i="52"/>
  <c r="B3284" i="52"/>
  <c r="B3285" i="52"/>
  <c r="B3286" i="52"/>
  <c r="B3287" i="52"/>
  <c r="B3288" i="52"/>
  <c r="B3289" i="52"/>
  <c r="B3290" i="52"/>
  <c r="B3291" i="52"/>
  <c r="B3292" i="52"/>
  <c r="B3293" i="52"/>
  <c r="B3294" i="52"/>
  <c r="B3295" i="52"/>
  <c r="B3296" i="52"/>
  <c r="B3297" i="52"/>
  <c r="B3298" i="52"/>
  <c r="B3299" i="52"/>
  <c r="B3300" i="52"/>
  <c r="B3301" i="52"/>
  <c r="B3302" i="52"/>
  <c r="B3303" i="52"/>
  <c r="B3304" i="52"/>
  <c r="B3305" i="52"/>
  <c r="B3306" i="52"/>
  <c r="B3307" i="52"/>
  <c r="B3308" i="52"/>
  <c r="B3309" i="52"/>
  <c r="B3310" i="52"/>
  <c r="B3311" i="52"/>
  <c r="B3312" i="52"/>
  <c r="B3313" i="52"/>
  <c r="B3314" i="52"/>
  <c r="B3315" i="52"/>
  <c r="B3316" i="52"/>
  <c r="B3317" i="52"/>
  <c r="B3318" i="52"/>
  <c r="B3319" i="52"/>
  <c r="B3320" i="52"/>
  <c r="B3321" i="52"/>
  <c r="B3322" i="52"/>
  <c r="B3323" i="52"/>
  <c r="B3324" i="52"/>
  <c r="B3325" i="52"/>
  <c r="B3326" i="52"/>
  <c r="B3327" i="52"/>
  <c r="B3328" i="52"/>
  <c r="B3329" i="52"/>
  <c r="B3330" i="52"/>
  <c r="B3331" i="52"/>
  <c r="B3332" i="52"/>
  <c r="B3333" i="52"/>
  <c r="B3334" i="52"/>
  <c r="B3335" i="52"/>
  <c r="B3336" i="52"/>
  <c r="B3337" i="52"/>
  <c r="B3338" i="52"/>
  <c r="B3339" i="52"/>
  <c r="B3340" i="52"/>
  <c r="B3341" i="52"/>
  <c r="B3342" i="52"/>
  <c r="B3343" i="52"/>
  <c r="B3344" i="52"/>
  <c r="B3345" i="52"/>
  <c r="B3346" i="52"/>
  <c r="B3347" i="52"/>
  <c r="B3348" i="52"/>
  <c r="B3349" i="52"/>
  <c r="B3350" i="52"/>
  <c r="B3351" i="52"/>
  <c r="B3352" i="52"/>
  <c r="B3353" i="52"/>
  <c r="B3354" i="52"/>
  <c r="B3355" i="52"/>
  <c r="B3356" i="52"/>
  <c r="B3357" i="52"/>
  <c r="B3358" i="52"/>
  <c r="B3359" i="52"/>
  <c r="B3360" i="52"/>
  <c r="B3361" i="52"/>
  <c r="B3362" i="52"/>
  <c r="B3363" i="52"/>
  <c r="B3364" i="52"/>
  <c r="B3365" i="52"/>
  <c r="B3366" i="52"/>
  <c r="B3367" i="52"/>
  <c r="B3368" i="52"/>
  <c r="B3369" i="52"/>
  <c r="B3370" i="52"/>
  <c r="B3371" i="52"/>
  <c r="B3372" i="52"/>
  <c r="B3373" i="52"/>
  <c r="B3374" i="52"/>
  <c r="B3375" i="52"/>
  <c r="B3376" i="52"/>
  <c r="B3377" i="52"/>
  <c r="B3378" i="52"/>
  <c r="B3379" i="52"/>
  <c r="B3380" i="52"/>
  <c r="B3381" i="52"/>
  <c r="B3382" i="52"/>
  <c r="B3383" i="52"/>
  <c r="B3384" i="52"/>
  <c r="B3385" i="52"/>
  <c r="B3386" i="52"/>
  <c r="B3387" i="52"/>
  <c r="B3388" i="52"/>
  <c r="B3389" i="52"/>
  <c r="B3390" i="52"/>
  <c r="B3391" i="52"/>
  <c r="B3392" i="52"/>
  <c r="B3393" i="52"/>
  <c r="B3394" i="52"/>
  <c r="B3395" i="52"/>
  <c r="B3396" i="52"/>
  <c r="B3397" i="52"/>
  <c r="B3398" i="52"/>
  <c r="B3399" i="52"/>
  <c r="B3400" i="52"/>
  <c r="B3401" i="52"/>
  <c r="B3402" i="52"/>
  <c r="B3403" i="52"/>
  <c r="B3404" i="52"/>
  <c r="B3405" i="52"/>
  <c r="B3406" i="52"/>
  <c r="B3407" i="52"/>
  <c r="B3408" i="52"/>
  <c r="B3409" i="52"/>
  <c r="B3410" i="52"/>
  <c r="B3411" i="52"/>
  <c r="B3412" i="52"/>
  <c r="B3413" i="52"/>
  <c r="B3414" i="52"/>
  <c r="B3415" i="52"/>
  <c r="B3416" i="52"/>
  <c r="B3417" i="52"/>
  <c r="B3418" i="52"/>
  <c r="B3419" i="52"/>
  <c r="B3420" i="52"/>
  <c r="B3421" i="52"/>
  <c r="B3422" i="52"/>
  <c r="B3423" i="52"/>
  <c r="B3424" i="52"/>
  <c r="B3425" i="52"/>
  <c r="B3426" i="52"/>
  <c r="B3427" i="52"/>
  <c r="B3428" i="52"/>
  <c r="B3429" i="52"/>
  <c r="B3430" i="52"/>
  <c r="B3431" i="52"/>
  <c r="B3432" i="52"/>
  <c r="B3433" i="52"/>
  <c r="B3434" i="52"/>
  <c r="B3435" i="52"/>
  <c r="B3436" i="52"/>
  <c r="B3437" i="52"/>
  <c r="B3438" i="52"/>
  <c r="B3439" i="52"/>
  <c r="B3440" i="52"/>
  <c r="B3441" i="52"/>
  <c r="B3442" i="52"/>
  <c r="B3443" i="52"/>
  <c r="B3444" i="52"/>
  <c r="B3445" i="52"/>
  <c r="B3446" i="52"/>
  <c r="B3447" i="52"/>
  <c r="B3448" i="52"/>
  <c r="B3449" i="52"/>
  <c r="B3450" i="52"/>
  <c r="B3451" i="52"/>
  <c r="B3452" i="52"/>
  <c r="B3453" i="52"/>
  <c r="B3454" i="52"/>
  <c r="B3455" i="52"/>
  <c r="B3456" i="52"/>
  <c r="B3457" i="52"/>
  <c r="B3458" i="52"/>
  <c r="B3459" i="52"/>
  <c r="B3460" i="52"/>
  <c r="B3461" i="52"/>
  <c r="B3462" i="52"/>
  <c r="B3463" i="52"/>
  <c r="B3464" i="52"/>
  <c r="B3465" i="52"/>
  <c r="B3466" i="52"/>
  <c r="B3467" i="52"/>
  <c r="B3468" i="52"/>
  <c r="B3469" i="52"/>
  <c r="B3470" i="52"/>
  <c r="B3471" i="52"/>
  <c r="B3472" i="52"/>
  <c r="B3473" i="52"/>
  <c r="B3474" i="52"/>
  <c r="B3475" i="52"/>
  <c r="B3476" i="52"/>
  <c r="B3477" i="52"/>
  <c r="B3478" i="52"/>
  <c r="B3479" i="52"/>
  <c r="B3480" i="52"/>
  <c r="B3481" i="52"/>
  <c r="B3482" i="52"/>
  <c r="B3483" i="52"/>
  <c r="B3484" i="52"/>
  <c r="B3485" i="52"/>
  <c r="B3486" i="52"/>
  <c r="B3487" i="52"/>
  <c r="B3488" i="52"/>
  <c r="B3489" i="52"/>
  <c r="B3490" i="52"/>
  <c r="B3491" i="52"/>
  <c r="B3492" i="52"/>
  <c r="B3493" i="52"/>
  <c r="B3494" i="52"/>
  <c r="B3495" i="52"/>
  <c r="B3496" i="52"/>
  <c r="B3497" i="52"/>
  <c r="B3498" i="52"/>
  <c r="B3499" i="52"/>
  <c r="B3500" i="52"/>
  <c r="B3501" i="52"/>
  <c r="B3502" i="52"/>
  <c r="B3503" i="52"/>
  <c r="B3504" i="52"/>
  <c r="B3505" i="52"/>
  <c r="B3506" i="52"/>
  <c r="B3507" i="52"/>
  <c r="B3508" i="52"/>
  <c r="B3509" i="52"/>
  <c r="B3510" i="52"/>
  <c r="B3511" i="52"/>
  <c r="B3512" i="52"/>
  <c r="B3513" i="52"/>
  <c r="B3514" i="52"/>
  <c r="B3515" i="52"/>
  <c r="B3516" i="52"/>
  <c r="B3517" i="52"/>
  <c r="B3518" i="52"/>
  <c r="B3519" i="52"/>
  <c r="B3520" i="52"/>
  <c r="B3521" i="52"/>
  <c r="B3522" i="52"/>
  <c r="B3523" i="52"/>
  <c r="B3524" i="52"/>
  <c r="B3525" i="52"/>
  <c r="B3526" i="52"/>
  <c r="B3527" i="52"/>
  <c r="B3528" i="52"/>
  <c r="B3529" i="52"/>
  <c r="B3530" i="52"/>
  <c r="B3531" i="52"/>
  <c r="B3532" i="52"/>
  <c r="B3533" i="52"/>
  <c r="B3534" i="52"/>
  <c r="B3535" i="52"/>
  <c r="B3536" i="52"/>
  <c r="B3537" i="52"/>
  <c r="B3538" i="52"/>
  <c r="B3539" i="52"/>
  <c r="B3540" i="52"/>
  <c r="B3541" i="52"/>
  <c r="B3542" i="52"/>
  <c r="B3543" i="52"/>
  <c r="B3544" i="52"/>
  <c r="B3545" i="52"/>
  <c r="B3546" i="52"/>
  <c r="B3547" i="52"/>
  <c r="B3548" i="52"/>
  <c r="B3549" i="52"/>
  <c r="B3550" i="52"/>
  <c r="B3551" i="52"/>
  <c r="B3552" i="52"/>
  <c r="B3553" i="52"/>
  <c r="B3554" i="52"/>
  <c r="B3555" i="52"/>
  <c r="B3556" i="52"/>
  <c r="B3557" i="52"/>
  <c r="B3558" i="52"/>
  <c r="B3559" i="52"/>
  <c r="B3560" i="52"/>
  <c r="B3561" i="52"/>
  <c r="B3562" i="52"/>
  <c r="B3563" i="52"/>
  <c r="B3564" i="52"/>
  <c r="B3565" i="52"/>
  <c r="B3566" i="52"/>
  <c r="B3567" i="52"/>
  <c r="B3568" i="52"/>
  <c r="B3569" i="52"/>
  <c r="B3570" i="52"/>
  <c r="B3571" i="52"/>
  <c r="B3572" i="52"/>
  <c r="B3573" i="52"/>
  <c r="B3574" i="52"/>
  <c r="B3575" i="52"/>
  <c r="B3576" i="52"/>
  <c r="B3577" i="52"/>
  <c r="B3578" i="52"/>
  <c r="B3579" i="52"/>
  <c r="B3580" i="52"/>
  <c r="B3581" i="52"/>
  <c r="B3582" i="52"/>
  <c r="B3583" i="52"/>
  <c r="B3584" i="52"/>
  <c r="B3585" i="52"/>
  <c r="B3586" i="52"/>
  <c r="B3587" i="52"/>
  <c r="B3588" i="52"/>
  <c r="B3589" i="52"/>
  <c r="B3590" i="52"/>
  <c r="B3591" i="52"/>
  <c r="B3592" i="52"/>
  <c r="B3593" i="52"/>
  <c r="B3594" i="52"/>
  <c r="B3595" i="52"/>
  <c r="B3596" i="52"/>
  <c r="B3597" i="52"/>
  <c r="B3598" i="52"/>
  <c r="B3599" i="52"/>
  <c r="B3600" i="52"/>
  <c r="B3601" i="52"/>
  <c r="B3602" i="52"/>
  <c r="B3603" i="52"/>
  <c r="B3604" i="52"/>
  <c r="B3605" i="52"/>
  <c r="B3606" i="52"/>
  <c r="B3607" i="52"/>
  <c r="B3608" i="52"/>
  <c r="B3609" i="52"/>
  <c r="B3610" i="52"/>
  <c r="B3611" i="52"/>
  <c r="B3612" i="52"/>
  <c r="B3613" i="52"/>
  <c r="B3614" i="52"/>
  <c r="B3615" i="52"/>
  <c r="B3616" i="52"/>
  <c r="B3617" i="52"/>
  <c r="B3618" i="52"/>
  <c r="B3619" i="52"/>
  <c r="B3620" i="52"/>
  <c r="B3621" i="52"/>
  <c r="B3622" i="52"/>
  <c r="B3623" i="52"/>
  <c r="B3624" i="52"/>
  <c r="B3625" i="52"/>
  <c r="B3626" i="52"/>
  <c r="B3627" i="52"/>
  <c r="B3628" i="52"/>
  <c r="B3629" i="52"/>
  <c r="B3630" i="52"/>
  <c r="B3631" i="52"/>
  <c r="B3632" i="52"/>
  <c r="B3633" i="52"/>
  <c r="B3634" i="52"/>
  <c r="B3635" i="52"/>
  <c r="B3636" i="52"/>
  <c r="B3637" i="52"/>
  <c r="B3638" i="52"/>
  <c r="B3639" i="52"/>
  <c r="B3640" i="52"/>
  <c r="B3641" i="52"/>
  <c r="B3642" i="52"/>
  <c r="B3643" i="52"/>
  <c r="B3644" i="52"/>
  <c r="B3645" i="52"/>
  <c r="B3646" i="52"/>
  <c r="B3647" i="52"/>
  <c r="B3648" i="52"/>
  <c r="B3649" i="52"/>
  <c r="B3650" i="52"/>
  <c r="B3651" i="52"/>
  <c r="B3652" i="52"/>
  <c r="B3653" i="52"/>
  <c r="B3654" i="52"/>
  <c r="B3655" i="52"/>
  <c r="B3656" i="52"/>
  <c r="B3657" i="52"/>
  <c r="B3658" i="52"/>
  <c r="B3659" i="52"/>
  <c r="B3660" i="52"/>
  <c r="B3661" i="52"/>
  <c r="B3662" i="52"/>
  <c r="B3663" i="52"/>
  <c r="B3664" i="52"/>
  <c r="B3665" i="52"/>
  <c r="B3666" i="52"/>
  <c r="B3667" i="52"/>
  <c r="B3668" i="52"/>
  <c r="B3669" i="52"/>
  <c r="B3670" i="52"/>
  <c r="B3671" i="52"/>
  <c r="B3672" i="52"/>
  <c r="B3673" i="52"/>
  <c r="B3674" i="52"/>
  <c r="B3675" i="52"/>
  <c r="B3676" i="52"/>
  <c r="B3677" i="52"/>
  <c r="B3678" i="52"/>
  <c r="B3679" i="52"/>
  <c r="B3680" i="52"/>
  <c r="B3681" i="52"/>
  <c r="B3682" i="52"/>
  <c r="B3683" i="52"/>
  <c r="B3684" i="52"/>
  <c r="B3685" i="52"/>
  <c r="B3686" i="52"/>
  <c r="B3687" i="52"/>
  <c r="B3688" i="52"/>
  <c r="B3689" i="52"/>
  <c r="B3690" i="52"/>
  <c r="B3691" i="52"/>
  <c r="B3692" i="52"/>
  <c r="B3693" i="52"/>
  <c r="B3694" i="52"/>
  <c r="B3695" i="52"/>
  <c r="B3696" i="52"/>
  <c r="B3697" i="52"/>
  <c r="B3698" i="52"/>
  <c r="B3699" i="52"/>
  <c r="B3700" i="52"/>
  <c r="B3701" i="52"/>
  <c r="B3702" i="52"/>
  <c r="B3703" i="52"/>
  <c r="B3704" i="52"/>
  <c r="B3705" i="52"/>
  <c r="B3706" i="52"/>
  <c r="B3707" i="52"/>
  <c r="B3708" i="52"/>
  <c r="B3709" i="52"/>
  <c r="B3710" i="52"/>
  <c r="B3711" i="52"/>
  <c r="B3712" i="52"/>
  <c r="B3713" i="52"/>
  <c r="B3714" i="52"/>
  <c r="B3715" i="52"/>
  <c r="B3716" i="52"/>
  <c r="B3717" i="52"/>
  <c r="B3718" i="52"/>
  <c r="B3719" i="52"/>
  <c r="B3720" i="52"/>
  <c r="B3721" i="52"/>
  <c r="B3722" i="52"/>
  <c r="B3723" i="52"/>
  <c r="B3724" i="52"/>
  <c r="B3725" i="52"/>
  <c r="B3726" i="52"/>
  <c r="B3727" i="52"/>
  <c r="B3728" i="52"/>
  <c r="B3729" i="52"/>
  <c r="B3730" i="52"/>
  <c r="B3731" i="52"/>
  <c r="B3732" i="52"/>
  <c r="B3733" i="52"/>
  <c r="B3734" i="52"/>
  <c r="B3735" i="52"/>
  <c r="B3736" i="52"/>
  <c r="B3737" i="52"/>
  <c r="B3738" i="52"/>
  <c r="B3739" i="52"/>
  <c r="B3740" i="52"/>
  <c r="B3741" i="52"/>
  <c r="B3742" i="52"/>
  <c r="B3743" i="52"/>
  <c r="B3744" i="52"/>
  <c r="B3745" i="52"/>
  <c r="B3746" i="52"/>
  <c r="B3747" i="52"/>
  <c r="B3748" i="52"/>
  <c r="B3749" i="52"/>
  <c r="B3750" i="52"/>
  <c r="B3751" i="52"/>
  <c r="B3752" i="52"/>
  <c r="B3753" i="52"/>
  <c r="B3754" i="52"/>
  <c r="B3755" i="52"/>
  <c r="B3756" i="52"/>
  <c r="B3757" i="52"/>
  <c r="B3758" i="52"/>
  <c r="B3759" i="52"/>
  <c r="B3760" i="52"/>
  <c r="B3761" i="52"/>
  <c r="B3762" i="52"/>
  <c r="B3763" i="52"/>
  <c r="B3764" i="52"/>
  <c r="B3765" i="52"/>
  <c r="B3766" i="52"/>
  <c r="B3767" i="52"/>
  <c r="B3768" i="52"/>
  <c r="B3769" i="52"/>
  <c r="B3770" i="52"/>
  <c r="B3771" i="52"/>
  <c r="B3772" i="52"/>
  <c r="B3773" i="52"/>
  <c r="B3774" i="52"/>
  <c r="B3775" i="52"/>
  <c r="B3776" i="52"/>
  <c r="B3777" i="52"/>
  <c r="B3778" i="52"/>
  <c r="B3779" i="52"/>
  <c r="B3780" i="52"/>
  <c r="B3781" i="52"/>
  <c r="B3782" i="52"/>
  <c r="B3783" i="52"/>
  <c r="B3784" i="52"/>
  <c r="B3785" i="52"/>
  <c r="B3786" i="52"/>
  <c r="B3787" i="52"/>
  <c r="B3788" i="52"/>
  <c r="B3789" i="52"/>
  <c r="B3790" i="52"/>
  <c r="B3791" i="52"/>
  <c r="B3792" i="52"/>
  <c r="B3793" i="52"/>
  <c r="B3794" i="52"/>
  <c r="B3795" i="52"/>
  <c r="B3796" i="52"/>
  <c r="B3797" i="52"/>
  <c r="B3798" i="52"/>
  <c r="B3799" i="52"/>
  <c r="B3800" i="52"/>
  <c r="B3801" i="52"/>
  <c r="B3802" i="52"/>
  <c r="B3803" i="52"/>
  <c r="B3804" i="52"/>
  <c r="B3805" i="52"/>
  <c r="B3806" i="52"/>
  <c r="B3807" i="52"/>
  <c r="B3808" i="52"/>
  <c r="B3809" i="52"/>
  <c r="B3810" i="52"/>
  <c r="B3811" i="52"/>
  <c r="B3812" i="52"/>
  <c r="B3813" i="52"/>
  <c r="B3814" i="52"/>
  <c r="B3815" i="52"/>
  <c r="B3816" i="52"/>
  <c r="B3817" i="52"/>
  <c r="B3818" i="52"/>
  <c r="B3819" i="52"/>
  <c r="B3820" i="52"/>
  <c r="B3821" i="52"/>
  <c r="B3822" i="52"/>
  <c r="B3823" i="52"/>
  <c r="B3824" i="52"/>
  <c r="B3825" i="52"/>
  <c r="B3826" i="52"/>
  <c r="B3827" i="52"/>
  <c r="B3828" i="52"/>
  <c r="B3829" i="52"/>
  <c r="B3830" i="52"/>
  <c r="B3831" i="52"/>
  <c r="B3832" i="52"/>
  <c r="B3833" i="52"/>
  <c r="B3834" i="52"/>
  <c r="B3835" i="52"/>
  <c r="B3836" i="52"/>
  <c r="B3837" i="52"/>
  <c r="B3838" i="52"/>
  <c r="B3839" i="52"/>
  <c r="B3840" i="52"/>
  <c r="B3841" i="52"/>
  <c r="B3842" i="52"/>
  <c r="B3843" i="52"/>
  <c r="B3844" i="52"/>
  <c r="B3845" i="52"/>
  <c r="B3846" i="52"/>
  <c r="B3847" i="52"/>
  <c r="B3848" i="52"/>
  <c r="B3849" i="52"/>
  <c r="B3850" i="52"/>
  <c r="B3851" i="52"/>
  <c r="B3852" i="52"/>
  <c r="B3853" i="52"/>
  <c r="B3854" i="52"/>
  <c r="B3855" i="52"/>
  <c r="B3856" i="52"/>
  <c r="B3857" i="52"/>
  <c r="B3858" i="52"/>
  <c r="B3859" i="52"/>
  <c r="B3860" i="52"/>
  <c r="B3861" i="52"/>
  <c r="B3862" i="52"/>
  <c r="B3863" i="52"/>
  <c r="B3864" i="52"/>
  <c r="B3865" i="52"/>
  <c r="B3866" i="52"/>
  <c r="B3867" i="52"/>
  <c r="B3868" i="52"/>
  <c r="B3869" i="52"/>
  <c r="B3870" i="52"/>
  <c r="B3871" i="52"/>
  <c r="B3872" i="52"/>
  <c r="B3873" i="52"/>
  <c r="B3874" i="52"/>
  <c r="B3875" i="52"/>
  <c r="B3876" i="52"/>
  <c r="B3877" i="52"/>
  <c r="B3878" i="52"/>
  <c r="B3879" i="52"/>
  <c r="B3880" i="52"/>
  <c r="B3881" i="52"/>
  <c r="B3882" i="52"/>
  <c r="B3883" i="52"/>
  <c r="B3884" i="52"/>
  <c r="B3885" i="52"/>
  <c r="B3886" i="52"/>
  <c r="B3887" i="52"/>
  <c r="B3888" i="52"/>
  <c r="B3889" i="52"/>
  <c r="B3890" i="52"/>
  <c r="B3891" i="52"/>
  <c r="B3892" i="52"/>
  <c r="B3893" i="52"/>
  <c r="B3894" i="52"/>
  <c r="B3895" i="52"/>
  <c r="B3896" i="52"/>
  <c r="B3897" i="52"/>
  <c r="B3898" i="52"/>
  <c r="B3899" i="52"/>
  <c r="B3900" i="52"/>
  <c r="B3901" i="52"/>
  <c r="B3902" i="52"/>
  <c r="B3903" i="52"/>
  <c r="B3904" i="52"/>
  <c r="B3905" i="52"/>
  <c r="B3906" i="52"/>
  <c r="B3907" i="52"/>
  <c r="B3908" i="52"/>
  <c r="B3909" i="52"/>
  <c r="B3910" i="52"/>
  <c r="B3911" i="52"/>
  <c r="B3912" i="52"/>
  <c r="B3913" i="52"/>
  <c r="B3914" i="52"/>
  <c r="B3915" i="52"/>
  <c r="B3916" i="52"/>
  <c r="B3917" i="52"/>
  <c r="B3918" i="52"/>
  <c r="B3919" i="52"/>
  <c r="B3920" i="52"/>
  <c r="B3921" i="52"/>
  <c r="B3922" i="52"/>
  <c r="B3923" i="52"/>
  <c r="B3924" i="52"/>
  <c r="B3925" i="52"/>
  <c r="B3926" i="52"/>
  <c r="B3927" i="52"/>
  <c r="B3928" i="52"/>
  <c r="B3929" i="52"/>
  <c r="B3930" i="52"/>
  <c r="B3931" i="52"/>
  <c r="B3932" i="52"/>
  <c r="B3933" i="52"/>
  <c r="B3934" i="52"/>
  <c r="B3935" i="52"/>
  <c r="B3936" i="52"/>
  <c r="B3937" i="52"/>
  <c r="B3938" i="52"/>
  <c r="B3939" i="52"/>
  <c r="B3940" i="52"/>
  <c r="C4" i="74"/>
  <c r="B4" i="74"/>
  <c r="F4" i="74" s="1"/>
  <c r="B53" i="74"/>
  <c r="C4" i="73"/>
  <c r="B4" i="73"/>
  <c r="F4" i="73" s="1"/>
  <c r="C44" i="73"/>
  <c r="C4" i="72"/>
  <c r="B4" i="72"/>
  <c r="B5" i="72" s="1"/>
  <c r="E5" i="72" s="1"/>
  <c r="C4" i="71"/>
  <c r="B4" i="71"/>
  <c r="E4" i="71" s="1"/>
  <c r="C4" i="70"/>
  <c r="B4" i="70"/>
  <c r="G4" i="70" s="1"/>
  <c r="B44" i="70"/>
  <c r="C4" i="69"/>
  <c r="B4" i="69"/>
  <c r="B5" i="69"/>
  <c r="C4" i="68"/>
  <c r="B4" i="68"/>
  <c r="W2" i="68"/>
  <c r="C40" i="68" s="1"/>
  <c r="D4" i="31"/>
  <c r="D3" i="31"/>
  <c r="D2" i="31"/>
  <c r="J7" i="31" s="1"/>
  <c r="K7" i="31" s="1"/>
  <c r="L7" i="31" s="1"/>
  <c r="D4" i="32"/>
  <c r="D3" i="32"/>
  <c r="D2" i="32"/>
  <c r="K2" i="32" s="1"/>
  <c r="L2" i="32" s="1"/>
  <c r="M2" i="32" s="1"/>
  <c r="N2" i="32" s="1"/>
  <c r="O2" i="32" s="1"/>
  <c r="P2" i="32" s="1"/>
  <c r="Q2" i="32" s="1"/>
  <c r="R2" i="32" s="1"/>
  <c r="S2" i="32" s="1"/>
  <c r="T2" i="32" s="1"/>
  <c r="U2" i="32" s="1"/>
  <c r="V2" i="32" s="1"/>
  <c r="W2" i="32" s="1"/>
  <c r="X2" i="32" s="1"/>
  <c r="Y2" i="32" s="1"/>
  <c r="Z2" i="32" s="1"/>
  <c r="AA2" i="32" s="1"/>
  <c r="AB2" i="32" s="1"/>
  <c r="AC2" i="32" s="1"/>
  <c r="AD2" i="32" s="1"/>
  <c r="AE2" i="32" s="1"/>
  <c r="AF2" i="32" s="1"/>
  <c r="AG2" i="32" s="1"/>
  <c r="AH2" i="32" s="1"/>
  <c r="AI2" i="32" s="1"/>
  <c r="AJ2" i="32" s="1"/>
  <c r="AK2" i="32" s="1"/>
  <c r="AL2" i="32" s="1"/>
  <c r="AM2" i="32" s="1"/>
  <c r="AN2" i="32" s="1"/>
  <c r="AO2" i="32" s="1"/>
  <c r="AP2" i="32" s="1"/>
  <c r="AQ2" i="32" s="1"/>
  <c r="AR2" i="32" s="1"/>
  <c r="AS2" i="32" s="1"/>
  <c r="AT2" i="32" s="1"/>
  <c r="AU2" i="32" s="1"/>
  <c r="AV2" i="32" s="1"/>
  <c r="AW2" i="32" s="1"/>
  <c r="AX2" i="32" s="1"/>
  <c r="AY2" i="32" s="1"/>
  <c r="AZ2" i="32" s="1"/>
  <c r="BA2" i="32" s="1"/>
  <c r="BB2" i="32" s="1"/>
  <c r="BC2" i="32" s="1"/>
  <c r="BD2" i="32" s="1"/>
  <c r="BE2" i="32" s="1"/>
  <c r="BF2" i="32" s="1"/>
  <c r="BG2" i="32" s="1"/>
  <c r="BH2" i="32" s="1"/>
  <c r="BI2" i="32" s="1"/>
  <c r="BJ2" i="32" s="1"/>
  <c r="BK2" i="32" s="1"/>
  <c r="BL2" i="32" s="1"/>
  <c r="BM2" i="32" s="1"/>
  <c r="BN2" i="32" s="1"/>
  <c r="BO2" i="32" s="1"/>
  <c r="BP2" i="32" s="1"/>
  <c r="BQ2" i="32" s="1"/>
  <c r="BR2" i="32" s="1"/>
  <c r="R5" i="75"/>
  <c r="P4" i="74"/>
  <c r="P5" i="74" s="1"/>
  <c r="P6" i="74" s="1"/>
  <c r="P7" i="74" s="1"/>
  <c r="P8" i="74" s="1"/>
  <c r="P9" i="74" s="1"/>
  <c r="P10" i="74" s="1"/>
  <c r="P11" i="74" s="1"/>
  <c r="P12" i="74" s="1"/>
  <c r="P13" i="74" s="1"/>
  <c r="P14" i="74" s="1"/>
  <c r="P15" i="74" s="1"/>
  <c r="P16" i="74" s="1"/>
  <c r="P17" i="74" s="1"/>
  <c r="P18" i="74" s="1"/>
  <c r="P19" i="74" s="1"/>
  <c r="P20" i="74" s="1"/>
  <c r="P21" i="74" s="1"/>
  <c r="P22" i="74" s="1"/>
  <c r="P23" i="74" s="1"/>
  <c r="P24" i="74" s="1"/>
  <c r="P25" i="74" s="1"/>
  <c r="P26" i="74" s="1"/>
  <c r="P27" i="74" s="1"/>
  <c r="P28" i="74" s="1"/>
  <c r="P29" i="74" s="1"/>
  <c r="P30" i="74" s="1"/>
  <c r="P31" i="74" s="1"/>
  <c r="P32" i="74" s="1"/>
  <c r="P33" i="74" s="1"/>
  <c r="P34" i="74" s="1"/>
  <c r="P35" i="74" s="1"/>
  <c r="P36" i="74" s="1"/>
  <c r="P37" i="74" s="1"/>
  <c r="P38" i="74" s="1"/>
  <c r="P39" i="74" s="1"/>
  <c r="P40" i="74" s="1"/>
  <c r="P41" i="74" s="1"/>
  <c r="P42" i="74" s="1"/>
  <c r="P43" i="74" s="1"/>
  <c r="P44" i="74" s="1"/>
  <c r="P45" i="74" s="1"/>
  <c r="P46" i="74" s="1"/>
  <c r="P47" i="74" s="1"/>
  <c r="P48" i="74" s="1"/>
  <c r="P49" i="74" s="1"/>
  <c r="P50" i="74" s="1"/>
  <c r="P51" i="74" s="1"/>
  <c r="P52" i="74" s="1"/>
  <c r="P53" i="74" s="1"/>
  <c r="P54" i="74" s="1"/>
  <c r="P55" i="74" s="1"/>
  <c r="P56" i="74" s="1"/>
  <c r="P57" i="74" s="1"/>
  <c r="P58" i="74" s="1"/>
  <c r="P59" i="74" s="1"/>
  <c r="P60" i="74" s="1"/>
  <c r="P61" i="74" s="1"/>
  <c r="P62" i="74" s="1"/>
  <c r="P63" i="74" s="1"/>
  <c r="Q4" i="74"/>
  <c r="R4" i="74"/>
  <c r="R5" i="74" s="1"/>
  <c r="R6" i="74" s="1"/>
  <c r="R7" i="74" s="1"/>
  <c r="R8" i="74" s="1"/>
  <c r="R9" i="74" s="1"/>
  <c r="R10" i="74" s="1"/>
  <c r="R11" i="74" s="1"/>
  <c r="R12" i="74" s="1"/>
  <c r="R13" i="74" s="1"/>
  <c r="R14" i="74" s="1"/>
  <c r="R15" i="74" s="1"/>
  <c r="R16" i="74" s="1"/>
  <c r="R17" i="74" s="1"/>
  <c r="R18" i="74" s="1"/>
  <c r="R19" i="74" s="1"/>
  <c r="R20" i="74" s="1"/>
  <c r="R21" i="74" s="1"/>
  <c r="R22" i="74" s="1"/>
  <c r="R23" i="74" s="1"/>
  <c r="R24" i="74" s="1"/>
  <c r="R25" i="74" s="1"/>
  <c r="R26" i="74" s="1"/>
  <c r="R27" i="74" s="1"/>
  <c r="R28" i="74" s="1"/>
  <c r="R29" i="74" s="1"/>
  <c r="R30" i="74" s="1"/>
  <c r="R31" i="74" s="1"/>
  <c r="R32" i="74" s="1"/>
  <c r="R33" i="74" s="1"/>
  <c r="R34" i="74" s="1"/>
  <c r="R35" i="74" s="1"/>
  <c r="R36" i="74" s="1"/>
  <c r="R37" i="74" s="1"/>
  <c r="R38" i="74" s="1"/>
  <c r="R39" i="74" s="1"/>
  <c r="R40" i="74" s="1"/>
  <c r="R41" i="74" s="1"/>
  <c r="R42" i="74" s="1"/>
  <c r="R43" i="74" s="1"/>
  <c r="R44" i="74" s="1"/>
  <c r="R45" i="74" s="1"/>
  <c r="R46" i="74" s="1"/>
  <c r="R47" i="74" s="1"/>
  <c r="R48" i="74" s="1"/>
  <c r="R49" i="74" s="1"/>
  <c r="R50" i="74" s="1"/>
  <c r="R51" i="74" s="1"/>
  <c r="R52" i="74" s="1"/>
  <c r="R53" i="74" s="1"/>
  <c r="R54" i="74" s="1"/>
  <c r="R55" i="74" s="1"/>
  <c r="R56" i="74" s="1"/>
  <c r="R57" i="74" s="1"/>
  <c r="R58" i="74" s="1"/>
  <c r="R59" i="74" s="1"/>
  <c r="R60" i="74" s="1"/>
  <c r="R61" i="74" s="1"/>
  <c r="R62" i="74" s="1"/>
  <c r="R63" i="74" s="1"/>
  <c r="P4" i="73"/>
  <c r="P5" i="73" s="1"/>
  <c r="P6" i="73" s="1"/>
  <c r="P7" i="73" s="1"/>
  <c r="P8" i="73" s="1"/>
  <c r="P9" i="73" s="1"/>
  <c r="P10" i="73" s="1"/>
  <c r="P11" i="73" s="1"/>
  <c r="P12" i="73" s="1"/>
  <c r="P13" i="73" s="1"/>
  <c r="P14" i="73" s="1"/>
  <c r="P15" i="73" s="1"/>
  <c r="P16" i="73" s="1"/>
  <c r="P17" i="73" s="1"/>
  <c r="P18" i="73" s="1"/>
  <c r="P19" i="73" s="1"/>
  <c r="P20" i="73" s="1"/>
  <c r="P21" i="73" s="1"/>
  <c r="P22" i="73" s="1"/>
  <c r="P23" i="73" s="1"/>
  <c r="P24" i="73" s="1"/>
  <c r="P25" i="73" s="1"/>
  <c r="P26" i="73" s="1"/>
  <c r="P27" i="73" s="1"/>
  <c r="P28" i="73" s="1"/>
  <c r="P29" i="73" s="1"/>
  <c r="P30" i="73" s="1"/>
  <c r="P31" i="73" s="1"/>
  <c r="P32" i="73" s="1"/>
  <c r="P33" i="73" s="1"/>
  <c r="P34" i="73" s="1"/>
  <c r="P35" i="73" s="1"/>
  <c r="P36" i="73" s="1"/>
  <c r="P37" i="73" s="1"/>
  <c r="P38" i="73" s="1"/>
  <c r="P39" i="73" s="1"/>
  <c r="P40" i="73" s="1"/>
  <c r="P41" i="73" s="1"/>
  <c r="P42" i="73" s="1"/>
  <c r="P43" i="73" s="1"/>
  <c r="P44" i="73" s="1"/>
  <c r="P45" i="73" s="1"/>
  <c r="P46" i="73" s="1"/>
  <c r="P47" i="73" s="1"/>
  <c r="P48" i="73" s="1"/>
  <c r="P49" i="73" s="1"/>
  <c r="P50" i="73" s="1"/>
  <c r="P51" i="73" s="1"/>
  <c r="P52" i="73" s="1"/>
  <c r="P53" i="73" s="1"/>
  <c r="P54" i="73" s="1"/>
  <c r="P55" i="73" s="1"/>
  <c r="P56" i="73" s="1"/>
  <c r="P57" i="73" s="1"/>
  <c r="P58" i="73" s="1"/>
  <c r="P59" i="73" s="1"/>
  <c r="P60" i="73" s="1"/>
  <c r="P61" i="73" s="1"/>
  <c r="P62" i="73" s="1"/>
  <c r="P63" i="73" s="1"/>
  <c r="Q4" i="73"/>
  <c r="Q5" i="73" s="1"/>
  <c r="R4" i="73"/>
  <c r="R5" i="73" s="1"/>
  <c r="R6" i="73" s="1"/>
  <c r="R7" i="73" s="1"/>
  <c r="R8" i="73" s="1"/>
  <c r="R9" i="73" s="1"/>
  <c r="R10" i="73" s="1"/>
  <c r="R11" i="73" s="1"/>
  <c r="R12" i="73" s="1"/>
  <c r="R13" i="73" s="1"/>
  <c r="R14" i="73" s="1"/>
  <c r="R15" i="73" s="1"/>
  <c r="R16" i="73" s="1"/>
  <c r="R17" i="73" s="1"/>
  <c r="R18" i="73" s="1"/>
  <c r="R19" i="73" s="1"/>
  <c r="R20" i="73" s="1"/>
  <c r="R21" i="73" s="1"/>
  <c r="R22" i="73" s="1"/>
  <c r="R23" i="73" s="1"/>
  <c r="R24" i="73" s="1"/>
  <c r="R25" i="73" s="1"/>
  <c r="R26" i="73" s="1"/>
  <c r="R27" i="73" s="1"/>
  <c r="R28" i="73" s="1"/>
  <c r="R29" i="73" s="1"/>
  <c r="R30" i="73" s="1"/>
  <c r="R31" i="73" s="1"/>
  <c r="R32" i="73" s="1"/>
  <c r="R33" i="73" s="1"/>
  <c r="R34" i="73" s="1"/>
  <c r="R35" i="73" s="1"/>
  <c r="R36" i="73" s="1"/>
  <c r="R37" i="73" s="1"/>
  <c r="R38" i="73" s="1"/>
  <c r="R39" i="73" s="1"/>
  <c r="R40" i="73" s="1"/>
  <c r="R41" i="73" s="1"/>
  <c r="R42" i="73" s="1"/>
  <c r="R43" i="73" s="1"/>
  <c r="R44" i="73" s="1"/>
  <c r="R45" i="73" s="1"/>
  <c r="R46" i="73" s="1"/>
  <c r="R47" i="73" s="1"/>
  <c r="R48" i="73" s="1"/>
  <c r="R49" i="73" s="1"/>
  <c r="R50" i="73" s="1"/>
  <c r="R51" i="73" s="1"/>
  <c r="R52" i="73" s="1"/>
  <c r="R53" i="73" s="1"/>
  <c r="R54" i="73" s="1"/>
  <c r="R55" i="73" s="1"/>
  <c r="R56" i="73" s="1"/>
  <c r="R57" i="73" s="1"/>
  <c r="R58" i="73" s="1"/>
  <c r="R59" i="73" s="1"/>
  <c r="R60" i="73" s="1"/>
  <c r="R61" i="73" s="1"/>
  <c r="R62" i="73" s="1"/>
  <c r="R63" i="73" s="1"/>
  <c r="P4" i="72"/>
  <c r="P5" i="72" s="1"/>
  <c r="Q4" i="72"/>
  <c r="U4" i="72" s="1"/>
  <c r="R4" i="72"/>
  <c r="R5" i="72" s="1"/>
  <c r="R6" i="72" s="1"/>
  <c r="R7" i="72" s="1"/>
  <c r="R8" i="72" s="1"/>
  <c r="R9" i="72" s="1"/>
  <c r="R10" i="72" s="1"/>
  <c r="R11" i="72" s="1"/>
  <c r="R12" i="72" s="1"/>
  <c r="R13" i="72" s="1"/>
  <c r="R14" i="72" s="1"/>
  <c r="R15" i="72" s="1"/>
  <c r="R16" i="72" s="1"/>
  <c r="R17" i="72" s="1"/>
  <c r="R18" i="72" s="1"/>
  <c r="R19" i="72" s="1"/>
  <c r="R20" i="72" s="1"/>
  <c r="R21" i="72" s="1"/>
  <c r="R22" i="72" s="1"/>
  <c r="R23" i="72" s="1"/>
  <c r="R24" i="72" s="1"/>
  <c r="R25" i="72" s="1"/>
  <c r="R26" i="72" s="1"/>
  <c r="R27" i="72" s="1"/>
  <c r="R28" i="72" s="1"/>
  <c r="R29" i="72" s="1"/>
  <c r="R30" i="72" s="1"/>
  <c r="R31" i="72" s="1"/>
  <c r="R32" i="72" s="1"/>
  <c r="R33" i="72" s="1"/>
  <c r="R34" i="72" s="1"/>
  <c r="R35" i="72" s="1"/>
  <c r="R36" i="72" s="1"/>
  <c r="R37" i="72" s="1"/>
  <c r="R38" i="72" s="1"/>
  <c r="R39" i="72" s="1"/>
  <c r="R40" i="72" s="1"/>
  <c r="R41" i="72" s="1"/>
  <c r="R42" i="72" s="1"/>
  <c r="R43" i="72" s="1"/>
  <c r="R44" i="72" s="1"/>
  <c r="R45" i="72" s="1"/>
  <c r="R46" i="72" s="1"/>
  <c r="R47" i="72" s="1"/>
  <c r="R48" i="72" s="1"/>
  <c r="R49" i="72" s="1"/>
  <c r="R50" i="72" s="1"/>
  <c r="R51" i="72" s="1"/>
  <c r="R52" i="72" s="1"/>
  <c r="R53" i="72" s="1"/>
  <c r="R54" i="72" s="1"/>
  <c r="R55" i="72" s="1"/>
  <c r="R56" i="72" s="1"/>
  <c r="R57" i="72" s="1"/>
  <c r="R58" i="72" s="1"/>
  <c r="R59" i="72" s="1"/>
  <c r="R60" i="72" s="1"/>
  <c r="R61" i="72" s="1"/>
  <c r="R62" i="72" s="1"/>
  <c r="R63" i="72" s="1"/>
  <c r="P4" i="71"/>
  <c r="P5" i="71"/>
  <c r="P6" i="71" s="1"/>
  <c r="P7" i="71" s="1"/>
  <c r="P8" i="71" s="1"/>
  <c r="P9" i="71" s="1"/>
  <c r="P10" i="71" s="1"/>
  <c r="P11" i="71" s="1"/>
  <c r="P12" i="71" s="1"/>
  <c r="P13" i="71" s="1"/>
  <c r="P14" i="71" s="1"/>
  <c r="P15" i="71" s="1"/>
  <c r="P16" i="71" s="1"/>
  <c r="P17" i="71" s="1"/>
  <c r="P18" i="71" s="1"/>
  <c r="P19" i="71" s="1"/>
  <c r="P20" i="71" s="1"/>
  <c r="P21" i="71" s="1"/>
  <c r="P22" i="71" s="1"/>
  <c r="P23" i="71" s="1"/>
  <c r="P24" i="71" s="1"/>
  <c r="P25" i="71" s="1"/>
  <c r="P26" i="71" s="1"/>
  <c r="P27" i="71" s="1"/>
  <c r="P28" i="71" s="1"/>
  <c r="P29" i="71" s="1"/>
  <c r="P30" i="71" s="1"/>
  <c r="P31" i="71" s="1"/>
  <c r="P32" i="71" s="1"/>
  <c r="P33" i="71" s="1"/>
  <c r="P34" i="71" s="1"/>
  <c r="P35" i="71" s="1"/>
  <c r="P36" i="71" s="1"/>
  <c r="P37" i="71" s="1"/>
  <c r="P38" i="71" s="1"/>
  <c r="P39" i="71" s="1"/>
  <c r="P40" i="71" s="1"/>
  <c r="P41" i="71" s="1"/>
  <c r="P42" i="71" s="1"/>
  <c r="P43" i="71" s="1"/>
  <c r="P44" i="71" s="1"/>
  <c r="P45" i="71" s="1"/>
  <c r="P46" i="71" s="1"/>
  <c r="P47" i="71" s="1"/>
  <c r="P48" i="71" s="1"/>
  <c r="P49" i="71" s="1"/>
  <c r="P50" i="71" s="1"/>
  <c r="P51" i="71" s="1"/>
  <c r="P52" i="71" s="1"/>
  <c r="P53" i="71" s="1"/>
  <c r="P54" i="71" s="1"/>
  <c r="P55" i="71" s="1"/>
  <c r="P56" i="71" s="1"/>
  <c r="P57" i="71" s="1"/>
  <c r="P58" i="71" s="1"/>
  <c r="P59" i="71" s="1"/>
  <c r="P60" i="71" s="1"/>
  <c r="P61" i="71" s="1"/>
  <c r="P62" i="71" s="1"/>
  <c r="P63" i="71" s="1"/>
  <c r="Q4" i="71"/>
  <c r="Q5" i="71" s="1"/>
  <c r="R4" i="71"/>
  <c r="R5" i="71"/>
  <c r="R6" i="71" s="1"/>
  <c r="R7" i="71" s="1"/>
  <c r="R8" i="71" s="1"/>
  <c r="R9" i="71" s="1"/>
  <c r="R10" i="71" s="1"/>
  <c r="R11" i="71" s="1"/>
  <c r="R12" i="71" s="1"/>
  <c r="R13" i="71" s="1"/>
  <c r="R14" i="71" s="1"/>
  <c r="R15" i="71" s="1"/>
  <c r="R16" i="71" s="1"/>
  <c r="R17" i="71" s="1"/>
  <c r="R18" i="71" s="1"/>
  <c r="R19" i="71" s="1"/>
  <c r="R20" i="71" s="1"/>
  <c r="R21" i="71" s="1"/>
  <c r="R22" i="71" s="1"/>
  <c r="R23" i="71" s="1"/>
  <c r="R24" i="71" s="1"/>
  <c r="R25" i="71" s="1"/>
  <c r="R26" i="71" s="1"/>
  <c r="R27" i="71" s="1"/>
  <c r="R28" i="71" s="1"/>
  <c r="R29" i="71" s="1"/>
  <c r="R30" i="71" s="1"/>
  <c r="R31" i="71" s="1"/>
  <c r="R32" i="71" s="1"/>
  <c r="R33" i="71" s="1"/>
  <c r="R34" i="71" s="1"/>
  <c r="R35" i="71" s="1"/>
  <c r="R36" i="71" s="1"/>
  <c r="R37" i="71" s="1"/>
  <c r="R38" i="71" s="1"/>
  <c r="R39" i="71" s="1"/>
  <c r="R40" i="71" s="1"/>
  <c r="R41" i="71" s="1"/>
  <c r="R42" i="71" s="1"/>
  <c r="R43" i="71" s="1"/>
  <c r="R44" i="71" s="1"/>
  <c r="R45" i="71" s="1"/>
  <c r="R46" i="71" s="1"/>
  <c r="R47" i="71" s="1"/>
  <c r="R48" i="71" s="1"/>
  <c r="R49" i="71" s="1"/>
  <c r="R50" i="71" s="1"/>
  <c r="R51" i="71" s="1"/>
  <c r="R52" i="71" s="1"/>
  <c r="R53" i="71" s="1"/>
  <c r="R54" i="71" s="1"/>
  <c r="R55" i="71" s="1"/>
  <c r="R56" i="71" s="1"/>
  <c r="R57" i="71" s="1"/>
  <c r="R58" i="71" s="1"/>
  <c r="R59" i="71" s="1"/>
  <c r="R60" i="71" s="1"/>
  <c r="R61" i="71" s="1"/>
  <c r="R62" i="71" s="1"/>
  <c r="R63" i="71" s="1"/>
  <c r="P4" i="70"/>
  <c r="P5" i="70" s="1"/>
  <c r="P6" i="70" s="1"/>
  <c r="P7" i="70" s="1"/>
  <c r="P8" i="70" s="1"/>
  <c r="P9" i="70" s="1"/>
  <c r="P10" i="70" s="1"/>
  <c r="P11" i="70" s="1"/>
  <c r="P12" i="70" s="1"/>
  <c r="P13" i="70" s="1"/>
  <c r="P14" i="70" s="1"/>
  <c r="P15" i="70" s="1"/>
  <c r="P16" i="70" s="1"/>
  <c r="P17" i="70" s="1"/>
  <c r="P18" i="70" s="1"/>
  <c r="P19" i="70" s="1"/>
  <c r="P20" i="70" s="1"/>
  <c r="P21" i="70" s="1"/>
  <c r="P22" i="70" s="1"/>
  <c r="P23" i="70" s="1"/>
  <c r="P24" i="70" s="1"/>
  <c r="P25" i="70" s="1"/>
  <c r="P26" i="70" s="1"/>
  <c r="P27" i="70" s="1"/>
  <c r="P28" i="70" s="1"/>
  <c r="P29" i="70" s="1"/>
  <c r="P30" i="70" s="1"/>
  <c r="P31" i="70" s="1"/>
  <c r="P32" i="70" s="1"/>
  <c r="P33" i="70" s="1"/>
  <c r="P34" i="70" s="1"/>
  <c r="P35" i="70" s="1"/>
  <c r="P36" i="70" s="1"/>
  <c r="P37" i="70" s="1"/>
  <c r="P38" i="70" s="1"/>
  <c r="P39" i="70" s="1"/>
  <c r="P40" i="70" s="1"/>
  <c r="P41" i="70" s="1"/>
  <c r="P42" i="70" s="1"/>
  <c r="P43" i="70" s="1"/>
  <c r="P44" i="70" s="1"/>
  <c r="P45" i="70" s="1"/>
  <c r="P46" i="70" s="1"/>
  <c r="P47" i="70" s="1"/>
  <c r="P48" i="70" s="1"/>
  <c r="P49" i="70" s="1"/>
  <c r="P50" i="70" s="1"/>
  <c r="P51" i="70" s="1"/>
  <c r="P52" i="70" s="1"/>
  <c r="P53" i="70" s="1"/>
  <c r="P54" i="70" s="1"/>
  <c r="P55" i="70" s="1"/>
  <c r="P56" i="70" s="1"/>
  <c r="P57" i="70" s="1"/>
  <c r="P58" i="70" s="1"/>
  <c r="P59" i="70" s="1"/>
  <c r="P60" i="70" s="1"/>
  <c r="P61" i="70" s="1"/>
  <c r="P62" i="70" s="1"/>
  <c r="P63" i="70" s="1"/>
  <c r="Q4" i="70"/>
  <c r="Q5" i="70" s="1"/>
  <c r="R4" i="70"/>
  <c r="R5" i="70"/>
  <c r="R6" i="70" s="1"/>
  <c r="R7" i="70" s="1"/>
  <c r="R8" i="70" s="1"/>
  <c r="R9" i="70" s="1"/>
  <c r="R10" i="70" s="1"/>
  <c r="R11" i="70" s="1"/>
  <c r="R12" i="70" s="1"/>
  <c r="R13" i="70" s="1"/>
  <c r="R14" i="70" s="1"/>
  <c r="R15" i="70" s="1"/>
  <c r="R16" i="70" s="1"/>
  <c r="R17" i="70" s="1"/>
  <c r="R18" i="70" s="1"/>
  <c r="R19" i="70" s="1"/>
  <c r="R20" i="70" s="1"/>
  <c r="R21" i="70" s="1"/>
  <c r="R22" i="70" s="1"/>
  <c r="R23" i="70" s="1"/>
  <c r="R24" i="70" s="1"/>
  <c r="R25" i="70" s="1"/>
  <c r="R26" i="70" s="1"/>
  <c r="R27" i="70" s="1"/>
  <c r="R28" i="70" s="1"/>
  <c r="R29" i="70" s="1"/>
  <c r="R30" i="70" s="1"/>
  <c r="R31" i="70" s="1"/>
  <c r="R32" i="70" s="1"/>
  <c r="R33" i="70" s="1"/>
  <c r="R34" i="70" s="1"/>
  <c r="R35" i="70" s="1"/>
  <c r="R36" i="70" s="1"/>
  <c r="R37" i="70" s="1"/>
  <c r="R38" i="70" s="1"/>
  <c r="R39" i="70" s="1"/>
  <c r="R40" i="70" s="1"/>
  <c r="R41" i="70" s="1"/>
  <c r="R42" i="70" s="1"/>
  <c r="R43" i="70" s="1"/>
  <c r="R44" i="70" s="1"/>
  <c r="R45" i="70" s="1"/>
  <c r="R46" i="70" s="1"/>
  <c r="R47" i="70" s="1"/>
  <c r="R48" i="70" s="1"/>
  <c r="R49" i="70" s="1"/>
  <c r="R50" i="70" s="1"/>
  <c r="R51" i="70" s="1"/>
  <c r="R52" i="70" s="1"/>
  <c r="R53" i="70" s="1"/>
  <c r="R54" i="70" s="1"/>
  <c r="R55" i="70" s="1"/>
  <c r="R56" i="70" s="1"/>
  <c r="R57" i="70" s="1"/>
  <c r="R58" i="70" s="1"/>
  <c r="R59" i="70" s="1"/>
  <c r="R60" i="70" s="1"/>
  <c r="R61" i="70" s="1"/>
  <c r="R62" i="70" s="1"/>
  <c r="R63" i="70" s="1"/>
  <c r="H9" i="54" s="1"/>
  <c r="P4" i="69"/>
  <c r="P5" i="69" s="1"/>
  <c r="P6" i="69" s="1"/>
  <c r="P7" i="69" s="1"/>
  <c r="P8" i="69" s="1"/>
  <c r="P9" i="69" s="1"/>
  <c r="P10" i="69" s="1"/>
  <c r="P11" i="69" s="1"/>
  <c r="P12" i="69" s="1"/>
  <c r="P13" i="69" s="1"/>
  <c r="P14" i="69" s="1"/>
  <c r="P15" i="69" s="1"/>
  <c r="P16" i="69" s="1"/>
  <c r="P17" i="69" s="1"/>
  <c r="P18" i="69" s="1"/>
  <c r="P19" i="69" s="1"/>
  <c r="P20" i="69" s="1"/>
  <c r="P21" i="69" s="1"/>
  <c r="P22" i="69" s="1"/>
  <c r="P23" i="69" s="1"/>
  <c r="P24" i="69" s="1"/>
  <c r="P25" i="69" s="1"/>
  <c r="P26" i="69" s="1"/>
  <c r="P27" i="69" s="1"/>
  <c r="P28" i="69" s="1"/>
  <c r="P29" i="69" s="1"/>
  <c r="P30" i="69" s="1"/>
  <c r="P31" i="69" s="1"/>
  <c r="P32" i="69" s="1"/>
  <c r="P33" i="69" s="1"/>
  <c r="P34" i="69" s="1"/>
  <c r="P35" i="69" s="1"/>
  <c r="P36" i="69" s="1"/>
  <c r="P37" i="69" s="1"/>
  <c r="P38" i="69" s="1"/>
  <c r="P39" i="69" s="1"/>
  <c r="P40" i="69" s="1"/>
  <c r="P41" i="69" s="1"/>
  <c r="P42" i="69" s="1"/>
  <c r="P43" i="69" s="1"/>
  <c r="P44" i="69" s="1"/>
  <c r="P45" i="69" s="1"/>
  <c r="P46" i="69" s="1"/>
  <c r="P47" i="69" s="1"/>
  <c r="P48" i="69" s="1"/>
  <c r="P49" i="69" s="1"/>
  <c r="P50" i="69" s="1"/>
  <c r="P51" i="69" s="1"/>
  <c r="P52" i="69" s="1"/>
  <c r="P53" i="69" s="1"/>
  <c r="P54" i="69" s="1"/>
  <c r="P55" i="69" s="1"/>
  <c r="P56" i="69" s="1"/>
  <c r="P57" i="69" s="1"/>
  <c r="P58" i="69" s="1"/>
  <c r="P59" i="69" s="1"/>
  <c r="P60" i="69" s="1"/>
  <c r="P61" i="69" s="1"/>
  <c r="P62" i="69" s="1"/>
  <c r="P63" i="69" s="1"/>
  <c r="Q4" i="69"/>
  <c r="Q5" i="69" s="1"/>
  <c r="R4" i="69"/>
  <c r="R5" i="69" s="1"/>
  <c r="R6" i="69" s="1"/>
  <c r="R7" i="69" s="1"/>
  <c r="R8" i="69" s="1"/>
  <c r="R9" i="69" s="1"/>
  <c r="R10" i="69" s="1"/>
  <c r="R11" i="69" s="1"/>
  <c r="R12" i="69" s="1"/>
  <c r="R13" i="69" s="1"/>
  <c r="R14" i="69" s="1"/>
  <c r="R15" i="69" s="1"/>
  <c r="R16" i="69" s="1"/>
  <c r="R17" i="69" s="1"/>
  <c r="R18" i="69" s="1"/>
  <c r="R19" i="69" s="1"/>
  <c r="R20" i="69" s="1"/>
  <c r="R21" i="69" s="1"/>
  <c r="R22" i="69" s="1"/>
  <c r="R23" i="69" s="1"/>
  <c r="R24" i="69" s="1"/>
  <c r="R25" i="69" s="1"/>
  <c r="R26" i="69" s="1"/>
  <c r="R27" i="69" s="1"/>
  <c r="R28" i="69" s="1"/>
  <c r="R29" i="69" s="1"/>
  <c r="R30" i="69" s="1"/>
  <c r="R31" i="69" s="1"/>
  <c r="R32" i="69" s="1"/>
  <c r="R33" i="69" s="1"/>
  <c r="R34" i="69" s="1"/>
  <c r="R35" i="69" s="1"/>
  <c r="R36" i="69" s="1"/>
  <c r="R37" i="69" s="1"/>
  <c r="R38" i="69" s="1"/>
  <c r="R39" i="69" s="1"/>
  <c r="R40" i="69" s="1"/>
  <c r="R41" i="69" s="1"/>
  <c r="R42" i="69" s="1"/>
  <c r="R43" i="69" s="1"/>
  <c r="R44" i="69" s="1"/>
  <c r="R45" i="69" s="1"/>
  <c r="R46" i="69" s="1"/>
  <c r="R47" i="69" s="1"/>
  <c r="R48" i="69" s="1"/>
  <c r="R49" i="69" s="1"/>
  <c r="R50" i="69" s="1"/>
  <c r="R51" i="69" s="1"/>
  <c r="R52" i="69" s="1"/>
  <c r="R53" i="69" s="1"/>
  <c r="R54" i="69" s="1"/>
  <c r="R55" i="69" s="1"/>
  <c r="R56" i="69" s="1"/>
  <c r="R57" i="69" s="1"/>
  <c r="R58" i="69" s="1"/>
  <c r="R59" i="69" s="1"/>
  <c r="R60" i="69" s="1"/>
  <c r="R61" i="69" s="1"/>
  <c r="R62" i="69" s="1"/>
  <c r="R63" i="69" s="1"/>
  <c r="P4" i="68"/>
  <c r="P5" i="68" s="1"/>
  <c r="P6" i="68" s="1"/>
  <c r="P7" i="68" s="1"/>
  <c r="P8" i="68" s="1"/>
  <c r="P9" i="68" s="1"/>
  <c r="P10" i="68" s="1"/>
  <c r="P11" i="68" s="1"/>
  <c r="P12" i="68" s="1"/>
  <c r="P13" i="68" s="1"/>
  <c r="P14" i="68" s="1"/>
  <c r="P15" i="68" s="1"/>
  <c r="P16" i="68" s="1"/>
  <c r="P17" i="68" s="1"/>
  <c r="P18" i="68" s="1"/>
  <c r="P19" i="68" s="1"/>
  <c r="P20" i="68" s="1"/>
  <c r="P21" i="68" s="1"/>
  <c r="P22" i="68" s="1"/>
  <c r="P23" i="68" s="1"/>
  <c r="P24" i="68" s="1"/>
  <c r="P25" i="68" s="1"/>
  <c r="P26" i="68" s="1"/>
  <c r="P27" i="68" s="1"/>
  <c r="P28" i="68" s="1"/>
  <c r="P29" i="68" s="1"/>
  <c r="P30" i="68" s="1"/>
  <c r="P31" i="68" s="1"/>
  <c r="P32" i="68" s="1"/>
  <c r="P33" i="68" s="1"/>
  <c r="P34" i="68" s="1"/>
  <c r="P35" i="68" s="1"/>
  <c r="P36" i="68" s="1"/>
  <c r="P37" i="68" s="1"/>
  <c r="P38" i="68" s="1"/>
  <c r="P39" i="68" s="1"/>
  <c r="P40" i="68" s="1"/>
  <c r="P41" i="68" s="1"/>
  <c r="P42" i="68" s="1"/>
  <c r="P43" i="68" s="1"/>
  <c r="P44" i="68" s="1"/>
  <c r="P45" i="68" s="1"/>
  <c r="P46" i="68" s="1"/>
  <c r="P47" i="68" s="1"/>
  <c r="P48" i="68" s="1"/>
  <c r="P49" i="68" s="1"/>
  <c r="P50" i="68" s="1"/>
  <c r="P51" i="68" s="1"/>
  <c r="P52" i="68" s="1"/>
  <c r="P53" i="68" s="1"/>
  <c r="P54" i="68" s="1"/>
  <c r="P55" i="68" s="1"/>
  <c r="P56" i="68" s="1"/>
  <c r="P57" i="68" s="1"/>
  <c r="P58" i="68" s="1"/>
  <c r="P59" i="68" s="1"/>
  <c r="P60" i="68" s="1"/>
  <c r="P61" i="68" s="1"/>
  <c r="P62" i="68" s="1"/>
  <c r="P63" i="68" s="1"/>
  <c r="Q4" i="68"/>
  <c r="Q5" i="68" s="1"/>
  <c r="R4" i="68"/>
  <c r="R5" i="68" s="1"/>
  <c r="R6" i="68" s="1"/>
  <c r="R7" i="68" s="1"/>
  <c r="R8" i="68" s="1"/>
  <c r="R9" i="68" s="1"/>
  <c r="R10" i="68" s="1"/>
  <c r="R11" i="68" s="1"/>
  <c r="R12" i="68" s="1"/>
  <c r="R13" i="68" s="1"/>
  <c r="R14" i="68" s="1"/>
  <c r="R15" i="68" s="1"/>
  <c r="R16" i="68" s="1"/>
  <c r="R17" i="68" s="1"/>
  <c r="R18" i="68" s="1"/>
  <c r="R19" i="68" s="1"/>
  <c r="R20" i="68" s="1"/>
  <c r="R21" i="68" s="1"/>
  <c r="R22" i="68" s="1"/>
  <c r="R23" i="68" s="1"/>
  <c r="R24" i="68" s="1"/>
  <c r="R25" i="68" s="1"/>
  <c r="R26" i="68" s="1"/>
  <c r="R27" i="68" s="1"/>
  <c r="R28" i="68" s="1"/>
  <c r="R29" i="68" s="1"/>
  <c r="R30" i="68" s="1"/>
  <c r="R31" i="68" s="1"/>
  <c r="R32" i="68" s="1"/>
  <c r="R33" i="68" s="1"/>
  <c r="R34" i="68" s="1"/>
  <c r="R35" i="68" s="1"/>
  <c r="R36" i="68" s="1"/>
  <c r="R37" i="68" s="1"/>
  <c r="R38" i="68" s="1"/>
  <c r="R39" i="68" s="1"/>
  <c r="R40" i="68" s="1"/>
  <c r="R41" i="68" s="1"/>
  <c r="R42" i="68" s="1"/>
  <c r="R43" i="68" s="1"/>
  <c r="R44" i="68" s="1"/>
  <c r="R45" i="68" s="1"/>
  <c r="R46" i="68" s="1"/>
  <c r="R47" i="68" s="1"/>
  <c r="R48" i="68" s="1"/>
  <c r="R49" i="68" s="1"/>
  <c r="R50" i="68" s="1"/>
  <c r="R51" i="68" s="1"/>
  <c r="R52" i="68" s="1"/>
  <c r="R53" i="68" s="1"/>
  <c r="R54" i="68" s="1"/>
  <c r="R55" i="68" s="1"/>
  <c r="R56" i="68" s="1"/>
  <c r="R57" i="68" s="1"/>
  <c r="R58" i="68" s="1"/>
  <c r="R59" i="68" s="1"/>
  <c r="R60" i="68" s="1"/>
  <c r="R61" i="68" s="1"/>
  <c r="R62" i="68" s="1"/>
  <c r="R63" i="68" s="1"/>
  <c r="U4" i="69"/>
  <c r="P6" i="72"/>
  <c r="P7" i="72"/>
  <c r="P8" i="72" s="1"/>
  <c r="P9" i="72" s="1"/>
  <c r="P10" i="72" s="1"/>
  <c r="P11" i="72" s="1"/>
  <c r="P12" i="72" s="1"/>
  <c r="P13" i="72" s="1"/>
  <c r="P14" i="72" s="1"/>
  <c r="P15" i="72" s="1"/>
  <c r="P16" i="72" s="1"/>
  <c r="P17" i="72" s="1"/>
  <c r="P18" i="72" s="1"/>
  <c r="P19" i="72" s="1"/>
  <c r="P20" i="72" s="1"/>
  <c r="P21" i="72" s="1"/>
  <c r="P22" i="72" s="1"/>
  <c r="P23" i="72" s="1"/>
  <c r="P24" i="72" s="1"/>
  <c r="P25" i="72" s="1"/>
  <c r="P26" i="72" s="1"/>
  <c r="P27" i="72" s="1"/>
  <c r="P28" i="72" s="1"/>
  <c r="P29" i="72" s="1"/>
  <c r="P30" i="72" s="1"/>
  <c r="P31" i="72" s="1"/>
  <c r="P32" i="72" s="1"/>
  <c r="P33" i="72" s="1"/>
  <c r="P34" i="72" s="1"/>
  <c r="P35" i="72" s="1"/>
  <c r="P36" i="72" s="1"/>
  <c r="P37" i="72" s="1"/>
  <c r="P38" i="72" s="1"/>
  <c r="P39" i="72" s="1"/>
  <c r="P40" i="72" s="1"/>
  <c r="P41" i="72" s="1"/>
  <c r="P42" i="72" s="1"/>
  <c r="P43" i="72" s="1"/>
  <c r="P44" i="72" s="1"/>
  <c r="P45" i="72" s="1"/>
  <c r="P46" i="72" s="1"/>
  <c r="P47" i="72" s="1"/>
  <c r="P48" i="72" s="1"/>
  <c r="P49" i="72" s="1"/>
  <c r="P50" i="72" s="1"/>
  <c r="P51" i="72" s="1"/>
  <c r="P52" i="72" s="1"/>
  <c r="P53" i="72" s="1"/>
  <c r="P54" i="72" s="1"/>
  <c r="P55" i="72" s="1"/>
  <c r="P56" i="72" s="1"/>
  <c r="P57" i="72" s="1"/>
  <c r="P58" i="72" s="1"/>
  <c r="P59" i="72" s="1"/>
  <c r="P60" i="72" s="1"/>
  <c r="P61" i="72" s="1"/>
  <c r="P62" i="72" s="1"/>
  <c r="P63" i="72" s="1"/>
  <c r="Q5" i="72"/>
  <c r="U5" i="72" s="1"/>
  <c r="P3" i="52"/>
  <c r="P4" i="52" s="1"/>
  <c r="P5" i="52" s="1"/>
  <c r="P6" i="52" s="1"/>
  <c r="P7" i="52" s="1"/>
  <c r="P8" i="52" s="1"/>
  <c r="P9" i="52" s="1"/>
  <c r="P10" i="52" s="1"/>
  <c r="P11" i="52" s="1"/>
  <c r="P12" i="52" s="1"/>
  <c r="P13" i="52" s="1"/>
  <c r="C3" i="52"/>
  <c r="C4" i="52" s="1"/>
  <c r="C5" i="52" s="1"/>
  <c r="C6" i="52" s="1"/>
  <c r="C7" i="52" s="1"/>
  <c r="C8" i="52" s="1"/>
  <c r="C9" i="52" s="1"/>
  <c r="C10" i="52" s="1"/>
  <c r="C11" i="52" s="1"/>
  <c r="C12" i="52" s="1"/>
  <c r="C13" i="52" s="1"/>
  <c r="C14" i="52" s="1"/>
  <c r="C15" i="52" s="1"/>
  <c r="C16" i="52" s="1"/>
  <c r="C17" i="52" s="1"/>
  <c r="C18" i="52" s="1"/>
  <c r="C19" i="52" s="1"/>
  <c r="C20" i="52" s="1"/>
  <c r="C21" i="52" s="1"/>
  <c r="C22" i="52" s="1"/>
  <c r="C23" i="52" s="1"/>
  <c r="C24" i="52" s="1"/>
  <c r="C25" i="52" s="1"/>
  <c r="C26" i="52" s="1"/>
  <c r="C27" i="52" s="1"/>
  <c r="C28" i="52" s="1"/>
  <c r="C29" i="52" s="1"/>
  <c r="C30" i="52" s="1"/>
  <c r="C31" i="52" s="1"/>
  <c r="C32" i="52" s="1"/>
  <c r="C33" i="52" s="1"/>
  <c r="C34" i="52" s="1"/>
  <c r="C35" i="52" s="1"/>
  <c r="C36" i="52" s="1"/>
  <c r="C37" i="52" s="1"/>
  <c r="C38" i="52" s="1"/>
  <c r="C39" i="52" s="1"/>
  <c r="C40" i="52" s="1"/>
  <c r="C41" i="52" s="1"/>
  <c r="C42" i="52" s="1"/>
  <c r="C43" i="52" s="1"/>
  <c r="C44" i="52" s="1"/>
  <c r="C45" i="52" s="1"/>
  <c r="C46" i="52" s="1"/>
  <c r="C47" i="52" s="1"/>
  <c r="C48" i="52" s="1"/>
  <c r="C49" i="52" s="1"/>
  <c r="C50" i="52" s="1"/>
  <c r="C51" i="52" s="1"/>
  <c r="C52" i="52" s="1"/>
  <c r="C53" i="52" s="1"/>
  <c r="C54" i="52" s="1"/>
  <c r="C55" i="52" s="1"/>
  <c r="C56" i="52" s="1"/>
  <c r="C57" i="52" s="1"/>
  <c r="C58" i="52" s="1"/>
  <c r="C59" i="52" s="1"/>
  <c r="C60" i="52" s="1"/>
  <c r="C61" i="52" s="1"/>
  <c r="C62" i="52" s="1"/>
  <c r="C63" i="52" s="1"/>
  <c r="C64" i="52" s="1"/>
  <c r="C65" i="52" s="1"/>
  <c r="C66" i="52" s="1"/>
  <c r="C67" i="52" s="1"/>
  <c r="C68" i="52" s="1"/>
  <c r="C69" i="52" s="1"/>
  <c r="C70" i="52" s="1"/>
  <c r="C71" i="52" s="1"/>
  <c r="C72" i="52" s="1"/>
  <c r="C73" i="52" s="1"/>
  <c r="C74" i="52" s="1"/>
  <c r="C75" i="52" s="1"/>
  <c r="C76" i="52" s="1"/>
  <c r="C77" i="52" s="1"/>
  <c r="C78" i="52" s="1"/>
  <c r="C79" i="52" s="1"/>
  <c r="C80" i="52" s="1"/>
  <c r="C81" i="52" s="1"/>
  <c r="C82" i="52" s="1"/>
  <c r="C83" i="52" s="1"/>
  <c r="C84" i="52" s="1"/>
  <c r="C85" i="52" s="1"/>
  <c r="C86" i="52" s="1"/>
  <c r="C87" i="52" s="1"/>
  <c r="C88" i="52" s="1"/>
  <c r="C89" i="52" s="1"/>
  <c r="C90" i="52" s="1"/>
  <c r="C91" i="52" s="1"/>
  <c r="C92" i="52" s="1"/>
  <c r="C93" i="52" s="1"/>
  <c r="C94" i="52" s="1"/>
  <c r="C95" i="52" s="1"/>
  <c r="C96" i="52" s="1"/>
  <c r="C97" i="52" s="1"/>
  <c r="C98" i="52" s="1"/>
  <c r="C99" i="52" s="1"/>
  <c r="C100" i="52" s="1"/>
  <c r="C101" i="52" s="1"/>
  <c r="C102" i="52" s="1"/>
  <c r="C103" i="52" s="1"/>
  <c r="C104" i="52" s="1"/>
  <c r="C105" i="52" s="1"/>
  <c r="C106" i="52" s="1"/>
  <c r="C107" i="52" s="1"/>
  <c r="C108" i="52" s="1"/>
  <c r="C109" i="52" s="1"/>
  <c r="C110" i="52" s="1"/>
  <c r="C111" i="52" s="1"/>
  <c r="C112" i="52" s="1"/>
  <c r="C113" i="52" s="1"/>
  <c r="C114" i="52" s="1"/>
  <c r="C115" i="52" s="1"/>
  <c r="C116" i="52" s="1"/>
  <c r="C117" i="52" s="1"/>
  <c r="C118" i="52" s="1"/>
  <c r="C119" i="52" s="1"/>
  <c r="C120" i="52" s="1"/>
  <c r="C121" i="52" s="1"/>
  <c r="C122" i="52" s="1"/>
  <c r="C123" i="52" s="1"/>
  <c r="C124" i="52" s="1"/>
  <c r="C125" i="52" s="1"/>
  <c r="C126" i="52" s="1"/>
  <c r="C127" i="52" s="1"/>
  <c r="C128" i="52" s="1"/>
  <c r="C129" i="52" s="1"/>
  <c r="C130" i="52" s="1"/>
  <c r="C131" i="52" s="1"/>
  <c r="C132" i="52" s="1"/>
  <c r="C133" i="52" s="1"/>
  <c r="C134" i="52" s="1"/>
  <c r="C135" i="52" s="1"/>
  <c r="C136" i="52" s="1"/>
  <c r="C137" i="52" s="1"/>
  <c r="C138" i="52" s="1"/>
  <c r="C139" i="52" s="1"/>
  <c r="C140" i="52" s="1"/>
  <c r="C141" i="52" s="1"/>
  <c r="C142" i="52" s="1"/>
  <c r="C143" i="52" s="1"/>
  <c r="C144" i="52" s="1"/>
  <c r="C145" i="52" s="1"/>
  <c r="C146" i="52" s="1"/>
  <c r="C147" i="52" s="1"/>
  <c r="C148" i="52" s="1"/>
  <c r="C149" i="52" s="1"/>
  <c r="C150" i="52" s="1"/>
  <c r="C151" i="52" s="1"/>
  <c r="C152" i="52" s="1"/>
  <c r="C153" i="52" s="1"/>
  <c r="C154" i="52" s="1"/>
  <c r="C155" i="52" s="1"/>
  <c r="C156" i="52" s="1"/>
  <c r="C157" i="52" s="1"/>
  <c r="C158" i="52" s="1"/>
  <c r="C159" i="52" s="1"/>
  <c r="C160" i="52" s="1"/>
  <c r="C161" i="52" s="1"/>
  <c r="C162" i="52" s="1"/>
  <c r="C163" i="52" s="1"/>
  <c r="C164" i="52" s="1"/>
  <c r="C165" i="52" s="1"/>
  <c r="C166" i="52" s="1"/>
  <c r="C167" i="52" s="1"/>
  <c r="C168" i="52" s="1"/>
  <c r="C169" i="52" s="1"/>
  <c r="C170" i="52" s="1"/>
  <c r="C171" i="52" s="1"/>
  <c r="C172" i="52" s="1"/>
  <c r="C173" i="52" s="1"/>
  <c r="C174" i="52" s="1"/>
  <c r="C175" i="52" s="1"/>
  <c r="C176" i="52" s="1"/>
  <c r="C177" i="52" s="1"/>
  <c r="C178" i="52" s="1"/>
  <c r="C179" i="52" s="1"/>
  <c r="C180" i="52" s="1"/>
  <c r="C181" i="52" s="1"/>
  <c r="C182" i="52" s="1"/>
  <c r="C183" i="52" s="1"/>
  <c r="C184" i="52" s="1"/>
  <c r="C185" i="52" s="1"/>
  <c r="C186" i="52" s="1"/>
  <c r="C187" i="52" s="1"/>
  <c r="C188" i="52" s="1"/>
  <c r="C189" i="52" s="1"/>
  <c r="C190" i="52" s="1"/>
  <c r="C191" i="52" s="1"/>
  <c r="C192" i="52" s="1"/>
  <c r="C193" i="52" s="1"/>
  <c r="C194" i="52" s="1"/>
  <c r="C195" i="52" s="1"/>
  <c r="C196" i="52" s="1"/>
  <c r="C197" i="52" s="1"/>
  <c r="C198" i="52" s="1"/>
  <c r="C199" i="52" s="1"/>
  <c r="C200" i="52" s="1"/>
  <c r="C201" i="52" s="1"/>
  <c r="C202" i="52" s="1"/>
  <c r="C203" i="52" s="1"/>
  <c r="C204" i="52" s="1"/>
  <c r="C205" i="52" s="1"/>
  <c r="C206" i="52" s="1"/>
  <c r="C207" i="52" s="1"/>
  <c r="C208" i="52" s="1"/>
  <c r="C209" i="52" s="1"/>
  <c r="C210" i="52" s="1"/>
  <c r="C211" i="52" s="1"/>
  <c r="C212" i="52" s="1"/>
  <c r="C213" i="52" s="1"/>
  <c r="C214" i="52" s="1"/>
  <c r="C215" i="52" s="1"/>
  <c r="C216" i="52" s="1"/>
  <c r="C217" i="52" s="1"/>
  <c r="C218" i="52" s="1"/>
  <c r="C219" i="52" s="1"/>
  <c r="C220" i="52" s="1"/>
  <c r="C221" i="52" s="1"/>
  <c r="C222" i="52" s="1"/>
  <c r="C223" i="52" s="1"/>
  <c r="C224" i="52" s="1"/>
  <c r="C225" i="52" s="1"/>
  <c r="C226" i="52" s="1"/>
  <c r="C227" i="52" s="1"/>
  <c r="C228" i="52" s="1"/>
  <c r="C229" i="52" s="1"/>
  <c r="C230" i="52" s="1"/>
  <c r="C231" i="52" s="1"/>
  <c r="C232" i="52" s="1"/>
  <c r="C233" i="52" s="1"/>
  <c r="C234" i="52" s="1"/>
  <c r="C235" i="52" s="1"/>
  <c r="C236" i="52" s="1"/>
  <c r="C237" i="52" s="1"/>
  <c r="C238" i="52" s="1"/>
  <c r="C239" i="52" s="1"/>
  <c r="C240" i="52" s="1"/>
  <c r="C241" i="52" s="1"/>
  <c r="C242" i="52" s="1"/>
  <c r="C243" i="52" s="1"/>
  <c r="C244" i="52" s="1"/>
  <c r="C245" i="52" s="1"/>
  <c r="C246" i="52" s="1"/>
  <c r="C247" i="52" s="1"/>
  <c r="C248" i="52" s="1"/>
  <c r="C249" i="52" s="1"/>
  <c r="C250" i="52" s="1"/>
  <c r="C251" i="52" s="1"/>
  <c r="C252" i="52" s="1"/>
  <c r="C253" i="52" s="1"/>
  <c r="C254" i="52" s="1"/>
  <c r="C255" i="52" s="1"/>
  <c r="C256" i="52" s="1"/>
  <c r="C257" i="52" s="1"/>
  <c r="C258" i="52" s="1"/>
  <c r="C259" i="52" s="1"/>
  <c r="C260" i="52" s="1"/>
  <c r="C261" i="52" s="1"/>
  <c r="C262" i="52" s="1"/>
  <c r="C263" i="52" s="1"/>
  <c r="C264" i="52" s="1"/>
  <c r="C265" i="52" s="1"/>
  <c r="C266" i="52" s="1"/>
  <c r="C267" i="52" s="1"/>
  <c r="C268" i="52" s="1"/>
  <c r="C269" i="52" s="1"/>
  <c r="C270" i="52" s="1"/>
  <c r="C271" i="52" s="1"/>
  <c r="C272" i="52" s="1"/>
  <c r="C273" i="52" s="1"/>
  <c r="C274" i="52" s="1"/>
  <c r="C275" i="52" s="1"/>
  <c r="C276" i="52" s="1"/>
  <c r="C277" i="52" s="1"/>
  <c r="C278" i="52" s="1"/>
  <c r="C279" i="52" s="1"/>
  <c r="C280" i="52" s="1"/>
  <c r="C281" i="52" s="1"/>
  <c r="C282" i="52" s="1"/>
  <c r="C283" i="52" s="1"/>
  <c r="C284" i="52" s="1"/>
  <c r="C285" i="52" s="1"/>
  <c r="C286" i="52" s="1"/>
  <c r="C287" i="52" s="1"/>
  <c r="C288" i="52" s="1"/>
  <c r="C289" i="52" s="1"/>
  <c r="C290" i="52" s="1"/>
  <c r="C291" i="52" s="1"/>
  <c r="C292" i="52" s="1"/>
  <c r="C293" i="52" s="1"/>
  <c r="C294" i="52" s="1"/>
  <c r="C295" i="52" s="1"/>
  <c r="C296" i="52" s="1"/>
  <c r="C297" i="52" s="1"/>
  <c r="C298" i="52" s="1"/>
  <c r="C299" i="52" s="1"/>
  <c r="C300" i="52" s="1"/>
  <c r="C301" i="52" s="1"/>
  <c r="C302" i="52" s="1"/>
  <c r="C303" i="52" s="1"/>
  <c r="C304" i="52" s="1"/>
  <c r="C305" i="52" s="1"/>
  <c r="C306" i="52" s="1"/>
  <c r="C307" i="52" s="1"/>
  <c r="C308" i="52" s="1"/>
  <c r="C309" i="52" s="1"/>
  <c r="C310" i="52" s="1"/>
  <c r="C311" i="52" s="1"/>
  <c r="C312" i="52" s="1"/>
  <c r="C313" i="52" s="1"/>
  <c r="C314" i="52" s="1"/>
  <c r="C315" i="52" s="1"/>
  <c r="C316" i="52" s="1"/>
  <c r="C317" i="52" s="1"/>
  <c r="C318" i="52" s="1"/>
  <c r="C319" i="52" s="1"/>
  <c r="C320" i="52" s="1"/>
  <c r="C321" i="52" s="1"/>
  <c r="C322" i="52" s="1"/>
  <c r="C323" i="52" s="1"/>
  <c r="C324" i="52" s="1"/>
  <c r="C325" i="52" s="1"/>
  <c r="C326" i="52" s="1"/>
  <c r="C327" i="52" s="1"/>
  <c r="C328" i="52" s="1"/>
  <c r="C329" i="52" s="1"/>
  <c r="C330" i="52" s="1"/>
  <c r="C331" i="52" s="1"/>
  <c r="C332" i="52" s="1"/>
  <c r="C333" i="52" s="1"/>
  <c r="C334" i="52" s="1"/>
  <c r="C335" i="52" s="1"/>
  <c r="C336" i="52" s="1"/>
  <c r="C337" i="52" s="1"/>
  <c r="C338" i="52" s="1"/>
  <c r="C339" i="52" s="1"/>
  <c r="C340" i="52" s="1"/>
  <c r="C341" i="52" s="1"/>
  <c r="C342" i="52" s="1"/>
  <c r="C343" i="52" s="1"/>
  <c r="C344" i="52" s="1"/>
  <c r="C345" i="52" s="1"/>
  <c r="C346" i="52" s="1"/>
  <c r="C347" i="52" s="1"/>
  <c r="C348" i="52" s="1"/>
  <c r="C349" i="52" s="1"/>
  <c r="C350" i="52" s="1"/>
  <c r="C351" i="52" s="1"/>
  <c r="C352" i="52" s="1"/>
  <c r="C353" i="52" s="1"/>
  <c r="C354" i="52" s="1"/>
  <c r="C355" i="52" s="1"/>
  <c r="C356" i="52" s="1"/>
  <c r="C357" i="52" s="1"/>
  <c r="C358" i="52" s="1"/>
  <c r="C359" i="52" s="1"/>
  <c r="C360" i="52" s="1"/>
  <c r="C361" i="52" s="1"/>
  <c r="C362" i="52" s="1"/>
  <c r="C363" i="52" s="1"/>
  <c r="C364" i="52" s="1"/>
  <c r="C365" i="52" s="1"/>
  <c r="C366" i="52" s="1"/>
  <c r="C367" i="52" s="1"/>
  <c r="C368" i="52" s="1"/>
  <c r="C369" i="52" s="1"/>
  <c r="C370" i="52" s="1"/>
  <c r="C371" i="52" s="1"/>
  <c r="C372" i="52" s="1"/>
  <c r="C373" i="52" s="1"/>
  <c r="C374" i="52" s="1"/>
  <c r="C375" i="52" s="1"/>
  <c r="C376" i="52" s="1"/>
  <c r="C377" i="52" s="1"/>
  <c r="C378" i="52" s="1"/>
  <c r="C379" i="52" s="1"/>
  <c r="C380" i="52" s="1"/>
  <c r="C381" i="52" s="1"/>
  <c r="C382" i="52" s="1"/>
  <c r="C383" i="52" s="1"/>
  <c r="C384" i="52" s="1"/>
  <c r="C385" i="52" s="1"/>
  <c r="C386" i="52" s="1"/>
  <c r="C387" i="52" s="1"/>
  <c r="C388" i="52" s="1"/>
  <c r="C389" i="52" s="1"/>
  <c r="C390" i="52" s="1"/>
  <c r="C391" i="52" s="1"/>
  <c r="C392" i="52" s="1"/>
  <c r="C393" i="52" s="1"/>
  <c r="C394" i="52" s="1"/>
  <c r="C395" i="52" s="1"/>
  <c r="C396" i="52" s="1"/>
  <c r="C397" i="52" s="1"/>
  <c r="C398" i="52" s="1"/>
  <c r="C399" i="52" s="1"/>
  <c r="C400" i="52" s="1"/>
  <c r="C401" i="52" s="1"/>
  <c r="C402" i="52" s="1"/>
  <c r="C403" i="52" s="1"/>
  <c r="C404" i="52" s="1"/>
  <c r="C405" i="52" s="1"/>
  <c r="C406" i="52" s="1"/>
  <c r="C407" i="52" s="1"/>
  <c r="C408" i="52" s="1"/>
  <c r="C409" i="52" s="1"/>
  <c r="C410" i="52" s="1"/>
  <c r="C411" i="52" s="1"/>
  <c r="C412" i="52" s="1"/>
  <c r="C413" i="52" s="1"/>
  <c r="C414" i="52" s="1"/>
  <c r="C415" i="52" s="1"/>
  <c r="C416" i="52" s="1"/>
  <c r="C417" i="52" s="1"/>
  <c r="C418" i="52" s="1"/>
  <c r="C419" i="52" s="1"/>
  <c r="C420" i="52" s="1"/>
  <c r="C421" i="52" s="1"/>
  <c r="C422" i="52" s="1"/>
  <c r="C423" i="52" s="1"/>
  <c r="C424" i="52" s="1"/>
  <c r="C425" i="52" s="1"/>
  <c r="C426" i="52" s="1"/>
  <c r="C427" i="52" s="1"/>
  <c r="C428" i="52" s="1"/>
  <c r="C429" i="52" s="1"/>
  <c r="C430" i="52" s="1"/>
  <c r="C431" i="52" s="1"/>
  <c r="C432" i="52" s="1"/>
  <c r="C433" i="52" s="1"/>
  <c r="C434" i="52" s="1"/>
  <c r="C435" i="52" s="1"/>
  <c r="C436" i="52" s="1"/>
  <c r="C437" i="52" s="1"/>
  <c r="C438" i="52" s="1"/>
  <c r="C439" i="52" s="1"/>
  <c r="C440" i="52" s="1"/>
  <c r="C441" i="52" s="1"/>
  <c r="C442" i="52" s="1"/>
  <c r="C443" i="52" s="1"/>
  <c r="C444" i="52" s="1"/>
  <c r="C445" i="52" s="1"/>
  <c r="C446" i="52" s="1"/>
  <c r="C447" i="52" s="1"/>
  <c r="C448" i="52" s="1"/>
  <c r="C449" i="52" s="1"/>
  <c r="C450" i="52" s="1"/>
  <c r="C451" i="52" s="1"/>
  <c r="C452" i="52" s="1"/>
  <c r="C453" i="52" s="1"/>
  <c r="C454" i="52" s="1"/>
  <c r="C455" i="52" s="1"/>
  <c r="C456" i="52" s="1"/>
  <c r="C457" i="52" s="1"/>
  <c r="C458" i="52" s="1"/>
  <c r="C459" i="52" s="1"/>
  <c r="C460" i="52" s="1"/>
  <c r="C461" i="52" s="1"/>
  <c r="C462" i="52" s="1"/>
  <c r="C463" i="52" s="1"/>
  <c r="C464" i="52" s="1"/>
  <c r="C465" i="52" s="1"/>
  <c r="C466" i="52" s="1"/>
  <c r="C467" i="52" s="1"/>
  <c r="C468" i="52" s="1"/>
  <c r="C469" i="52" s="1"/>
  <c r="C470" i="52" s="1"/>
  <c r="C471" i="52" s="1"/>
  <c r="C472" i="52" s="1"/>
  <c r="C473" i="52" s="1"/>
  <c r="C474" i="52" s="1"/>
  <c r="C475" i="52" s="1"/>
  <c r="C476" i="52" s="1"/>
  <c r="C477" i="52" s="1"/>
  <c r="C478" i="52" s="1"/>
  <c r="C479" i="52" s="1"/>
  <c r="C480" i="52" s="1"/>
  <c r="C481" i="52" s="1"/>
  <c r="C482" i="52" s="1"/>
  <c r="C483" i="52" s="1"/>
  <c r="C484" i="52" s="1"/>
  <c r="C485" i="52" s="1"/>
  <c r="C486" i="52" s="1"/>
  <c r="C487" i="52" s="1"/>
  <c r="C488" i="52" s="1"/>
  <c r="C489" i="52" s="1"/>
  <c r="C490" i="52" s="1"/>
  <c r="C491" i="52" s="1"/>
  <c r="C492" i="52" s="1"/>
  <c r="C493" i="52" s="1"/>
  <c r="C494" i="52" s="1"/>
  <c r="C495" i="52" s="1"/>
  <c r="C496" i="52" s="1"/>
  <c r="C497" i="52" s="1"/>
  <c r="C498" i="52" s="1"/>
  <c r="C499" i="52" s="1"/>
  <c r="C500" i="52" s="1"/>
  <c r="C501" i="52" s="1"/>
  <c r="C502" i="52" s="1"/>
  <c r="C503" i="52" s="1"/>
  <c r="C504" i="52" s="1"/>
  <c r="C505" i="52" s="1"/>
  <c r="C506" i="52" s="1"/>
  <c r="C507" i="52" s="1"/>
  <c r="C508" i="52" s="1"/>
  <c r="C509" i="52" s="1"/>
  <c r="C510" i="52" s="1"/>
  <c r="C511" i="52" s="1"/>
  <c r="C512" i="52" s="1"/>
  <c r="C513" i="52" s="1"/>
  <c r="C514" i="52" s="1"/>
  <c r="C515" i="52" s="1"/>
  <c r="C516" i="52" s="1"/>
  <c r="C517" i="52" s="1"/>
  <c r="C518" i="52" s="1"/>
  <c r="C519" i="52" s="1"/>
  <c r="C520" i="52" s="1"/>
  <c r="C521" i="52" s="1"/>
  <c r="C522" i="52" s="1"/>
  <c r="C523" i="52" s="1"/>
  <c r="C524" i="52" s="1"/>
  <c r="C525" i="52" s="1"/>
  <c r="C526" i="52" s="1"/>
  <c r="C527" i="52" s="1"/>
  <c r="C528" i="52" s="1"/>
  <c r="C529" i="52" s="1"/>
  <c r="C530" i="52" s="1"/>
  <c r="C531" i="52" s="1"/>
  <c r="C532" i="52" s="1"/>
  <c r="C533" i="52" s="1"/>
  <c r="C534" i="52" s="1"/>
  <c r="C535" i="52" s="1"/>
  <c r="C536" i="52" s="1"/>
  <c r="C537" i="52" s="1"/>
  <c r="C538" i="52" s="1"/>
  <c r="C539" i="52" s="1"/>
  <c r="C540" i="52" s="1"/>
  <c r="C541" i="52" s="1"/>
  <c r="C542" i="52" s="1"/>
  <c r="C543" i="52" s="1"/>
  <c r="C544" i="52" s="1"/>
  <c r="C545" i="52" s="1"/>
  <c r="C546" i="52" s="1"/>
  <c r="C547" i="52" s="1"/>
  <c r="C548" i="52" s="1"/>
  <c r="C549" i="52" s="1"/>
  <c r="C550" i="52" s="1"/>
  <c r="C551" i="52" s="1"/>
  <c r="C552" i="52" s="1"/>
  <c r="C553" i="52" s="1"/>
  <c r="C554" i="52" s="1"/>
  <c r="C555" i="52" s="1"/>
  <c r="C556" i="52" s="1"/>
  <c r="C557" i="52" s="1"/>
  <c r="C558" i="52" s="1"/>
  <c r="C559" i="52" s="1"/>
  <c r="C560" i="52" s="1"/>
  <c r="C561" i="52" s="1"/>
  <c r="C562" i="52" s="1"/>
  <c r="C563" i="52" s="1"/>
  <c r="C564" i="52" s="1"/>
  <c r="C565" i="52" s="1"/>
  <c r="C566" i="52" s="1"/>
  <c r="C567" i="52" s="1"/>
  <c r="C568" i="52" s="1"/>
  <c r="C569" i="52" s="1"/>
  <c r="C570" i="52" s="1"/>
  <c r="C571" i="52" s="1"/>
  <c r="C572" i="52" s="1"/>
  <c r="C573" i="52" s="1"/>
  <c r="C574" i="52" s="1"/>
  <c r="C575" i="52" s="1"/>
  <c r="C576" i="52" s="1"/>
  <c r="C577" i="52" s="1"/>
  <c r="C578" i="52" s="1"/>
  <c r="C579" i="52" s="1"/>
  <c r="C580" i="52" s="1"/>
  <c r="C581" i="52" s="1"/>
  <c r="C582" i="52" s="1"/>
  <c r="C583" i="52" s="1"/>
  <c r="C584" i="52" s="1"/>
  <c r="C585" i="52" s="1"/>
  <c r="C586" i="52" s="1"/>
  <c r="C587" i="52" s="1"/>
  <c r="C588" i="52" s="1"/>
  <c r="C589" i="52" s="1"/>
  <c r="C590" i="52" s="1"/>
  <c r="C591" i="52" s="1"/>
  <c r="C592" i="52" s="1"/>
  <c r="C593" i="52" s="1"/>
  <c r="C594" i="52" s="1"/>
  <c r="C595" i="52" s="1"/>
  <c r="C596" i="52" s="1"/>
  <c r="C597" i="52" s="1"/>
  <c r="C598" i="52" s="1"/>
  <c r="C599" i="52" s="1"/>
  <c r="C600" i="52" s="1"/>
  <c r="C601" i="52" s="1"/>
  <c r="C602" i="52" s="1"/>
  <c r="C603" i="52" s="1"/>
  <c r="C604" i="52" s="1"/>
  <c r="C605" i="52" s="1"/>
  <c r="C606" i="52" s="1"/>
  <c r="C607" i="52" s="1"/>
  <c r="C608" i="52" s="1"/>
  <c r="C609" i="52" s="1"/>
  <c r="C610" i="52" s="1"/>
  <c r="C611" i="52" s="1"/>
  <c r="C612" i="52" s="1"/>
  <c r="C613" i="52" s="1"/>
  <c r="C614" i="52" s="1"/>
  <c r="C615" i="52" s="1"/>
  <c r="C616" i="52" s="1"/>
  <c r="C617" i="52" s="1"/>
  <c r="C618" i="52" s="1"/>
  <c r="C619" i="52" s="1"/>
  <c r="C620" i="52" s="1"/>
  <c r="C621" i="52" s="1"/>
  <c r="C622" i="52" s="1"/>
  <c r="C623" i="52" s="1"/>
  <c r="C624" i="52" s="1"/>
  <c r="C625" i="52" s="1"/>
  <c r="C626" i="52" s="1"/>
  <c r="C627" i="52" s="1"/>
  <c r="C628" i="52" s="1"/>
  <c r="C629" i="52" s="1"/>
  <c r="C630" i="52" s="1"/>
  <c r="C631" i="52" s="1"/>
  <c r="C632" i="52" s="1"/>
  <c r="C633" i="52" s="1"/>
  <c r="C634" i="52" s="1"/>
  <c r="C635" i="52" s="1"/>
  <c r="C636" i="52" s="1"/>
  <c r="C637" i="52" s="1"/>
  <c r="C638" i="52" s="1"/>
  <c r="C639" i="52" s="1"/>
  <c r="C640" i="52" s="1"/>
  <c r="C641" i="52" s="1"/>
  <c r="C642" i="52" s="1"/>
  <c r="C643" i="52" s="1"/>
  <c r="C644" i="52" s="1"/>
  <c r="C645" i="52" s="1"/>
  <c r="C646" i="52" s="1"/>
  <c r="C647" i="52" s="1"/>
  <c r="C648" i="52" s="1"/>
  <c r="C649" i="52" s="1"/>
  <c r="C650" i="52" s="1"/>
  <c r="C651" i="52" s="1"/>
  <c r="C652" i="52" s="1"/>
  <c r="C653" i="52" s="1"/>
  <c r="C654" i="52" s="1"/>
  <c r="C655" i="52" s="1"/>
  <c r="C656" i="52" s="1"/>
  <c r="C657" i="52" s="1"/>
  <c r="C658" i="52" s="1"/>
  <c r="C659" i="52" s="1"/>
  <c r="C660" i="52" s="1"/>
  <c r="C661" i="52" s="1"/>
  <c r="C662" i="52" s="1"/>
  <c r="C663" i="52" s="1"/>
  <c r="C664" i="52" s="1"/>
  <c r="C665" i="52" s="1"/>
  <c r="C666" i="52" s="1"/>
  <c r="C667" i="52" s="1"/>
  <c r="C668" i="52" s="1"/>
  <c r="C669" i="52" s="1"/>
  <c r="C670" i="52" s="1"/>
  <c r="C671" i="52" s="1"/>
  <c r="C672" i="52" s="1"/>
  <c r="C673" i="52" s="1"/>
  <c r="C674" i="52" s="1"/>
  <c r="C675" i="52" s="1"/>
  <c r="C676" i="52" s="1"/>
  <c r="C677" i="52" s="1"/>
  <c r="C678" i="52" s="1"/>
  <c r="C679" i="52" s="1"/>
  <c r="C680" i="52" s="1"/>
  <c r="C681" i="52" s="1"/>
  <c r="C682" i="52" s="1"/>
  <c r="C683" i="52" s="1"/>
  <c r="C684" i="52" s="1"/>
  <c r="C685" i="52" s="1"/>
  <c r="C686" i="52" s="1"/>
  <c r="C687" i="52" s="1"/>
  <c r="C688" i="52" s="1"/>
  <c r="C689" i="52" s="1"/>
  <c r="C690" i="52" s="1"/>
  <c r="C691" i="52" s="1"/>
  <c r="C692" i="52" s="1"/>
  <c r="C693" i="52" s="1"/>
  <c r="C694" i="52" s="1"/>
  <c r="C695" i="52" s="1"/>
  <c r="C696" i="52" s="1"/>
  <c r="C697" i="52" s="1"/>
  <c r="C698" i="52" s="1"/>
  <c r="C699" i="52" s="1"/>
  <c r="C700" i="52" s="1"/>
  <c r="C701" i="52" s="1"/>
  <c r="C702" i="52" s="1"/>
  <c r="C703" i="52" s="1"/>
  <c r="C704" i="52" s="1"/>
  <c r="C705" i="52" s="1"/>
  <c r="C706" i="52" s="1"/>
  <c r="C707" i="52" s="1"/>
  <c r="C708" i="52" s="1"/>
  <c r="C709" i="52" s="1"/>
  <c r="C710" i="52" s="1"/>
  <c r="C711" i="52" s="1"/>
  <c r="C712" i="52" s="1"/>
  <c r="C713" i="52" s="1"/>
  <c r="C714" i="52" s="1"/>
  <c r="C715" i="52" s="1"/>
  <c r="C716" i="52" s="1"/>
  <c r="C717" i="52" s="1"/>
  <c r="C718" i="52" s="1"/>
  <c r="C719" i="52" s="1"/>
  <c r="C720" i="52" s="1"/>
  <c r="C721" i="52" s="1"/>
  <c r="C722" i="52" s="1"/>
  <c r="C723" i="52" s="1"/>
  <c r="C724" i="52" s="1"/>
  <c r="C725" i="52" s="1"/>
  <c r="C726" i="52" s="1"/>
  <c r="C727" i="52" s="1"/>
  <c r="C728" i="52" s="1"/>
  <c r="C729" i="52" s="1"/>
  <c r="C730" i="52" s="1"/>
  <c r="C731" i="52" s="1"/>
  <c r="C732" i="52" s="1"/>
  <c r="C733" i="52" s="1"/>
  <c r="C734" i="52" s="1"/>
  <c r="C735" i="52" s="1"/>
  <c r="C736" i="52" s="1"/>
  <c r="C737" i="52" s="1"/>
  <c r="C738" i="52" s="1"/>
  <c r="C739" i="52" s="1"/>
  <c r="C740" i="52" s="1"/>
  <c r="C741" i="52" s="1"/>
  <c r="C742" i="52" s="1"/>
  <c r="C743" i="52" s="1"/>
  <c r="C744" i="52" s="1"/>
  <c r="C745" i="52" s="1"/>
  <c r="C746" i="52" s="1"/>
  <c r="C747" i="52" s="1"/>
  <c r="C748" i="52" s="1"/>
  <c r="C749" i="52" s="1"/>
  <c r="C750" i="52" s="1"/>
  <c r="C751" i="52" s="1"/>
  <c r="C752" i="52" s="1"/>
  <c r="C753" i="52" s="1"/>
  <c r="C754" i="52" s="1"/>
  <c r="C755" i="52" s="1"/>
  <c r="C756" i="52" s="1"/>
  <c r="C757" i="52" s="1"/>
  <c r="C758" i="52" s="1"/>
  <c r="C759" i="52" s="1"/>
  <c r="C760" i="52" s="1"/>
  <c r="C761" i="52" s="1"/>
  <c r="C762" i="52" s="1"/>
  <c r="C763" i="52" s="1"/>
  <c r="C764" i="52" s="1"/>
  <c r="C765" i="52" s="1"/>
  <c r="C766" i="52" s="1"/>
  <c r="C767" i="52" s="1"/>
  <c r="C768" i="52" s="1"/>
  <c r="C769" i="52" s="1"/>
  <c r="C770" i="52" s="1"/>
  <c r="C771" i="52" s="1"/>
  <c r="C772" i="52" s="1"/>
  <c r="C773" i="52" s="1"/>
  <c r="C774" i="52" s="1"/>
  <c r="C775" i="52" s="1"/>
  <c r="C776" i="52" s="1"/>
  <c r="C777" i="52" s="1"/>
  <c r="C778" i="52" s="1"/>
  <c r="C779" i="52" s="1"/>
  <c r="C780" i="52" s="1"/>
  <c r="C781" i="52" s="1"/>
  <c r="C782" i="52" s="1"/>
  <c r="C783" i="52" s="1"/>
  <c r="C784" i="52" s="1"/>
  <c r="C785" i="52" s="1"/>
  <c r="C786" i="52" s="1"/>
  <c r="C787" i="52" s="1"/>
  <c r="C788" i="52" s="1"/>
  <c r="C789" i="52" s="1"/>
  <c r="C790" i="52" s="1"/>
  <c r="C791" i="52" s="1"/>
  <c r="C792" i="52" s="1"/>
  <c r="C793" i="52" s="1"/>
  <c r="C794" i="52" s="1"/>
  <c r="C795" i="52" s="1"/>
  <c r="C796" i="52" s="1"/>
  <c r="C797" i="52" s="1"/>
  <c r="C798" i="52" s="1"/>
  <c r="C799" i="52" s="1"/>
  <c r="C800" i="52" s="1"/>
  <c r="C801" i="52" s="1"/>
  <c r="C802" i="52" s="1"/>
  <c r="C803" i="52" s="1"/>
  <c r="C804" i="52" s="1"/>
  <c r="C805" i="52" s="1"/>
  <c r="C806" i="52" s="1"/>
  <c r="C807" i="52" s="1"/>
  <c r="C808" i="52" s="1"/>
  <c r="C809" i="52" s="1"/>
  <c r="C810" i="52" s="1"/>
  <c r="C811" i="52" s="1"/>
  <c r="C812" i="52" s="1"/>
  <c r="C813" i="52" s="1"/>
  <c r="C814" i="52" s="1"/>
  <c r="C815" i="52" s="1"/>
  <c r="C816" i="52" s="1"/>
  <c r="C817" i="52" s="1"/>
  <c r="C818" i="52" s="1"/>
  <c r="C819" i="52" s="1"/>
  <c r="C820" i="52" s="1"/>
  <c r="C821" i="52" s="1"/>
  <c r="C822" i="52" s="1"/>
  <c r="C823" i="52" s="1"/>
  <c r="C824" i="52" s="1"/>
  <c r="C825" i="52" s="1"/>
  <c r="C826" i="52" s="1"/>
  <c r="C827" i="52" s="1"/>
  <c r="C828" i="52" s="1"/>
  <c r="C829" i="52" s="1"/>
  <c r="C830" i="52" s="1"/>
  <c r="C831" i="52" s="1"/>
  <c r="C832" i="52" s="1"/>
  <c r="C833" i="52" s="1"/>
  <c r="C834" i="52" s="1"/>
  <c r="C835" i="52" s="1"/>
  <c r="C836" i="52" s="1"/>
  <c r="C837" i="52" s="1"/>
  <c r="C838" i="52" s="1"/>
  <c r="C839" i="52" s="1"/>
  <c r="C840" i="52" s="1"/>
  <c r="C841" i="52" s="1"/>
  <c r="C842" i="52" s="1"/>
  <c r="C843" i="52" s="1"/>
  <c r="C844" i="52" s="1"/>
  <c r="C845" i="52" s="1"/>
  <c r="C846" i="52" s="1"/>
  <c r="C847" i="52" s="1"/>
  <c r="C848" i="52" s="1"/>
  <c r="C849" i="52" s="1"/>
  <c r="C850" i="52" s="1"/>
  <c r="C851" i="52" s="1"/>
  <c r="C852" i="52" s="1"/>
  <c r="C853" i="52" s="1"/>
  <c r="C854" i="52" s="1"/>
  <c r="C855" i="52" s="1"/>
  <c r="C856" i="52" s="1"/>
  <c r="C857" i="52" s="1"/>
  <c r="C858" i="52" s="1"/>
  <c r="C859" i="52" s="1"/>
  <c r="C860" i="52" s="1"/>
  <c r="C861" i="52" s="1"/>
  <c r="C862" i="52" s="1"/>
  <c r="C863" i="52" s="1"/>
  <c r="C864" i="52" s="1"/>
  <c r="C865" i="52" s="1"/>
  <c r="C866" i="52" s="1"/>
  <c r="C867" i="52" s="1"/>
  <c r="C868" i="52" s="1"/>
  <c r="C869" i="52" s="1"/>
  <c r="C870" i="52" s="1"/>
  <c r="C871" i="52" s="1"/>
  <c r="C872" i="52" s="1"/>
  <c r="C873" i="52" s="1"/>
  <c r="C874" i="52" s="1"/>
  <c r="C875" i="52" s="1"/>
  <c r="C876" i="52" s="1"/>
  <c r="C877" i="52" s="1"/>
  <c r="C878" i="52" s="1"/>
  <c r="C879" i="52" s="1"/>
  <c r="C880" i="52" s="1"/>
  <c r="C881" i="52" s="1"/>
  <c r="C882" i="52" s="1"/>
  <c r="C883" i="52" s="1"/>
  <c r="C884" i="52" s="1"/>
  <c r="C885" i="52" s="1"/>
  <c r="C886" i="52" s="1"/>
  <c r="C887" i="52" s="1"/>
  <c r="C888" i="52" s="1"/>
  <c r="C889" i="52" s="1"/>
  <c r="C890" i="52" s="1"/>
  <c r="C891" i="52" s="1"/>
  <c r="C892" i="52" s="1"/>
  <c r="C893" i="52" s="1"/>
  <c r="C894" i="52" s="1"/>
  <c r="C895" i="52" s="1"/>
  <c r="C896" i="52" s="1"/>
  <c r="C897" i="52" s="1"/>
  <c r="C898" i="52" s="1"/>
  <c r="C899" i="52" s="1"/>
  <c r="C900" i="52" s="1"/>
  <c r="C901" i="52" s="1"/>
  <c r="C902" i="52" s="1"/>
  <c r="C903" i="52" s="1"/>
  <c r="C904" i="52" s="1"/>
  <c r="C905" i="52" s="1"/>
  <c r="C906" i="52" s="1"/>
  <c r="C907" i="52" s="1"/>
  <c r="C908" i="52" s="1"/>
  <c r="C909" i="52" s="1"/>
  <c r="C910" i="52" s="1"/>
  <c r="C911" i="52" s="1"/>
  <c r="C912" i="52" s="1"/>
  <c r="C913" i="52" s="1"/>
  <c r="C914" i="52" s="1"/>
  <c r="C915" i="52" s="1"/>
  <c r="C916" i="52" s="1"/>
  <c r="C917" i="52" s="1"/>
  <c r="C918" i="52" s="1"/>
  <c r="C919" i="52" s="1"/>
  <c r="C920" i="52" s="1"/>
  <c r="C921" i="52" s="1"/>
  <c r="C922" i="52" s="1"/>
  <c r="C923" i="52" s="1"/>
  <c r="C924" i="52" s="1"/>
  <c r="C925" i="52" s="1"/>
  <c r="C926" i="52" s="1"/>
  <c r="C927" i="52" s="1"/>
  <c r="C928" i="52" s="1"/>
  <c r="C929" i="52" s="1"/>
  <c r="C930" i="52" s="1"/>
  <c r="C931" i="52" s="1"/>
  <c r="C932" i="52" s="1"/>
  <c r="C933" i="52" s="1"/>
  <c r="C934" i="52" s="1"/>
  <c r="C935" i="52" s="1"/>
  <c r="C936" i="52" s="1"/>
  <c r="C937" i="52" s="1"/>
  <c r="C938" i="52" s="1"/>
  <c r="C939" i="52" s="1"/>
  <c r="C940" i="52" s="1"/>
  <c r="C941" i="52" s="1"/>
  <c r="C942" i="52" s="1"/>
  <c r="C943" i="52" s="1"/>
  <c r="C944" i="52" s="1"/>
  <c r="C945" i="52" s="1"/>
  <c r="C946" i="52" s="1"/>
  <c r="C947" i="52" s="1"/>
  <c r="C948" i="52" s="1"/>
  <c r="C949" i="52" s="1"/>
  <c r="C950" i="52" s="1"/>
  <c r="C951" i="52" s="1"/>
  <c r="C952" i="52" s="1"/>
  <c r="C953" i="52" s="1"/>
  <c r="C954" i="52" s="1"/>
  <c r="C955" i="52" s="1"/>
  <c r="C956" i="52" s="1"/>
  <c r="C957" i="52" s="1"/>
  <c r="C958" i="52" s="1"/>
  <c r="C959" i="52" s="1"/>
  <c r="C960" i="52" s="1"/>
  <c r="C961" i="52" s="1"/>
  <c r="C962" i="52" s="1"/>
  <c r="C963" i="52" s="1"/>
  <c r="C964" i="52" s="1"/>
  <c r="C965" i="52" s="1"/>
  <c r="C966" i="52" s="1"/>
  <c r="C967" i="52" s="1"/>
  <c r="C968" i="52" s="1"/>
  <c r="C969" i="52" s="1"/>
  <c r="C970" i="52" s="1"/>
  <c r="C971" i="52" s="1"/>
  <c r="C972" i="52" s="1"/>
  <c r="C973" i="52" s="1"/>
  <c r="C974" i="52" s="1"/>
  <c r="C975" i="52" s="1"/>
  <c r="C976" i="52" s="1"/>
  <c r="C977" i="52" s="1"/>
  <c r="C978" i="52" s="1"/>
  <c r="C979" i="52" s="1"/>
  <c r="C980" i="52" s="1"/>
  <c r="C981" i="52" s="1"/>
  <c r="C982" i="52" s="1"/>
  <c r="C983" i="52" s="1"/>
  <c r="C984" i="52" s="1"/>
  <c r="C985" i="52" s="1"/>
  <c r="C986" i="52" s="1"/>
  <c r="C987" i="52" s="1"/>
  <c r="C988" i="52" s="1"/>
  <c r="C989" i="52" s="1"/>
  <c r="C990" i="52" s="1"/>
  <c r="C991" i="52" s="1"/>
  <c r="C992" i="52" s="1"/>
  <c r="C993" i="52" s="1"/>
  <c r="C994" i="52" s="1"/>
  <c r="C995" i="52" s="1"/>
  <c r="C996" i="52" s="1"/>
  <c r="C997" i="52" s="1"/>
  <c r="C998" i="52" s="1"/>
  <c r="C999" i="52" s="1"/>
  <c r="C1000" i="52" s="1"/>
  <c r="C1001" i="52" s="1"/>
  <c r="C1002" i="52" s="1"/>
  <c r="C1003" i="52" s="1"/>
  <c r="C1004" i="52" s="1"/>
  <c r="C1005" i="52" s="1"/>
  <c r="C1006" i="52" s="1"/>
  <c r="C1007" i="52" s="1"/>
  <c r="C1008" i="52" s="1"/>
  <c r="C1009" i="52" s="1"/>
  <c r="C1010" i="52" s="1"/>
  <c r="C1011" i="52" s="1"/>
  <c r="C1012" i="52" s="1"/>
  <c r="C1013" i="52" s="1"/>
  <c r="C1014" i="52" s="1"/>
  <c r="C1015" i="52" s="1"/>
  <c r="C1016" i="52" s="1"/>
  <c r="C1017" i="52" s="1"/>
  <c r="C1018" i="52" s="1"/>
  <c r="C1019" i="52" s="1"/>
  <c r="C1020" i="52" s="1"/>
  <c r="C1021" i="52" s="1"/>
  <c r="C1022" i="52" s="1"/>
  <c r="C1023" i="52" s="1"/>
  <c r="C1024" i="52" s="1"/>
  <c r="C1025" i="52" s="1"/>
  <c r="C1026" i="52" s="1"/>
  <c r="C1027" i="52" s="1"/>
  <c r="C1028" i="52" s="1"/>
  <c r="C1029" i="52" s="1"/>
  <c r="C1030" i="52" s="1"/>
  <c r="C1031" i="52" s="1"/>
  <c r="C1032" i="52" s="1"/>
  <c r="C1033" i="52" s="1"/>
  <c r="C1034" i="52" s="1"/>
  <c r="C1035" i="52" s="1"/>
  <c r="C1036" i="52" s="1"/>
  <c r="C1037" i="52" s="1"/>
  <c r="C1038" i="52" s="1"/>
  <c r="C1039" i="52" s="1"/>
  <c r="C1040" i="52" s="1"/>
  <c r="C1041" i="52" s="1"/>
  <c r="C1042" i="52" s="1"/>
  <c r="C1043" i="52" s="1"/>
  <c r="C1044" i="52" s="1"/>
  <c r="C1045" i="52" s="1"/>
  <c r="C1046" i="52" s="1"/>
  <c r="C1047" i="52" s="1"/>
  <c r="C1048" i="52" s="1"/>
  <c r="C1049" i="52" s="1"/>
  <c r="C1050" i="52" s="1"/>
  <c r="C1051" i="52" s="1"/>
  <c r="C1052" i="52" s="1"/>
  <c r="C1053" i="52" s="1"/>
  <c r="C1054" i="52" s="1"/>
  <c r="C1055" i="52" s="1"/>
  <c r="C1056" i="52" s="1"/>
  <c r="C1057" i="52" s="1"/>
  <c r="C1058" i="52" s="1"/>
  <c r="C1059" i="52" s="1"/>
  <c r="C1060" i="52" s="1"/>
  <c r="C1061" i="52" s="1"/>
  <c r="C1062" i="52" s="1"/>
  <c r="C1063" i="52" s="1"/>
  <c r="C1064" i="52" s="1"/>
  <c r="C1065" i="52" s="1"/>
  <c r="C1066" i="52" s="1"/>
  <c r="C1067" i="52" s="1"/>
  <c r="C1068" i="52" s="1"/>
  <c r="C1069" i="52" s="1"/>
  <c r="C1070" i="52" s="1"/>
  <c r="C1071" i="52" s="1"/>
  <c r="C1072" i="52" s="1"/>
  <c r="C1073" i="52" s="1"/>
  <c r="C1074" i="52" s="1"/>
  <c r="C1075" i="52" s="1"/>
  <c r="C1076" i="52" s="1"/>
  <c r="C1077" i="52" s="1"/>
  <c r="C1078" i="52" s="1"/>
  <c r="C1079" i="52" s="1"/>
  <c r="C1080" i="52" s="1"/>
  <c r="C1081" i="52" s="1"/>
  <c r="C1082" i="52" s="1"/>
  <c r="C1083" i="52" s="1"/>
  <c r="C1084" i="52" s="1"/>
  <c r="C1085" i="52" s="1"/>
  <c r="C1086" i="52" s="1"/>
  <c r="C1087" i="52" s="1"/>
  <c r="C1088" i="52" s="1"/>
  <c r="C1089" i="52" s="1"/>
  <c r="C1090" i="52" s="1"/>
  <c r="C1091" i="52" s="1"/>
  <c r="C1092" i="52" s="1"/>
  <c r="C1093" i="52" s="1"/>
  <c r="C1094" i="52" s="1"/>
  <c r="C1095" i="52" s="1"/>
  <c r="C1096" i="52" s="1"/>
  <c r="C1097" i="52" s="1"/>
  <c r="C1098" i="52" s="1"/>
  <c r="C1099" i="52" s="1"/>
  <c r="C1100" i="52" s="1"/>
  <c r="C1101" i="52" s="1"/>
  <c r="C1102" i="52" s="1"/>
  <c r="C1103" i="52" s="1"/>
  <c r="C1104" i="52" s="1"/>
  <c r="C1105" i="52" s="1"/>
  <c r="C1106" i="52" s="1"/>
  <c r="C1107" i="52" s="1"/>
  <c r="C1108" i="52" s="1"/>
  <c r="C1109" i="52" s="1"/>
  <c r="C1110" i="52" s="1"/>
  <c r="C1111" i="52" s="1"/>
  <c r="C1112" i="52" s="1"/>
  <c r="C1113" i="52" s="1"/>
  <c r="C1114" i="52" s="1"/>
  <c r="C1115" i="52" s="1"/>
  <c r="C1116" i="52" s="1"/>
  <c r="C1117" i="52" s="1"/>
  <c r="C1118" i="52" s="1"/>
  <c r="C1119" i="52" s="1"/>
  <c r="C1120" i="52" s="1"/>
  <c r="C1121" i="52" s="1"/>
  <c r="C1122" i="52" s="1"/>
  <c r="C1123" i="52" s="1"/>
  <c r="C1124" i="52" s="1"/>
  <c r="C1125" i="52" s="1"/>
  <c r="C1126" i="52" s="1"/>
  <c r="C1127" i="52" s="1"/>
  <c r="C1128" i="52" s="1"/>
  <c r="C1129" i="52" s="1"/>
  <c r="C1130" i="52" s="1"/>
  <c r="C1131" i="52" s="1"/>
  <c r="C1132" i="52" s="1"/>
  <c r="C1133" i="52" s="1"/>
  <c r="C1134" i="52" s="1"/>
  <c r="C1135" i="52" s="1"/>
  <c r="C1136" i="52" s="1"/>
  <c r="C1137" i="52" s="1"/>
  <c r="C1138" i="52" s="1"/>
  <c r="C1139" i="52" s="1"/>
  <c r="C1140" i="52" s="1"/>
  <c r="C1141" i="52" s="1"/>
  <c r="C1142" i="52" s="1"/>
  <c r="C1143" i="52" s="1"/>
  <c r="C1144" i="52" s="1"/>
  <c r="C1145" i="52" s="1"/>
  <c r="C1146" i="52" s="1"/>
  <c r="C1147" i="52" s="1"/>
  <c r="C1148" i="52" s="1"/>
  <c r="C1149" i="52" s="1"/>
  <c r="C1150" i="52" s="1"/>
  <c r="C1151" i="52" s="1"/>
  <c r="C1152" i="52" s="1"/>
  <c r="C1153" i="52" s="1"/>
  <c r="C1154" i="52" s="1"/>
  <c r="C1155" i="52" s="1"/>
  <c r="C1156" i="52" s="1"/>
  <c r="C1157" i="52" s="1"/>
  <c r="C1158" i="52" s="1"/>
  <c r="C1159" i="52" s="1"/>
  <c r="C1160" i="52" s="1"/>
  <c r="C1161" i="52" s="1"/>
  <c r="C1162" i="52" s="1"/>
  <c r="C1163" i="52" s="1"/>
  <c r="C1164" i="52" s="1"/>
  <c r="C1165" i="52" s="1"/>
  <c r="C1166" i="52" s="1"/>
  <c r="C1167" i="52" s="1"/>
  <c r="C1168" i="52" s="1"/>
  <c r="C1169" i="52" s="1"/>
  <c r="C1170" i="52" s="1"/>
  <c r="C1171" i="52" s="1"/>
  <c r="C1172" i="52" s="1"/>
  <c r="C1173" i="52" s="1"/>
  <c r="C1174" i="52" s="1"/>
  <c r="C1175" i="52" s="1"/>
  <c r="C1176" i="52" s="1"/>
  <c r="C1177" i="52" s="1"/>
  <c r="C1178" i="52" s="1"/>
  <c r="C1179" i="52" s="1"/>
  <c r="C1180" i="52" s="1"/>
  <c r="C1181" i="52" s="1"/>
  <c r="C1182" i="52" s="1"/>
  <c r="C1183" i="52" s="1"/>
  <c r="C1184" i="52" s="1"/>
  <c r="C1185" i="52" s="1"/>
  <c r="C1186" i="52" s="1"/>
  <c r="C1187" i="52" s="1"/>
  <c r="C1188" i="52" s="1"/>
  <c r="C1189" i="52" s="1"/>
  <c r="C1190" i="52" s="1"/>
  <c r="C1191" i="52" s="1"/>
  <c r="C1192" i="52" s="1"/>
  <c r="C1193" i="52" s="1"/>
  <c r="C1194" i="52" s="1"/>
  <c r="C1195" i="52" s="1"/>
  <c r="C1196" i="52" s="1"/>
  <c r="C1197" i="52" s="1"/>
  <c r="C1198" i="52" s="1"/>
  <c r="C1199" i="52" s="1"/>
  <c r="C1200" i="52" s="1"/>
  <c r="C1201" i="52" s="1"/>
  <c r="C1202" i="52" s="1"/>
  <c r="C1203" i="52" s="1"/>
  <c r="C1204" i="52" s="1"/>
  <c r="C1205" i="52" s="1"/>
  <c r="C1206" i="52" s="1"/>
  <c r="C1207" i="52" s="1"/>
  <c r="C1208" i="52" s="1"/>
  <c r="C1209" i="52" s="1"/>
  <c r="C1210" i="52" s="1"/>
  <c r="C1211" i="52" s="1"/>
  <c r="C1212" i="52" s="1"/>
  <c r="C1213" i="52" s="1"/>
  <c r="C1214" i="52" s="1"/>
  <c r="C1215" i="52" s="1"/>
  <c r="C1216" i="52" s="1"/>
  <c r="C1217" i="52" s="1"/>
  <c r="C1218" i="52" s="1"/>
  <c r="C1219" i="52" s="1"/>
  <c r="C1220" i="52" s="1"/>
  <c r="C1221" i="52" s="1"/>
  <c r="C1222" i="52" s="1"/>
  <c r="C1223" i="52" s="1"/>
  <c r="C1224" i="52" s="1"/>
  <c r="C1225" i="52" s="1"/>
  <c r="C1226" i="52" s="1"/>
  <c r="C1227" i="52" s="1"/>
  <c r="C1228" i="52" s="1"/>
  <c r="C1229" i="52" s="1"/>
  <c r="C1230" i="52" s="1"/>
  <c r="C1231" i="52" s="1"/>
  <c r="C1232" i="52" s="1"/>
  <c r="C1233" i="52" s="1"/>
  <c r="C1234" i="52" s="1"/>
  <c r="C1235" i="52" s="1"/>
  <c r="C1236" i="52" s="1"/>
  <c r="C1237" i="52" s="1"/>
  <c r="C1238" i="52" s="1"/>
  <c r="C1239" i="52" s="1"/>
  <c r="C1240" i="52" s="1"/>
  <c r="C1241" i="52" s="1"/>
  <c r="C1242" i="52" s="1"/>
  <c r="C1243" i="52" s="1"/>
  <c r="C1244" i="52" s="1"/>
  <c r="C1245" i="52" s="1"/>
  <c r="C1246" i="52" s="1"/>
  <c r="C1247" i="52" s="1"/>
  <c r="C1248" i="52" s="1"/>
  <c r="C1249" i="52" s="1"/>
  <c r="C1250" i="52" s="1"/>
  <c r="C1251" i="52" s="1"/>
  <c r="C1252" i="52" s="1"/>
  <c r="C1253" i="52" s="1"/>
  <c r="C1254" i="52" s="1"/>
  <c r="C1255" i="52" s="1"/>
  <c r="C1256" i="52" s="1"/>
  <c r="C1257" i="52" s="1"/>
  <c r="C1258" i="52" s="1"/>
  <c r="C1259" i="52" s="1"/>
  <c r="C1260" i="52" s="1"/>
  <c r="C1261" i="52" s="1"/>
  <c r="C1262" i="52" s="1"/>
  <c r="C1263" i="52" s="1"/>
  <c r="C1264" i="52" s="1"/>
  <c r="C1265" i="52" s="1"/>
  <c r="C1266" i="52" s="1"/>
  <c r="C1267" i="52" s="1"/>
  <c r="C1268" i="52" s="1"/>
  <c r="C1269" i="52" s="1"/>
  <c r="C1270" i="52" s="1"/>
  <c r="C1271" i="52" s="1"/>
  <c r="C1272" i="52" s="1"/>
  <c r="C1273" i="52" s="1"/>
  <c r="C1274" i="52" s="1"/>
  <c r="C1275" i="52" s="1"/>
  <c r="C1276" i="52" s="1"/>
  <c r="C1277" i="52" s="1"/>
  <c r="C1278" i="52" s="1"/>
  <c r="C1279" i="52" s="1"/>
  <c r="C1280" i="52" s="1"/>
  <c r="C1281" i="52" s="1"/>
  <c r="C1282" i="52" s="1"/>
  <c r="C1283" i="52" s="1"/>
  <c r="C1284" i="52" s="1"/>
  <c r="C1285" i="52" s="1"/>
  <c r="C1286" i="52" s="1"/>
  <c r="C1287" i="52" s="1"/>
  <c r="C1288" i="52" s="1"/>
  <c r="C1289" i="52" s="1"/>
  <c r="C1290" i="52" s="1"/>
  <c r="C1291" i="52" s="1"/>
  <c r="C1292" i="52" s="1"/>
  <c r="C1293" i="52" s="1"/>
  <c r="C1294" i="52" s="1"/>
  <c r="C1295" i="52" s="1"/>
  <c r="C1296" i="52" s="1"/>
  <c r="C1297" i="52" s="1"/>
  <c r="C1298" i="52" s="1"/>
  <c r="C1299" i="52" s="1"/>
  <c r="C1300" i="52" s="1"/>
  <c r="C1301" i="52" s="1"/>
  <c r="C1302" i="52" s="1"/>
  <c r="C1303" i="52" s="1"/>
  <c r="C1304" i="52" s="1"/>
  <c r="C1305" i="52" s="1"/>
  <c r="C1306" i="52" s="1"/>
  <c r="C1307" i="52" s="1"/>
  <c r="C1308" i="52" s="1"/>
  <c r="C1309" i="52" s="1"/>
  <c r="C1310" i="52" s="1"/>
  <c r="C1311" i="52" s="1"/>
  <c r="C1312" i="52" s="1"/>
  <c r="C1313" i="52" s="1"/>
  <c r="C1314" i="52" s="1"/>
  <c r="C1315" i="52" s="1"/>
  <c r="C1316" i="52" s="1"/>
  <c r="C1317" i="52" s="1"/>
  <c r="C1318" i="52" s="1"/>
  <c r="C1319" i="52" s="1"/>
  <c r="C1320" i="52" s="1"/>
  <c r="C1321" i="52" s="1"/>
  <c r="C1322" i="52" s="1"/>
  <c r="C1323" i="52" s="1"/>
  <c r="C1324" i="52" s="1"/>
  <c r="C1325" i="52" s="1"/>
  <c r="C1326" i="52" s="1"/>
  <c r="C1327" i="52" s="1"/>
  <c r="C1328" i="52" s="1"/>
  <c r="C1329" i="52" s="1"/>
  <c r="C1330" i="52" s="1"/>
  <c r="C1331" i="52" s="1"/>
  <c r="C1332" i="52" s="1"/>
  <c r="C1333" i="52" s="1"/>
  <c r="C1334" i="52" s="1"/>
  <c r="C1335" i="52" s="1"/>
  <c r="C1336" i="52" s="1"/>
  <c r="C1337" i="52" s="1"/>
  <c r="C1338" i="52" s="1"/>
  <c r="C1339" i="52" s="1"/>
  <c r="C1340" i="52" s="1"/>
  <c r="C1341" i="52" s="1"/>
  <c r="C1342" i="52" s="1"/>
  <c r="C1343" i="52" s="1"/>
  <c r="C1344" i="52" s="1"/>
  <c r="C1345" i="52" s="1"/>
  <c r="C1346" i="52" s="1"/>
  <c r="C1347" i="52" s="1"/>
  <c r="C1348" i="52" s="1"/>
  <c r="C1349" i="52" s="1"/>
  <c r="C1350" i="52" s="1"/>
  <c r="C1351" i="52" s="1"/>
  <c r="C1352" i="52" s="1"/>
  <c r="C1353" i="52" s="1"/>
  <c r="C1354" i="52" s="1"/>
  <c r="C1355" i="52" s="1"/>
  <c r="C1356" i="52" s="1"/>
  <c r="C1357" i="52" s="1"/>
  <c r="C1358" i="52" s="1"/>
  <c r="C1359" i="52" s="1"/>
  <c r="C1360" i="52" s="1"/>
  <c r="C1361" i="52" s="1"/>
  <c r="C1362" i="52" s="1"/>
  <c r="C1363" i="52" s="1"/>
  <c r="C1364" i="52" s="1"/>
  <c r="C1365" i="52" s="1"/>
  <c r="C1366" i="52" s="1"/>
  <c r="C1367" i="52" s="1"/>
  <c r="C1368" i="52" s="1"/>
  <c r="C1369" i="52" s="1"/>
  <c r="C1370" i="52" s="1"/>
  <c r="C1371" i="52" s="1"/>
  <c r="C1372" i="52" s="1"/>
  <c r="C1373" i="52" s="1"/>
  <c r="C1374" i="52" s="1"/>
  <c r="C1375" i="52" s="1"/>
  <c r="C1376" i="52" s="1"/>
  <c r="C1377" i="52" s="1"/>
  <c r="C1378" i="52" s="1"/>
  <c r="C1379" i="52" s="1"/>
  <c r="C1380" i="52" s="1"/>
  <c r="C1381" i="52" s="1"/>
  <c r="C1382" i="52" s="1"/>
  <c r="C1383" i="52" s="1"/>
  <c r="C1384" i="52" s="1"/>
  <c r="C1385" i="52" s="1"/>
  <c r="C1386" i="52" s="1"/>
  <c r="C1387" i="52" s="1"/>
  <c r="C1388" i="52" s="1"/>
  <c r="C1389" i="52" s="1"/>
  <c r="C1390" i="52" s="1"/>
  <c r="C1391" i="52" s="1"/>
  <c r="C1392" i="52" s="1"/>
  <c r="C1393" i="52" s="1"/>
  <c r="C1394" i="52" s="1"/>
  <c r="C1395" i="52" s="1"/>
  <c r="C1396" i="52" s="1"/>
  <c r="C1397" i="52" s="1"/>
  <c r="C1398" i="52" s="1"/>
  <c r="C1399" i="52" s="1"/>
  <c r="C1400" i="52" s="1"/>
  <c r="C1401" i="52" s="1"/>
  <c r="C1402" i="52" s="1"/>
  <c r="C1403" i="52" s="1"/>
  <c r="C1404" i="52" s="1"/>
  <c r="C1405" i="52" s="1"/>
  <c r="C1406" i="52" s="1"/>
  <c r="C1407" i="52" s="1"/>
  <c r="C1408" i="52" s="1"/>
  <c r="C1409" i="52" s="1"/>
  <c r="C1410" i="52" s="1"/>
  <c r="C1411" i="52" s="1"/>
  <c r="C1412" i="52" s="1"/>
  <c r="C1413" i="52" s="1"/>
  <c r="C1414" i="52" s="1"/>
  <c r="C1415" i="52" s="1"/>
  <c r="C1416" i="52" s="1"/>
  <c r="C1417" i="52" s="1"/>
  <c r="C1418" i="52" s="1"/>
  <c r="C1419" i="52" s="1"/>
  <c r="C1420" i="52" s="1"/>
  <c r="C1421" i="52" s="1"/>
  <c r="C1422" i="52" s="1"/>
  <c r="C1423" i="52" s="1"/>
  <c r="C1424" i="52" s="1"/>
  <c r="C1425" i="52" s="1"/>
  <c r="C1426" i="52" s="1"/>
  <c r="C1427" i="52" s="1"/>
  <c r="C1428" i="52" s="1"/>
  <c r="C1429" i="52" s="1"/>
  <c r="C1430" i="52" s="1"/>
  <c r="C1431" i="52" s="1"/>
  <c r="C1432" i="52" s="1"/>
  <c r="C1433" i="52" s="1"/>
  <c r="C1434" i="52" s="1"/>
  <c r="C1435" i="52" s="1"/>
  <c r="C1436" i="52" s="1"/>
  <c r="C1437" i="52" s="1"/>
  <c r="C1438" i="52" s="1"/>
  <c r="C1439" i="52" s="1"/>
  <c r="C1440" i="52" s="1"/>
  <c r="C1441" i="52" s="1"/>
  <c r="C1442" i="52" s="1"/>
  <c r="C1443" i="52" s="1"/>
  <c r="C1444" i="52" s="1"/>
  <c r="C1445" i="52" s="1"/>
  <c r="C1446" i="52" s="1"/>
  <c r="C1447" i="52" s="1"/>
  <c r="C1448" i="52" s="1"/>
  <c r="C1449" i="52" s="1"/>
  <c r="C1450" i="52" s="1"/>
  <c r="C1451" i="52" s="1"/>
  <c r="C1452" i="52" s="1"/>
  <c r="C1453" i="52" s="1"/>
  <c r="C1454" i="52" s="1"/>
  <c r="C1455" i="52" s="1"/>
  <c r="C1456" i="52" s="1"/>
  <c r="C1457" i="52" s="1"/>
  <c r="C1458" i="52" s="1"/>
  <c r="C1459" i="52" s="1"/>
  <c r="C1460" i="52" s="1"/>
  <c r="C1461" i="52" s="1"/>
  <c r="C1462" i="52" s="1"/>
  <c r="C1463" i="52" s="1"/>
  <c r="C1464" i="52" s="1"/>
  <c r="C1465" i="52" s="1"/>
  <c r="C1466" i="52" s="1"/>
  <c r="C1467" i="52" s="1"/>
  <c r="C1468" i="52" s="1"/>
  <c r="C1469" i="52" s="1"/>
  <c r="C1470" i="52" s="1"/>
  <c r="C1471" i="52" s="1"/>
  <c r="C1472" i="52" s="1"/>
  <c r="C1473" i="52" s="1"/>
  <c r="C1474" i="52" s="1"/>
  <c r="C1475" i="52" s="1"/>
  <c r="C1476" i="52" s="1"/>
  <c r="C1477" i="52" s="1"/>
  <c r="C1478" i="52" s="1"/>
  <c r="C1479" i="52" s="1"/>
  <c r="C1480" i="52" s="1"/>
  <c r="C1481" i="52" s="1"/>
  <c r="C1482" i="52" s="1"/>
  <c r="C1483" i="52" s="1"/>
  <c r="C1484" i="52" s="1"/>
  <c r="C1485" i="52" s="1"/>
  <c r="C1486" i="52" s="1"/>
  <c r="C1487" i="52" s="1"/>
  <c r="C1488" i="52" s="1"/>
  <c r="C1489" i="52" s="1"/>
  <c r="C1490" i="52" s="1"/>
  <c r="C1491" i="52" s="1"/>
  <c r="C1492" i="52" s="1"/>
  <c r="C1493" i="52" s="1"/>
  <c r="C1494" i="52" s="1"/>
  <c r="C1495" i="52" s="1"/>
  <c r="C1496" i="52" s="1"/>
  <c r="C1497" i="52" s="1"/>
  <c r="C1498" i="52" s="1"/>
  <c r="C1499" i="52" s="1"/>
  <c r="C1500" i="52" s="1"/>
  <c r="C1501" i="52" s="1"/>
  <c r="C1502" i="52" s="1"/>
  <c r="C1503" i="52" s="1"/>
  <c r="C1504" i="52" s="1"/>
  <c r="C1505" i="52" s="1"/>
  <c r="C1506" i="52" s="1"/>
  <c r="C1507" i="52" s="1"/>
  <c r="C1508" i="52" s="1"/>
  <c r="C1509" i="52" s="1"/>
  <c r="C1510" i="52" s="1"/>
  <c r="C1511" i="52" s="1"/>
  <c r="C1512" i="52" s="1"/>
  <c r="C1513" i="52" s="1"/>
  <c r="C1514" i="52" s="1"/>
  <c r="C1515" i="52" s="1"/>
  <c r="C1516" i="52" s="1"/>
  <c r="C1517" i="52" s="1"/>
  <c r="C1518" i="52" s="1"/>
  <c r="C1519" i="52" s="1"/>
  <c r="C1520" i="52" s="1"/>
  <c r="C1521" i="52" s="1"/>
  <c r="C1522" i="52" s="1"/>
  <c r="C1523" i="52" s="1"/>
  <c r="C1524" i="52" s="1"/>
  <c r="C1525" i="52" s="1"/>
  <c r="C1526" i="52" s="1"/>
  <c r="C1527" i="52" s="1"/>
  <c r="C1528" i="52" s="1"/>
  <c r="C1529" i="52" s="1"/>
  <c r="C1530" i="52" s="1"/>
  <c r="C1531" i="52" s="1"/>
  <c r="C1532" i="52" s="1"/>
  <c r="C1533" i="52" s="1"/>
  <c r="C1534" i="52" s="1"/>
  <c r="C1535" i="52" s="1"/>
  <c r="C1536" i="52" s="1"/>
  <c r="C1537" i="52" s="1"/>
  <c r="C1538" i="52" s="1"/>
  <c r="C1539" i="52" s="1"/>
  <c r="C1540" i="52" s="1"/>
  <c r="C1541" i="52" s="1"/>
  <c r="C1542" i="52" s="1"/>
  <c r="C1543" i="52" s="1"/>
  <c r="C1544" i="52" s="1"/>
  <c r="C1545" i="52" s="1"/>
  <c r="C1546" i="52" s="1"/>
  <c r="C1547" i="52" s="1"/>
  <c r="C1548" i="52" s="1"/>
  <c r="C1549" i="52" s="1"/>
  <c r="C1550" i="52" s="1"/>
  <c r="C1551" i="52" s="1"/>
  <c r="C1552" i="52" s="1"/>
  <c r="C1553" i="52" s="1"/>
  <c r="C1554" i="52" s="1"/>
  <c r="C1555" i="52" s="1"/>
  <c r="C1556" i="52" s="1"/>
  <c r="C1557" i="52" s="1"/>
  <c r="C1558" i="52" s="1"/>
  <c r="C1559" i="52" s="1"/>
  <c r="C1560" i="52" s="1"/>
  <c r="C1561" i="52" s="1"/>
  <c r="C1562" i="52" s="1"/>
  <c r="C1563" i="52" s="1"/>
  <c r="C1564" i="52" s="1"/>
  <c r="C1565" i="52" s="1"/>
  <c r="C1566" i="52" s="1"/>
  <c r="C1567" i="52" s="1"/>
  <c r="C1568" i="52" s="1"/>
  <c r="C1569" i="52" s="1"/>
  <c r="C1570" i="52" s="1"/>
  <c r="C1571" i="52" s="1"/>
  <c r="C1572" i="52" s="1"/>
  <c r="C1573" i="52" s="1"/>
  <c r="C1574" i="52" s="1"/>
  <c r="C1575" i="52" s="1"/>
  <c r="C1576" i="52" s="1"/>
  <c r="C1577" i="52" s="1"/>
  <c r="C1578" i="52" s="1"/>
  <c r="C1579" i="52" s="1"/>
  <c r="C1580" i="52" s="1"/>
  <c r="C1581" i="52" s="1"/>
  <c r="C1582" i="52" s="1"/>
  <c r="C1583" i="52" s="1"/>
  <c r="C1584" i="52" s="1"/>
  <c r="C1585" i="52" s="1"/>
  <c r="C1586" i="52" s="1"/>
  <c r="C1587" i="52" s="1"/>
  <c r="C1588" i="52" s="1"/>
  <c r="C1589" i="52" s="1"/>
  <c r="C1590" i="52" s="1"/>
  <c r="C1591" i="52" s="1"/>
  <c r="C1592" i="52" s="1"/>
  <c r="C1593" i="52" s="1"/>
  <c r="C1594" i="52" s="1"/>
  <c r="C1595" i="52" s="1"/>
  <c r="C1596" i="52" s="1"/>
  <c r="C1597" i="52" s="1"/>
  <c r="C1598" i="52" s="1"/>
  <c r="C1599" i="52" s="1"/>
  <c r="C1600" i="52" s="1"/>
  <c r="C1601" i="52" s="1"/>
  <c r="C1602" i="52" s="1"/>
  <c r="C1603" i="52" s="1"/>
  <c r="C1604" i="52" s="1"/>
  <c r="C1605" i="52" s="1"/>
  <c r="C1606" i="52" s="1"/>
  <c r="C1607" i="52" s="1"/>
  <c r="C1608" i="52" s="1"/>
  <c r="C1609" i="52" s="1"/>
  <c r="C1610" i="52" s="1"/>
  <c r="C1611" i="52" s="1"/>
  <c r="C1612" i="52" s="1"/>
  <c r="C1613" i="52" s="1"/>
  <c r="C1614" i="52" s="1"/>
  <c r="C1615" i="52" s="1"/>
  <c r="C1616" i="52" s="1"/>
  <c r="C1617" i="52" s="1"/>
  <c r="C1618" i="52" s="1"/>
  <c r="C1619" i="52" s="1"/>
  <c r="C1620" i="52" s="1"/>
  <c r="C1621" i="52" s="1"/>
  <c r="C1622" i="52" s="1"/>
  <c r="C1623" i="52" s="1"/>
  <c r="C1624" i="52" s="1"/>
  <c r="C1625" i="52" s="1"/>
  <c r="C1626" i="52" s="1"/>
  <c r="C1627" i="52" s="1"/>
  <c r="C1628" i="52" s="1"/>
  <c r="C1629" i="52" s="1"/>
  <c r="C1630" i="52" s="1"/>
  <c r="C1631" i="52" s="1"/>
  <c r="C1632" i="52" s="1"/>
  <c r="C1633" i="52" s="1"/>
  <c r="C1634" i="52" s="1"/>
  <c r="C1635" i="52" s="1"/>
  <c r="C1636" i="52" s="1"/>
  <c r="C1637" i="52" s="1"/>
  <c r="C1638" i="52" s="1"/>
  <c r="C1639" i="52" s="1"/>
  <c r="C1640" i="52" s="1"/>
  <c r="C1641" i="52" s="1"/>
  <c r="C1642" i="52" s="1"/>
  <c r="C1643" i="52" s="1"/>
  <c r="C1644" i="52" s="1"/>
  <c r="C1645" i="52" s="1"/>
  <c r="C1646" i="52" s="1"/>
  <c r="C1647" i="52" s="1"/>
  <c r="C1648" i="52" s="1"/>
  <c r="C1649" i="52" s="1"/>
  <c r="C1650" i="52" s="1"/>
  <c r="C1651" i="52" s="1"/>
  <c r="C1652" i="52" s="1"/>
  <c r="C1653" i="52" s="1"/>
  <c r="C1654" i="52" s="1"/>
  <c r="C1655" i="52" s="1"/>
  <c r="C1656" i="52" s="1"/>
  <c r="C1657" i="52" s="1"/>
  <c r="C1658" i="52" s="1"/>
  <c r="C1659" i="52" s="1"/>
  <c r="C1660" i="52" s="1"/>
  <c r="C1661" i="52" s="1"/>
  <c r="C1662" i="52" s="1"/>
  <c r="C1663" i="52" s="1"/>
  <c r="C1664" i="52" s="1"/>
  <c r="C1665" i="52" s="1"/>
  <c r="C1666" i="52" s="1"/>
  <c r="C1667" i="52" s="1"/>
  <c r="C1668" i="52" s="1"/>
  <c r="C1669" i="52" s="1"/>
  <c r="C1670" i="52" s="1"/>
  <c r="C1671" i="52" s="1"/>
  <c r="C1672" i="52" s="1"/>
  <c r="C1673" i="52" s="1"/>
  <c r="C1674" i="52" s="1"/>
  <c r="C1675" i="52" s="1"/>
  <c r="C1676" i="52" s="1"/>
  <c r="C1677" i="52" s="1"/>
  <c r="C1678" i="52" s="1"/>
  <c r="C1679" i="52" s="1"/>
  <c r="C1680" i="52" s="1"/>
  <c r="C1681" i="52" s="1"/>
  <c r="C1682" i="52" s="1"/>
  <c r="C1683" i="52" s="1"/>
  <c r="C1684" i="52" s="1"/>
  <c r="C1685" i="52" s="1"/>
  <c r="C1686" i="52" s="1"/>
  <c r="C1687" i="52" s="1"/>
  <c r="C1688" i="52" s="1"/>
  <c r="C1689" i="52" s="1"/>
  <c r="C1690" i="52" s="1"/>
  <c r="C1691" i="52" s="1"/>
  <c r="C1692" i="52" s="1"/>
  <c r="C1693" i="52" s="1"/>
  <c r="C1694" i="52" s="1"/>
  <c r="C1695" i="52" s="1"/>
  <c r="C1696" i="52" s="1"/>
  <c r="C1697" i="52" s="1"/>
  <c r="C1698" i="52" s="1"/>
  <c r="C1699" i="52" s="1"/>
  <c r="C1700" i="52" s="1"/>
  <c r="C1701" i="52" s="1"/>
  <c r="C1702" i="52" s="1"/>
  <c r="C1703" i="52" s="1"/>
  <c r="C1704" i="52" s="1"/>
  <c r="C1705" i="52" s="1"/>
  <c r="C1706" i="52" s="1"/>
  <c r="C1707" i="52" s="1"/>
  <c r="C1708" i="52" s="1"/>
  <c r="C1709" i="52" s="1"/>
  <c r="C1710" i="52" s="1"/>
  <c r="C1711" i="52" s="1"/>
  <c r="C1712" i="52" s="1"/>
  <c r="C1713" i="52" s="1"/>
  <c r="C1714" i="52" s="1"/>
  <c r="C1715" i="52" s="1"/>
  <c r="C1716" i="52" s="1"/>
  <c r="C1717" i="52" s="1"/>
  <c r="C1718" i="52" s="1"/>
  <c r="C1719" i="52" s="1"/>
  <c r="C1720" i="52" s="1"/>
  <c r="C1721" i="52" s="1"/>
  <c r="C1722" i="52" s="1"/>
  <c r="C1723" i="52" s="1"/>
  <c r="C1724" i="52" s="1"/>
  <c r="C1725" i="52" s="1"/>
  <c r="C1726" i="52" s="1"/>
  <c r="C1727" i="52" s="1"/>
  <c r="C1728" i="52" s="1"/>
  <c r="C1729" i="52" s="1"/>
  <c r="C1730" i="52" s="1"/>
  <c r="C1731" i="52" s="1"/>
  <c r="C1732" i="52" s="1"/>
  <c r="C1733" i="52" s="1"/>
  <c r="C1734" i="52" s="1"/>
  <c r="C1735" i="52" s="1"/>
  <c r="C1736" i="52" s="1"/>
  <c r="C1737" i="52" s="1"/>
  <c r="C1738" i="52" s="1"/>
  <c r="C1739" i="52" s="1"/>
  <c r="C1740" i="52" s="1"/>
  <c r="C1741" i="52" s="1"/>
  <c r="C1742" i="52" s="1"/>
  <c r="C1743" i="52" s="1"/>
  <c r="C1744" i="52" s="1"/>
  <c r="C1745" i="52" s="1"/>
  <c r="C1746" i="52" s="1"/>
  <c r="C1747" i="52" s="1"/>
  <c r="C1748" i="52" s="1"/>
  <c r="C1749" i="52" s="1"/>
  <c r="C1750" i="52" s="1"/>
  <c r="C1751" i="52" s="1"/>
  <c r="C1752" i="52" s="1"/>
  <c r="C1753" i="52" s="1"/>
  <c r="C1754" i="52" s="1"/>
  <c r="C1755" i="52" s="1"/>
  <c r="C1756" i="52" s="1"/>
  <c r="C1757" i="52" s="1"/>
  <c r="C1758" i="52" s="1"/>
  <c r="C1759" i="52" s="1"/>
  <c r="C1760" i="52" s="1"/>
  <c r="C1761" i="52" s="1"/>
  <c r="C1762" i="52" s="1"/>
  <c r="C1763" i="52" s="1"/>
  <c r="C1764" i="52" s="1"/>
  <c r="C1765" i="52" s="1"/>
  <c r="C1766" i="52" s="1"/>
  <c r="C1767" i="52" s="1"/>
  <c r="C1768" i="52" s="1"/>
  <c r="C1769" i="52" s="1"/>
  <c r="C1770" i="52" s="1"/>
  <c r="C1771" i="52" s="1"/>
  <c r="C1772" i="52" s="1"/>
  <c r="C1773" i="52" s="1"/>
  <c r="C1774" i="52" s="1"/>
  <c r="C1775" i="52" s="1"/>
  <c r="C1776" i="52" s="1"/>
  <c r="C1777" i="52" s="1"/>
  <c r="C1778" i="52" s="1"/>
  <c r="C1779" i="52" s="1"/>
  <c r="C1780" i="52" s="1"/>
  <c r="C1781" i="52" s="1"/>
  <c r="C1782" i="52" s="1"/>
  <c r="C1783" i="52" s="1"/>
  <c r="C1784" i="52" s="1"/>
  <c r="C1785" i="52" s="1"/>
  <c r="C1786" i="52" s="1"/>
  <c r="C1787" i="52" s="1"/>
  <c r="C1788" i="52" s="1"/>
  <c r="C1789" i="52" s="1"/>
  <c r="C1790" i="52" s="1"/>
  <c r="C1791" i="52" s="1"/>
  <c r="C1792" i="52" s="1"/>
  <c r="C1793" i="52" s="1"/>
  <c r="C1794" i="52" s="1"/>
  <c r="C1795" i="52" s="1"/>
  <c r="C1796" i="52" s="1"/>
  <c r="C1797" i="52" s="1"/>
  <c r="C1798" i="52" s="1"/>
  <c r="C1799" i="52" s="1"/>
  <c r="C1800" i="52" s="1"/>
  <c r="C1801" i="52" s="1"/>
  <c r="C1802" i="52" s="1"/>
  <c r="C1803" i="52" s="1"/>
  <c r="C1804" i="52" s="1"/>
  <c r="C1805" i="52" s="1"/>
  <c r="C1806" i="52" s="1"/>
  <c r="C1807" i="52" s="1"/>
  <c r="C1808" i="52" s="1"/>
  <c r="C1809" i="52" s="1"/>
  <c r="C1810" i="52" s="1"/>
  <c r="C1811" i="52" s="1"/>
  <c r="C1812" i="52" s="1"/>
  <c r="C1813" i="52" s="1"/>
  <c r="C1814" i="52" s="1"/>
  <c r="C1815" i="52" s="1"/>
  <c r="C1816" i="52" s="1"/>
  <c r="C1817" i="52" s="1"/>
  <c r="C1818" i="52" s="1"/>
  <c r="C1819" i="52" s="1"/>
  <c r="C1820" i="52" s="1"/>
  <c r="C1821" i="52" s="1"/>
  <c r="C1822" i="52" s="1"/>
  <c r="C1823" i="52" s="1"/>
  <c r="C1824" i="52" s="1"/>
  <c r="C1825" i="52" s="1"/>
  <c r="C1826" i="52" s="1"/>
  <c r="C1827" i="52" s="1"/>
  <c r="C1828" i="52" s="1"/>
  <c r="C1829" i="52" s="1"/>
  <c r="C1830" i="52" s="1"/>
  <c r="C1831" i="52" s="1"/>
  <c r="C1832" i="52" s="1"/>
  <c r="C1833" i="52" s="1"/>
  <c r="C1834" i="52" s="1"/>
  <c r="C1835" i="52" s="1"/>
  <c r="C1836" i="52" s="1"/>
  <c r="C1837" i="52" s="1"/>
  <c r="C1838" i="52" s="1"/>
  <c r="C1839" i="52" s="1"/>
  <c r="C1840" i="52" s="1"/>
  <c r="C1841" i="52" s="1"/>
  <c r="C1842" i="52" s="1"/>
  <c r="C1843" i="52" s="1"/>
  <c r="C1844" i="52" s="1"/>
  <c r="C1845" i="52" s="1"/>
  <c r="C1846" i="52" s="1"/>
  <c r="C1847" i="52" s="1"/>
  <c r="C1848" i="52" s="1"/>
  <c r="C1849" i="52" s="1"/>
  <c r="C1850" i="52" s="1"/>
  <c r="C1851" i="52" s="1"/>
  <c r="C1852" i="52" s="1"/>
  <c r="C1853" i="52" s="1"/>
  <c r="C1854" i="52" s="1"/>
  <c r="C1855" i="52" s="1"/>
  <c r="C1856" i="52" s="1"/>
  <c r="C1857" i="52" s="1"/>
  <c r="C1858" i="52" s="1"/>
  <c r="C1859" i="52" s="1"/>
  <c r="C1860" i="52" s="1"/>
  <c r="C1861" i="52" s="1"/>
  <c r="C1862" i="52" s="1"/>
  <c r="C1863" i="52" s="1"/>
  <c r="C1864" i="52" s="1"/>
  <c r="C1865" i="52" s="1"/>
  <c r="C1866" i="52" s="1"/>
  <c r="C1867" i="52" s="1"/>
  <c r="C1868" i="52" s="1"/>
  <c r="C1869" i="52" s="1"/>
  <c r="C1870" i="52" s="1"/>
  <c r="C1871" i="52" s="1"/>
  <c r="C1872" i="52" s="1"/>
  <c r="C1873" i="52" s="1"/>
  <c r="C1874" i="52" s="1"/>
  <c r="C1875" i="52" s="1"/>
  <c r="C1876" i="52" s="1"/>
  <c r="C1877" i="52" s="1"/>
  <c r="C1878" i="52" s="1"/>
  <c r="C1879" i="52" s="1"/>
  <c r="C1880" i="52" s="1"/>
  <c r="C1881" i="52" s="1"/>
  <c r="C1882" i="52" s="1"/>
  <c r="C1883" i="52" s="1"/>
  <c r="C1884" i="52" s="1"/>
  <c r="C1885" i="52" s="1"/>
  <c r="C1886" i="52" s="1"/>
  <c r="C1887" i="52" s="1"/>
  <c r="C1888" i="52" s="1"/>
  <c r="C1889" i="52" s="1"/>
  <c r="C1890" i="52" s="1"/>
  <c r="C1891" i="52" s="1"/>
  <c r="C1892" i="52" s="1"/>
  <c r="C1893" i="52" s="1"/>
  <c r="C1894" i="52" s="1"/>
  <c r="C1895" i="52" s="1"/>
  <c r="C1896" i="52" s="1"/>
  <c r="C1897" i="52" s="1"/>
  <c r="C1898" i="52" s="1"/>
  <c r="C1899" i="52" s="1"/>
  <c r="C1900" i="52" s="1"/>
  <c r="C1901" i="52" s="1"/>
  <c r="C1902" i="52" s="1"/>
  <c r="C1903" i="52" s="1"/>
  <c r="C1904" i="52" s="1"/>
  <c r="C1905" i="52" s="1"/>
  <c r="C1906" i="52" s="1"/>
  <c r="C1907" i="52" s="1"/>
  <c r="C1908" i="52" s="1"/>
  <c r="C1909" i="52" s="1"/>
  <c r="C1910" i="52" s="1"/>
  <c r="C1911" i="52" s="1"/>
  <c r="C1912" i="52" s="1"/>
  <c r="C1913" i="52" s="1"/>
  <c r="C1914" i="52" s="1"/>
  <c r="C1915" i="52" s="1"/>
  <c r="C1916" i="52" s="1"/>
  <c r="C1917" i="52" s="1"/>
  <c r="C1918" i="52" s="1"/>
  <c r="C1919" i="52" s="1"/>
  <c r="C1920" i="52" s="1"/>
  <c r="C1921" i="52" s="1"/>
  <c r="C1922" i="52" s="1"/>
  <c r="C1923" i="52" s="1"/>
  <c r="C1924" i="52" s="1"/>
  <c r="C1925" i="52" s="1"/>
  <c r="C1926" i="52" s="1"/>
  <c r="C1927" i="52" s="1"/>
  <c r="C1928" i="52" s="1"/>
  <c r="C1929" i="52" s="1"/>
  <c r="C1930" i="52" s="1"/>
  <c r="C1931" i="52" s="1"/>
  <c r="C1932" i="52" s="1"/>
  <c r="C1933" i="52" s="1"/>
  <c r="C1934" i="52" s="1"/>
  <c r="C1935" i="52" s="1"/>
  <c r="C1936" i="52" s="1"/>
  <c r="C1937" i="52" s="1"/>
  <c r="C1938" i="52" s="1"/>
  <c r="C1939" i="52" s="1"/>
  <c r="C1940" i="52" s="1"/>
  <c r="C1941" i="52" s="1"/>
  <c r="C1942" i="52" s="1"/>
  <c r="C1943" i="52" s="1"/>
  <c r="C1944" i="52" s="1"/>
  <c r="C1945" i="52" s="1"/>
  <c r="C1946" i="52" s="1"/>
  <c r="C1947" i="52" s="1"/>
  <c r="C1948" i="52" s="1"/>
  <c r="C1949" i="52" s="1"/>
  <c r="C1950" i="52" s="1"/>
  <c r="C1951" i="52" s="1"/>
  <c r="C1952" i="52" s="1"/>
  <c r="C1953" i="52" s="1"/>
  <c r="C1954" i="52" s="1"/>
  <c r="C1955" i="52" s="1"/>
  <c r="C1956" i="52" s="1"/>
  <c r="C1957" i="52" s="1"/>
  <c r="C1958" i="52" s="1"/>
  <c r="C1959" i="52" s="1"/>
  <c r="C1960" i="52" s="1"/>
  <c r="C1961" i="52" s="1"/>
  <c r="C1962" i="52" s="1"/>
  <c r="C1963" i="52" s="1"/>
  <c r="C1964" i="52" s="1"/>
  <c r="C1965" i="52" s="1"/>
  <c r="C1966" i="52" s="1"/>
  <c r="C1967" i="52" s="1"/>
  <c r="C1968" i="52" s="1"/>
  <c r="C1969" i="52" s="1"/>
  <c r="C1970" i="52" s="1"/>
  <c r="C1971" i="52" s="1"/>
  <c r="C1972" i="52" s="1"/>
  <c r="C1973" i="52" s="1"/>
  <c r="C1974" i="52" s="1"/>
  <c r="C1975" i="52" s="1"/>
  <c r="C1976" i="52" s="1"/>
  <c r="C1977" i="52" s="1"/>
  <c r="C1978" i="52" s="1"/>
  <c r="C1979" i="52" s="1"/>
  <c r="C1980" i="52" s="1"/>
  <c r="C1981" i="52" s="1"/>
  <c r="C1982" i="52" s="1"/>
  <c r="C1983" i="52" s="1"/>
  <c r="C1984" i="52" s="1"/>
  <c r="C1985" i="52" s="1"/>
  <c r="C1986" i="52" s="1"/>
  <c r="C1987" i="52" s="1"/>
  <c r="C1988" i="52" s="1"/>
  <c r="C1989" i="52" s="1"/>
  <c r="C1990" i="52" s="1"/>
  <c r="C1991" i="52" s="1"/>
  <c r="C1992" i="52" s="1"/>
  <c r="C1993" i="52" s="1"/>
  <c r="C1994" i="52" s="1"/>
  <c r="C1995" i="52" s="1"/>
  <c r="C1996" i="52" s="1"/>
  <c r="C1997" i="52" s="1"/>
  <c r="C1998" i="52" s="1"/>
  <c r="C1999" i="52" s="1"/>
  <c r="C2000" i="52" s="1"/>
  <c r="C2001" i="52" s="1"/>
  <c r="C2002" i="52" s="1"/>
  <c r="C2003" i="52" s="1"/>
  <c r="C2004" i="52" s="1"/>
  <c r="C2005" i="52" s="1"/>
  <c r="C2006" i="52" s="1"/>
  <c r="C2007" i="52" s="1"/>
  <c r="C2008" i="52" s="1"/>
  <c r="C2009" i="52" s="1"/>
  <c r="C2010" i="52" s="1"/>
  <c r="C2011" i="52" s="1"/>
  <c r="C2012" i="52" s="1"/>
  <c r="C2013" i="52" s="1"/>
  <c r="C2014" i="52" s="1"/>
  <c r="C2015" i="52" s="1"/>
  <c r="C2016" i="52" s="1"/>
  <c r="C2017" i="52" s="1"/>
  <c r="C2018" i="52" s="1"/>
  <c r="C2019" i="52" s="1"/>
  <c r="C2020" i="52" s="1"/>
  <c r="C2021" i="52" s="1"/>
  <c r="C2022" i="52" s="1"/>
  <c r="C2023" i="52" s="1"/>
  <c r="C2024" i="52" s="1"/>
  <c r="C2025" i="52" s="1"/>
  <c r="C2026" i="52" s="1"/>
  <c r="C2027" i="52" s="1"/>
  <c r="C2028" i="52" s="1"/>
  <c r="C2029" i="52" s="1"/>
  <c r="C2030" i="52" s="1"/>
  <c r="C2031" i="52" s="1"/>
  <c r="C2032" i="52" s="1"/>
  <c r="C2033" i="52" s="1"/>
  <c r="C2034" i="52" s="1"/>
  <c r="C2035" i="52" s="1"/>
  <c r="C2036" i="52" s="1"/>
  <c r="C2037" i="52" s="1"/>
  <c r="C2038" i="52" s="1"/>
  <c r="C2039" i="52" s="1"/>
  <c r="C2040" i="52" s="1"/>
  <c r="C2041" i="52" s="1"/>
  <c r="C2042" i="52" s="1"/>
  <c r="C2043" i="52" s="1"/>
  <c r="C2044" i="52" s="1"/>
  <c r="C2045" i="52" s="1"/>
  <c r="C2046" i="52" s="1"/>
  <c r="C2047" i="52" s="1"/>
  <c r="C2048" i="52" s="1"/>
  <c r="C2049" i="52" s="1"/>
  <c r="C2050" i="52" s="1"/>
  <c r="C2051" i="52" s="1"/>
  <c r="C2052" i="52" s="1"/>
  <c r="C2053" i="52" s="1"/>
  <c r="C2054" i="52" s="1"/>
  <c r="C2055" i="52" s="1"/>
  <c r="C2056" i="52" s="1"/>
  <c r="C2057" i="52" s="1"/>
  <c r="C2058" i="52" s="1"/>
  <c r="C2059" i="52" s="1"/>
  <c r="C2060" i="52" s="1"/>
  <c r="C2061" i="52" s="1"/>
  <c r="C2062" i="52" s="1"/>
  <c r="C2063" i="52" s="1"/>
  <c r="C2064" i="52" s="1"/>
  <c r="C2065" i="52" s="1"/>
  <c r="C2066" i="52" s="1"/>
  <c r="C2067" i="52" s="1"/>
  <c r="C2068" i="52" s="1"/>
  <c r="C2069" i="52" s="1"/>
  <c r="C2070" i="52" s="1"/>
  <c r="C2071" i="52" s="1"/>
  <c r="C2072" i="52" s="1"/>
  <c r="C2073" i="52" s="1"/>
  <c r="C2074" i="52" s="1"/>
  <c r="C2075" i="52" s="1"/>
  <c r="C2076" i="52" s="1"/>
  <c r="C2077" i="52" s="1"/>
  <c r="C2078" i="52" s="1"/>
  <c r="C2079" i="52" s="1"/>
  <c r="C2080" i="52" s="1"/>
  <c r="C2081" i="52" s="1"/>
  <c r="C2082" i="52" s="1"/>
  <c r="C2083" i="52" s="1"/>
  <c r="C2084" i="52" s="1"/>
  <c r="C2085" i="52" s="1"/>
  <c r="C2086" i="52" s="1"/>
  <c r="C2087" i="52" s="1"/>
  <c r="C2088" i="52" s="1"/>
  <c r="C2089" i="52" s="1"/>
  <c r="C2090" i="52" s="1"/>
  <c r="C2091" i="52" s="1"/>
  <c r="C2092" i="52" s="1"/>
  <c r="C2093" i="52" s="1"/>
  <c r="C2094" i="52" s="1"/>
  <c r="C2095" i="52" s="1"/>
  <c r="C2096" i="52" s="1"/>
  <c r="C2097" i="52" s="1"/>
  <c r="C2098" i="52" s="1"/>
  <c r="C2099" i="52" s="1"/>
  <c r="C2100" i="52" s="1"/>
  <c r="C2101" i="52" s="1"/>
  <c r="C2102" i="52" s="1"/>
  <c r="C2103" i="52" s="1"/>
  <c r="C2104" i="52" s="1"/>
  <c r="C2105" i="52" s="1"/>
  <c r="C2106" i="52" s="1"/>
  <c r="C2107" i="52" s="1"/>
  <c r="C2108" i="52" s="1"/>
  <c r="C2109" i="52" s="1"/>
  <c r="C2110" i="52" s="1"/>
  <c r="C2111" i="52" s="1"/>
  <c r="C2112" i="52" s="1"/>
  <c r="C2113" i="52" s="1"/>
  <c r="C2114" i="52" s="1"/>
  <c r="C2115" i="52" s="1"/>
  <c r="C2116" i="52" s="1"/>
  <c r="C2117" i="52" s="1"/>
  <c r="C2118" i="52" s="1"/>
  <c r="C2119" i="52" s="1"/>
  <c r="C2120" i="52" s="1"/>
  <c r="C2121" i="52" s="1"/>
  <c r="C2122" i="52" s="1"/>
  <c r="C2123" i="52" s="1"/>
  <c r="C2124" i="52" s="1"/>
  <c r="C2125" i="52" s="1"/>
  <c r="C2126" i="52" s="1"/>
  <c r="C2127" i="52" s="1"/>
  <c r="C2128" i="52" s="1"/>
  <c r="C2129" i="52" s="1"/>
  <c r="C2130" i="52" s="1"/>
  <c r="C2131" i="52" s="1"/>
  <c r="C2132" i="52" s="1"/>
  <c r="C2133" i="52" s="1"/>
  <c r="C2134" i="52" s="1"/>
  <c r="C2135" i="52" s="1"/>
  <c r="C2136" i="52" s="1"/>
  <c r="C2137" i="52" s="1"/>
  <c r="C2138" i="52" s="1"/>
  <c r="C2139" i="52" s="1"/>
  <c r="C2140" i="52" s="1"/>
  <c r="C2141" i="52" s="1"/>
  <c r="C2142" i="52" s="1"/>
  <c r="C2143" i="52" s="1"/>
  <c r="C2144" i="52" s="1"/>
  <c r="C2145" i="52" s="1"/>
  <c r="C2146" i="52" s="1"/>
  <c r="C2147" i="52" s="1"/>
  <c r="C2148" i="52" s="1"/>
  <c r="C2149" i="52" s="1"/>
  <c r="C2150" i="52" s="1"/>
  <c r="C2151" i="52" s="1"/>
  <c r="C2152" i="52" s="1"/>
  <c r="C2153" i="52" s="1"/>
  <c r="C2154" i="52" s="1"/>
  <c r="C2155" i="52" s="1"/>
  <c r="C2156" i="52" s="1"/>
  <c r="C2157" i="52" s="1"/>
  <c r="C2158" i="52" s="1"/>
  <c r="C2159" i="52" s="1"/>
  <c r="C2160" i="52" s="1"/>
  <c r="C2161" i="52" s="1"/>
  <c r="C2162" i="52" s="1"/>
  <c r="C2163" i="52" s="1"/>
  <c r="C2164" i="52" s="1"/>
  <c r="C2165" i="52" s="1"/>
  <c r="C2166" i="52" s="1"/>
  <c r="C2167" i="52" s="1"/>
  <c r="C2168" i="52" s="1"/>
  <c r="C2169" i="52" s="1"/>
  <c r="C2170" i="52" s="1"/>
  <c r="C2171" i="52" s="1"/>
  <c r="C2172" i="52" s="1"/>
  <c r="C2173" i="52" s="1"/>
  <c r="C2174" i="52" s="1"/>
  <c r="C2175" i="52" s="1"/>
  <c r="C2176" i="52" s="1"/>
  <c r="C2177" i="52" s="1"/>
  <c r="C2178" i="52" s="1"/>
  <c r="C2179" i="52" s="1"/>
  <c r="C2180" i="52" s="1"/>
  <c r="C2181" i="52" s="1"/>
  <c r="C2182" i="52" s="1"/>
  <c r="C2183" i="52" s="1"/>
  <c r="C2184" i="52" s="1"/>
  <c r="C2185" i="52" s="1"/>
  <c r="C2186" i="52" s="1"/>
  <c r="C2187" i="52" s="1"/>
  <c r="C2188" i="52" s="1"/>
  <c r="C2189" i="52" s="1"/>
  <c r="C2190" i="52" s="1"/>
  <c r="C2191" i="52" s="1"/>
  <c r="C2192" i="52" s="1"/>
  <c r="C2193" i="52" s="1"/>
  <c r="C2194" i="52" s="1"/>
  <c r="C2195" i="52" s="1"/>
  <c r="C2196" i="52" s="1"/>
  <c r="C2197" i="52" s="1"/>
  <c r="C2198" i="52" s="1"/>
  <c r="C2199" i="52" s="1"/>
  <c r="C2200" i="52" s="1"/>
  <c r="C2201" i="52" s="1"/>
  <c r="C2202" i="52" s="1"/>
  <c r="C2203" i="52" s="1"/>
  <c r="C2204" i="52" s="1"/>
  <c r="C2205" i="52" s="1"/>
  <c r="C2206" i="52" s="1"/>
  <c r="C2207" i="52" s="1"/>
  <c r="C2208" i="52" s="1"/>
  <c r="C2209" i="52" s="1"/>
  <c r="C2210" i="52" s="1"/>
  <c r="C2211" i="52" s="1"/>
  <c r="C2212" i="52" s="1"/>
  <c r="C2213" i="52" s="1"/>
  <c r="C2214" i="52" s="1"/>
  <c r="C2215" i="52" s="1"/>
  <c r="C2216" i="52" s="1"/>
  <c r="C2217" i="52" s="1"/>
  <c r="C2218" i="52" s="1"/>
  <c r="C2219" i="52" s="1"/>
  <c r="C2220" i="52" s="1"/>
  <c r="C2221" i="52" s="1"/>
  <c r="C2222" i="52" s="1"/>
  <c r="C2223" i="52" s="1"/>
  <c r="C2224" i="52" s="1"/>
  <c r="C2225" i="52" s="1"/>
  <c r="C2226" i="52" s="1"/>
  <c r="C2227" i="52" s="1"/>
  <c r="C2228" i="52" s="1"/>
  <c r="C2229" i="52" s="1"/>
  <c r="C2230" i="52" s="1"/>
  <c r="C2231" i="52" s="1"/>
  <c r="C2232" i="52" s="1"/>
  <c r="C2233" i="52" s="1"/>
  <c r="C2234" i="52" s="1"/>
  <c r="C2235" i="52" s="1"/>
  <c r="C2236" i="52" s="1"/>
  <c r="C2237" i="52" s="1"/>
  <c r="C2238" i="52" s="1"/>
  <c r="C2239" i="52" s="1"/>
  <c r="C2240" i="52" s="1"/>
  <c r="C2241" i="52" s="1"/>
  <c r="C2242" i="52" s="1"/>
  <c r="C2243" i="52" s="1"/>
  <c r="C2244" i="52" s="1"/>
  <c r="C2245" i="52" s="1"/>
  <c r="C2246" i="52" s="1"/>
  <c r="C2247" i="52" s="1"/>
  <c r="C2248" i="52" s="1"/>
  <c r="C2249" i="52" s="1"/>
  <c r="C2250" i="52" s="1"/>
  <c r="C2251" i="52" s="1"/>
  <c r="C2252" i="52" s="1"/>
  <c r="C2253" i="52" s="1"/>
  <c r="C2254" i="52" s="1"/>
  <c r="C2255" i="52" s="1"/>
  <c r="C2256" i="52" s="1"/>
  <c r="C2257" i="52" s="1"/>
  <c r="C2258" i="52" s="1"/>
  <c r="C2259" i="52" s="1"/>
  <c r="C2260" i="52" s="1"/>
  <c r="C2261" i="52" s="1"/>
  <c r="C2262" i="52" s="1"/>
  <c r="C2263" i="52" s="1"/>
  <c r="C2264" i="52" s="1"/>
  <c r="C2265" i="52" s="1"/>
  <c r="C2266" i="52" s="1"/>
  <c r="C2267" i="52" s="1"/>
  <c r="C2268" i="52" s="1"/>
  <c r="C2269" i="52" s="1"/>
  <c r="C2270" i="52" s="1"/>
  <c r="C2271" i="52" s="1"/>
  <c r="C2272" i="52" s="1"/>
  <c r="C2273" i="52" s="1"/>
  <c r="C2274" i="52" s="1"/>
  <c r="C2275" i="52" s="1"/>
  <c r="C2276" i="52" s="1"/>
  <c r="C2277" i="52" s="1"/>
  <c r="C2278" i="52" s="1"/>
  <c r="C2279" i="52" s="1"/>
  <c r="C2280" i="52" s="1"/>
  <c r="C2281" i="52" s="1"/>
  <c r="C2282" i="52" s="1"/>
  <c r="C2283" i="52" s="1"/>
  <c r="C2284" i="52" s="1"/>
  <c r="C2285" i="52" s="1"/>
  <c r="C2286" i="52" s="1"/>
  <c r="C2287" i="52" s="1"/>
  <c r="C2288" i="52" s="1"/>
  <c r="C2289" i="52" s="1"/>
  <c r="C2290" i="52" s="1"/>
  <c r="C2291" i="52" s="1"/>
  <c r="C2292" i="52" s="1"/>
  <c r="C2293" i="52" s="1"/>
  <c r="C2294" i="52" s="1"/>
  <c r="C2295" i="52" s="1"/>
  <c r="C2296" i="52" s="1"/>
  <c r="C2297" i="52" s="1"/>
  <c r="C2298" i="52" s="1"/>
  <c r="C2299" i="52" s="1"/>
  <c r="C2300" i="52" s="1"/>
  <c r="C2301" i="52" s="1"/>
  <c r="C2302" i="52" s="1"/>
  <c r="C2303" i="52" s="1"/>
  <c r="C2304" i="52" s="1"/>
  <c r="C2305" i="52" s="1"/>
  <c r="C2306" i="52" s="1"/>
  <c r="C2307" i="52" s="1"/>
  <c r="C2308" i="52" s="1"/>
  <c r="C2309" i="52" s="1"/>
  <c r="C2310" i="52" s="1"/>
  <c r="C2311" i="52" s="1"/>
  <c r="C2312" i="52" s="1"/>
  <c r="C2313" i="52" s="1"/>
  <c r="C2314" i="52" s="1"/>
  <c r="C2315" i="52" s="1"/>
  <c r="C2316" i="52" s="1"/>
  <c r="C2317" i="52" s="1"/>
  <c r="C2318" i="52" s="1"/>
  <c r="C2319" i="52" s="1"/>
  <c r="C2320" i="52" s="1"/>
  <c r="C2321" i="52" s="1"/>
  <c r="C2322" i="52" s="1"/>
  <c r="C2323" i="52" s="1"/>
  <c r="C2324" i="52" s="1"/>
  <c r="C2325" i="52" s="1"/>
  <c r="C2326" i="52" s="1"/>
  <c r="C2327" i="52" s="1"/>
  <c r="C2328" i="52" s="1"/>
  <c r="C2329" i="52" s="1"/>
  <c r="C2330" i="52" s="1"/>
  <c r="C2331" i="52" s="1"/>
  <c r="C2332" i="52" s="1"/>
  <c r="C2333" i="52" s="1"/>
  <c r="C2334" i="52" s="1"/>
  <c r="C2335" i="52" s="1"/>
  <c r="C2336" i="52" s="1"/>
  <c r="C2337" i="52" s="1"/>
  <c r="C2338" i="52" s="1"/>
  <c r="C2339" i="52" s="1"/>
  <c r="C2340" i="52" s="1"/>
  <c r="C2341" i="52" s="1"/>
  <c r="C2342" i="52" s="1"/>
  <c r="C2343" i="52" s="1"/>
  <c r="C2344" i="52" s="1"/>
  <c r="C2345" i="52" s="1"/>
  <c r="C2346" i="52" s="1"/>
  <c r="C2347" i="52" s="1"/>
  <c r="C2348" i="52" s="1"/>
  <c r="C2349" i="52" s="1"/>
  <c r="C2350" i="52" s="1"/>
  <c r="C2351" i="52" s="1"/>
  <c r="C2352" i="52" s="1"/>
  <c r="C2353" i="52" s="1"/>
  <c r="C2354" i="52" s="1"/>
  <c r="C2355" i="52" s="1"/>
  <c r="C2356" i="52" s="1"/>
  <c r="C2357" i="52" s="1"/>
  <c r="C2358" i="52" s="1"/>
  <c r="C2359" i="52" s="1"/>
  <c r="C2360" i="52" s="1"/>
  <c r="C2361" i="52" s="1"/>
  <c r="C2362" i="52" s="1"/>
  <c r="C2363" i="52" s="1"/>
  <c r="C2364" i="52" s="1"/>
  <c r="C2365" i="52" s="1"/>
  <c r="C2366" i="52" s="1"/>
  <c r="C2367" i="52" s="1"/>
  <c r="C2368" i="52" s="1"/>
  <c r="C2369" i="52" s="1"/>
  <c r="C2370" i="52" s="1"/>
  <c r="C2371" i="52" s="1"/>
  <c r="C2372" i="52" s="1"/>
  <c r="C2373" i="52" s="1"/>
  <c r="C2374" i="52" s="1"/>
  <c r="C2375" i="52" s="1"/>
  <c r="C2376" i="52" s="1"/>
  <c r="C2377" i="52" s="1"/>
  <c r="C2378" i="52" s="1"/>
  <c r="C2379" i="52" s="1"/>
  <c r="C2380" i="52" s="1"/>
  <c r="C2381" i="52" s="1"/>
  <c r="C2382" i="52" s="1"/>
  <c r="C2383" i="52" s="1"/>
  <c r="C2384" i="52" s="1"/>
  <c r="C2385" i="52" s="1"/>
  <c r="C2386" i="52" s="1"/>
  <c r="C2387" i="52" s="1"/>
  <c r="C2388" i="52" s="1"/>
  <c r="C2389" i="52" s="1"/>
  <c r="C2390" i="52" s="1"/>
  <c r="C2391" i="52" s="1"/>
  <c r="C2392" i="52" s="1"/>
  <c r="C2393" i="52" s="1"/>
  <c r="C2394" i="52" s="1"/>
  <c r="C2395" i="52" s="1"/>
  <c r="C2396" i="52" s="1"/>
  <c r="C2397" i="52" s="1"/>
  <c r="C2398" i="52" s="1"/>
  <c r="C2399" i="52" s="1"/>
  <c r="C2400" i="52" s="1"/>
  <c r="C2401" i="52" s="1"/>
  <c r="C2402" i="52" s="1"/>
  <c r="C2403" i="52" s="1"/>
  <c r="C2404" i="52" s="1"/>
  <c r="C2405" i="52" s="1"/>
  <c r="C2406" i="52" s="1"/>
  <c r="C2407" i="52" s="1"/>
  <c r="C2408" i="52" s="1"/>
  <c r="C2409" i="52" s="1"/>
  <c r="C2410" i="52" s="1"/>
  <c r="C2411" i="52" s="1"/>
  <c r="C2412" i="52" s="1"/>
  <c r="C2413" i="52" s="1"/>
  <c r="C2414" i="52" s="1"/>
  <c r="C2415" i="52" s="1"/>
  <c r="C2416" i="52" s="1"/>
  <c r="C2417" i="52" s="1"/>
  <c r="C2418" i="52" s="1"/>
  <c r="C2419" i="52" s="1"/>
  <c r="C2420" i="52" s="1"/>
  <c r="C2421" i="52" s="1"/>
  <c r="C2422" i="52" s="1"/>
  <c r="C2423" i="52" s="1"/>
  <c r="C2424" i="52" s="1"/>
  <c r="C2425" i="52" s="1"/>
  <c r="C2426" i="52" s="1"/>
  <c r="C2427" i="52" s="1"/>
  <c r="C2428" i="52" s="1"/>
  <c r="C2429" i="52" s="1"/>
  <c r="C2430" i="52" s="1"/>
  <c r="C2431" i="52" s="1"/>
  <c r="C2432" i="52" s="1"/>
  <c r="C2433" i="52" s="1"/>
  <c r="C2434" i="52" s="1"/>
  <c r="C2435" i="52" s="1"/>
  <c r="C2436" i="52" s="1"/>
  <c r="C2437" i="52" s="1"/>
  <c r="C2438" i="52" s="1"/>
  <c r="C2439" i="52" s="1"/>
  <c r="C2440" i="52" s="1"/>
  <c r="C2441" i="52" s="1"/>
  <c r="C2442" i="52" s="1"/>
  <c r="C2443" i="52" s="1"/>
  <c r="C2444" i="52" s="1"/>
  <c r="C2445" i="52" s="1"/>
  <c r="C2446" i="52" s="1"/>
  <c r="C2447" i="52" s="1"/>
  <c r="C2448" i="52" s="1"/>
  <c r="C2449" i="52" s="1"/>
  <c r="C2450" i="52" s="1"/>
  <c r="C2451" i="52" s="1"/>
  <c r="C2452" i="52" s="1"/>
  <c r="C2453" i="52" s="1"/>
  <c r="C2454" i="52" s="1"/>
  <c r="C2455" i="52" s="1"/>
  <c r="C2456" i="52" s="1"/>
  <c r="C2457" i="52" s="1"/>
  <c r="C2458" i="52" s="1"/>
  <c r="C2459" i="52" s="1"/>
  <c r="C2460" i="52" s="1"/>
  <c r="C2461" i="52" s="1"/>
  <c r="C2462" i="52" s="1"/>
  <c r="C2463" i="52" s="1"/>
  <c r="C2464" i="52" s="1"/>
  <c r="C2465" i="52" s="1"/>
  <c r="C2466" i="52" s="1"/>
  <c r="C2467" i="52" s="1"/>
  <c r="C2468" i="52" s="1"/>
  <c r="C2469" i="52" s="1"/>
  <c r="C2470" i="52" s="1"/>
  <c r="C2471" i="52" s="1"/>
  <c r="C2472" i="52" s="1"/>
  <c r="C2473" i="52" s="1"/>
  <c r="C2474" i="52" s="1"/>
  <c r="C2475" i="52" s="1"/>
  <c r="C2476" i="52" s="1"/>
  <c r="C2477" i="52" s="1"/>
  <c r="C2478" i="52" s="1"/>
  <c r="C2479" i="52" s="1"/>
  <c r="C2480" i="52" s="1"/>
  <c r="C2481" i="52" s="1"/>
  <c r="C2482" i="52" s="1"/>
  <c r="C2483" i="52" s="1"/>
  <c r="C2484" i="52" s="1"/>
  <c r="C2485" i="52" s="1"/>
  <c r="C2486" i="52" s="1"/>
  <c r="C2487" i="52" s="1"/>
  <c r="C2488" i="52" s="1"/>
  <c r="C2489" i="52" s="1"/>
  <c r="C2490" i="52" s="1"/>
  <c r="C2491" i="52" s="1"/>
  <c r="C2492" i="52" s="1"/>
  <c r="C2493" i="52" s="1"/>
  <c r="C2494" i="52" s="1"/>
  <c r="C2495" i="52" s="1"/>
  <c r="C2496" i="52" s="1"/>
  <c r="C2497" i="52" s="1"/>
  <c r="C2498" i="52" s="1"/>
  <c r="C2499" i="52" s="1"/>
  <c r="C2500" i="52" s="1"/>
  <c r="C2501" i="52" s="1"/>
  <c r="C2502" i="52" s="1"/>
  <c r="C2503" i="52" s="1"/>
  <c r="C2504" i="52" s="1"/>
  <c r="C2505" i="52" s="1"/>
  <c r="C2506" i="52" s="1"/>
  <c r="C2507" i="52" s="1"/>
  <c r="C2508" i="52" s="1"/>
  <c r="C2509" i="52" s="1"/>
  <c r="C2510" i="52" s="1"/>
  <c r="C2511" i="52" s="1"/>
  <c r="C2512" i="52" s="1"/>
  <c r="C2513" i="52" s="1"/>
  <c r="C2514" i="52" s="1"/>
  <c r="C2515" i="52" s="1"/>
  <c r="C2516" i="52" s="1"/>
  <c r="C2517" i="52" s="1"/>
  <c r="C2518" i="52" s="1"/>
  <c r="C2519" i="52" s="1"/>
  <c r="C2520" i="52" s="1"/>
  <c r="C2521" i="52" s="1"/>
  <c r="C2522" i="52" s="1"/>
  <c r="C2523" i="52" s="1"/>
  <c r="C2524" i="52" s="1"/>
  <c r="C2525" i="52" s="1"/>
  <c r="C2526" i="52" s="1"/>
  <c r="C2527" i="52" s="1"/>
  <c r="C2528" i="52" s="1"/>
  <c r="C2529" i="52" s="1"/>
  <c r="C2530" i="52" s="1"/>
  <c r="C2531" i="52" s="1"/>
  <c r="C2532" i="52" s="1"/>
  <c r="C2533" i="52" s="1"/>
  <c r="C2534" i="52" s="1"/>
  <c r="C2535" i="52" s="1"/>
  <c r="C2536" i="52" s="1"/>
  <c r="C2537" i="52" s="1"/>
  <c r="C2538" i="52" s="1"/>
  <c r="C2539" i="52" s="1"/>
  <c r="C2540" i="52" s="1"/>
  <c r="C2541" i="52" s="1"/>
  <c r="C2542" i="52" s="1"/>
  <c r="C2543" i="52" s="1"/>
  <c r="C2544" i="52" s="1"/>
  <c r="C2545" i="52" s="1"/>
  <c r="C2546" i="52" s="1"/>
  <c r="C2547" i="52" s="1"/>
  <c r="C2548" i="52" s="1"/>
  <c r="C2549" i="52" s="1"/>
  <c r="C2550" i="52" s="1"/>
  <c r="C2551" i="52" s="1"/>
  <c r="C2552" i="52" s="1"/>
  <c r="C2553" i="52" s="1"/>
  <c r="C2554" i="52" s="1"/>
  <c r="C2555" i="52" s="1"/>
  <c r="C2556" i="52" s="1"/>
  <c r="C2557" i="52" s="1"/>
  <c r="C2558" i="52" s="1"/>
  <c r="C2559" i="52" s="1"/>
  <c r="C2560" i="52" s="1"/>
  <c r="C2561" i="52" s="1"/>
  <c r="C2562" i="52" s="1"/>
  <c r="C2563" i="52" s="1"/>
  <c r="C2564" i="52" s="1"/>
  <c r="C2565" i="52" s="1"/>
  <c r="C2566" i="52" s="1"/>
  <c r="C2567" i="52" s="1"/>
  <c r="C2568" i="52" s="1"/>
  <c r="C2569" i="52" s="1"/>
  <c r="C2570" i="52" s="1"/>
  <c r="C2571" i="52" s="1"/>
  <c r="C2572" i="52" s="1"/>
  <c r="C2573" i="52" s="1"/>
  <c r="C2574" i="52" s="1"/>
  <c r="C2575" i="52" s="1"/>
  <c r="C2576" i="52" s="1"/>
  <c r="C2577" i="52" s="1"/>
  <c r="C2578" i="52" s="1"/>
  <c r="C2579" i="52" s="1"/>
  <c r="C2580" i="52" s="1"/>
  <c r="C2581" i="52" s="1"/>
  <c r="C2582" i="52" s="1"/>
  <c r="C2583" i="52" s="1"/>
  <c r="C2584" i="52" s="1"/>
  <c r="C2585" i="52" s="1"/>
  <c r="C2586" i="52" s="1"/>
  <c r="C2587" i="52" s="1"/>
  <c r="C2588" i="52" s="1"/>
  <c r="C2589" i="52" s="1"/>
  <c r="C2590" i="52" s="1"/>
  <c r="C2591" i="52" s="1"/>
  <c r="C2592" i="52" s="1"/>
  <c r="C2593" i="52" s="1"/>
  <c r="C2594" i="52" s="1"/>
  <c r="C2595" i="52" s="1"/>
  <c r="C2596" i="52" s="1"/>
  <c r="C2597" i="52" s="1"/>
  <c r="C2598" i="52" s="1"/>
  <c r="C2599" i="52" s="1"/>
  <c r="C2600" i="52" s="1"/>
  <c r="C2601" i="52" s="1"/>
  <c r="C2602" i="52" s="1"/>
  <c r="C2603" i="52" s="1"/>
  <c r="C2604" i="52" s="1"/>
  <c r="C2605" i="52" s="1"/>
  <c r="C2606" i="52" s="1"/>
  <c r="C2607" i="52" s="1"/>
  <c r="C2608" i="52" s="1"/>
  <c r="C2609" i="52" s="1"/>
  <c r="C2610" i="52" s="1"/>
  <c r="C2611" i="52" s="1"/>
  <c r="C2612" i="52" s="1"/>
  <c r="C2613" i="52" s="1"/>
  <c r="C2614" i="52" s="1"/>
  <c r="C2615" i="52" s="1"/>
  <c r="C2616" i="52" s="1"/>
  <c r="C2617" i="52" s="1"/>
  <c r="C2618" i="52" s="1"/>
  <c r="C2619" i="52" s="1"/>
  <c r="C2620" i="52" s="1"/>
  <c r="C2621" i="52" s="1"/>
  <c r="C2622" i="52" s="1"/>
  <c r="C2623" i="52" s="1"/>
  <c r="C2624" i="52" s="1"/>
  <c r="C2625" i="52" s="1"/>
  <c r="C2626" i="52" s="1"/>
  <c r="C2627" i="52" s="1"/>
  <c r="C2628" i="52" s="1"/>
  <c r="C2629" i="52" s="1"/>
  <c r="C2630" i="52" s="1"/>
  <c r="C2631" i="52" s="1"/>
  <c r="C2632" i="52" s="1"/>
  <c r="C2633" i="52" s="1"/>
  <c r="C2634" i="52" s="1"/>
  <c r="C2635" i="52" s="1"/>
  <c r="C2636" i="52" s="1"/>
  <c r="C2637" i="52" s="1"/>
  <c r="C2638" i="52" s="1"/>
  <c r="C2639" i="52" s="1"/>
  <c r="C2640" i="52" s="1"/>
  <c r="C2641" i="52" s="1"/>
  <c r="C2642" i="52" s="1"/>
  <c r="C2643" i="52" s="1"/>
  <c r="C2644" i="52" s="1"/>
  <c r="C2645" i="52" s="1"/>
  <c r="C2646" i="52" s="1"/>
  <c r="C2647" i="52" s="1"/>
  <c r="C2648" i="52" s="1"/>
  <c r="C2649" i="52" s="1"/>
  <c r="C2650" i="52" s="1"/>
  <c r="C2651" i="52" s="1"/>
  <c r="C2652" i="52" s="1"/>
  <c r="C2653" i="52" s="1"/>
  <c r="C2654" i="52" s="1"/>
  <c r="C2655" i="52" s="1"/>
  <c r="C2656" i="52" s="1"/>
  <c r="C2657" i="52" s="1"/>
  <c r="C2658" i="52" s="1"/>
  <c r="C2659" i="52" s="1"/>
  <c r="C2660" i="52" s="1"/>
  <c r="C2661" i="52" s="1"/>
  <c r="C2662" i="52" s="1"/>
  <c r="C2663" i="52" s="1"/>
  <c r="C2664" i="52" s="1"/>
  <c r="C2665" i="52" s="1"/>
  <c r="C2666" i="52" s="1"/>
  <c r="C2667" i="52" s="1"/>
  <c r="C2668" i="52" s="1"/>
  <c r="C2669" i="52" s="1"/>
  <c r="C2670" i="52" s="1"/>
  <c r="C2671" i="52" s="1"/>
  <c r="C2672" i="52" s="1"/>
  <c r="C2673" i="52" s="1"/>
  <c r="C2674" i="52" s="1"/>
  <c r="C2675" i="52" s="1"/>
  <c r="C2676" i="52" s="1"/>
  <c r="C2677" i="52" s="1"/>
  <c r="C2678" i="52" s="1"/>
  <c r="C2679" i="52" s="1"/>
  <c r="C2680" i="52" s="1"/>
  <c r="C2681" i="52" s="1"/>
  <c r="C2682" i="52" s="1"/>
  <c r="C2683" i="52" s="1"/>
  <c r="C2684" i="52" s="1"/>
  <c r="C2685" i="52" s="1"/>
  <c r="C2686" i="52" s="1"/>
  <c r="C2687" i="52" s="1"/>
  <c r="C2688" i="52" s="1"/>
  <c r="C2689" i="52" s="1"/>
  <c r="C2690" i="52" s="1"/>
  <c r="C2691" i="52" s="1"/>
  <c r="C2692" i="52" s="1"/>
  <c r="C2693" i="52" s="1"/>
  <c r="C2694" i="52" s="1"/>
  <c r="C2695" i="52" s="1"/>
  <c r="C2696" i="52" s="1"/>
  <c r="C2697" i="52" s="1"/>
  <c r="C2698" i="52" s="1"/>
  <c r="C2699" i="52" s="1"/>
  <c r="C2700" i="52" s="1"/>
  <c r="C2701" i="52" s="1"/>
  <c r="C2702" i="52" s="1"/>
  <c r="C2703" i="52" s="1"/>
  <c r="C2704" i="52" s="1"/>
  <c r="C2705" i="52" s="1"/>
  <c r="C2706" i="52" s="1"/>
  <c r="C2707" i="52" s="1"/>
  <c r="C2708" i="52" s="1"/>
  <c r="C2709" i="52" s="1"/>
  <c r="C2710" i="52" s="1"/>
  <c r="C2711" i="52" s="1"/>
  <c r="C2712" i="52" s="1"/>
  <c r="C2713" i="52" s="1"/>
  <c r="C2714" i="52" s="1"/>
  <c r="C2715" i="52" s="1"/>
  <c r="C2716" i="52" s="1"/>
  <c r="C2717" i="52" s="1"/>
  <c r="C2718" i="52" s="1"/>
  <c r="C2719" i="52" s="1"/>
  <c r="C2720" i="52" s="1"/>
  <c r="C2721" i="52" s="1"/>
  <c r="C2722" i="52" s="1"/>
  <c r="C2723" i="52" s="1"/>
  <c r="C2724" i="52" s="1"/>
  <c r="C2725" i="52" s="1"/>
  <c r="C2726" i="52" s="1"/>
  <c r="C2727" i="52" s="1"/>
  <c r="C2728" i="52" s="1"/>
  <c r="C2729" i="52" s="1"/>
  <c r="C2730" i="52" s="1"/>
  <c r="C2731" i="52" s="1"/>
  <c r="C2732" i="52" s="1"/>
  <c r="C2733" i="52" s="1"/>
  <c r="C2734" i="52" s="1"/>
  <c r="C2735" i="52" s="1"/>
  <c r="C2736" i="52" s="1"/>
  <c r="C2737" i="52" s="1"/>
  <c r="C2738" i="52" s="1"/>
  <c r="C2739" i="52" s="1"/>
  <c r="C2740" i="52" s="1"/>
  <c r="C2741" i="52" s="1"/>
  <c r="C2742" i="52" s="1"/>
  <c r="C2743" i="52" s="1"/>
  <c r="C2744" i="52" s="1"/>
  <c r="C2745" i="52" s="1"/>
  <c r="C2746" i="52" s="1"/>
  <c r="C2747" i="52" s="1"/>
  <c r="C2748" i="52" s="1"/>
  <c r="C2749" i="52" s="1"/>
  <c r="C2750" i="52" s="1"/>
  <c r="C2751" i="52" s="1"/>
  <c r="C2752" i="52" s="1"/>
  <c r="C2753" i="52" s="1"/>
  <c r="C2754" i="52" s="1"/>
  <c r="C2755" i="52" s="1"/>
  <c r="C2756" i="52" s="1"/>
  <c r="C2757" i="52" s="1"/>
  <c r="C2758" i="52" s="1"/>
  <c r="C2759" i="52" s="1"/>
  <c r="C2760" i="52" s="1"/>
  <c r="C2761" i="52" s="1"/>
  <c r="C2762" i="52" s="1"/>
  <c r="C2763" i="52" s="1"/>
  <c r="C2764" i="52" s="1"/>
  <c r="C2765" i="52" s="1"/>
  <c r="C2766" i="52" s="1"/>
  <c r="C2767" i="52" s="1"/>
  <c r="C2768" i="52" s="1"/>
  <c r="C2769" i="52" s="1"/>
  <c r="C2770" i="52" s="1"/>
  <c r="C2771" i="52" s="1"/>
  <c r="C2772" i="52" s="1"/>
  <c r="C2773" i="52" s="1"/>
  <c r="C2774" i="52" s="1"/>
  <c r="C2775" i="52" s="1"/>
  <c r="C2776" i="52" s="1"/>
  <c r="C2777" i="52" s="1"/>
  <c r="C2778" i="52" s="1"/>
  <c r="C2779" i="52" s="1"/>
  <c r="C2780" i="52" s="1"/>
  <c r="C2781" i="52" s="1"/>
  <c r="C2782" i="52" s="1"/>
  <c r="C2783" i="52" s="1"/>
  <c r="C2784" i="52" s="1"/>
  <c r="C2785" i="52" s="1"/>
  <c r="C2786" i="52" s="1"/>
  <c r="C2787" i="52" s="1"/>
  <c r="C2788" i="52" s="1"/>
  <c r="C2789" i="52" s="1"/>
  <c r="C2790" i="52" s="1"/>
  <c r="C2791" i="52" s="1"/>
  <c r="C2792" i="52" s="1"/>
  <c r="C2793" i="52" s="1"/>
  <c r="C2794" i="52" s="1"/>
  <c r="C2795" i="52" s="1"/>
  <c r="C2796" i="52" s="1"/>
  <c r="C2797" i="52" s="1"/>
  <c r="C2798" i="52" s="1"/>
  <c r="C2799" i="52" s="1"/>
  <c r="C2800" i="52" s="1"/>
  <c r="C2801" i="52" s="1"/>
  <c r="C2802" i="52" s="1"/>
  <c r="C2803" i="52" s="1"/>
  <c r="C2804" i="52" s="1"/>
  <c r="C2805" i="52" s="1"/>
  <c r="C2806" i="52" s="1"/>
  <c r="C2807" i="52" s="1"/>
  <c r="C2808" i="52" s="1"/>
  <c r="C2809" i="52" s="1"/>
  <c r="C2810" i="52" s="1"/>
  <c r="C2811" i="52" s="1"/>
  <c r="C2812" i="52" s="1"/>
  <c r="C2813" i="52" s="1"/>
  <c r="C2814" i="52" s="1"/>
  <c r="C2815" i="52" s="1"/>
  <c r="C2816" i="52" s="1"/>
  <c r="C2817" i="52" s="1"/>
  <c r="C2818" i="52" s="1"/>
  <c r="C2819" i="52" s="1"/>
  <c r="C2820" i="52" s="1"/>
  <c r="C2821" i="52" s="1"/>
  <c r="C2822" i="52" s="1"/>
  <c r="C2823" i="52" s="1"/>
  <c r="C2824" i="52" s="1"/>
  <c r="C2825" i="52" s="1"/>
  <c r="C2826" i="52" s="1"/>
  <c r="C2827" i="52" s="1"/>
  <c r="C2828" i="52" s="1"/>
  <c r="C2829" i="52" s="1"/>
  <c r="C2830" i="52" s="1"/>
  <c r="C2831" i="52" s="1"/>
  <c r="C2832" i="52" s="1"/>
  <c r="C2833" i="52" s="1"/>
  <c r="C2834" i="52" s="1"/>
  <c r="C2835" i="52" s="1"/>
  <c r="C2836" i="52" s="1"/>
  <c r="C2837" i="52" s="1"/>
  <c r="C2838" i="52" s="1"/>
  <c r="C2839" i="52" s="1"/>
  <c r="C2840" i="52" s="1"/>
  <c r="C2841" i="52" s="1"/>
  <c r="C2842" i="52" s="1"/>
  <c r="C2843" i="52" s="1"/>
  <c r="C2844" i="52" s="1"/>
  <c r="C2845" i="52" s="1"/>
  <c r="C2846" i="52" s="1"/>
  <c r="C2847" i="52" s="1"/>
  <c r="C2848" i="52" s="1"/>
  <c r="C2849" i="52" s="1"/>
  <c r="C2850" i="52" s="1"/>
  <c r="C2851" i="52" s="1"/>
  <c r="C2852" i="52" s="1"/>
  <c r="C2853" i="52" s="1"/>
  <c r="C2854" i="52" s="1"/>
  <c r="C2855" i="52" s="1"/>
  <c r="C2856" i="52" s="1"/>
  <c r="C2857" i="52" s="1"/>
  <c r="C2858" i="52" s="1"/>
  <c r="C2859" i="52" s="1"/>
  <c r="C2860" i="52" s="1"/>
  <c r="C2861" i="52" s="1"/>
  <c r="C2862" i="52" s="1"/>
  <c r="C2863" i="52" s="1"/>
  <c r="C2864" i="52" s="1"/>
  <c r="C2865" i="52" s="1"/>
  <c r="C2866" i="52" s="1"/>
  <c r="C2867" i="52" s="1"/>
  <c r="C2868" i="52" s="1"/>
  <c r="C2869" i="52" s="1"/>
  <c r="C2870" i="52" s="1"/>
  <c r="C2871" i="52" s="1"/>
  <c r="C2872" i="52" s="1"/>
  <c r="C2873" i="52" s="1"/>
  <c r="C2874" i="52" s="1"/>
  <c r="C2875" i="52" s="1"/>
  <c r="C2876" i="52" s="1"/>
  <c r="C2877" i="52" s="1"/>
  <c r="C2878" i="52" s="1"/>
  <c r="C2879" i="52" s="1"/>
  <c r="C2880" i="52" s="1"/>
  <c r="C2881" i="52" s="1"/>
  <c r="C2882" i="52" s="1"/>
  <c r="C2883" i="52" s="1"/>
  <c r="C2884" i="52" s="1"/>
  <c r="C2885" i="52" s="1"/>
  <c r="C2886" i="52" s="1"/>
  <c r="C2887" i="52" s="1"/>
  <c r="C2888" i="52" s="1"/>
  <c r="C2889" i="52" s="1"/>
  <c r="C2890" i="52" s="1"/>
  <c r="C2891" i="52" s="1"/>
  <c r="C2892" i="52" s="1"/>
  <c r="C2893" i="52" s="1"/>
  <c r="C2894" i="52" s="1"/>
  <c r="C2895" i="52" s="1"/>
  <c r="C2896" i="52" s="1"/>
  <c r="C2897" i="52" s="1"/>
  <c r="C2898" i="52" s="1"/>
  <c r="C2899" i="52" s="1"/>
  <c r="C2900" i="52" s="1"/>
  <c r="C2901" i="52" s="1"/>
  <c r="C2902" i="52" s="1"/>
  <c r="C2903" i="52" s="1"/>
  <c r="C2904" i="52" s="1"/>
  <c r="C2905" i="52" s="1"/>
  <c r="C2906" i="52" s="1"/>
  <c r="C2907" i="52" s="1"/>
  <c r="C2908" i="52" s="1"/>
  <c r="C2909" i="52" s="1"/>
  <c r="C2910" i="52" s="1"/>
  <c r="C2911" i="52" s="1"/>
  <c r="C2912" i="52" s="1"/>
  <c r="C2913" i="52" s="1"/>
  <c r="C2914" i="52" s="1"/>
  <c r="C2915" i="52" s="1"/>
  <c r="C2916" i="52" s="1"/>
  <c r="C2917" i="52" s="1"/>
  <c r="C2918" i="52" s="1"/>
  <c r="C2919" i="52" s="1"/>
  <c r="C2920" i="52" s="1"/>
  <c r="C2921" i="52" s="1"/>
  <c r="C2922" i="52" s="1"/>
  <c r="C2923" i="52" s="1"/>
  <c r="C2924" i="52" s="1"/>
  <c r="C2925" i="52" s="1"/>
  <c r="C2926" i="52" s="1"/>
  <c r="C2927" i="52" s="1"/>
  <c r="C2928" i="52" s="1"/>
  <c r="C2929" i="52" s="1"/>
  <c r="C2930" i="52" s="1"/>
  <c r="C2931" i="52" s="1"/>
  <c r="C2932" i="52" s="1"/>
  <c r="C2933" i="52" s="1"/>
  <c r="C2934" i="52" s="1"/>
  <c r="C2935" i="52" s="1"/>
  <c r="C2936" i="52" s="1"/>
  <c r="C2937" i="52" s="1"/>
  <c r="C2938" i="52" s="1"/>
  <c r="C2939" i="52" s="1"/>
  <c r="C2940" i="52" s="1"/>
  <c r="C2941" i="52" s="1"/>
  <c r="C2942" i="52" s="1"/>
  <c r="C2943" i="52" s="1"/>
  <c r="C2944" i="52" s="1"/>
  <c r="C2945" i="52" s="1"/>
  <c r="C2946" i="52" s="1"/>
  <c r="C2947" i="52" s="1"/>
  <c r="C2948" i="52" s="1"/>
  <c r="C2949" i="52" s="1"/>
  <c r="C2950" i="52" s="1"/>
  <c r="C2951" i="52" s="1"/>
  <c r="C2952" i="52" s="1"/>
  <c r="C2953" i="52" s="1"/>
  <c r="C2954" i="52" s="1"/>
  <c r="C2955" i="52" s="1"/>
  <c r="C2956" i="52" s="1"/>
  <c r="C2957" i="52" s="1"/>
  <c r="C2958" i="52" s="1"/>
  <c r="C2959" i="52" s="1"/>
  <c r="C2960" i="52" s="1"/>
  <c r="C2961" i="52" s="1"/>
  <c r="C2962" i="52" s="1"/>
  <c r="C2963" i="52" s="1"/>
  <c r="C2964" i="52" s="1"/>
  <c r="C2965" i="52" s="1"/>
  <c r="C2966" i="52" s="1"/>
  <c r="C2967" i="52" s="1"/>
  <c r="C2968" i="52" s="1"/>
  <c r="C2969" i="52" s="1"/>
  <c r="C2970" i="52" s="1"/>
  <c r="C2971" i="52" s="1"/>
  <c r="C2972" i="52" s="1"/>
  <c r="C2973" i="52" s="1"/>
  <c r="C2974" i="52" s="1"/>
  <c r="C2975" i="52" s="1"/>
  <c r="C2976" i="52" s="1"/>
  <c r="C2977" i="52" s="1"/>
  <c r="C2978" i="52" s="1"/>
  <c r="C2979" i="52" s="1"/>
  <c r="C2980" i="52" s="1"/>
  <c r="C2981" i="52" s="1"/>
  <c r="C2982" i="52" s="1"/>
  <c r="C2983" i="52" s="1"/>
  <c r="C2984" i="52" s="1"/>
  <c r="C2985" i="52" s="1"/>
  <c r="C2986" i="52" s="1"/>
  <c r="C2987" i="52" s="1"/>
  <c r="C2988" i="52" s="1"/>
  <c r="C2989" i="52" s="1"/>
  <c r="C2990" i="52" s="1"/>
  <c r="C2991" i="52" s="1"/>
  <c r="C2992" i="52" s="1"/>
  <c r="C2993" i="52" s="1"/>
  <c r="C2994" i="52" s="1"/>
  <c r="C2995" i="52" s="1"/>
  <c r="C2996" i="52" s="1"/>
  <c r="C2997" i="52" s="1"/>
  <c r="C2998" i="52" s="1"/>
  <c r="C2999" i="52" s="1"/>
  <c r="C3000" i="52" s="1"/>
  <c r="C3001" i="52" s="1"/>
  <c r="C3002" i="52" s="1"/>
  <c r="C3003" i="52" s="1"/>
  <c r="C3004" i="52" s="1"/>
  <c r="C3005" i="52" s="1"/>
  <c r="C3006" i="52" s="1"/>
  <c r="C3007" i="52" s="1"/>
  <c r="C3008" i="52" s="1"/>
  <c r="C3009" i="52" s="1"/>
  <c r="C3010" i="52" s="1"/>
  <c r="C3011" i="52" s="1"/>
  <c r="C3012" i="52" s="1"/>
  <c r="C3013" i="52" s="1"/>
  <c r="C3014" i="52" s="1"/>
  <c r="C3015" i="52" s="1"/>
  <c r="C3016" i="52" s="1"/>
  <c r="C3017" i="52" s="1"/>
  <c r="C3018" i="52" s="1"/>
  <c r="C3019" i="52" s="1"/>
  <c r="C3020" i="52" s="1"/>
  <c r="C3021" i="52" s="1"/>
  <c r="C3022" i="52" s="1"/>
  <c r="C3023" i="52" s="1"/>
  <c r="C3024" i="52" s="1"/>
  <c r="C3025" i="52" s="1"/>
  <c r="C3026" i="52" s="1"/>
  <c r="C3027" i="52" s="1"/>
  <c r="C3028" i="52" s="1"/>
  <c r="C3029" i="52" s="1"/>
  <c r="C3030" i="52" s="1"/>
  <c r="C3031" i="52" s="1"/>
  <c r="C3032" i="52" s="1"/>
  <c r="C3033" i="52" s="1"/>
  <c r="C3034" i="52" s="1"/>
  <c r="C3035" i="52" s="1"/>
  <c r="C3036" i="52" s="1"/>
  <c r="C3037" i="52" s="1"/>
  <c r="C3038" i="52" s="1"/>
  <c r="C3039" i="52" s="1"/>
  <c r="C3040" i="52" s="1"/>
  <c r="C3041" i="52" s="1"/>
  <c r="C3042" i="52" s="1"/>
  <c r="C3043" i="52" s="1"/>
  <c r="C3044" i="52" s="1"/>
  <c r="C3045" i="52" s="1"/>
  <c r="C3046" i="52" s="1"/>
  <c r="C3047" i="52" s="1"/>
  <c r="C3048" i="52" s="1"/>
  <c r="C3049" i="52" s="1"/>
  <c r="C3050" i="52" s="1"/>
  <c r="C3051" i="52" s="1"/>
  <c r="C3052" i="52" s="1"/>
  <c r="C3053" i="52" s="1"/>
  <c r="C3054" i="52" s="1"/>
  <c r="C3055" i="52" s="1"/>
  <c r="C3056" i="52" s="1"/>
  <c r="C3057" i="52" s="1"/>
  <c r="C3058" i="52" s="1"/>
  <c r="C3059" i="52" s="1"/>
  <c r="C3060" i="52" s="1"/>
  <c r="C3061" i="52" s="1"/>
  <c r="C3062" i="52" s="1"/>
  <c r="C3063" i="52" s="1"/>
  <c r="C3064" i="52" s="1"/>
  <c r="C3065" i="52" s="1"/>
  <c r="C3066" i="52" s="1"/>
  <c r="C3067" i="52" s="1"/>
  <c r="C3068" i="52" s="1"/>
  <c r="C3069" i="52" s="1"/>
  <c r="C3070" i="52" s="1"/>
  <c r="C3071" i="52" s="1"/>
  <c r="C3072" i="52" s="1"/>
  <c r="C3073" i="52" s="1"/>
  <c r="C3074" i="52" s="1"/>
  <c r="C3075" i="52" s="1"/>
  <c r="C3076" i="52" s="1"/>
  <c r="C3077" i="52" s="1"/>
  <c r="C3078" i="52" s="1"/>
  <c r="C3079" i="52" s="1"/>
  <c r="C3080" i="52" s="1"/>
  <c r="C3081" i="52" s="1"/>
  <c r="C3082" i="52" s="1"/>
  <c r="C3083" i="52" s="1"/>
  <c r="C3084" i="52" s="1"/>
  <c r="C3085" i="52" s="1"/>
  <c r="C3086" i="52" s="1"/>
  <c r="C3087" i="52" s="1"/>
  <c r="C3088" i="52" s="1"/>
  <c r="C3089" i="52" s="1"/>
  <c r="C3090" i="52" s="1"/>
  <c r="C3091" i="52" s="1"/>
  <c r="C3092" i="52" s="1"/>
  <c r="C3093" i="52" s="1"/>
  <c r="C3094" i="52" s="1"/>
  <c r="C3095" i="52" s="1"/>
  <c r="C3096" i="52" s="1"/>
  <c r="C3097" i="52" s="1"/>
  <c r="C3098" i="52" s="1"/>
  <c r="C3099" i="52" s="1"/>
  <c r="C3100" i="52" s="1"/>
  <c r="C3101" i="52" s="1"/>
  <c r="C3102" i="52" s="1"/>
  <c r="C3103" i="52" s="1"/>
  <c r="C3104" i="52" s="1"/>
  <c r="C3105" i="52" s="1"/>
  <c r="C3106" i="52" s="1"/>
  <c r="C3107" i="52" s="1"/>
  <c r="C3108" i="52" s="1"/>
  <c r="C3109" i="52" s="1"/>
  <c r="C3110" i="52" s="1"/>
  <c r="C3111" i="52" s="1"/>
  <c r="C3112" i="52" s="1"/>
  <c r="C3113" i="52" s="1"/>
  <c r="C3114" i="52" s="1"/>
  <c r="C3115" i="52" s="1"/>
  <c r="C3116" i="52" s="1"/>
  <c r="C3117" i="52" s="1"/>
  <c r="C3118" i="52" s="1"/>
  <c r="C3119" i="52" s="1"/>
  <c r="C3120" i="52" s="1"/>
  <c r="C3121" i="52" s="1"/>
  <c r="C3122" i="52" s="1"/>
  <c r="C3123" i="52" s="1"/>
  <c r="C3124" i="52" s="1"/>
  <c r="C3125" i="52" s="1"/>
  <c r="C3126" i="52" s="1"/>
  <c r="C3127" i="52" s="1"/>
  <c r="C3128" i="52" s="1"/>
  <c r="C3129" i="52" s="1"/>
  <c r="C3130" i="52" s="1"/>
  <c r="C3131" i="52" s="1"/>
  <c r="C3132" i="52" s="1"/>
  <c r="C3133" i="52" s="1"/>
  <c r="C3134" i="52" s="1"/>
  <c r="C3135" i="52" s="1"/>
  <c r="C3136" i="52" s="1"/>
  <c r="C3137" i="52" s="1"/>
  <c r="C3138" i="52" s="1"/>
  <c r="C3139" i="52" s="1"/>
  <c r="C3140" i="52" s="1"/>
  <c r="C3141" i="52" s="1"/>
  <c r="C3142" i="52" s="1"/>
  <c r="C3143" i="52" s="1"/>
  <c r="C3144" i="52" s="1"/>
  <c r="C3145" i="52" s="1"/>
  <c r="C3146" i="52" s="1"/>
  <c r="C3147" i="52" s="1"/>
  <c r="C3148" i="52" s="1"/>
  <c r="C3149" i="52" s="1"/>
  <c r="C3150" i="52" s="1"/>
  <c r="C3151" i="52" s="1"/>
  <c r="C3152" i="52" s="1"/>
  <c r="C3153" i="52" s="1"/>
  <c r="C3154" i="52" s="1"/>
  <c r="C3155" i="52" s="1"/>
  <c r="C3156" i="52" s="1"/>
  <c r="C3157" i="52" s="1"/>
  <c r="C3158" i="52" s="1"/>
  <c r="C3159" i="52" s="1"/>
  <c r="C3160" i="52" s="1"/>
  <c r="C3161" i="52" s="1"/>
  <c r="C3162" i="52" s="1"/>
  <c r="C3163" i="52" s="1"/>
  <c r="C3164" i="52" s="1"/>
  <c r="C3165" i="52" s="1"/>
  <c r="C3166" i="52" s="1"/>
  <c r="C3167" i="52" s="1"/>
  <c r="C3168" i="52" s="1"/>
  <c r="C3169" i="52" s="1"/>
  <c r="C3170" i="52" s="1"/>
  <c r="C3171" i="52" s="1"/>
  <c r="C3172" i="52" s="1"/>
  <c r="C3173" i="52" s="1"/>
  <c r="C3174" i="52" s="1"/>
  <c r="C3175" i="52" s="1"/>
  <c r="C3176" i="52" s="1"/>
  <c r="C3177" i="52" s="1"/>
  <c r="C3178" i="52" s="1"/>
  <c r="C3179" i="52" s="1"/>
  <c r="C3180" i="52" s="1"/>
  <c r="C3181" i="52" s="1"/>
  <c r="C3182" i="52" s="1"/>
  <c r="C3183" i="52" s="1"/>
  <c r="C3184" i="52" s="1"/>
  <c r="C3185" i="52" s="1"/>
  <c r="C3186" i="52" s="1"/>
  <c r="C3187" i="52" s="1"/>
  <c r="C3188" i="52" s="1"/>
  <c r="C3189" i="52" s="1"/>
  <c r="C3190" i="52" s="1"/>
  <c r="C3191" i="52" s="1"/>
  <c r="C3192" i="52" s="1"/>
  <c r="C3193" i="52" s="1"/>
  <c r="C3194" i="52" s="1"/>
  <c r="C3195" i="52" s="1"/>
  <c r="C3196" i="52" s="1"/>
  <c r="C3197" i="52" s="1"/>
  <c r="C3198" i="52" s="1"/>
  <c r="C3199" i="52" s="1"/>
  <c r="C3200" i="52" s="1"/>
  <c r="C3201" i="52" s="1"/>
  <c r="C3202" i="52" s="1"/>
  <c r="C3203" i="52" s="1"/>
  <c r="C3204" i="52" s="1"/>
  <c r="C3205" i="52" s="1"/>
  <c r="C3206" i="52" s="1"/>
  <c r="C3207" i="52" s="1"/>
  <c r="C3208" i="52" s="1"/>
  <c r="C3209" i="52" s="1"/>
  <c r="C3210" i="52" s="1"/>
  <c r="C3211" i="52" s="1"/>
  <c r="C3212" i="52" s="1"/>
  <c r="C3213" i="52" s="1"/>
  <c r="C3214" i="52" s="1"/>
  <c r="C3215" i="52" s="1"/>
  <c r="C3216" i="52" s="1"/>
  <c r="C3217" i="52" s="1"/>
  <c r="C3218" i="52" s="1"/>
  <c r="C3219" i="52" s="1"/>
  <c r="C3220" i="52" s="1"/>
  <c r="C3221" i="52" s="1"/>
  <c r="C3222" i="52" s="1"/>
  <c r="C3223" i="52" s="1"/>
  <c r="C3224" i="52" s="1"/>
  <c r="C3225" i="52" s="1"/>
  <c r="C3226" i="52" s="1"/>
  <c r="C3227" i="52" s="1"/>
  <c r="C3228" i="52" s="1"/>
  <c r="C3229" i="52" s="1"/>
  <c r="C3230" i="52" s="1"/>
  <c r="C3231" i="52" s="1"/>
  <c r="C3232" i="52" s="1"/>
  <c r="C3233" i="52" s="1"/>
  <c r="C3234" i="52" s="1"/>
  <c r="C3235" i="52" s="1"/>
  <c r="C3236" i="52" s="1"/>
  <c r="C3237" i="52" s="1"/>
  <c r="C3238" i="52" s="1"/>
  <c r="C3239" i="52" s="1"/>
  <c r="C3240" i="52" s="1"/>
  <c r="C3241" i="52" s="1"/>
  <c r="C3242" i="52" s="1"/>
  <c r="C3243" i="52" s="1"/>
  <c r="C3244" i="52" s="1"/>
  <c r="C3245" i="52" s="1"/>
  <c r="C3246" i="52" s="1"/>
  <c r="C3247" i="52" s="1"/>
  <c r="C3248" i="52" s="1"/>
  <c r="C3249" i="52" s="1"/>
  <c r="C3250" i="52" s="1"/>
  <c r="C3251" i="52" s="1"/>
  <c r="C3252" i="52" s="1"/>
  <c r="C3253" i="52" s="1"/>
  <c r="C3254" i="52" s="1"/>
  <c r="C3255" i="52" s="1"/>
  <c r="C3256" i="52" s="1"/>
  <c r="C3257" i="52" s="1"/>
  <c r="C3258" i="52" s="1"/>
  <c r="C3259" i="52" s="1"/>
  <c r="C3260" i="52" s="1"/>
  <c r="C3261" i="52" s="1"/>
  <c r="C3262" i="52" s="1"/>
  <c r="C3263" i="52" s="1"/>
  <c r="C3264" i="52" s="1"/>
  <c r="C3265" i="52" s="1"/>
  <c r="C3266" i="52" s="1"/>
  <c r="C3267" i="52" s="1"/>
  <c r="C3268" i="52" s="1"/>
  <c r="C3269" i="52" s="1"/>
  <c r="C3270" i="52" s="1"/>
  <c r="C3271" i="52" s="1"/>
  <c r="C3272" i="52" s="1"/>
  <c r="C3273" i="52" s="1"/>
  <c r="C3274" i="52" s="1"/>
  <c r="C3275" i="52" s="1"/>
  <c r="C3276" i="52" s="1"/>
  <c r="C3277" i="52" s="1"/>
  <c r="C3278" i="52" s="1"/>
  <c r="C3279" i="52" s="1"/>
  <c r="C3280" i="52" s="1"/>
  <c r="C3281" i="52" s="1"/>
  <c r="C3282" i="52" s="1"/>
  <c r="C3283" i="52" s="1"/>
  <c r="C3284" i="52" s="1"/>
  <c r="C3285" i="52" s="1"/>
  <c r="C3286" i="52" s="1"/>
  <c r="C3287" i="52" s="1"/>
  <c r="C3288" i="52" s="1"/>
  <c r="C3289" i="52" s="1"/>
  <c r="C3290" i="52" s="1"/>
  <c r="C3291" i="52" s="1"/>
  <c r="C3292" i="52" s="1"/>
  <c r="C3293" i="52" s="1"/>
  <c r="C3294" i="52" s="1"/>
  <c r="C3295" i="52" s="1"/>
  <c r="C3296" i="52" s="1"/>
  <c r="C3297" i="52" s="1"/>
  <c r="C3298" i="52" s="1"/>
  <c r="C3299" i="52" s="1"/>
  <c r="C3300" i="52" s="1"/>
  <c r="C3301" i="52" s="1"/>
  <c r="C3302" i="52" s="1"/>
  <c r="C3303" i="52" s="1"/>
  <c r="C3304" i="52" s="1"/>
  <c r="C3305" i="52" s="1"/>
  <c r="C3306" i="52" s="1"/>
  <c r="C3307" i="52" s="1"/>
  <c r="C3308" i="52" s="1"/>
  <c r="C3309" i="52" s="1"/>
  <c r="C3310" i="52" s="1"/>
  <c r="C3311" i="52" s="1"/>
  <c r="C3312" i="52" s="1"/>
  <c r="C3313" i="52" s="1"/>
  <c r="C3314" i="52" s="1"/>
  <c r="C3315" i="52" s="1"/>
  <c r="C3316" i="52" s="1"/>
  <c r="C3317" i="52" s="1"/>
  <c r="C3318" i="52" s="1"/>
  <c r="C3319" i="52" s="1"/>
  <c r="C3320" i="52" s="1"/>
  <c r="C3321" i="52" s="1"/>
  <c r="C3322" i="52" s="1"/>
  <c r="C3323" i="52" s="1"/>
  <c r="C3324" i="52" s="1"/>
  <c r="C3325" i="52" s="1"/>
  <c r="C3326" i="52" s="1"/>
  <c r="C3327" i="52" s="1"/>
  <c r="C3328" i="52" s="1"/>
  <c r="C3329" i="52" s="1"/>
  <c r="C3330" i="52" s="1"/>
  <c r="C3331" i="52" s="1"/>
  <c r="C3332" i="52" s="1"/>
  <c r="C3333" i="52" s="1"/>
  <c r="C3334" i="52" s="1"/>
  <c r="C3335" i="52" s="1"/>
  <c r="C3336" i="52" s="1"/>
  <c r="C3337" i="52" s="1"/>
  <c r="C3338" i="52" s="1"/>
  <c r="C3339" i="52" s="1"/>
  <c r="C3340" i="52" s="1"/>
  <c r="C3341" i="52" s="1"/>
  <c r="C3342" i="52" s="1"/>
  <c r="C3343" i="52" s="1"/>
  <c r="C3344" i="52" s="1"/>
  <c r="C3345" i="52" s="1"/>
  <c r="C3346" i="52" s="1"/>
  <c r="C3347" i="52" s="1"/>
  <c r="C3348" i="52" s="1"/>
  <c r="C3349" i="52" s="1"/>
  <c r="C3350" i="52" s="1"/>
  <c r="C3351" i="52" s="1"/>
  <c r="C3352" i="52" s="1"/>
  <c r="C3353" i="52" s="1"/>
  <c r="C3354" i="52" s="1"/>
  <c r="C3355" i="52" s="1"/>
  <c r="C3356" i="52" s="1"/>
  <c r="C3357" i="52" s="1"/>
  <c r="C3358" i="52" s="1"/>
  <c r="C3359" i="52" s="1"/>
  <c r="C3360" i="52" s="1"/>
  <c r="C3361" i="52" s="1"/>
  <c r="C3362" i="52" s="1"/>
  <c r="C3363" i="52" s="1"/>
  <c r="C3364" i="52" s="1"/>
  <c r="C3365" i="52" s="1"/>
  <c r="C3366" i="52" s="1"/>
  <c r="C3367" i="52" s="1"/>
  <c r="C3368" i="52" s="1"/>
  <c r="C3369" i="52" s="1"/>
  <c r="C3370" i="52" s="1"/>
  <c r="C3371" i="52" s="1"/>
  <c r="C3372" i="52" s="1"/>
  <c r="C3373" i="52" s="1"/>
  <c r="C3374" i="52" s="1"/>
  <c r="C3375" i="52" s="1"/>
  <c r="C3376" i="52" s="1"/>
  <c r="C3377" i="52" s="1"/>
  <c r="C3378" i="52" s="1"/>
  <c r="C3379" i="52" s="1"/>
  <c r="C3380" i="52" s="1"/>
  <c r="C3381" i="52" s="1"/>
  <c r="C3382" i="52" s="1"/>
  <c r="C3383" i="52" s="1"/>
  <c r="C3384" i="52" s="1"/>
  <c r="C3385" i="52" s="1"/>
  <c r="C3386" i="52" s="1"/>
  <c r="C3387" i="52" s="1"/>
  <c r="C3388" i="52" s="1"/>
  <c r="C3389" i="52" s="1"/>
  <c r="C3390" i="52" s="1"/>
  <c r="C3391" i="52" s="1"/>
  <c r="C3392" i="52" s="1"/>
  <c r="C3393" i="52" s="1"/>
  <c r="C3394" i="52" s="1"/>
  <c r="C3395" i="52" s="1"/>
  <c r="C3396" i="52" s="1"/>
  <c r="C3397" i="52" s="1"/>
  <c r="C3398" i="52" s="1"/>
  <c r="C3399" i="52" s="1"/>
  <c r="C3400" i="52" s="1"/>
  <c r="C3401" i="52" s="1"/>
  <c r="C3402" i="52" s="1"/>
  <c r="C3403" i="52" s="1"/>
  <c r="C3404" i="52" s="1"/>
  <c r="C3405" i="52" s="1"/>
  <c r="C3406" i="52" s="1"/>
  <c r="C3407" i="52" s="1"/>
  <c r="C3408" i="52" s="1"/>
  <c r="C3409" i="52" s="1"/>
  <c r="C3410" i="52" s="1"/>
  <c r="C3411" i="52" s="1"/>
  <c r="C3412" i="52" s="1"/>
  <c r="C3413" i="52" s="1"/>
  <c r="C3414" i="52" s="1"/>
  <c r="C3415" i="52" s="1"/>
  <c r="C3416" i="52" s="1"/>
  <c r="C3417" i="52" s="1"/>
  <c r="C3418" i="52" s="1"/>
  <c r="C3419" i="52" s="1"/>
  <c r="C3420" i="52" s="1"/>
  <c r="C3421" i="52" s="1"/>
  <c r="C3422" i="52" s="1"/>
  <c r="C3423" i="52" s="1"/>
  <c r="C3424" i="52" s="1"/>
  <c r="C3425" i="52" s="1"/>
  <c r="C3426" i="52" s="1"/>
  <c r="C3427" i="52" s="1"/>
  <c r="C3428" i="52" s="1"/>
  <c r="C3429" i="52" s="1"/>
  <c r="C3430" i="52" s="1"/>
  <c r="C3431" i="52" s="1"/>
  <c r="C3432" i="52" s="1"/>
  <c r="C3433" i="52" s="1"/>
  <c r="C3434" i="52" s="1"/>
  <c r="C3435" i="52" s="1"/>
  <c r="C3436" i="52" s="1"/>
  <c r="C3437" i="52" s="1"/>
  <c r="C3438" i="52" s="1"/>
  <c r="C3439" i="52" s="1"/>
  <c r="C3440" i="52" s="1"/>
  <c r="C3441" i="52" s="1"/>
  <c r="C3442" i="52" s="1"/>
  <c r="C3443" i="52" s="1"/>
  <c r="C3444" i="52" s="1"/>
  <c r="C3445" i="52" s="1"/>
  <c r="C3446" i="52" s="1"/>
  <c r="C3447" i="52" s="1"/>
  <c r="C3448" i="52" s="1"/>
  <c r="C3449" i="52" s="1"/>
  <c r="C3450" i="52" s="1"/>
  <c r="C3451" i="52" s="1"/>
  <c r="C3452" i="52" s="1"/>
  <c r="C3453" i="52" s="1"/>
  <c r="C3454" i="52" s="1"/>
  <c r="C3455" i="52" s="1"/>
  <c r="C3456" i="52" s="1"/>
  <c r="C3457" i="52" s="1"/>
  <c r="C3458" i="52" s="1"/>
  <c r="C3459" i="52" s="1"/>
  <c r="C3460" i="52" s="1"/>
  <c r="C3461" i="52" s="1"/>
  <c r="C3462" i="52" s="1"/>
  <c r="C3463" i="52" s="1"/>
  <c r="C3464" i="52" s="1"/>
  <c r="C3465" i="52" s="1"/>
  <c r="C3466" i="52" s="1"/>
  <c r="C3467" i="52" s="1"/>
  <c r="C3468" i="52" s="1"/>
  <c r="C3469" i="52" s="1"/>
  <c r="C3470" i="52" s="1"/>
  <c r="C3471" i="52" s="1"/>
  <c r="C3472" i="52" s="1"/>
  <c r="C3473" i="52" s="1"/>
  <c r="C3474" i="52" s="1"/>
  <c r="C3475" i="52" s="1"/>
  <c r="C3476" i="52" s="1"/>
  <c r="C3477" i="52" s="1"/>
  <c r="C3478" i="52" s="1"/>
  <c r="C3479" i="52" s="1"/>
  <c r="C3480" i="52" s="1"/>
  <c r="C3481" i="52" s="1"/>
  <c r="C3482" i="52" s="1"/>
  <c r="C3483" i="52" s="1"/>
  <c r="C3484" i="52" s="1"/>
  <c r="C3485" i="52" s="1"/>
  <c r="C3486" i="52" s="1"/>
  <c r="C3487" i="52" s="1"/>
  <c r="C3488" i="52" s="1"/>
  <c r="C3489" i="52" s="1"/>
  <c r="C3490" i="52" s="1"/>
  <c r="C3491" i="52" s="1"/>
  <c r="C3492" i="52" s="1"/>
  <c r="C3493" i="52" s="1"/>
  <c r="C3494" i="52" s="1"/>
  <c r="C3495" i="52" s="1"/>
  <c r="C3496" i="52" s="1"/>
  <c r="C3497" i="52" s="1"/>
  <c r="C3498" i="52" s="1"/>
  <c r="C3499" i="52" s="1"/>
  <c r="C3500" i="52" s="1"/>
  <c r="C3501" i="52" s="1"/>
  <c r="C3502" i="52" s="1"/>
  <c r="C3503" i="52" s="1"/>
  <c r="C3504" i="52" s="1"/>
  <c r="C3505" i="52" s="1"/>
  <c r="C3506" i="52" s="1"/>
  <c r="C3507" i="52" s="1"/>
  <c r="C3508" i="52" s="1"/>
  <c r="C3509" i="52" s="1"/>
  <c r="C3510" i="52" s="1"/>
  <c r="C3511" i="52" s="1"/>
  <c r="C3512" i="52" s="1"/>
  <c r="C3513" i="52" s="1"/>
  <c r="C3514" i="52" s="1"/>
  <c r="C3515" i="52" s="1"/>
  <c r="C3516" i="52" s="1"/>
  <c r="C3517" i="52" s="1"/>
  <c r="C3518" i="52" s="1"/>
  <c r="C3519" i="52" s="1"/>
  <c r="C3520" i="52" s="1"/>
  <c r="C3521" i="52" s="1"/>
  <c r="C3522" i="52" s="1"/>
  <c r="C3523" i="52" s="1"/>
  <c r="C3524" i="52" s="1"/>
  <c r="C3525" i="52" s="1"/>
  <c r="C3526" i="52" s="1"/>
  <c r="C3527" i="52" s="1"/>
  <c r="C3528" i="52" s="1"/>
  <c r="C3529" i="52" s="1"/>
  <c r="C3530" i="52" s="1"/>
  <c r="C3531" i="52" s="1"/>
  <c r="C3532" i="52" s="1"/>
  <c r="C3533" i="52" s="1"/>
  <c r="C3534" i="52" s="1"/>
  <c r="C3535" i="52" s="1"/>
  <c r="C3536" i="52" s="1"/>
  <c r="C3537" i="52" s="1"/>
  <c r="C3538" i="52" s="1"/>
  <c r="C3539" i="52" s="1"/>
  <c r="C3540" i="52" s="1"/>
  <c r="C3541" i="52" s="1"/>
  <c r="C3542" i="52" s="1"/>
  <c r="C3543" i="52" s="1"/>
  <c r="C3544" i="52" s="1"/>
  <c r="C3545" i="52" s="1"/>
  <c r="C3546" i="52" s="1"/>
  <c r="C3547" i="52" s="1"/>
  <c r="C3548" i="52" s="1"/>
  <c r="C3549" i="52" s="1"/>
  <c r="C3550" i="52" s="1"/>
  <c r="C3551" i="52" s="1"/>
  <c r="C3552" i="52" s="1"/>
  <c r="C3553" i="52" s="1"/>
  <c r="C3554" i="52" s="1"/>
  <c r="C3555" i="52" s="1"/>
  <c r="C3556" i="52" s="1"/>
  <c r="C3557" i="52" s="1"/>
  <c r="C3558" i="52" s="1"/>
  <c r="C3559" i="52" s="1"/>
  <c r="C3560" i="52" s="1"/>
  <c r="C3561" i="52" s="1"/>
  <c r="C3562" i="52" s="1"/>
  <c r="C3563" i="52" s="1"/>
  <c r="C3564" i="52" s="1"/>
  <c r="C3565" i="52" s="1"/>
  <c r="C3566" i="52" s="1"/>
  <c r="C3567" i="52" s="1"/>
  <c r="C3568" i="52" s="1"/>
  <c r="C3569" i="52" s="1"/>
  <c r="C3570" i="52" s="1"/>
  <c r="C3571" i="52" s="1"/>
  <c r="C3572" i="52" s="1"/>
  <c r="C3573" i="52" s="1"/>
  <c r="C3574" i="52" s="1"/>
  <c r="C3575" i="52" s="1"/>
  <c r="C3576" i="52" s="1"/>
  <c r="C3577" i="52" s="1"/>
  <c r="C3578" i="52" s="1"/>
  <c r="C3579" i="52" s="1"/>
  <c r="C3580" i="52" s="1"/>
  <c r="C3581" i="52" s="1"/>
  <c r="C3582" i="52" s="1"/>
  <c r="C3583" i="52" s="1"/>
  <c r="C3584" i="52" s="1"/>
  <c r="C3585" i="52" s="1"/>
  <c r="C3586" i="52" s="1"/>
  <c r="C3587" i="52" s="1"/>
  <c r="C3588" i="52" s="1"/>
  <c r="C3589" i="52" s="1"/>
  <c r="C3590" i="52" s="1"/>
  <c r="C3591" i="52" s="1"/>
  <c r="C3592" i="52" s="1"/>
  <c r="C3593" i="52" s="1"/>
  <c r="C3594" i="52" s="1"/>
  <c r="C3595" i="52" s="1"/>
  <c r="C3596" i="52" s="1"/>
  <c r="C3597" i="52" s="1"/>
  <c r="C3598" i="52" s="1"/>
  <c r="C3599" i="52" s="1"/>
  <c r="C3600" i="52" s="1"/>
  <c r="C3601" i="52" s="1"/>
  <c r="C3602" i="52" s="1"/>
  <c r="C3603" i="52" s="1"/>
  <c r="C3604" i="52" s="1"/>
  <c r="C3605" i="52" s="1"/>
  <c r="C3606" i="52" s="1"/>
  <c r="C3607" i="52" s="1"/>
  <c r="C3608" i="52" s="1"/>
  <c r="C3609" i="52" s="1"/>
  <c r="C3610" i="52" s="1"/>
  <c r="C3611" i="52" s="1"/>
  <c r="C3612" i="52" s="1"/>
  <c r="C3613" i="52" s="1"/>
  <c r="C3614" i="52" s="1"/>
  <c r="C3615" i="52" s="1"/>
  <c r="C3616" i="52" s="1"/>
  <c r="C3617" i="52" s="1"/>
  <c r="C3618" i="52" s="1"/>
  <c r="C3619" i="52" s="1"/>
  <c r="C3620" i="52" s="1"/>
  <c r="C3621" i="52" s="1"/>
  <c r="C3622" i="52" s="1"/>
  <c r="C3623" i="52" s="1"/>
  <c r="C3624" i="52" s="1"/>
  <c r="C3625" i="52" s="1"/>
  <c r="C3626" i="52" s="1"/>
  <c r="C3627" i="52" s="1"/>
  <c r="C3628" i="52" s="1"/>
  <c r="C3629" i="52" s="1"/>
  <c r="C3630" i="52" s="1"/>
  <c r="C3631" i="52" s="1"/>
  <c r="C3632" i="52" s="1"/>
  <c r="C3633" i="52" s="1"/>
  <c r="C3634" i="52" s="1"/>
  <c r="C3635" i="52" s="1"/>
  <c r="C3636" i="52" s="1"/>
  <c r="C3637" i="52" s="1"/>
  <c r="C3638" i="52" s="1"/>
  <c r="C3639" i="52" s="1"/>
  <c r="C3640" i="52" s="1"/>
  <c r="C3641" i="52" s="1"/>
  <c r="C3642" i="52" s="1"/>
  <c r="C3643" i="52" s="1"/>
  <c r="C3644" i="52" s="1"/>
  <c r="C3645" i="52" s="1"/>
  <c r="C3646" i="52" s="1"/>
  <c r="C3647" i="52" s="1"/>
  <c r="C3648" i="52" s="1"/>
  <c r="C3649" i="52" s="1"/>
  <c r="C3650" i="52" s="1"/>
  <c r="C3651" i="52" s="1"/>
  <c r="C3652" i="52" s="1"/>
  <c r="C3653" i="52" s="1"/>
  <c r="C3654" i="52" s="1"/>
  <c r="C3655" i="52" s="1"/>
  <c r="C3656" i="52" s="1"/>
  <c r="C3657" i="52" s="1"/>
  <c r="C3658" i="52" s="1"/>
  <c r="C3659" i="52" s="1"/>
  <c r="C3660" i="52" s="1"/>
  <c r="C3661" i="52" s="1"/>
  <c r="C3662" i="52" s="1"/>
  <c r="C3663" i="52" s="1"/>
  <c r="C3664" i="52" s="1"/>
  <c r="C3665" i="52" s="1"/>
  <c r="C3666" i="52" s="1"/>
  <c r="C3667" i="52" s="1"/>
  <c r="C3668" i="52" s="1"/>
  <c r="C3669" i="52" s="1"/>
  <c r="C3670" i="52" s="1"/>
  <c r="C3671" i="52" s="1"/>
  <c r="C3672" i="52" s="1"/>
  <c r="C3673" i="52" s="1"/>
  <c r="C3674" i="52" s="1"/>
  <c r="C3675" i="52" s="1"/>
  <c r="C3676" i="52" s="1"/>
  <c r="C3677" i="52" s="1"/>
  <c r="C3678" i="52" s="1"/>
  <c r="C3679" i="52" s="1"/>
  <c r="C3680" i="52" s="1"/>
  <c r="C3681" i="52" s="1"/>
  <c r="C3682" i="52" s="1"/>
  <c r="C3683" i="52" s="1"/>
  <c r="C3684" i="52" s="1"/>
  <c r="C3685" i="52" s="1"/>
  <c r="C3686" i="52" s="1"/>
  <c r="C3687" i="52" s="1"/>
  <c r="C3688" i="52" s="1"/>
  <c r="C3689" i="52" s="1"/>
  <c r="C3690" i="52" s="1"/>
  <c r="C3691" i="52" s="1"/>
  <c r="C3692" i="52" s="1"/>
  <c r="C3693" i="52" s="1"/>
  <c r="C3694" i="52" s="1"/>
  <c r="C3695" i="52" s="1"/>
  <c r="C3696" i="52" s="1"/>
  <c r="C3697" i="52" s="1"/>
  <c r="C3698" i="52" s="1"/>
  <c r="C3699" i="52" s="1"/>
  <c r="C3700" i="52" s="1"/>
  <c r="C3701" i="52" s="1"/>
  <c r="C3702" i="52" s="1"/>
  <c r="C3703" i="52" s="1"/>
  <c r="C3704" i="52" s="1"/>
  <c r="C3705" i="52" s="1"/>
  <c r="C3706" i="52" s="1"/>
  <c r="C3707" i="52" s="1"/>
  <c r="C3708" i="52" s="1"/>
  <c r="C3709" i="52" s="1"/>
  <c r="C3710" i="52" s="1"/>
  <c r="C3711" i="52" s="1"/>
  <c r="C3712" i="52" s="1"/>
  <c r="C3713" i="52" s="1"/>
  <c r="C3714" i="52" s="1"/>
  <c r="C3715" i="52" s="1"/>
  <c r="C3716" i="52" s="1"/>
  <c r="C3717" i="52" s="1"/>
  <c r="C3718" i="52" s="1"/>
  <c r="C3719" i="52" s="1"/>
  <c r="C3720" i="52" s="1"/>
  <c r="C3721" i="52" s="1"/>
  <c r="C3722" i="52" s="1"/>
  <c r="C3723" i="52" s="1"/>
  <c r="C3724" i="52" s="1"/>
  <c r="C3725" i="52" s="1"/>
  <c r="C3726" i="52" s="1"/>
  <c r="C3727" i="52" s="1"/>
  <c r="C3728" i="52" s="1"/>
  <c r="C3729" i="52" s="1"/>
  <c r="C3730" i="52" s="1"/>
  <c r="C3731" i="52" s="1"/>
  <c r="C3732" i="52" s="1"/>
  <c r="C3733" i="52" s="1"/>
  <c r="C3734" i="52" s="1"/>
  <c r="C3735" i="52" s="1"/>
  <c r="C3736" i="52" s="1"/>
  <c r="C3737" i="52" s="1"/>
  <c r="C3738" i="52" s="1"/>
  <c r="C3739" i="52" s="1"/>
  <c r="C3740" i="52" s="1"/>
  <c r="C3741" i="52" s="1"/>
  <c r="C3742" i="52" s="1"/>
  <c r="C3743" i="52" s="1"/>
  <c r="C3744" i="52" s="1"/>
  <c r="C3745" i="52" s="1"/>
  <c r="C3746" i="52" s="1"/>
  <c r="C3747" i="52" s="1"/>
  <c r="C3748" i="52" s="1"/>
  <c r="C3749" i="52" s="1"/>
  <c r="C3750" i="52" s="1"/>
  <c r="C3751" i="52" s="1"/>
  <c r="C3752" i="52" s="1"/>
  <c r="C3753" i="52" s="1"/>
  <c r="C3754" i="52" s="1"/>
  <c r="C3755" i="52" s="1"/>
  <c r="C3756" i="52" s="1"/>
  <c r="C3757" i="52" s="1"/>
  <c r="C3758" i="52" s="1"/>
  <c r="C3759" i="52" s="1"/>
  <c r="C3760" i="52" s="1"/>
  <c r="C3761" i="52" s="1"/>
  <c r="C3762" i="52" s="1"/>
  <c r="C3763" i="52" s="1"/>
  <c r="C3764" i="52" s="1"/>
  <c r="C3765" i="52" s="1"/>
  <c r="C3766" i="52" s="1"/>
  <c r="C3767" i="52" s="1"/>
  <c r="C3768" i="52" s="1"/>
  <c r="C3769" i="52" s="1"/>
  <c r="C3770" i="52" s="1"/>
  <c r="C3771" i="52" s="1"/>
  <c r="C3772" i="52" s="1"/>
  <c r="C3773" i="52" s="1"/>
  <c r="C3774" i="52" s="1"/>
  <c r="C3775" i="52" s="1"/>
  <c r="C3776" i="52" s="1"/>
  <c r="C3777" i="52" s="1"/>
  <c r="C3778" i="52" s="1"/>
  <c r="C3779" i="52" s="1"/>
  <c r="C3780" i="52" s="1"/>
  <c r="C3781" i="52" s="1"/>
  <c r="C3782" i="52" s="1"/>
  <c r="C3783" i="52" s="1"/>
  <c r="C3784" i="52" s="1"/>
  <c r="C3785" i="52" s="1"/>
  <c r="C3786" i="52" s="1"/>
  <c r="C3787" i="52" s="1"/>
  <c r="C3788" i="52" s="1"/>
  <c r="C3789" i="52" s="1"/>
  <c r="C3790" i="52" s="1"/>
  <c r="C3791" i="52" s="1"/>
  <c r="C3792" i="52" s="1"/>
  <c r="C3793" i="52" s="1"/>
  <c r="C3794" i="52" s="1"/>
  <c r="C3795" i="52" s="1"/>
  <c r="C3796" i="52" s="1"/>
  <c r="C3797" i="52" s="1"/>
  <c r="C3798" i="52" s="1"/>
  <c r="C3799" i="52" s="1"/>
  <c r="C3800" i="52" s="1"/>
  <c r="C3801" i="52" s="1"/>
  <c r="C3802" i="52" s="1"/>
  <c r="C3803" i="52" s="1"/>
  <c r="C3804" i="52" s="1"/>
  <c r="C3805" i="52" s="1"/>
  <c r="C3806" i="52" s="1"/>
  <c r="C3807" i="52" s="1"/>
  <c r="C3808" i="52" s="1"/>
  <c r="C3809" i="52" s="1"/>
  <c r="C3810" i="52" s="1"/>
  <c r="C3811" i="52" s="1"/>
  <c r="C3812" i="52" s="1"/>
  <c r="C3813" i="52" s="1"/>
  <c r="C3814" i="52" s="1"/>
  <c r="C3815" i="52" s="1"/>
  <c r="C3816" i="52" s="1"/>
  <c r="C3817" i="52" s="1"/>
  <c r="C3818" i="52" s="1"/>
  <c r="C3819" i="52" s="1"/>
  <c r="C3820" i="52" s="1"/>
  <c r="C3821" i="52" s="1"/>
  <c r="C3822" i="52" s="1"/>
  <c r="C3823" i="52" s="1"/>
  <c r="C3824" i="52" s="1"/>
  <c r="C3825" i="52" s="1"/>
  <c r="C3826" i="52" s="1"/>
  <c r="C3827" i="52" s="1"/>
  <c r="C3828" i="52" s="1"/>
  <c r="C3829" i="52" s="1"/>
  <c r="C3830" i="52" s="1"/>
  <c r="C3831" i="52" s="1"/>
  <c r="C3832" i="52" s="1"/>
  <c r="C3833" i="52" s="1"/>
  <c r="C3834" i="52" s="1"/>
  <c r="C3835" i="52" s="1"/>
  <c r="C3836" i="52" s="1"/>
  <c r="C3837" i="52" s="1"/>
  <c r="C3838" i="52" s="1"/>
  <c r="C3839" i="52" s="1"/>
  <c r="C3840" i="52" s="1"/>
  <c r="C3841" i="52" s="1"/>
  <c r="C3842" i="52" s="1"/>
  <c r="C3843" i="52" s="1"/>
  <c r="C3844" i="52" s="1"/>
  <c r="C3845" i="52" s="1"/>
  <c r="C3846" i="52" s="1"/>
  <c r="C3847" i="52" s="1"/>
  <c r="C3848" i="52" s="1"/>
  <c r="C3849" i="52" s="1"/>
  <c r="C3850" i="52" s="1"/>
  <c r="C3851" i="52" s="1"/>
  <c r="C3852" i="52" s="1"/>
  <c r="C3853" i="52" s="1"/>
  <c r="C3854" i="52" s="1"/>
  <c r="C3855" i="52" s="1"/>
  <c r="C3856" i="52" s="1"/>
  <c r="C3857" i="52" s="1"/>
  <c r="C3858" i="52" s="1"/>
  <c r="C3859" i="52" s="1"/>
  <c r="C3860" i="52" s="1"/>
  <c r="C3861" i="52" s="1"/>
  <c r="C3862" i="52" s="1"/>
  <c r="C3863" i="52" s="1"/>
  <c r="C3864" i="52" s="1"/>
  <c r="C3865" i="52" s="1"/>
  <c r="C3866" i="52" s="1"/>
  <c r="C3867" i="52" s="1"/>
  <c r="C3868" i="52" s="1"/>
  <c r="C3869" i="52" s="1"/>
  <c r="C3870" i="52" s="1"/>
  <c r="C3871" i="52" s="1"/>
  <c r="C3872" i="52" s="1"/>
  <c r="C3873" i="52" s="1"/>
  <c r="C3874" i="52" s="1"/>
  <c r="C3875" i="52" s="1"/>
  <c r="C3876" i="52" s="1"/>
  <c r="C3877" i="52" s="1"/>
  <c r="C3878" i="52" s="1"/>
  <c r="C3879" i="52" s="1"/>
  <c r="C3880" i="52" s="1"/>
  <c r="C3881" i="52" s="1"/>
  <c r="C3882" i="52" s="1"/>
  <c r="C3883" i="52" s="1"/>
  <c r="C3884" i="52" s="1"/>
  <c r="C3885" i="52" s="1"/>
  <c r="C3886" i="52" s="1"/>
  <c r="C3887" i="52" s="1"/>
  <c r="C3888" i="52" s="1"/>
  <c r="C3889" i="52" s="1"/>
  <c r="C3890" i="52" s="1"/>
  <c r="C3891" i="52" s="1"/>
  <c r="C3892" i="52" s="1"/>
  <c r="C3893" i="52" s="1"/>
  <c r="C3894" i="52" s="1"/>
  <c r="C3895" i="52" s="1"/>
  <c r="C3896" i="52" s="1"/>
  <c r="C3897" i="52" s="1"/>
  <c r="C3898" i="52" s="1"/>
  <c r="C3899" i="52" s="1"/>
  <c r="C3900" i="52" s="1"/>
  <c r="C3901" i="52" s="1"/>
  <c r="C3902" i="52" s="1"/>
  <c r="C3903" i="52" s="1"/>
  <c r="C3904" i="52" s="1"/>
  <c r="C3905" i="52" s="1"/>
  <c r="C3906" i="52" s="1"/>
  <c r="C3907" i="52" s="1"/>
  <c r="C3908" i="52" s="1"/>
  <c r="C3909" i="52" s="1"/>
  <c r="C3910" i="52" s="1"/>
  <c r="C3911" i="52" s="1"/>
  <c r="C3912" i="52" s="1"/>
  <c r="C3913" i="52" s="1"/>
  <c r="C3914" i="52" s="1"/>
  <c r="C3915" i="52" s="1"/>
  <c r="C3916" i="52" s="1"/>
  <c r="C3917" i="52" s="1"/>
  <c r="C3918" i="52" s="1"/>
  <c r="C3919" i="52" s="1"/>
  <c r="C3920" i="52" s="1"/>
  <c r="C3921" i="52" s="1"/>
  <c r="C3922" i="52" s="1"/>
  <c r="C3923" i="52" s="1"/>
  <c r="C3924" i="52" s="1"/>
  <c r="C3925" i="52" s="1"/>
  <c r="C3926" i="52" s="1"/>
  <c r="C3927" i="52" s="1"/>
  <c r="C3928" i="52" s="1"/>
  <c r="C3929" i="52" s="1"/>
  <c r="C3930" i="52" s="1"/>
  <c r="C3931" i="52" s="1"/>
  <c r="C3932" i="52" s="1"/>
  <c r="C3933" i="52" s="1"/>
  <c r="C3934" i="52" s="1"/>
  <c r="C3935" i="52" s="1"/>
  <c r="C3936" i="52" s="1"/>
  <c r="C3937" i="52" s="1"/>
  <c r="C3938" i="52" s="1"/>
  <c r="C3939" i="52" s="1"/>
  <c r="C3940" i="52" s="1"/>
  <c r="C3941" i="52" s="1"/>
  <c r="C3942" i="52" s="1"/>
  <c r="C3943" i="52" s="1"/>
  <c r="C3944" i="52" s="1"/>
  <c r="C3945" i="52" s="1"/>
  <c r="C3946" i="52" s="1"/>
  <c r="C3947" i="52" s="1"/>
  <c r="C3948" i="52" s="1"/>
  <c r="C3949" i="52" s="1"/>
  <c r="C3950" i="52" s="1"/>
  <c r="C3951" i="52" s="1"/>
  <c r="C3952" i="52" s="1"/>
  <c r="C3953" i="52" s="1"/>
  <c r="C3954" i="52" s="1"/>
  <c r="C3955" i="52" s="1"/>
  <c r="C3956" i="52" s="1"/>
  <c r="C3957" i="52" s="1"/>
  <c r="C3958" i="52" s="1"/>
  <c r="C3959" i="52" s="1"/>
  <c r="C3960" i="52" s="1"/>
  <c r="C3961" i="52" s="1"/>
  <c r="C3962" i="52" s="1"/>
  <c r="C3963" i="52" s="1"/>
  <c r="C3964" i="52" s="1"/>
  <c r="C3965" i="52" s="1"/>
  <c r="C3966" i="52" s="1"/>
  <c r="C3967" i="52" s="1"/>
  <c r="C3968" i="52" s="1"/>
  <c r="C3969" i="52" s="1"/>
  <c r="C3970" i="52" s="1"/>
  <c r="C3971" i="52" s="1"/>
  <c r="C3972" i="52" s="1"/>
  <c r="C3973" i="52" s="1"/>
  <c r="C3974" i="52" s="1"/>
  <c r="C3975" i="52" s="1"/>
  <c r="C3976" i="52" s="1"/>
  <c r="C3977" i="52" s="1"/>
  <c r="C3978" i="52" s="1"/>
  <c r="C3979" i="52" s="1"/>
  <c r="C3980" i="52" s="1"/>
  <c r="C3981" i="52" s="1"/>
  <c r="C3982" i="52" s="1"/>
  <c r="C3983" i="52" s="1"/>
  <c r="C3984" i="52" s="1"/>
  <c r="C3985" i="52" s="1"/>
  <c r="C3986" i="52" s="1"/>
  <c r="C3987" i="52" s="1"/>
  <c r="C3988" i="52" s="1"/>
  <c r="C3989" i="52" s="1"/>
  <c r="C3990" i="52" s="1"/>
  <c r="C3991" i="52" s="1"/>
  <c r="C3992" i="52" s="1"/>
  <c r="C3993" i="52" s="1"/>
  <c r="C3994" i="52" s="1"/>
  <c r="C3995" i="52" s="1"/>
  <c r="C3996" i="52" s="1"/>
  <c r="C3997" i="52" s="1"/>
  <c r="C3998" i="52" s="1"/>
  <c r="C3999" i="52" s="1"/>
  <c r="C4000" i="52" s="1"/>
  <c r="C4001" i="52" s="1"/>
  <c r="C4002" i="52" s="1"/>
  <c r="C4003" i="52" s="1"/>
  <c r="C4004" i="52" s="1"/>
  <c r="C4005" i="52" s="1"/>
  <c r="C4006" i="52" s="1"/>
  <c r="C4007" i="52" s="1"/>
  <c r="C4008" i="52" s="1"/>
  <c r="C4009" i="52" s="1"/>
  <c r="C4010" i="52" s="1"/>
  <c r="C4011" i="52" s="1"/>
  <c r="C4012" i="52" s="1"/>
  <c r="C4013" i="52" s="1"/>
  <c r="C4014" i="52" s="1"/>
  <c r="C4015" i="52" s="1"/>
  <c r="C4016" i="52" s="1"/>
  <c r="C4017" i="52" s="1"/>
  <c r="C4018" i="52" s="1"/>
  <c r="C4019" i="52" s="1"/>
  <c r="C4020" i="52" s="1"/>
  <c r="C4021" i="52" s="1"/>
  <c r="C4022" i="52" s="1"/>
  <c r="C4023" i="52" s="1"/>
  <c r="C4024" i="52" s="1"/>
  <c r="C4025" i="52" s="1"/>
  <c r="C4026" i="52" s="1"/>
  <c r="C4027" i="52" s="1"/>
  <c r="C4028" i="52" s="1"/>
  <c r="C4029" i="52" s="1"/>
  <c r="C4030" i="52" s="1"/>
  <c r="C4031" i="52" s="1"/>
  <c r="C4032" i="52" s="1"/>
  <c r="C4033" i="52" s="1"/>
  <c r="C4034" i="52" s="1"/>
  <c r="C4035" i="52" s="1"/>
  <c r="C4036" i="52" s="1"/>
  <c r="C4037" i="52" s="1"/>
  <c r="C4038" i="52" s="1"/>
  <c r="C4039" i="52" s="1"/>
  <c r="C4040" i="52" s="1"/>
  <c r="C4041" i="52" s="1"/>
  <c r="C4042" i="52" s="1"/>
  <c r="C4043" i="52" s="1"/>
  <c r="C4044" i="52" s="1"/>
  <c r="C4045" i="52" s="1"/>
  <c r="C4046" i="52" s="1"/>
  <c r="C4047" i="52" s="1"/>
  <c r="C4048" i="52" s="1"/>
  <c r="C4049" i="52" s="1"/>
  <c r="C4050" i="52" s="1"/>
  <c r="C4051" i="52" s="1"/>
  <c r="C4052" i="52" s="1"/>
  <c r="C4053" i="52" s="1"/>
  <c r="C4054" i="52" s="1"/>
  <c r="C4055" i="52" s="1"/>
  <c r="C4056" i="52" s="1"/>
  <c r="C4057" i="52" s="1"/>
  <c r="C4058" i="52" s="1"/>
  <c r="C4059" i="52" s="1"/>
  <c r="C4060" i="52" s="1"/>
  <c r="C4061" i="52" s="1"/>
  <c r="C4062" i="52" s="1"/>
  <c r="C4063" i="52" s="1"/>
  <c r="C4064" i="52" s="1"/>
  <c r="C4065" i="52" s="1"/>
  <c r="C4066" i="52" s="1"/>
  <c r="C4067" i="52" s="1"/>
  <c r="C4068" i="52" s="1"/>
  <c r="C4069" i="52" s="1"/>
  <c r="C4070" i="52" s="1"/>
  <c r="C4071" i="52" s="1"/>
  <c r="C4072" i="52" s="1"/>
  <c r="C4073" i="52" s="1"/>
  <c r="C4074" i="52" s="1"/>
  <c r="C4075" i="52" s="1"/>
  <c r="C4076" i="52" s="1"/>
  <c r="C4077" i="52" s="1"/>
  <c r="C4078" i="52" s="1"/>
  <c r="C4079" i="52" s="1"/>
  <c r="C4080" i="52" s="1"/>
  <c r="C4081" i="52" s="1"/>
  <c r="C4082" i="52" s="1"/>
  <c r="C4083" i="52" s="1"/>
  <c r="C4084" i="52" s="1"/>
  <c r="C4085" i="52" s="1"/>
  <c r="C4086" i="52" s="1"/>
  <c r="C4087" i="52" s="1"/>
  <c r="C4088" i="52" s="1"/>
  <c r="C4089" i="52" s="1"/>
  <c r="C4090" i="52" s="1"/>
  <c r="C4091" i="52" s="1"/>
  <c r="C4092" i="52" s="1"/>
  <c r="C4093" i="52" s="1"/>
  <c r="C4094" i="52" s="1"/>
  <c r="C4095" i="52" s="1"/>
  <c r="C4096" i="52" s="1"/>
  <c r="C4097" i="52" s="1"/>
  <c r="C4098" i="52" s="1"/>
  <c r="C4099" i="52" s="1"/>
  <c r="C4100" i="52" s="1"/>
  <c r="C4101" i="52" s="1"/>
  <c r="C4102" i="52" s="1"/>
  <c r="C4103" i="52" s="1"/>
  <c r="C4104" i="52" s="1"/>
  <c r="C4105" i="52" s="1"/>
  <c r="C4106" i="52" s="1"/>
  <c r="C4107" i="52" s="1"/>
  <c r="C4108" i="52" s="1"/>
  <c r="C4109" i="52" s="1"/>
  <c r="C4110" i="52" s="1"/>
  <c r="C4111" i="52" s="1"/>
  <c r="C4112" i="52" s="1"/>
  <c r="C4113" i="52" s="1"/>
  <c r="C4114" i="52" s="1"/>
  <c r="C4115" i="52" s="1"/>
  <c r="C4116" i="52" s="1"/>
  <c r="C4117" i="52" s="1"/>
  <c r="C4118" i="52" s="1"/>
  <c r="C4119" i="52" s="1"/>
  <c r="C4120" i="52" s="1"/>
  <c r="C4121" i="52" s="1"/>
  <c r="C4122" i="52" s="1"/>
  <c r="C4123" i="52" s="1"/>
  <c r="C4124" i="52" s="1"/>
  <c r="C4125" i="52" s="1"/>
  <c r="C4126" i="52" s="1"/>
  <c r="C4127" i="52" s="1"/>
  <c r="C4128" i="52" s="1"/>
  <c r="C4129" i="52" s="1"/>
  <c r="C4130" i="52" s="1"/>
  <c r="C4131" i="52" s="1"/>
  <c r="C4132" i="52" s="1"/>
  <c r="C4133" i="52" s="1"/>
  <c r="C4134" i="52" s="1"/>
  <c r="C4135" i="52" s="1"/>
  <c r="C4136" i="52" s="1"/>
  <c r="C4137" i="52" s="1"/>
  <c r="C4138" i="52" s="1"/>
  <c r="C4139" i="52" s="1"/>
  <c r="C4140" i="52" s="1"/>
  <c r="C4141" i="52" s="1"/>
  <c r="C4142" i="52" s="1"/>
  <c r="C4143" i="52" s="1"/>
  <c r="C4144" i="52" s="1"/>
  <c r="C4145" i="52" s="1"/>
  <c r="C4146" i="52" s="1"/>
  <c r="C4147" i="52" s="1"/>
  <c r="C4148" i="52" s="1"/>
  <c r="C4149" i="52" s="1"/>
  <c r="C4150" i="52" s="1"/>
  <c r="C4151" i="52" s="1"/>
  <c r="C4152" i="52" s="1"/>
  <c r="C4153" i="52" s="1"/>
  <c r="C4154" i="52" s="1"/>
  <c r="C4155" i="52" s="1"/>
  <c r="C4156" i="52" s="1"/>
  <c r="C4157" i="52" s="1"/>
  <c r="C4158" i="52" s="1"/>
  <c r="C4159" i="52" s="1"/>
  <c r="C4160" i="52" s="1"/>
  <c r="C4161" i="52" s="1"/>
  <c r="C4162" i="52" s="1"/>
  <c r="C4163" i="52" s="1"/>
  <c r="C4164" i="52" s="1"/>
  <c r="C4165" i="52" s="1"/>
  <c r="C4166" i="52" s="1"/>
  <c r="C4167" i="52" s="1"/>
  <c r="C4168" i="52" s="1"/>
  <c r="C4169" i="52" s="1"/>
  <c r="C4170" i="52" s="1"/>
  <c r="C4171" i="52" s="1"/>
  <c r="C4172" i="52" s="1"/>
  <c r="C4173" i="52" s="1"/>
  <c r="C4174" i="52" s="1"/>
  <c r="C4175" i="52" s="1"/>
  <c r="C4176" i="52" s="1"/>
  <c r="C4177" i="52" s="1"/>
  <c r="C4178" i="52" s="1"/>
  <c r="C4179" i="52" s="1"/>
  <c r="C4180" i="52" s="1"/>
  <c r="C4181" i="52" s="1"/>
  <c r="C4182" i="52" s="1"/>
  <c r="C4183" i="52" s="1"/>
  <c r="C4184" i="52" s="1"/>
  <c r="C4185" i="52" s="1"/>
  <c r="C4186" i="52" s="1"/>
  <c r="C4187" i="52" s="1"/>
  <c r="C4188" i="52" s="1"/>
  <c r="C4189" i="52" s="1"/>
  <c r="C4190" i="52" s="1"/>
  <c r="C4191" i="52" s="1"/>
  <c r="C4192" i="52" s="1"/>
  <c r="C4193" i="52" s="1"/>
  <c r="C4194" i="52" s="1"/>
  <c r="C4195" i="52" s="1"/>
  <c r="C4196" i="52" s="1"/>
  <c r="C4197" i="52" s="1"/>
  <c r="C4198" i="52" s="1"/>
  <c r="C4199" i="52" s="1"/>
  <c r="C4200" i="52" s="1"/>
  <c r="C4201" i="52" s="1"/>
  <c r="C4202" i="52" s="1"/>
  <c r="C4203" i="52" s="1"/>
  <c r="C4204" i="52" s="1"/>
  <c r="C4205" i="52" s="1"/>
  <c r="C4206" i="52" s="1"/>
  <c r="C4207" i="52" s="1"/>
  <c r="C4208" i="52" s="1"/>
  <c r="C4209" i="52" s="1"/>
  <c r="C4210" i="52" s="1"/>
  <c r="C4211" i="52" s="1"/>
  <c r="C4212" i="52" s="1"/>
  <c r="C4213" i="52" s="1"/>
  <c r="C4214" i="52" s="1"/>
  <c r="C4215" i="52" s="1"/>
  <c r="C4216" i="52" s="1"/>
  <c r="C4217" i="52" s="1"/>
  <c r="C4218" i="52" s="1"/>
  <c r="C4219" i="52" s="1"/>
  <c r="C4220" i="52" s="1"/>
  <c r="C4221" i="52" s="1"/>
  <c r="C4222" i="52" s="1"/>
  <c r="C4223" i="52" s="1"/>
  <c r="C4224" i="52" s="1"/>
  <c r="C4225" i="52" s="1"/>
  <c r="C4226" i="52" s="1"/>
  <c r="C4227" i="52" s="1"/>
  <c r="C4228" i="52" s="1"/>
  <c r="C4229" i="52" s="1"/>
  <c r="C4230" i="52" s="1"/>
  <c r="C4231" i="52" s="1"/>
  <c r="C4232" i="52" s="1"/>
  <c r="C4233" i="52" s="1"/>
  <c r="C4234" i="52" s="1"/>
  <c r="C4235" i="52" s="1"/>
  <c r="C4236" i="52" s="1"/>
  <c r="C4237" i="52" s="1"/>
  <c r="C4238" i="52" s="1"/>
  <c r="C4239" i="52" s="1"/>
  <c r="C4240" i="52" s="1"/>
  <c r="C4241" i="52" s="1"/>
  <c r="C4242" i="52" s="1"/>
  <c r="C4243" i="52" s="1"/>
  <c r="C4244" i="52" s="1"/>
  <c r="C4245" i="52" s="1"/>
  <c r="C4246" i="52" s="1"/>
  <c r="C4247" i="52" s="1"/>
  <c r="C4248" i="52" s="1"/>
  <c r="C4249" i="52" s="1"/>
  <c r="C4250" i="52" s="1"/>
  <c r="C4251" i="52" s="1"/>
  <c r="C4252" i="52" s="1"/>
  <c r="C4253" i="52" s="1"/>
  <c r="C4254" i="52" s="1"/>
  <c r="C4255" i="52" s="1"/>
  <c r="C4256" i="52" s="1"/>
  <c r="C4257" i="52" s="1"/>
  <c r="C4258" i="52" s="1"/>
  <c r="C4259" i="52" s="1"/>
  <c r="C4260" i="52" s="1"/>
  <c r="C4261" i="52" s="1"/>
  <c r="C4262" i="52" s="1"/>
  <c r="C4263" i="52" s="1"/>
  <c r="C4264" i="52" s="1"/>
  <c r="C4265" i="52" s="1"/>
  <c r="C4266" i="52" s="1"/>
  <c r="C4267" i="52" s="1"/>
  <c r="C4268" i="52" s="1"/>
  <c r="C4269" i="52" s="1"/>
  <c r="C4270" i="52" s="1"/>
  <c r="C4271" i="52" s="1"/>
  <c r="C4272" i="52" s="1"/>
  <c r="C4273" i="52" s="1"/>
  <c r="C4274" i="52" s="1"/>
  <c r="C4275" i="52" s="1"/>
  <c r="C4276" i="52" s="1"/>
  <c r="C4277" i="52" s="1"/>
  <c r="C4278" i="52" s="1"/>
  <c r="C4279" i="52" s="1"/>
  <c r="C4280" i="52" s="1"/>
  <c r="C4281" i="52" s="1"/>
  <c r="C4282" i="52" s="1"/>
  <c r="C4283" i="52" s="1"/>
  <c r="C4284" i="52" s="1"/>
  <c r="C4285" i="52" s="1"/>
  <c r="C4286" i="52" s="1"/>
  <c r="C4287" i="52" s="1"/>
  <c r="C4288" i="52" s="1"/>
  <c r="C4289" i="52" s="1"/>
  <c r="C4290" i="52" s="1"/>
  <c r="C4291" i="52" s="1"/>
  <c r="C4292" i="52" s="1"/>
  <c r="C4293" i="52" s="1"/>
  <c r="C4294" i="52" s="1"/>
  <c r="C4295" i="52" s="1"/>
  <c r="C4296" i="52" s="1"/>
  <c r="C4297" i="52" s="1"/>
  <c r="C4298" i="52" s="1"/>
  <c r="C4299" i="52" s="1"/>
  <c r="C4300" i="52" s="1"/>
  <c r="C4301" i="52" s="1"/>
  <c r="C4302" i="52" s="1"/>
  <c r="C4303" i="52" s="1"/>
  <c r="C4304" i="52" s="1"/>
  <c r="C4305" i="52" s="1"/>
  <c r="C4306" i="52" s="1"/>
  <c r="C4307" i="52" s="1"/>
  <c r="C4308" i="52" s="1"/>
  <c r="C4309" i="52" s="1"/>
  <c r="C4310" i="52" s="1"/>
  <c r="C4311" i="52" s="1"/>
  <c r="C4312" i="52" s="1"/>
  <c r="C4313" i="52" s="1"/>
  <c r="C4314" i="52" s="1"/>
  <c r="C4315" i="52" s="1"/>
  <c r="C4316" i="52" s="1"/>
  <c r="C4317" i="52" s="1"/>
  <c r="C4318" i="52" s="1"/>
  <c r="C4319" i="52" s="1"/>
  <c r="C4320" i="52" s="1"/>
  <c r="C4321" i="52" s="1"/>
  <c r="C4322" i="52" s="1"/>
  <c r="C4323" i="52" s="1"/>
  <c r="C4324" i="52" s="1"/>
  <c r="C4325" i="52" s="1"/>
  <c r="C4326" i="52" s="1"/>
  <c r="C4327" i="52" s="1"/>
  <c r="C4328" i="52" s="1"/>
  <c r="C4329" i="52" s="1"/>
  <c r="C4330" i="52" s="1"/>
  <c r="C4331" i="52" s="1"/>
  <c r="C4332" i="52" s="1"/>
  <c r="C4333" i="52" s="1"/>
  <c r="C4334" i="52" s="1"/>
  <c r="C4335" i="52" s="1"/>
  <c r="C4336" i="52" s="1"/>
  <c r="C4337" i="52" s="1"/>
  <c r="C4338" i="52" s="1"/>
  <c r="C4339" i="52" s="1"/>
  <c r="C4340" i="52" s="1"/>
  <c r="C4341" i="52" s="1"/>
  <c r="C4342" i="52" s="1"/>
  <c r="C4343" i="52" s="1"/>
  <c r="C4344" i="52" s="1"/>
  <c r="C4345" i="52" s="1"/>
  <c r="C4346" i="52" s="1"/>
  <c r="C4347" i="52" s="1"/>
  <c r="C4348" i="52" s="1"/>
  <c r="C4349" i="52" s="1"/>
  <c r="C4350" i="52" s="1"/>
  <c r="C4351" i="52" s="1"/>
  <c r="C4352" i="52" s="1"/>
  <c r="C4353" i="52" s="1"/>
  <c r="C4354" i="52" s="1"/>
  <c r="C4355" i="52" s="1"/>
  <c r="C4356" i="52" s="1"/>
  <c r="C4357" i="52" s="1"/>
  <c r="C4358" i="52" s="1"/>
  <c r="C4359" i="52" s="1"/>
  <c r="C4360" i="52" s="1"/>
  <c r="C4361" i="52" s="1"/>
  <c r="C4362" i="52" s="1"/>
  <c r="C4363" i="52" s="1"/>
  <c r="C4364" i="52" s="1"/>
  <c r="C4365" i="52" s="1"/>
  <c r="C4366" i="52" s="1"/>
  <c r="C4367" i="52" s="1"/>
  <c r="C4368" i="52" s="1"/>
  <c r="C4369" i="52" s="1"/>
  <c r="C4370" i="52" s="1"/>
  <c r="C4371" i="52" s="1"/>
  <c r="C4372" i="52" s="1"/>
  <c r="C4373" i="52" s="1"/>
  <c r="C4374" i="52" s="1"/>
  <c r="C4375" i="52" s="1"/>
  <c r="C4376" i="52" s="1"/>
  <c r="C4377" i="52" s="1"/>
  <c r="C4378" i="52" s="1"/>
  <c r="C4379" i="52" s="1"/>
  <c r="C4380" i="52" s="1"/>
  <c r="C4381" i="52" s="1"/>
  <c r="C4382" i="52" s="1"/>
  <c r="C4383" i="52" s="1"/>
  <c r="C4384" i="52" s="1"/>
  <c r="C4385" i="52" s="1"/>
  <c r="C4386" i="52" s="1"/>
  <c r="C4387" i="52" s="1"/>
  <c r="C4388" i="52" s="1"/>
  <c r="C4389" i="52" s="1"/>
  <c r="C4390" i="52" s="1"/>
  <c r="C4391" i="52" s="1"/>
  <c r="C4392" i="52" s="1"/>
  <c r="C4393" i="52" s="1"/>
  <c r="C4394" i="52" s="1"/>
  <c r="C4395" i="52" s="1"/>
  <c r="C4396" i="52" s="1"/>
  <c r="C4397" i="52" s="1"/>
  <c r="C4398" i="52" s="1"/>
  <c r="C4399" i="52" s="1"/>
  <c r="C4400" i="52" s="1"/>
  <c r="C4401" i="52" s="1"/>
  <c r="C4402" i="52" s="1"/>
  <c r="C4403" i="52" s="1"/>
  <c r="C4404" i="52" s="1"/>
  <c r="C4405" i="52" s="1"/>
  <c r="C4406" i="52" s="1"/>
  <c r="C4407" i="52" s="1"/>
  <c r="C4408" i="52" s="1"/>
  <c r="C4409" i="52" s="1"/>
  <c r="C4410" i="52" s="1"/>
  <c r="C4411" i="52" s="1"/>
  <c r="C4412" i="52" s="1"/>
  <c r="C4413" i="52" s="1"/>
  <c r="C4414" i="52" s="1"/>
  <c r="C4415" i="52" s="1"/>
  <c r="C4416" i="52" s="1"/>
  <c r="C4417" i="52" s="1"/>
  <c r="C4418" i="52" s="1"/>
  <c r="C4419" i="52" s="1"/>
  <c r="C4420" i="52" s="1"/>
  <c r="C4421" i="52" s="1"/>
  <c r="C4422" i="52" s="1"/>
  <c r="C4423" i="52" s="1"/>
  <c r="C4424" i="52" s="1"/>
  <c r="C4425" i="52" s="1"/>
  <c r="C4426" i="52" s="1"/>
  <c r="C4427" i="52" s="1"/>
  <c r="C4428" i="52" s="1"/>
  <c r="C4429" i="52" s="1"/>
  <c r="C4430" i="52" s="1"/>
  <c r="C4431" i="52" s="1"/>
  <c r="C4432" i="52" s="1"/>
  <c r="C4433" i="52" s="1"/>
  <c r="C4434" i="52" s="1"/>
  <c r="C4435" i="52" s="1"/>
  <c r="C4436" i="52" s="1"/>
  <c r="C4437" i="52" s="1"/>
  <c r="C4438" i="52" s="1"/>
  <c r="C4439" i="52" s="1"/>
  <c r="C4440" i="52" s="1"/>
  <c r="C4441" i="52" s="1"/>
  <c r="C4442" i="52" s="1"/>
  <c r="C4443" i="52" s="1"/>
  <c r="C4444" i="52" s="1"/>
  <c r="C4445" i="52" s="1"/>
  <c r="C4446" i="52" s="1"/>
  <c r="C4447" i="52" s="1"/>
  <c r="C4448" i="52" s="1"/>
  <c r="C4449" i="52" s="1"/>
  <c r="C4450" i="52" s="1"/>
  <c r="C4451" i="52" s="1"/>
  <c r="C4452" i="52" s="1"/>
  <c r="C4453" i="52" s="1"/>
  <c r="C4454" i="52" s="1"/>
  <c r="C4455" i="52" s="1"/>
  <c r="C4456" i="52" s="1"/>
  <c r="C4457" i="52" s="1"/>
  <c r="C4458" i="52" s="1"/>
  <c r="C4459" i="52" s="1"/>
  <c r="C4460" i="52" s="1"/>
  <c r="C4461" i="52" s="1"/>
  <c r="C4462" i="52" s="1"/>
  <c r="C4463" i="52" s="1"/>
  <c r="C4464" i="52" s="1"/>
  <c r="C4465" i="52" s="1"/>
  <c r="C4466" i="52" s="1"/>
  <c r="C4467" i="52" s="1"/>
  <c r="C4468" i="52" s="1"/>
  <c r="C4469" i="52" s="1"/>
  <c r="C4470" i="52" s="1"/>
  <c r="C4471" i="52" s="1"/>
  <c r="C4472" i="52" s="1"/>
  <c r="C4473" i="52" s="1"/>
  <c r="C4474" i="52" s="1"/>
  <c r="C4475" i="52" s="1"/>
  <c r="C4476" i="52" s="1"/>
  <c r="C4477" i="52" s="1"/>
  <c r="C4478" i="52" s="1"/>
  <c r="C4479" i="52" s="1"/>
  <c r="C4480" i="52" s="1"/>
  <c r="C4481" i="52" s="1"/>
  <c r="C4482" i="52" s="1"/>
  <c r="C4483" i="52" s="1"/>
  <c r="C4484" i="52" s="1"/>
  <c r="C4485" i="52" s="1"/>
  <c r="C4486" i="52" s="1"/>
  <c r="C4487" i="52" s="1"/>
  <c r="C4488" i="52" s="1"/>
  <c r="C4489" i="52" s="1"/>
  <c r="C4490" i="52" s="1"/>
  <c r="C4491" i="52" s="1"/>
  <c r="C4492" i="52" s="1"/>
  <c r="C4493" i="52" s="1"/>
  <c r="C4494" i="52" s="1"/>
  <c r="C4495" i="52" s="1"/>
  <c r="C4496" i="52" s="1"/>
  <c r="C4497" i="52" s="1"/>
  <c r="C4498" i="52" s="1"/>
  <c r="C4499" i="52" s="1"/>
  <c r="C4500" i="52" s="1"/>
  <c r="C4501" i="52" s="1"/>
  <c r="C4502" i="52" s="1"/>
  <c r="C4503" i="52" s="1"/>
  <c r="C4504" i="52" s="1"/>
  <c r="C4505" i="52" s="1"/>
  <c r="C4506" i="52" s="1"/>
  <c r="C4507" i="52" s="1"/>
  <c r="C4508" i="52" s="1"/>
  <c r="C4509" i="52" s="1"/>
  <c r="C4510" i="52" s="1"/>
  <c r="C4511" i="52" s="1"/>
  <c r="C4512" i="52" s="1"/>
  <c r="C4513" i="52" s="1"/>
  <c r="C4514" i="52" s="1"/>
  <c r="C4515" i="52" s="1"/>
  <c r="C4516" i="52" s="1"/>
  <c r="C4517" i="52" s="1"/>
  <c r="C4518" i="52" s="1"/>
  <c r="C4519" i="52" s="1"/>
  <c r="C4520" i="52" s="1"/>
  <c r="C4521" i="52" s="1"/>
  <c r="C4522" i="52" s="1"/>
  <c r="C4523" i="52" s="1"/>
  <c r="C4524" i="52" s="1"/>
  <c r="C4525" i="52" s="1"/>
  <c r="C4526" i="52" s="1"/>
  <c r="C4527" i="52" s="1"/>
  <c r="C4528" i="52" s="1"/>
  <c r="C4529" i="52" s="1"/>
  <c r="C4530" i="52" s="1"/>
  <c r="C4531" i="52" s="1"/>
  <c r="C4532" i="52" s="1"/>
  <c r="C4533" i="52" s="1"/>
  <c r="C4534" i="52" s="1"/>
  <c r="C4535" i="52" s="1"/>
  <c r="C4536" i="52" s="1"/>
  <c r="C4537" i="52" s="1"/>
  <c r="C4538" i="52" s="1"/>
  <c r="C4539" i="52" s="1"/>
  <c r="C4540" i="52" s="1"/>
  <c r="C4541" i="52" s="1"/>
  <c r="C4542" i="52" s="1"/>
  <c r="C4543" i="52" s="1"/>
  <c r="C4544" i="52" s="1"/>
  <c r="C4545" i="52" s="1"/>
  <c r="C4546" i="52" s="1"/>
  <c r="C4547" i="52" s="1"/>
  <c r="C4548" i="52" s="1"/>
  <c r="C4549" i="52" s="1"/>
  <c r="C4550" i="52" s="1"/>
  <c r="C4551" i="52" s="1"/>
  <c r="C4552" i="52" s="1"/>
  <c r="C4553" i="52" s="1"/>
  <c r="C4554" i="52" s="1"/>
  <c r="C4555" i="52" s="1"/>
  <c r="C4556" i="52" s="1"/>
  <c r="C4557" i="52" s="1"/>
  <c r="C4558" i="52" s="1"/>
  <c r="C4559" i="52" s="1"/>
  <c r="C4560" i="52" s="1"/>
  <c r="C4561" i="52" s="1"/>
  <c r="C4562" i="52" s="1"/>
  <c r="C4563" i="52" s="1"/>
  <c r="C4564" i="52" s="1"/>
  <c r="C4565" i="52" s="1"/>
  <c r="C4566" i="52" s="1"/>
  <c r="C4567" i="52" s="1"/>
  <c r="C4568" i="52" s="1"/>
  <c r="C4569" i="52" s="1"/>
  <c r="C4570" i="52" s="1"/>
  <c r="C4571" i="52" s="1"/>
  <c r="C4572" i="52" s="1"/>
  <c r="C4573" i="52" s="1"/>
  <c r="C4574" i="52" s="1"/>
  <c r="C4575" i="52" s="1"/>
  <c r="C4576" i="52" s="1"/>
  <c r="C4577" i="52" s="1"/>
  <c r="C4578" i="52" s="1"/>
  <c r="C4579" i="52" s="1"/>
  <c r="C4580" i="52" s="1"/>
  <c r="C4581" i="52" s="1"/>
  <c r="C4582" i="52" s="1"/>
  <c r="C4583" i="52" s="1"/>
  <c r="C4584" i="52" s="1"/>
  <c r="C4585" i="52" s="1"/>
  <c r="C4586" i="52" s="1"/>
  <c r="C4587" i="52" s="1"/>
  <c r="C4588" i="52" s="1"/>
  <c r="C4589" i="52" s="1"/>
  <c r="C4590" i="52" s="1"/>
  <c r="C4591" i="52" s="1"/>
  <c r="C4592" i="52" s="1"/>
  <c r="C4593" i="52" s="1"/>
  <c r="C4594" i="52" s="1"/>
  <c r="C4595" i="52" s="1"/>
  <c r="C4596" i="52" s="1"/>
  <c r="C4597" i="52" s="1"/>
  <c r="C4598" i="52" s="1"/>
  <c r="C4599" i="52" s="1"/>
  <c r="C4600" i="52" s="1"/>
  <c r="C4601" i="52" s="1"/>
  <c r="C4602" i="52" s="1"/>
  <c r="C4603" i="52" s="1"/>
  <c r="C4604" i="52" s="1"/>
  <c r="C4605" i="52" s="1"/>
  <c r="C4606" i="52" s="1"/>
  <c r="C4607" i="52" s="1"/>
  <c r="C4608" i="52" s="1"/>
  <c r="C4609" i="52" s="1"/>
  <c r="C4610" i="52" s="1"/>
  <c r="C4611" i="52" s="1"/>
  <c r="C4612" i="52" s="1"/>
  <c r="C4613" i="52" s="1"/>
  <c r="C4614" i="52" s="1"/>
  <c r="C4615" i="52" s="1"/>
  <c r="C4616" i="52" s="1"/>
  <c r="C4617" i="52" s="1"/>
  <c r="C4618" i="52" s="1"/>
  <c r="C4619" i="52" s="1"/>
  <c r="C4620" i="52" s="1"/>
  <c r="C4621" i="52" s="1"/>
  <c r="C4622" i="52" s="1"/>
  <c r="C4623" i="52" s="1"/>
  <c r="C4624" i="52" s="1"/>
  <c r="C4625" i="52" s="1"/>
  <c r="C4626" i="52" s="1"/>
  <c r="C4627" i="52" s="1"/>
  <c r="C4628" i="52" s="1"/>
  <c r="C4629" i="52" s="1"/>
  <c r="C4630" i="52" s="1"/>
  <c r="C4631" i="52" s="1"/>
  <c r="C4632" i="52" s="1"/>
  <c r="C4633" i="52" s="1"/>
  <c r="C4634" i="52" s="1"/>
  <c r="C4635" i="52" s="1"/>
  <c r="C4636" i="52" s="1"/>
  <c r="C4637" i="52" s="1"/>
  <c r="C4638" i="52" s="1"/>
  <c r="C4639" i="52" s="1"/>
  <c r="C4640" i="52" s="1"/>
  <c r="C4641" i="52" s="1"/>
  <c r="C4642" i="52" s="1"/>
  <c r="C4643" i="52" s="1"/>
  <c r="C4644" i="52" s="1"/>
  <c r="C4645" i="52" s="1"/>
  <c r="C4646" i="52" s="1"/>
  <c r="C4647" i="52" s="1"/>
  <c r="C4648" i="52" s="1"/>
  <c r="C4649" i="52" s="1"/>
  <c r="C4650" i="52" s="1"/>
  <c r="C4651" i="52" s="1"/>
  <c r="C4652" i="52" s="1"/>
  <c r="C4653" i="52" s="1"/>
  <c r="C4654" i="52" s="1"/>
  <c r="C4655" i="52" s="1"/>
  <c r="C4656" i="52" s="1"/>
  <c r="C4657" i="52" s="1"/>
  <c r="C4658" i="52" s="1"/>
  <c r="C4659" i="52" s="1"/>
  <c r="C4660" i="52" s="1"/>
  <c r="C4661" i="52" s="1"/>
  <c r="C4662" i="52" s="1"/>
  <c r="C4663" i="52" s="1"/>
  <c r="C4664" i="52" s="1"/>
  <c r="C4665" i="52" s="1"/>
  <c r="C4666" i="52" s="1"/>
  <c r="C4667" i="52" s="1"/>
  <c r="C4668" i="52" s="1"/>
  <c r="C4669" i="52" s="1"/>
  <c r="C4670" i="52" s="1"/>
  <c r="C4671" i="52" s="1"/>
  <c r="C4672" i="52" s="1"/>
  <c r="C4673" i="52" s="1"/>
  <c r="C4674" i="52" s="1"/>
  <c r="C4675" i="52" s="1"/>
  <c r="C4676" i="52" s="1"/>
  <c r="C4677" i="52" s="1"/>
  <c r="C4678" i="52" s="1"/>
  <c r="C4679" i="52" s="1"/>
  <c r="C4680" i="52" s="1"/>
  <c r="C4681" i="52" s="1"/>
  <c r="C4682" i="52" s="1"/>
  <c r="C4683" i="52" s="1"/>
  <c r="C4684" i="52" s="1"/>
  <c r="C4685" i="52" s="1"/>
  <c r="C4686" i="52" s="1"/>
  <c r="C4687" i="52" s="1"/>
  <c r="C4688" i="52" s="1"/>
  <c r="C4689" i="52" s="1"/>
  <c r="C4690" i="52" s="1"/>
  <c r="C4691" i="52" s="1"/>
  <c r="C4692" i="52" s="1"/>
  <c r="C4693" i="52" s="1"/>
  <c r="C4694" i="52" s="1"/>
  <c r="C4695" i="52" s="1"/>
  <c r="C4696" i="52" s="1"/>
  <c r="C4697" i="52" s="1"/>
  <c r="C4698" i="52" s="1"/>
  <c r="C4699" i="52" s="1"/>
  <c r="C4700" i="52" s="1"/>
  <c r="C4701" i="52" s="1"/>
  <c r="C4702" i="52" s="1"/>
  <c r="C4703" i="52" s="1"/>
  <c r="C4704" i="52" s="1"/>
  <c r="C4705" i="52" s="1"/>
  <c r="C4706" i="52" s="1"/>
  <c r="C4707" i="52" s="1"/>
  <c r="C4708" i="52" s="1"/>
  <c r="C4709" i="52" s="1"/>
  <c r="C4710" i="52" s="1"/>
  <c r="C4711" i="52" s="1"/>
  <c r="C4712" i="52" s="1"/>
  <c r="C4713" i="52" s="1"/>
  <c r="C4714" i="52" s="1"/>
  <c r="C4715" i="52" s="1"/>
  <c r="C4716" i="52" s="1"/>
  <c r="C4717" i="52" s="1"/>
  <c r="C4718" i="52" s="1"/>
  <c r="C4719" i="52" s="1"/>
  <c r="C4720" i="52" s="1"/>
  <c r="C4721" i="52" s="1"/>
  <c r="C4722" i="52" s="1"/>
  <c r="C4723" i="52" s="1"/>
  <c r="C4724" i="52" s="1"/>
  <c r="C4725" i="52" s="1"/>
  <c r="C4726" i="52" s="1"/>
  <c r="C4727" i="52" s="1"/>
  <c r="C4728" i="52" s="1"/>
  <c r="C4729" i="52" s="1"/>
  <c r="C4730" i="52" s="1"/>
  <c r="C4731" i="52" s="1"/>
  <c r="C4732" i="52" s="1"/>
  <c r="C4733" i="52" s="1"/>
  <c r="C4734" i="52" s="1"/>
  <c r="C4735" i="52" s="1"/>
  <c r="C4736" i="52" s="1"/>
  <c r="C4737" i="52" s="1"/>
  <c r="C4738" i="52" s="1"/>
  <c r="C4739" i="52" s="1"/>
  <c r="C4740" i="52" s="1"/>
  <c r="C4741" i="52" s="1"/>
  <c r="C4742" i="52" s="1"/>
  <c r="C4743" i="52" s="1"/>
  <c r="C4744" i="52" s="1"/>
  <c r="C4745" i="52" s="1"/>
  <c r="C4746" i="52" s="1"/>
  <c r="C4747" i="52" s="1"/>
  <c r="C4748" i="52" s="1"/>
  <c r="C4749" i="52" s="1"/>
  <c r="B40" i="71"/>
  <c r="H40" i="71" s="1"/>
  <c r="C40" i="71"/>
  <c r="C40" i="69"/>
  <c r="B41" i="71"/>
  <c r="E41" i="71" s="1"/>
  <c r="C41" i="71"/>
  <c r="B42" i="71"/>
  <c r="F42" i="71" s="1"/>
  <c r="C42" i="71"/>
  <c r="C41" i="69"/>
  <c r="C40" i="72"/>
  <c r="B40" i="72"/>
  <c r="G40" i="72" s="1"/>
  <c r="C42" i="69"/>
  <c r="B43" i="71"/>
  <c r="C43" i="71"/>
  <c r="B41" i="73"/>
  <c r="G41" i="73" s="1"/>
  <c r="B42" i="73"/>
  <c r="B44" i="71"/>
  <c r="H44" i="71" s="1"/>
  <c r="C44" i="71"/>
  <c r="C43" i="69"/>
  <c r="B41" i="72"/>
  <c r="C41" i="72"/>
  <c r="C42" i="72"/>
  <c r="B42" i="72"/>
  <c r="E42" i="72" s="1"/>
  <c r="B44" i="69"/>
  <c r="H44" i="69" s="1"/>
  <c r="B45" i="71"/>
  <c r="E45" i="71" s="1"/>
  <c r="C45" i="71"/>
  <c r="B44" i="73"/>
  <c r="G44" i="73" s="1"/>
  <c r="B46" i="71"/>
  <c r="E46" i="71" s="1"/>
  <c r="C46" i="71"/>
  <c r="B43" i="72"/>
  <c r="C43" i="72"/>
  <c r="O43" i="72" s="1"/>
  <c r="N43" i="72" s="1"/>
  <c r="C44" i="72"/>
  <c r="B44" i="72"/>
  <c r="F44" i="72" s="1"/>
  <c r="B47" i="71"/>
  <c r="F47" i="71" s="1"/>
  <c r="C47" i="71"/>
  <c r="C45" i="73"/>
  <c r="C46" i="73"/>
  <c r="B48" i="71"/>
  <c r="C48" i="71"/>
  <c r="B47" i="69"/>
  <c r="B45" i="72"/>
  <c r="H45" i="72" s="1"/>
  <c r="C45" i="72"/>
  <c r="C46" i="72"/>
  <c r="B46" i="72"/>
  <c r="F46" i="72" s="1"/>
  <c r="B48" i="69"/>
  <c r="B49" i="71"/>
  <c r="H49" i="71" s="1"/>
  <c r="C49" i="71"/>
  <c r="C47" i="73"/>
  <c r="B50" i="71"/>
  <c r="H50" i="71" s="1"/>
  <c r="C50" i="71"/>
  <c r="C49" i="69"/>
  <c r="B47" i="72"/>
  <c r="C47" i="72"/>
  <c r="C48" i="72"/>
  <c r="B48" i="72"/>
  <c r="H48" i="72" s="1"/>
  <c r="B51" i="71"/>
  <c r="E51" i="71" s="1"/>
  <c r="C51" i="71"/>
  <c r="B52" i="71"/>
  <c r="F52" i="71" s="1"/>
  <c r="C52" i="71"/>
  <c r="B51" i="69"/>
  <c r="B49" i="72"/>
  <c r="H49" i="72" s="1"/>
  <c r="C49" i="72"/>
  <c r="C50" i="72"/>
  <c r="B50" i="72"/>
  <c r="B53" i="71"/>
  <c r="C53" i="71"/>
  <c r="C51" i="73"/>
  <c r="B52" i="73"/>
  <c r="H52" i="73" s="1"/>
  <c r="B54" i="71"/>
  <c r="C54" i="71"/>
  <c r="B51" i="72"/>
  <c r="F51" i="72" s="1"/>
  <c r="C51" i="72"/>
  <c r="C52" i="72"/>
  <c r="B52" i="72"/>
  <c r="C54" i="69"/>
  <c r="B55" i="71"/>
  <c r="F55" i="71" s="1"/>
  <c r="C55" i="71"/>
  <c r="B54" i="73"/>
  <c r="B56" i="71"/>
  <c r="C56" i="71"/>
  <c r="B55" i="69"/>
  <c r="B53" i="72"/>
  <c r="E53" i="72" s="1"/>
  <c r="C53" i="72"/>
  <c r="C54" i="72"/>
  <c r="B54" i="72"/>
  <c r="H54" i="72" s="1"/>
  <c r="B57" i="71"/>
  <c r="F57" i="71" s="1"/>
  <c r="C57" i="71"/>
  <c r="B55" i="73"/>
  <c r="B58" i="71"/>
  <c r="C58" i="71"/>
  <c r="O58" i="71" s="1"/>
  <c r="N58" i="71" s="1"/>
  <c r="B55" i="72"/>
  <c r="H55" i="72" s="1"/>
  <c r="C55" i="72"/>
  <c r="C56" i="72"/>
  <c r="B56" i="72"/>
  <c r="G56" i="72" s="1"/>
  <c r="B59" i="71"/>
  <c r="H59" i="71" s="1"/>
  <c r="C59" i="71"/>
  <c r="C58" i="73"/>
  <c r="B60" i="71"/>
  <c r="C60" i="71"/>
  <c r="B57" i="72"/>
  <c r="H57" i="72" s="1"/>
  <c r="C57" i="72"/>
  <c r="C58" i="72"/>
  <c r="B58" i="72"/>
  <c r="G58" i="72" s="1"/>
  <c r="B61" i="71"/>
  <c r="F61" i="71" s="1"/>
  <c r="C61" i="71"/>
  <c r="C60" i="73"/>
  <c r="B62" i="71"/>
  <c r="G62" i="71" s="1"/>
  <c r="C62" i="71"/>
  <c r="C61" i="69"/>
  <c r="B59" i="72"/>
  <c r="F59" i="72" s="1"/>
  <c r="C59" i="72"/>
  <c r="C60" i="72"/>
  <c r="B60" i="72"/>
  <c r="G60" i="72" s="1"/>
  <c r="B62" i="69"/>
  <c r="F62" i="69" s="1"/>
  <c r="B63" i="71"/>
  <c r="F63" i="71" s="1"/>
  <c r="C63" i="71"/>
  <c r="B62" i="73"/>
  <c r="F62" i="73" s="1"/>
  <c r="B61" i="72"/>
  <c r="H61" i="72" s="1"/>
  <c r="C61" i="72"/>
  <c r="C62" i="72"/>
  <c r="B62" i="72"/>
  <c r="B63" i="72"/>
  <c r="H63" i="72" s="1"/>
  <c r="C63" i="72"/>
  <c r="E68" i="31"/>
  <c r="E65" i="31"/>
  <c r="E62" i="31"/>
  <c r="E59" i="31"/>
  <c r="E56" i="31"/>
  <c r="E53" i="31"/>
  <c r="E50" i="31"/>
  <c r="E47" i="31"/>
  <c r="E44" i="31"/>
  <c r="E41" i="31"/>
  <c r="E38" i="31"/>
  <c r="E35" i="31"/>
  <c r="E32" i="31"/>
  <c r="E29" i="31"/>
  <c r="E26" i="31"/>
  <c r="E23" i="31"/>
  <c r="E20" i="31"/>
  <c r="E17" i="31"/>
  <c r="E14" i="31"/>
  <c r="D68" i="31"/>
  <c r="D65" i="31"/>
  <c r="D62" i="31"/>
  <c r="D59" i="31"/>
  <c r="D56" i="31"/>
  <c r="D53" i="31"/>
  <c r="D50" i="31"/>
  <c r="D47" i="31"/>
  <c r="D44" i="31"/>
  <c r="D41" i="31"/>
  <c r="D38" i="31"/>
  <c r="D35" i="31"/>
  <c r="D32" i="31"/>
  <c r="D29" i="31"/>
  <c r="D26" i="31"/>
  <c r="D23" i="31"/>
  <c r="D20" i="31"/>
  <c r="D17" i="31"/>
  <c r="D14" i="31"/>
  <c r="E11" i="31"/>
  <c r="D11" i="31"/>
  <c r="C67" i="31"/>
  <c r="C64" i="31"/>
  <c r="C61" i="31"/>
  <c r="C58" i="31"/>
  <c r="C55" i="31"/>
  <c r="C52" i="31"/>
  <c r="C49" i="31"/>
  <c r="C46" i="31"/>
  <c r="C43" i="31"/>
  <c r="C40" i="31"/>
  <c r="C37" i="31"/>
  <c r="C34" i="31"/>
  <c r="C31" i="31"/>
  <c r="C28" i="31"/>
  <c r="C25" i="31"/>
  <c r="C22" i="31"/>
  <c r="C19" i="31"/>
  <c r="C16" i="31"/>
  <c r="C13" i="31"/>
  <c r="C10" i="31"/>
  <c r="F26" i="32"/>
  <c r="F25" i="32"/>
  <c r="F24" i="32"/>
  <c r="F23" i="32"/>
  <c r="F22" i="32"/>
  <c r="F21" i="32"/>
  <c r="F20" i="32"/>
  <c r="F19" i="32"/>
  <c r="F18" i="32"/>
  <c r="F17" i="32"/>
  <c r="F16" i="32"/>
  <c r="F15" i="32"/>
  <c r="F14" i="32"/>
  <c r="F13" i="32"/>
  <c r="F12" i="32"/>
  <c r="F11" i="32"/>
  <c r="F10" i="32"/>
  <c r="F9" i="32"/>
  <c r="F8" i="32"/>
  <c r="F7" i="32"/>
  <c r="Q9" i="54" l="1"/>
  <c r="B9" i="54"/>
  <c r="J5" i="31"/>
  <c r="U4" i="70"/>
  <c r="U5" i="70" s="1"/>
  <c r="C52" i="68"/>
  <c r="C53" i="68"/>
  <c r="T16" i="78"/>
  <c r="G17" i="78"/>
  <c r="B18" i="78"/>
  <c r="C18" i="78"/>
  <c r="E17" i="78"/>
  <c r="H17" i="78"/>
  <c r="F17" i="78"/>
  <c r="B6" i="72"/>
  <c r="E6" i="72" s="1"/>
  <c r="D17" i="78"/>
  <c r="A17" i="78"/>
  <c r="O17" i="78"/>
  <c r="N17" i="78" s="1"/>
  <c r="B59" i="68"/>
  <c r="G59" i="68" s="1"/>
  <c r="B41" i="68"/>
  <c r="H41" i="68" s="1"/>
  <c r="B51" i="68"/>
  <c r="G51" i="68" s="1"/>
  <c r="O4" i="72"/>
  <c r="N4" i="72" s="1"/>
  <c r="S4" i="72" s="1"/>
  <c r="V4" i="72" s="1"/>
  <c r="O45" i="72"/>
  <c r="N45" i="72" s="1"/>
  <c r="O41" i="72"/>
  <c r="N41" i="72" s="1"/>
  <c r="B63" i="68"/>
  <c r="H63" i="68" s="1"/>
  <c r="C58" i="68"/>
  <c r="A58" i="68" s="1"/>
  <c r="B56" i="52" s="1"/>
  <c r="C50" i="68"/>
  <c r="D50" i="68" s="1"/>
  <c r="B49" i="68"/>
  <c r="H49" i="68" s="1"/>
  <c r="B40" i="68"/>
  <c r="E40" i="68" s="1"/>
  <c r="C59" i="68"/>
  <c r="B58" i="68"/>
  <c r="G58" i="68" s="1"/>
  <c r="C51" i="68"/>
  <c r="B50" i="68"/>
  <c r="G50" i="68" s="1"/>
  <c r="C41" i="68"/>
  <c r="C44" i="68"/>
  <c r="B52" i="68"/>
  <c r="E52" i="68" s="1"/>
  <c r="C43" i="68"/>
  <c r="B5" i="68"/>
  <c r="G5" i="68" s="1"/>
  <c r="C62" i="68"/>
  <c r="B54" i="68"/>
  <c r="E54" i="68" s="1"/>
  <c r="C45" i="68"/>
  <c r="O45" i="68" s="1"/>
  <c r="N45" i="68" s="1"/>
  <c r="B44" i="68"/>
  <c r="G44" i="68" s="1"/>
  <c r="B42" i="68"/>
  <c r="H42" i="68" s="1"/>
  <c r="B62" i="68"/>
  <c r="E62" i="68" s="1"/>
  <c r="B61" i="68"/>
  <c r="H61" i="68" s="1"/>
  <c r="C56" i="68"/>
  <c r="B55" i="68"/>
  <c r="H55" i="68" s="1"/>
  <c r="B45" i="68"/>
  <c r="F45" i="68" s="1"/>
  <c r="C60" i="68"/>
  <c r="C54" i="68"/>
  <c r="D54" i="68" s="1"/>
  <c r="B53" i="68"/>
  <c r="G53" i="68" s="1"/>
  <c r="B60" i="68"/>
  <c r="G60" i="68" s="1"/>
  <c r="C55" i="68"/>
  <c r="C57" i="68"/>
  <c r="B56" i="68"/>
  <c r="E56" i="68" s="1"/>
  <c r="C48" i="68"/>
  <c r="A48" i="68" s="1"/>
  <c r="B46" i="52" s="1"/>
  <c r="C47" i="68"/>
  <c r="C46" i="68"/>
  <c r="C42" i="68"/>
  <c r="O42" i="68" s="1"/>
  <c r="N42" i="68" s="1"/>
  <c r="C61" i="68"/>
  <c r="B43" i="68"/>
  <c r="E43" i="68" s="1"/>
  <c r="C63" i="68"/>
  <c r="B57" i="68"/>
  <c r="H57" i="68" s="1"/>
  <c r="C49" i="68"/>
  <c r="B48" i="68"/>
  <c r="G48" i="68" s="1"/>
  <c r="B47" i="68"/>
  <c r="E47" i="68" s="1"/>
  <c r="B46" i="68"/>
  <c r="E46" i="68" s="1"/>
  <c r="G4" i="73"/>
  <c r="O61" i="71"/>
  <c r="N61" i="71" s="1"/>
  <c r="O50" i="71"/>
  <c r="N50" i="71" s="1"/>
  <c r="Q6" i="72"/>
  <c r="U6" i="72" s="1"/>
  <c r="U16" i="78"/>
  <c r="Q17" i="78"/>
  <c r="V14" i="78"/>
  <c r="S15" i="78"/>
  <c r="O62" i="72"/>
  <c r="N62" i="72" s="1"/>
  <c r="O4" i="68"/>
  <c r="N4" i="68" s="1"/>
  <c r="S4" i="68" s="1"/>
  <c r="V4" i="68" s="1"/>
  <c r="E61" i="72"/>
  <c r="G55" i="72"/>
  <c r="O51" i="72"/>
  <c r="N51" i="72" s="1"/>
  <c r="E4" i="73"/>
  <c r="O4" i="69"/>
  <c r="F41" i="71"/>
  <c r="Q6" i="70"/>
  <c r="Q7" i="70" s="1"/>
  <c r="O48" i="72"/>
  <c r="N48" i="72" s="1"/>
  <c r="H51" i="72"/>
  <c r="F48" i="72"/>
  <c r="O47" i="71"/>
  <c r="N47" i="71" s="1"/>
  <c r="O42" i="71"/>
  <c r="N42" i="71" s="1"/>
  <c r="O57" i="72"/>
  <c r="N57" i="72" s="1"/>
  <c r="O59" i="72"/>
  <c r="N59" i="72" s="1"/>
  <c r="O55" i="72"/>
  <c r="N55" i="72" s="1"/>
  <c r="O54" i="72"/>
  <c r="N54" i="72" s="1"/>
  <c r="O55" i="71"/>
  <c r="N55" i="71" s="1"/>
  <c r="O54" i="71"/>
  <c r="N54" i="71" s="1"/>
  <c r="O53" i="71"/>
  <c r="N53" i="71" s="1"/>
  <c r="O46" i="71"/>
  <c r="N46" i="71" s="1"/>
  <c r="O41" i="71"/>
  <c r="N41" i="71" s="1"/>
  <c r="E62" i="69"/>
  <c r="Q6" i="71"/>
  <c r="Q7" i="71" s="1"/>
  <c r="U5" i="71"/>
  <c r="O63" i="72"/>
  <c r="N63" i="72" s="1"/>
  <c r="O63" i="71"/>
  <c r="N63" i="71" s="1"/>
  <c r="O62" i="71"/>
  <c r="N62" i="71" s="1"/>
  <c r="O58" i="72"/>
  <c r="N58" i="72" s="1"/>
  <c r="O59" i="71"/>
  <c r="N59" i="71" s="1"/>
  <c r="O53" i="72"/>
  <c r="N53" i="72" s="1"/>
  <c r="O52" i="72"/>
  <c r="N52" i="72" s="1"/>
  <c r="O49" i="72"/>
  <c r="N49" i="72" s="1"/>
  <c r="O51" i="71"/>
  <c r="N51" i="71" s="1"/>
  <c r="O46" i="72"/>
  <c r="N46" i="72" s="1"/>
  <c r="O44" i="72"/>
  <c r="N44" i="72" s="1"/>
  <c r="O45" i="71"/>
  <c r="N45" i="71" s="1"/>
  <c r="O44" i="71"/>
  <c r="N44" i="71" s="1"/>
  <c r="O43" i="71"/>
  <c r="N43" i="71" s="1"/>
  <c r="L5" i="31"/>
  <c r="U4" i="71"/>
  <c r="C5" i="72"/>
  <c r="O5" i="72" s="1"/>
  <c r="O4" i="73"/>
  <c r="D60" i="71"/>
  <c r="O60" i="71"/>
  <c r="N60" i="71" s="1"/>
  <c r="O61" i="72"/>
  <c r="N61" i="72" s="1"/>
  <c r="O60" i="72"/>
  <c r="N60" i="72" s="1"/>
  <c r="O56" i="72"/>
  <c r="N56" i="72" s="1"/>
  <c r="O57" i="71"/>
  <c r="N57" i="71" s="1"/>
  <c r="O56" i="71"/>
  <c r="N56" i="71" s="1"/>
  <c r="O50" i="72"/>
  <c r="N50" i="72" s="1"/>
  <c r="O52" i="71"/>
  <c r="N52" i="71" s="1"/>
  <c r="O47" i="72"/>
  <c r="N47" i="72" s="1"/>
  <c r="O49" i="71"/>
  <c r="N49" i="71" s="1"/>
  <c r="O48" i="71"/>
  <c r="N48" i="71" s="1"/>
  <c r="O42" i="72"/>
  <c r="N42" i="72" s="1"/>
  <c r="O40" i="72"/>
  <c r="N40" i="72" s="1"/>
  <c r="O40" i="71"/>
  <c r="N40" i="71" s="1"/>
  <c r="K5" i="31"/>
  <c r="O4" i="71"/>
  <c r="O44" i="73"/>
  <c r="N44" i="73" s="1"/>
  <c r="O4" i="74"/>
  <c r="D62" i="72"/>
  <c r="G41" i="71"/>
  <c r="F58" i="72"/>
  <c r="G51" i="69"/>
  <c r="H51" i="69"/>
  <c r="F60" i="71"/>
  <c r="H60" i="71"/>
  <c r="D56" i="72"/>
  <c r="A56" i="72"/>
  <c r="A47" i="72"/>
  <c r="H46" i="71"/>
  <c r="G46" i="71"/>
  <c r="F58" i="71"/>
  <c r="G58" i="71"/>
  <c r="G42" i="71"/>
  <c r="M7" i="31"/>
  <c r="M5" i="31"/>
  <c r="B63" i="73"/>
  <c r="G63" i="73" s="1"/>
  <c r="C60" i="69"/>
  <c r="B58" i="69"/>
  <c r="E58" i="69" s="1"/>
  <c r="B57" i="69"/>
  <c r="E57" i="69" s="1"/>
  <c r="C56" i="73"/>
  <c r="E51" i="69"/>
  <c r="C48" i="73"/>
  <c r="B46" i="69"/>
  <c r="G46" i="69" s="1"/>
  <c r="C45" i="69"/>
  <c r="C43" i="73"/>
  <c r="F41" i="73"/>
  <c r="B40" i="73"/>
  <c r="F40" i="73" s="1"/>
  <c r="G62" i="69"/>
  <c r="C63" i="69"/>
  <c r="C61" i="73"/>
  <c r="B59" i="73"/>
  <c r="G59" i="73" s="1"/>
  <c r="C59" i="69"/>
  <c r="C57" i="73"/>
  <c r="C56" i="69"/>
  <c r="B53" i="73"/>
  <c r="H53" i="73" s="1"/>
  <c r="B53" i="69"/>
  <c r="C50" i="73"/>
  <c r="C49" i="73"/>
  <c r="C50" i="69"/>
  <c r="F60" i="72"/>
  <c r="H62" i="69"/>
  <c r="C62" i="73"/>
  <c r="O62" i="73" s="1"/>
  <c r="N62" i="73" s="1"/>
  <c r="B61" i="73"/>
  <c r="H61" i="73" s="1"/>
  <c r="C62" i="69"/>
  <c r="A62" i="69" s="1"/>
  <c r="B60" i="73"/>
  <c r="H60" i="73" s="1"/>
  <c r="E57" i="72"/>
  <c r="B57" i="73"/>
  <c r="E57" i="73" s="1"/>
  <c r="C58" i="69"/>
  <c r="F54" i="72"/>
  <c r="C57" i="69"/>
  <c r="C55" i="73"/>
  <c r="A55" i="73" s="1"/>
  <c r="B56" i="69"/>
  <c r="E56" i="69" s="1"/>
  <c r="C54" i="73"/>
  <c r="A54" i="73" s="1"/>
  <c r="B54" i="69"/>
  <c r="O54" i="69" s="1"/>
  <c r="N54" i="69" s="1"/>
  <c r="A53" i="71"/>
  <c r="B52" i="69"/>
  <c r="H52" i="69" s="1"/>
  <c r="C51" i="69"/>
  <c r="B50" i="73"/>
  <c r="H50" i="73" s="1"/>
  <c r="B49" i="73"/>
  <c r="H49" i="73" s="1"/>
  <c r="B49" i="69"/>
  <c r="E49" i="69" s="1"/>
  <c r="C47" i="69"/>
  <c r="O47" i="69" s="1"/>
  <c r="N47" i="69" s="1"/>
  <c r="C46" i="69"/>
  <c r="B43" i="73"/>
  <c r="H43" i="73" s="1"/>
  <c r="A42" i="72"/>
  <c r="B43" i="69"/>
  <c r="O43" i="69" s="1"/>
  <c r="N43" i="69" s="1"/>
  <c r="C42" i="73"/>
  <c r="A42" i="73" s="1"/>
  <c r="C41" i="73"/>
  <c r="A41" i="73" s="1"/>
  <c r="B42" i="69"/>
  <c r="O42" i="69" s="1"/>
  <c r="N42" i="69" s="1"/>
  <c r="C40" i="73"/>
  <c r="D4" i="70"/>
  <c r="C63" i="73"/>
  <c r="B63" i="69"/>
  <c r="H63" i="69" s="1"/>
  <c r="B61" i="69"/>
  <c r="F61" i="69" s="1"/>
  <c r="C59" i="73"/>
  <c r="B60" i="69"/>
  <c r="H60" i="69" s="1"/>
  <c r="D58" i="72"/>
  <c r="B59" i="69"/>
  <c r="E59" i="69" s="1"/>
  <c r="F59" i="71"/>
  <c r="B58" i="73"/>
  <c r="O58" i="73" s="1"/>
  <c r="N58" i="73" s="1"/>
  <c r="B56" i="73"/>
  <c r="G56" i="73" s="1"/>
  <c r="D57" i="71"/>
  <c r="C55" i="69"/>
  <c r="O55" i="69" s="1"/>
  <c r="N55" i="69" s="1"/>
  <c r="C53" i="73"/>
  <c r="C53" i="69"/>
  <c r="C52" i="73"/>
  <c r="O52" i="73" s="1"/>
  <c r="N52" i="73" s="1"/>
  <c r="B51" i="73"/>
  <c r="O51" i="73" s="1"/>
  <c r="N51" i="73" s="1"/>
  <c r="C52" i="69"/>
  <c r="B50" i="69"/>
  <c r="G50" i="69" s="1"/>
  <c r="B48" i="73"/>
  <c r="B47" i="73"/>
  <c r="H47" i="73" s="1"/>
  <c r="C48" i="69"/>
  <c r="B46" i="73"/>
  <c r="E46" i="73" s="1"/>
  <c r="B45" i="73"/>
  <c r="D45" i="73" s="1"/>
  <c r="B45" i="69"/>
  <c r="E45" i="69" s="1"/>
  <c r="F45" i="71"/>
  <c r="D45" i="71"/>
  <c r="C44" i="69"/>
  <c r="O44" i="69" s="1"/>
  <c r="N44" i="69" s="1"/>
  <c r="E41" i="73"/>
  <c r="B41" i="69"/>
  <c r="G41" i="69" s="1"/>
  <c r="B40" i="69"/>
  <c r="O40" i="69" s="1"/>
  <c r="N40" i="69" s="1"/>
  <c r="H5" i="72"/>
  <c r="U5" i="69"/>
  <c r="Q6" i="69"/>
  <c r="U6" i="69" s="1"/>
  <c r="H43" i="71"/>
  <c r="F43" i="71"/>
  <c r="E43" i="71"/>
  <c r="G43" i="71"/>
  <c r="E59" i="72"/>
  <c r="H59" i="72"/>
  <c r="G59" i="72"/>
  <c r="H55" i="71"/>
  <c r="E55" i="71"/>
  <c r="G55" i="71"/>
  <c r="H52" i="71"/>
  <c r="E52" i="71"/>
  <c r="A59" i="72"/>
  <c r="H44" i="72"/>
  <c r="A44" i="72"/>
  <c r="G43" i="72"/>
  <c r="H43" i="72"/>
  <c r="A42" i="71"/>
  <c r="D42" i="71"/>
  <c r="D59" i="72"/>
  <c r="F57" i="72"/>
  <c r="D55" i="71"/>
  <c r="F51" i="69"/>
  <c r="D52" i="71"/>
  <c r="A43" i="71"/>
  <c r="A50" i="71"/>
  <c r="Q7" i="69"/>
  <c r="G5" i="72"/>
  <c r="F5" i="72"/>
  <c r="B6" i="68"/>
  <c r="E6" i="68" s="1"/>
  <c r="C5" i="71"/>
  <c r="C5" i="68"/>
  <c r="Q5" i="74"/>
  <c r="U4" i="74"/>
  <c r="H4" i="74" s="1"/>
  <c r="E4" i="72"/>
  <c r="B5" i="71"/>
  <c r="G5" i="71" s="1"/>
  <c r="G4" i="74"/>
  <c r="E4" i="74"/>
  <c r="A4" i="68"/>
  <c r="B2" i="52" s="1"/>
  <c r="A4" i="71"/>
  <c r="U4" i="73"/>
  <c r="Q6" i="73"/>
  <c r="U5" i="73"/>
  <c r="Q6" i="68"/>
  <c r="U4" i="68"/>
  <c r="H4" i="68" s="1"/>
  <c r="E59" i="71"/>
  <c r="G59" i="71"/>
  <c r="H55" i="73"/>
  <c r="F55" i="73"/>
  <c r="E53" i="71"/>
  <c r="F53" i="71"/>
  <c r="G48" i="72"/>
  <c r="E48" i="72"/>
  <c r="A46" i="72"/>
  <c r="C45" i="70"/>
  <c r="A59" i="71"/>
  <c r="D59" i="71"/>
  <c r="E40" i="72"/>
  <c r="H40" i="72"/>
  <c r="C44" i="74"/>
  <c r="B57" i="74"/>
  <c r="F57" i="74" s="1"/>
  <c r="B58" i="74"/>
  <c r="G58" i="74" s="1"/>
  <c r="G62" i="72"/>
  <c r="H62" i="72"/>
  <c r="E62" i="72"/>
  <c r="C61" i="70"/>
  <c r="F51" i="71"/>
  <c r="G51" i="71"/>
  <c r="A48" i="72"/>
  <c r="E46" i="72"/>
  <c r="E44" i="72"/>
  <c r="G44" i="72"/>
  <c r="F44" i="71"/>
  <c r="E44" i="71"/>
  <c r="A44" i="71"/>
  <c r="G44" i="71"/>
  <c r="G42" i="73"/>
  <c r="H42" i="73"/>
  <c r="F42" i="73"/>
  <c r="E42" i="73"/>
  <c r="G55" i="69"/>
  <c r="H55" i="69"/>
  <c r="E43" i="72"/>
  <c r="F43" i="72"/>
  <c r="F63" i="72"/>
  <c r="E63" i="72"/>
  <c r="C61" i="74"/>
  <c r="G63" i="72"/>
  <c r="A58" i="72"/>
  <c r="E58" i="72"/>
  <c r="H58" i="72"/>
  <c r="B57" i="70"/>
  <c r="E57" i="70" s="1"/>
  <c r="F55" i="69"/>
  <c r="B54" i="74"/>
  <c r="G54" i="74" s="1"/>
  <c r="D48" i="72"/>
  <c r="D44" i="72"/>
  <c r="A43" i="72"/>
  <c r="D43" i="72"/>
  <c r="C5" i="69"/>
  <c r="O5" i="69" s="1"/>
  <c r="N5" i="69" s="1"/>
  <c r="B5" i="73"/>
  <c r="C5" i="73"/>
  <c r="G44" i="69"/>
  <c r="H41" i="71"/>
  <c r="G6" i="72"/>
  <c r="B7" i="72"/>
  <c r="B6" i="69"/>
  <c r="A53" i="72"/>
  <c r="D44" i="71"/>
  <c r="E44" i="70"/>
  <c r="G44" i="70"/>
  <c r="H44" i="70"/>
  <c r="E56" i="71"/>
  <c r="A56" i="71"/>
  <c r="H56" i="71"/>
  <c r="F52" i="72"/>
  <c r="H52" i="72"/>
  <c r="A51" i="72"/>
  <c r="D51" i="72"/>
  <c r="B51" i="70"/>
  <c r="A52" i="71"/>
  <c r="C49" i="70"/>
  <c r="C51" i="74"/>
  <c r="A63" i="72"/>
  <c r="D63" i="72"/>
  <c r="D63" i="71"/>
  <c r="A63" i="71"/>
  <c r="H56" i="72"/>
  <c r="E56" i="72"/>
  <c r="F56" i="72"/>
  <c r="E54" i="73"/>
  <c r="F54" i="73"/>
  <c r="H54" i="73"/>
  <c r="E53" i="74"/>
  <c r="G53" i="74"/>
  <c r="F54" i="71"/>
  <c r="H54" i="71"/>
  <c r="D41" i="71"/>
  <c r="A41" i="71"/>
  <c r="H5" i="69"/>
  <c r="E5" i="69"/>
  <c r="C5" i="70"/>
  <c r="B5" i="70"/>
  <c r="B6" i="70" s="1"/>
  <c r="B7" i="70" s="1"/>
  <c r="C40" i="70"/>
  <c r="B40" i="70"/>
  <c r="B41" i="70"/>
  <c r="C42" i="70"/>
  <c r="B45" i="70"/>
  <c r="F45" i="70" s="1"/>
  <c r="C46" i="70"/>
  <c r="B47" i="70"/>
  <c r="B49" i="70"/>
  <c r="H49" i="70" s="1"/>
  <c r="C50" i="70"/>
  <c r="C52" i="70"/>
  <c r="B54" i="70"/>
  <c r="H54" i="70" s="1"/>
  <c r="C55" i="70"/>
  <c r="C56" i="70"/>
  <c r="B58" i="70"/>
  <c r="B60" i="70"/>
  <c r="E60" i="70" s="1"/>
  <c r="C62" i="70"/>
  <c r="B42" i="70"/>
  <c r="E42" i="70" s="1"/>
  <c r="C43" i="70"/>
  <c r="B46" i="70"/>
  <c r="B50" i="70"/>
  <c r="B52" i="70"/>
  <c r="G52" i="70" s="1"/>
  <c r="B55" i="70"/>
  <c r="B56" i="70"/>
  <c r="E56" i="70" s="1"/>
  <c r="C59" i="70"/>
  <c r="B62" i="70"/>
  <c r="C63" i="70"/>
  <c r="B43" i="70"/>
  <c r="C44" i="70"/>
  <c r="A44" i="70" s="1"/>
  <c r="C48" i="70"/>
  <c r="B5" i="74"/>
  <c r="B6" i="74" s="1"/>
  <c r="C5" i="74"/>
  <c r="C40" i="74"/>
  <c r="C42" i="74"/>
  <c r="B41" i="74"/>
  <c r="H41" i="74" s="1"/>
  <c r="C45" i="74"/>
  <c r="B47" i="74"/>
  <c r="B50" i="74"/>
  <c r="B51" i="74"/>
  <c r="H51" i="74" s="1"/>
  <c r="B52" i="74"/>
  <c r="C53" i="74"/>
  <c r="O53" i="74" s="1"/>
  <c r="N53" i="74" s="1"/>
  <c r="C54" i="74"/>
  <c r="B56" i="74"/>
  <c r="C58" i="74"/>
  <c r="C60" i="74"/>
  <c r="C62" i="74"/>
  <c r="C63" i="74"/>
  <c r="B40" i="74"/>
  <c r="B42" i="74"/>
  <c r="B43" i="74"/>
  <c r="B45" i="74"/>
  <c r="G45" i="74" s="1"/>
  <c r="B46" i="74"/>
  <c r="C49" i="74"/>
  <c r="C50" i="74"/>
  <c r="O50" i="74" s="1"/>
  <c r="N50" i="74" s="1"/>
  <c r="C52" i="74"/>
  <c r="C56" i="74"/>
  <c r="B61" i="74"/>
  <c r="F61" i="74" s="1"/>
  <c r="C43" i="74"/>
  <c r="O43" i="74" s="1"/>
  <c r="N43" i="74" s="1"/>
  <c r="B44" i="74"/>
  <c r="C46" i="74"/>
  <c r="O46" i="74" s="1"/>
  <c r="N46" i="74" s="1"/>
  <c r="B48" i="74"/>
  <c r="G48" i="74" s="1"/>
  <c r="B49" i="74"/>
  <c r="B63" i="70"/>
  <c r="B59" i="70"/>
  <c r="C57" i="70"/>
  <c r="G57" i="68"/>
  <c r="C54" i="70"/>
  <c r="B62" i="74"/>
  <c r="G62" i="74" s="1"/>
  <c r="E60" i="72"/>
  <c r="A60" i="72"/>
  <c r="H60" i="72"/>
  <c r="D60" i="72"/>
  <c r="B60" i="74"/>
  <c r="G60" i="74" s="1"/>
  <c r="C59" i="74"/>
  <c r="F57" i="68"/>
  <c r="A55" i="72"/>
  <c r="D55" i="72"/>
  <c r="G54" i="72"/>
  <c r="D54" i="72"/>
  <c r="E54" i="72"/>
  <c r="A54" i="72"/>
  <c r="G52" i="72"/>
  <c r="B53" i="70"/>
  <c r="H53" i="70" s="1"/>
  <c r="C55" i="74"/>
  <c r="A55" i="71"/>
  <c r="E54" i="71"/>
  <c r="F53" i="74"/>
  <c r="A52" i="72"/>
  <c r="D52" i="72"/>
  <c r="E51" i="72"/>
  <c r="G51" i="72"/>
  <c r="C51" i="70"/>
  <c r="D51" i="71"/>
  <c r="A51" i="71"/>
  <c r="B48" i="70"/>
  <c r="E48" i="70" s="1"/>
  <c r="C47" i="70"/>
  <c r="E47" i="69"/>
  <c r="H47" i="69"/>
  <c r="H48" i="71"/>
  <c r="G48" i="71"/>
  <c r="D48" i="71"/>
  <c r="F48" i="71"/>
  <c r="H42" i="72"/>
  <c r="G42" i="72"/>
  <c r="F42" i="72"/>
  <c r="D42" i="72"/>
  <c r="C41" i="74"/>
  <c r="H50" i="72"/>
  <c r="G50" i="72"/>
  <c r="F50" i="72"/>
  <c r="E47" i="72"/>
  <c r="H47" i="72"/>
  <c r="D47" i="72"/>
  <c r="G47" i="72"/>
  <c r="F48" i="69"/>
  <c r="G48" i="69"/>
  <c r="H48" i="69"/>
  <c r="B63" i="74"/>
  <c r="G63" i="71"/>
  <c r="H63" i="71"/>
  <c r="C60" i="70"/>
  <c r="G61" i="71"/>
  <c r="B61" i="70"/>
  <c r="G61" i="70" s="1"/>
  <c r="E63" i="71"/>
  <c r="G61" i="69"/>
  <c r="C58" i="70"/>
  <c r="B59" i="74"/>
  <c r="H59" i="74" s="1"/>
  <c r="E57" i="68"/>
  <c r="F55" i="72"/>
  <c r="E55" i="72"/>
  <c r="C57" i="74"/>
  <c r="H58" i="71"/>
  <c r="E58" i="71"/>
  <c r="F56" i="71"/>
  <c r="E52" i="72"/>
  <c r="C53" i="70"/>
  <c r="B55" i="74"/>
  <c r="G54" i="71"/>
  <c r="H53" i="74"/>
  <c r="F47" i="72"/>
  <c r="E48" i="69"/>
  <c r="C48" i="74"/>
  <c r="C47" i="74"/>
  <c r="H47" i="71"/>
  <c r="E47" i="71"/>
  <c r="D47" i="71"/>
  <c r="G47" i="71"/>
  <c r="C41" i="70"/>
  <c r="D49" i="71"/>
  <c r="G52" i="71"/>
  <c r="D53" i="71"/>
  <c r="H51" i="71"/>
  <c r="G46" i="72"/>
  <c r="D46" i="72"/>
  <c r="F46" i="71"/>
  <c r="A45" i="71"/>
  <c r="H42" i="71"/>
  <c r="E42" i="71"/>
  <c r="G49" i="71"/>
  <c r="D45" i="72"/>
  <c r="A47" i="71"/>
  <c r="F44" i="69"/>
  <c r="D40" i="71"/>
  <c r="A50" i="72"/>
  <c r="D50" i="72"/>
  <c r="D61" i="72"/>
  <c r="A61" i="72"/>
  <c r="D54" i="71"/>
  <c r="A54" i="71"/>
  <c r="A44" i="69"/>
  <c r="F58" i="74"/>
  <c r="A58" i="71"/>
  <c r="D58" i="71"/>
  <c r="E41" i="72"/>
  <c r="H41" i="72"/>
  <c r="F41" i="72"/>
  <c r="G41" i="72"/>
  <c r="A41" i="72"/>
  <c r="F62" i="72"/>
  <c r="F61" i="72"/>
  <c r="G61" i="72"/>
  <c r="E62" i="73"/>
  <c r="H62" i="73"/>
  <c r="G62" i="73"/>
  <c r="A62" i="71"/>
  <c r="D61" i="71"/>
  <c r="E61" i="71"/>
  <c r="A61" i="71"/>
  <c r="H61" i="71"/>
  <c r="A57" i="72"/>
  <c r="D57" i="72"/>
  <c r="G57" i="72"/>
  <c r="D57" i="69"/>
  <c r="E55" i="73"/>
  <c r="G55" i="73"/>
  <c r="D53" i="72"/>
  <c r="G52" i="73"/>
  <c r="F52" i="73"/>
  <c r="E52" i="73"/>
  <c r="A49" i="72"/>
  <c r="D50" i="71"/>
  <c r="E50" i="71"/>
  <c r="G50" i="71"/>
  <c r="F50" i="71"/>
  <c r="H44" i="73"/>
  <c r="F44" i="73"/>
  <c r="E44" i="73"/>
  <c r="A44" i="73"/>
  <c r="A40" i="72"/>
  <c r="D40" i="72"/>
  <c r="F62" i="71"/>
  <c r="H62" i="71"/>
  <c r="A57" i="71"/>
  <c r="H57" i="71"/>
  <c r="G57" i="71"/>
  <c r="H53" i="72"/>
  <c r="F53" i="72"/>
  <c r="G53" i="72"/>
  <c r="G49" i="72"/>
  <c r="F49" i="72"/>
  <c r="E49" i="72"/>
  <c r="D46" i="71"/>
  <c r="A46" i="71"/>
  <c r="G4" i="69"/>
  <c r="F4" i="69"/>
  <c r="A4" i="69"/>
  <c r="H4" i="69"/>
  <c r="E4" i="69"/>
  <c r="D4" i="69"/>
  <c r="D4" i="74"/>
  <c r="A4" i="74"/>
  <c r="A62" i="72"/>
  <c r="E62" i="71"/>
  <c r="D62" i="71"/>
  <c r="E60" i="71"/>
  <c r="A60" i="71"/>
  <c r="G60" i="71"/>
  <c r="E57" i="71"/>
  <c r="E45" i="72"/>
  <c r="F45" i="72"/>
  <c r="G45" i="72"/>
  <c r="F47" i="69"/>
  <c r="G47" i="69"/>
  <c r="D44" i="73"/>
  <c r="D41" i="72"/>
  <c r="D43" i="71"/>
  <c r="A40" i="71"/>
  <c r="G40" i="71"/>
  <c r="E40" i="71"/>
  <c r="F40" i="71"/>
  <c r="G54" i="73"/>
  <c r="G56" i="71"/>
  <c r="D56" i="71"/>
  <c r="G55" i="68"/>
  <c r="E55" i="69"/>
  <c r="E50" i="72"/>
  <c r="G53" i="71"/>
  <c r="D49" i="72"/>
  <c r="H46" i="72"/>
  <c r="E49" i="71"/>
  <c r="A49" i="71"/>
  <c r="E48" i="71"/>
  <c r="A48" i="71"/>
  <c r="A45" i="72"/>
  <c r="F44" i="70"/>
  <c r="E44" i="69"/>
  <c r="H45" i="71"/>
  <c r="F40" i="72"/>
  <c r="H41" i="73"/>
  <c r="F4" i="68"/>
  <c r="E4" i="68"/>
  <c r="G4" i="68"/>
  <c r="D4" i="68"/>
  <c r="G4" i="72"/>
  <c r="A4" i="72"/>
  <c r="H4" i="72"/>
  <c r="D4" i="72"/>
  <c r="F4" i="72"/>
  <c r="A4" i="73"/>
  <c r="D4" i="73"/>
  <c r="H53" i="71"/>
  <c r="F49" i="71"/>
  <c r="G45" i="71"/>
  <c r="G5" i="69"/>
  <c r="F5" i="69"/>
  <c r="G4" i="71"/>
  <c r="F4" i="71"/>
  <c r="D4" i="71"/>
  <c r="H4" i="71"/>
  <c r="H6" i="72"/>
  <c r="F6" i="72"/>
  <c r="F4" i="70"/>
  <c r="H4" i="70"/>
  <c r="E4" i="70"/>
  <c r="A4" i="70"/>
  <c r="V9" i="54" l="1"/>
  <c r="U9" i="54"/>
  <c r="B7" i="68"/>
  <c r="D60" i="73"/>
  <c r="E59" i="68"/>
  <c r="A48" i="74"/>
  <c r="H47" i="68"/>
  <c r="A61" i="69"/>
  <c r="F48" i="68"/>
  <c r="E61" i="69"/>
  <c r="E42" i="69"/>
  <c r="H45" i="68"/>
  <c r="O57" i="69"/>
  <c r="N57" i="69" s="1"/>
  <c r="T4" i="72"/>
  <c r="T5" i="72" s="1"/>
  <c r="H54" i="74"/>
  <c r="F46" i="69"/>
  <c r="T4" i="68"/>
  <c r="U6" i="70"/>
  <c r="H6" i="70" s="1"/>
  <c r="O18" i="78"/>
  <c r="N18" i="78" s="1"/>
  <c r="A18" i="78"/>
  <c r="D18" i="78"/>
  <c r="E51" i="68"/>
  <c r="D61" i="69"/>
  <c r="A55" i="69"/>
  <c r="A47" i="68"/>
  <c r="B45" i="52" s="1"/>
  <c r="A60" i="68"/>
  <c r="B58" i="52" s="1"/>
  <c r="D55" i="69"/>
  <c r="A62" i="73"/>
  <c r="F59" i="68"/>
  <c r="G41" i="68"/>
  <c r="D48" i="68"/>
  <c r="O51" i="68"/>
  <c r="N51" i="68" s="1"/>
  <c r="T17" i="78"/>
  <c r="H51" i="68"/>
  <c r="D61" i="68"/>
  <c r="H61" i="69"/>
  <c r="O41" i="68"/>
  <c r="N41" i="68" s="1"/>
  <c r="C19" i="78"/>
  <c r="B19" i="78"/>
  <c r="H18" i="78"/>
  <c r="G18" i="78"/>
  <c r="F18" i="78"/>
  <c r="E18" i="78"/>
  <c r="E41" i="68"/>
  <c r="H58" i="69"/>
  <c r="H59" i="68"/>
  <c r="F58" i="69"/>
  <c r="C6" i="72"/>
  <c r="D6" i="72" s="1"/>
  <c r="F41" i="68"/>
  <c r="F50" i="68"/>
  <c r="F51" i="68"/>
  <c r="C6" i="69"/>
  <c r="F49" i="68"/>
  <c r="D5" i="72"/>
  <c r="O59" i="68"/>
  <c r="N59" i="68" s="1"/>
  <c r="D47" i="68"/>
  <c r="A50" i="68"/>
  <c r="B48" i="52" s="1"/>
  <c r="D51" i="68"/>
  <c r="E49" i="73"/>
  <c r="A51" i="68"/>
  <c r="B49" i="52" s="1"/>
  <c r="H50" i="68"/>
  <c r="O47" i="68"/>
  <c r="N47" i="68" s="1"/>
  <c r="A63" i="68"/>
  <c r="B61" i="52" s="1"/>
  <c r="O57" i="68"/>
  <c r="N57" i="68" s="1"/>
  <c r="D56" i="68"/>
  <c r="D58" i="68"/>
  <c r="A54" i="68"/>
  <c r="B52" i="52" s="1"/>
  <c r="A41" i="68"/>
  <c r="B39" i="52" s="1"/>
  <c r="H48" i="68"/>
  <c r="D45" i="68"/>
  <c r="G45" i="68"/>
  <c r="E63" i="68"/>
  <c r="H56" i="68"/>
  <c r="H44" i="68"/>
  <c r="E50" i="68"/>
  <c r="A55" i="68"/>
  <c r="B53" i="52" s="1"/>
  <c r="D43" i="68"/>
  <c r="G47" i="68"/>
  <c r="A45" i="68"/>
  <c r="B43" i="52" s="1"/>
  <c r="E55" i="68"/>
  <c r="E48" i="68"/>
  <c r="G56" i="68"/>
  <c r="E44" i="68"/>
  <c r="O58" i="69"/>
  <c r="N58" i="69" s="1"/>
  <c r="F54" i="68"/>
  <c r="O58" i="68"/>
  <c r="N58" i="68" s="1"/>
  <c r="O48" i="68"/>
  <c r="N48" i="68" s="1"/>
  <c r="E60" i="69"/>
  <c r="G54" i="68"/>
  <c r="F44" i="68"/>
  <c r="D5" i="71"/>
  <c r="F47" i="68"/>
  <c r="E41" i="74"/>
  <c r="F56" i="68"/>
  <c r="E45" i="68"/>
  <c r="F55" i="68"/>
  <c r="D41" i="68"/>
  <c r="H54" i="68"/>
  <c r="A44" i="68"/>
  <c r="O50" i="68"/>
  <c r="N50" i="68" s="1"/>
  <c r="F59" i="73"/>
  <c r="H43" i="68"/>
  <c r="E61" i="68"/>
  <c r="A54" i="69"/>
  <c r="O57" i="74"/>
  <c r="N57" i="74" s="1"/>
  <c r="H59" i="73"/>
  <c r="F60" i="73"/>
  <c r="A59" i="73"/>
  <c r="O43" i="68"/>
  <c r="N43" i="68" s="1"/>
  <c r="H46" i="69"/>
  <c r="H63" i="73"/>
  <c r="F42" i="70"/>
  <c r="A47" i="69"/>
  <c r="E54" i="69"/>
  <c r="D54" i="69"/>
  <c r="G61" i="68"/>
  <c r="E63" i="73"/>
  <c r="D47" i="69"/>
  <c r="F54" i="74"/>
  <c r="G43" i="68"/>
  <c r="G54" i="69"/>
  <c r="A60" i="73"/>
  <c r="F63" i="73"/>
  <c r="D55" i="68"/>
  <c r="D42" i="70"/>
  <c r="D62" i="68"/>
  <c r="G62" i="68"/>
  <c r="O49" i="68"/>
  <c r="N49" i="68" s="1"/>
  <c r="F61" i="68"/>
  <c r="A43" i="68"/>
  <c r="B41" i="52" s="1"/>
  <c r="E59" i="73"/>
  <c r="A49" i="69"/>
  <c r="H54" i="69"/>
  <c r="H46" i="68"/>
  <c r="E46" i="69"/>
  <c r="F42" i="68"/>
  <c r="O52" i="69"/>
  <c r="N52" i="69" s="1"/>
  <c r="F52" i="68"/>
  <c r="F43" i="68"/>
  <c r="E60" i="73"/>
  <c r="G46" i="68"/>
  <c r="E57" i="74"/>
  <c r="A53" i="68"/>
  <c r="B51" i="52" s="1"/>
  <c r="H57" i="74"/>
  <c r="F41" i="69"/>
  <c r="G42" i="68"/>
  <c r="A56" i="68"/>
  <c r="D51" i="74"/>
  <c r="D63" i="68"/>
  <c r="O40" i="68"/>
  <c r="N40" i="68" s="1"/>
  <c r="O61" i="68"/>
  <c r="N61" i="68" s="1"/>
  <c r="D56" i="73"/>
  <c r="A59" i="68"/>
  <c r="B57" i="52" s="1"/>
  <c r="O56" i="68"/>
  <c r="N56" i="68" s="1"/>
  <c r="D59" i="68"/>
  <c r="A57" i="68"/>
  <c r="B55" i="52" s="1"/>
  <c r="O5" i="73"/>
  <c r="N5" i="73" s="1"/>
  <c r="O5" i="68"/>
  <c r="N5" i="68" s="1"/>
  <c r="S5" i="68" s="1"/>
  <c r="E58" i="74"/>
  <c r="D57" i="68"/>
  <c r="G40" i="68"/>
  <c r="D5" i="69"/>
  <c r="G53" i="73"/>
  <c r="G52" i="68"/>
  <c r="D53" i="70"/>
  <c r="D49" i="68"/>
  <c r="F56" i="69"/>
  <c r="D44" i="68"/>
  <c r="A61" i="68"/>
  <c r="B59" i="52" s="1"/>
  <c r="F46" i="68"/>
  <c r="H58" i="68"/>
  <c r="D53" i="68"/>
  <c r="D43" i="73"/>
  <c r="A5" i="72"/>
  <c r="H40" i="68"/>
  <c r="H62" i="68"/>
  <c r="O44" i="68"/>
  <c r="N44" i="68" s="1"/>
  <c r="O46" i="68"/>
  <c r="N46" i="68" s="1"/>
  <c r="O55" i="68"/>
  <c r="N55" i="68" s="1"/>
  <c r="H52" i="68"/>
  <c r="A52" i="68"/>
  <c r="A53" i="74"/>
  <c r="A46" i="68"/>
  <c r="B44" i="52" s="1"/>
  <c r="E56" i="73"/>
  <c r="E53" i="73"/>
  <c r="F42" i="69"/>
  <c r="F53" i="68"/>
  <c r="D42" i="69"/>
  <c r="D42" i="68"/>
  <c r="A49" i="68"/>
  <c r="B47" i="52" s="1"/>
  <c r="H53" i="68"/>
  <c r="O46" i="69"/>
  <c r="N46" i="69" s="1"/>
  <c r="A40" i="68"/>
  <c r="B38" i="52" s="1"/>
  <c r="O54" i="68"/>
  <c r="N54" i="68" s="1"/>
  <c r="O52" i="68"/>
  <c r="N52" i="68" s="1"/>
  <c r="F40" i="68"/>
  <c r="G59" i="69"/>
  <c r="F56" i="73"/>
  <c r="E60" i="68"/>
  <c r="A52" i="69"/>
  <c r="A49" i="73"/>
  <c r="H56" i="73"/>
  <c r="F53" i="73"/>
  <c r="E5" i="68"/>
  <c r="A52" i="73"/>
  <c r="H50" i="69"/>
  <c r="E53" i="68"/>
  <c r="D40" i="68"/>
  <c r="E42" i="68"/>
  <c r="E49" i="68"/>
  <c r="A40" i="73"/>
  <c r="D46" i="68"/>
  <c r="A45" i="69"/>
  <c r="A60" i="69"/>
  <c r="O60" i="68"/>
  <c r="N60" i="68" s="1"/>
  <c r="D52" i="68"/>
  <c r="D45" i="69"/>
  <c r="F62" i="68"/>
  <c r="F59" i="69"/>
  <c r="G49" i="68"/>
  <c r="F60" i="68"/>
  <c r="D49" i="73"/>
  <c r="G57" i="69"/>
  <c r="D5" i="68"/>
  <c r="F5" i="68"/>
  <c r="A42" i="68"/>
  <c r="B40" i="52" s="1"/>
  <c r="A62" i="68"/>
  <c r="B60" i="52" s="1"/>
  <c r="O63" i="68"/>
  <c r="N63" i="68" s="1"/>
  <c r="O62" i="68"/>
  <c r="N62" i="68" s="1"/>
  <c r="G63" i="68"/>
  <c r="F63" i="68"/>
  <c r="O41" i="74"/>
  <c r="N41" i="74" s="1"/>
  <c r="D60" i="68"/>
  <c r="A57" i="69"/>
  <c r="D62" i="73"/>
  <c r="H60" i="68"/>
  <c r="F48" i="74"/>
  <c r="E58" i="68"/>
  <c r="F58" i="68"/>
  <c r="F57" i="69"/>
  <c r="O58" i="74"/>
  <c r="N58" i="74" s="1"/>
  <c r="O45" i="74"/>
  <c r="N45" i="74" s="1"/>
  <c r="O53" i="68"/>
  <c r="N53" i="68" s="1"/>
  <c r="G60" i="69"/>
  <c r="D53" i="74"/>
  <c r="D40" i="73"/>
  <c r="Q7" i="72"/>
  <c r="F60" i="69"/>
  <c r="O62" i="74"/>
  <c r="N62" i="74" s="1"/>
  <c r="A53" i="69"/>
  <c r="H57" i="73"/>
  <c r="U6" i="71"/>
  <c r="A57" i="73"/>
  <c r="F6" i="68"/>
  <c r="H42" i="69"/>
  <c r="H57" i="70"/>
  <c r="N57" i="70"/>
  <c r="V15" i="78"/>
  <c r="S16" i="78"/>
  <c r="U17" i="78"/>
  <c r="Q18" i="78"/>
  <c r="F63" i="69"/>
  <c r="A43" i="69"/>
  <c r="O47" i="74"/>
  <c r="N47" i="74" s="1"/>
  <c r="N4" i="69"/>
  <c r="S4" i="69" s="1"/>
  <c r="V4" i="69" s="1"/>
  <c r="T4" i="69"/>
  <c r="T5" i="69" s="1"/>
  <c r="N58" i="70"/>
  <c r="F51" i="73"/>
  <c r="N51" i="70"/>
  <c r="O54" i="74"/>
  <c r="N54" i="74" s="1"/>
  <c r="O42" i="74"/>
  <c r="N42" i="74" s="1"/>
  <c r="D48" i="73"/>
  <c r="D53" i="73"/>
  <c r="A6" i="72"/>
  <c r="D63" i="69"/>
  <c r="D41" i="70"/>
  <c r="E43" i="69"/>
  <c r="E54" i="70"/>
  <c r="D40" i="69"/>
  <c r="D52" i="73"/>
  <c r="E58" i="73"/>
  <c r="G43" i="69"/>
  <c r="H45" i="74"/>
  <c r="A40" i="69"/>
  <c r="D50" i="69"/>
  <c r="G57" i="74"/>
  <c r="N54" i="70"/>
  <c r="O56" i="74"/>
  <c r="N56" i="74" s="1"/>
  <c r="O5" i="74"/>
  <c r="N5" i="74" s="1"/>
  <c r="D46" i="73"/>
  <c r="G46" i="73"/>
  <c r="D5" i="73"/>
  <c r="H48" i="74"/>
  <c r="G40" i="69"/>
  <c r="O63" i="69"/>
  <c r="N63" i="69" s="1"/>
  <c r="E59" i="74"/>
  <c r="O51" i="74"/>
  <c r="N51" i="74" s="1"/>
  <c r="D60" i="74"/>
  <c r="F60" i="74"/>
  <c r="A60" i="74"/>
  <c r="F57" i="73"/>
  <c r="E50" i="73"/>
  <c r="G51" i="73"/>
  <c r="D57" i="73"/>
  <c r="A58" i="73"/>
  <c r="D61" i="73"/>
  <c r="A48" i="73"/>
  <c r="E61" i="73"/>
  <c r="G61" i="73"/>
  <c r="H46" i="73"/>
  <c r="O61" i="73"/>
  <c r="N61" i="73" s="1"/>
  <c r="O48" i="73"/>
  <c r="N48" i="73" s="1"/>
  <c r="G57" i="73"/>
  <c r="H58" i="73"/>
  <c r="D58" i="73"/>
  <c r="A51" i="73"/>
  <c r="F61" i="73"/>
  <c r="A53" i="73"/>
  <c r="G58" i="73"/>
  <c r="F58" i="73"/>
  <c r="D51" i="73"/>
  <c r="G45" i="73"/>
  <c r="O50" i="73"/>
  <c r="N50" i="73" s="1"/>
  <c r="O57" i="73"/>
  <c r="N57" i="73" s="1"/>
  <c r="A5" i="71"/>
  <c r="H5" i="71"/>
  <c r="O5" i="71"/>
  <c r="N5" i="71" s="1"/>
  <c r="E5" i="71"/>
  <c r="F41" i="70"/>
  <c r="A60" i="70"/>
  <c r="H56" i="70"/>
  <c r="N50" i="70"/>
  <c r="N40" i="70"/>
  <c r="N55" i="70"/>
  <c r="H56" i="69"/>
  <c r="A58" i="69"/>
  <c r="D52" i="69"/>
  <c r="A56" i="69"/>
  <c r="G56" i="69"/>
  <c r="D58" i="69"/>
  <c r="A46" i="69"/>
  <c r="F52" i="69"/>
  <c r="A5" i="69"/>
  <c r="F54" i="69"/>
  <c r="A63" i="69"/>
  <c r="D60" i="69"/>
  <c r="D44" i="69"/>
  <c r="D46" i="69"/>
  <c r="E40" i="69"/>
  <c r="G45" i="69"/>
  <c r="A50" i="69"/>
  <c r="G58" i="69"/>
  <c r="D43" i="69"/>
  <c r="E60" i="74"/>
  <c r="D48" i="74"/>
  <c r="O48" i="74"/>
  <c r="N48" i="74" s="1"/>
  <c r="D60" i="70"/>
  <c r="N60" i="70"/>
  <c r="N47" i="70"/>
  <c r="O59" i="74"/>
  <c r="N59" i="74" s="1"/>
  <c r="O49" i="74"/>
  <c r="N49" i="74" s="1"/>
  <c r="O60" i="74"/>
  <c r="N60" i="74" s="1"/>
  <c r="O40" i="74"/>
  <c r="N40" i="74" s="1"/>
  <c r="D44" i="70"/>
  <c r="N44" i="70"/>
  <c r="N59" i="70"/>
  <c r="N62" i="70"/>
  <c r="N42" i="70"/>
  <c r="C7" i="69"/>
  <c r="O6" i="69"/>
  <c r="N6" i="69" s="1"/>
  <c r="O61" i="74"/>
  <c r="N61" i="74" s="1"/>
  <c r="N45" i="70"/>
  <c r="F46" i="73"/>
  <c r="D48" i="69"/>
  <c r="O48" i="69"/>
  <c r="N48" i="69" s="1"/>
  <c r="D53" i="69"/>
  <c r="O53" i="69"/>
  <c r="N53" i="69" s="1"/>
  <c r="D63" i="73"/>
  <c r="O63" i="73"/>
  <c r="N63" i="73" s="1"/>
  <c r="D41" i="73"/>
  <c r="O41" i="73"/>
  <c r="N41" i="73" s="1"/>
  <c r="A51" i="69"/>
  <c r="O51" i="69"/>
  <c r="N51" i="69" s="1"/>
  <c r="D54" i="73"/>
  <c r="O54" i="73"/>
  <c r="N54" i="73" s="1"/>
  <c r="O49" i="73"/>
  <c r="N49" i="73" s="1"/>
  <c r="O56" i="69"/>
  <c r="N56" i="69" s="1"/>
  <c r="N4" i="70"/>
  <c r="S4" i="70" s="1"/>
  <c r="V4" i="70" s="1"/>
  <c r="T4" i="70"/>
  <c r="O61" i="69"/>
  <c r="N61" i="69" s="1"/>
  <c r="N4" i="71"/>
  <c r="S4" i="71" s="1"/>
  <c r="V4" i="71" s="1"/>
  <c r="T4" i="71"/>
  <c r="O47" i="73"/>
  <c r="N47" i="73" s="1"/>
  <c r="N5" i="72"/>
  <c r="S5" i="72" s="1"/>
  <c r="N61" i="70"/>
  <c r="D42" i="73"/>
  <c r="O42" i="73"/>
  <c r="N42" i="73" s="1"/>
  <c r="D62" i="69"/>
  <c r="O62" i="69"/>
  <c r="N62" i="69" s="1"/>
  <c r="O43" i="73"/>
  <c r="N43" i="73" s="1"/>
  <c r="A46" i="74"/>
  <c r="F60" i="70"/>
  <c r="H60" i="74"/>
  <c r="A41" i="70"/>
  <c r="N41" i="70"/>
  <c r="A53" i="70"/>
  <c r="N53" i="70"/>
  <c r="O55" i="74"/>
  <c r="N55" i="74" s="1"/>
  <c r="O52" i="74"/>
  <c r="N52" i="74" s="1"/>
  <c r="O63" i="74"/>
  <c r="N63" i="74" s="1"/>
  <c r="D56" i="74"/>
  <c r="N63" i="70"/>
  <c r="N43" i="70"/>
  <c r="N52" i="70"/>
  <c r="N46" i="70"/>
  <c r="N49" i="70"/>
  <c r="A5" i="73"/>
  <c r="A46" i="73"/>
  <c r="O53" i="73"/>
  <c r="N53" i="73" s="1"/>
  <c r="O40" i="73"/>
  <c r="N40" i="73" s="1"/>
  <c r="D55" i="73"/>
  <c r="O55" i="73"/>
  <c r="N55" i="73" s="1"/>
  <c r="O59" i="69"/>
  <c r="N59" i="69" s="1"/>
  <c r="O45" i="69"/>
  <c r="N45" i="69" s="1"/>
  <c r="O60" i="69"/>
  <c r="N60" i="69" s="1"/>
  <c r="O41" i="69"/>
  <c r="N41" i="69" s="1"/>
  <c r="O45" i="73"/>
  <c r="N45" i="73" s="1"/>
  <c r="O46" i="73"/>
  <c r="N46" i="73" s="1"/>
  <c r="O49" i="69"/>
  <c r="N49" i="69" s="1"/>
  <c r="N48" i="70"/>
  <c r="N56" i="70"/>
  <c r="O44" i="74"/>
  <c r="N44" i="74" s="1"/>
  <c r="D59" i="73"/>
  <c r="O59" i="73"/>
  <c r="N59" i="73" s="1"/>
  <c r="O50" i="69"/>
  <c r="N50" i="69" s="1"/>
  <c r="O56" i="73"/>
  <c r="N56" i="73" s="1"/>
  <c r="N4" i="74"/>
  <c r="S4" i="74" s="1"/>
  <c r="V4" i="74" s="1"/>
  <c r="T4" i="74"/>
  <c r="O60" i="73"/>
  <c r="N60" i="73" s="1"/>
  <c r="N4" i="73"/>
  <c r="S4" i="73" s="1"/>
  <c r="T4" i="73"/>
  <c r="E47" i="73"/>
  <c r="G47" i="73"/>
  <c r="Q8" i="70"/>
  <c r="U7" i="70"/>
  <c r="H7" i="70" s="1"/>
  <c r="D61" i="74"/>
  <c r="Q8" i="72"/>
  <c r="U7" i="72"/>
  <c r="D56" i="69"/>
  <c r="A61" i="73"/>
  <c r="A45" i="73"/>
  <c r="A56" i="73"/>
  <c r="A50" i="73"/>
  <c r="A43" i="73"/>
  <c r="A62" i="74"/>
  <c r="Q8" i="71"/>
  <c r="U7" i="71"/>
  <c r="F59" i="74"/>
  <c r="G43" i="73"/>
  <c r="H49" i="69"/>
  <c r="D51" i="69"/>
  <c r="F45" i="69"/>
  <c r="H45" i="69"/>
  <c r="G52" i="69"/>
  <c r="E52" i="69"/>
  <c r="E56" i="74"/>
  <c r="F41" i="74"/>
  <c r="E45" i="74"/>
  <c r="G6" i="68"/>
  <c r="D45" i="70"/>
  <c r="A41" i="69"/>
  <c r="G59" i="74"/>
  <c r="A42" i="70"/>
  <c r="G42" i="70"/>
  <c r="F45" i="74"/>
  <c r="A59" i="69"/>
  <c r="D41" i="74"/>
  <c r="H41" i="69"/>
  <c r="D47" i="73"/>
  <c r="F47" i="73"/>
  <c r="F49" i="73"/>
  <c r="F49" i="69"/>
  <c r="E43" i="73"/>
  <c r="A47" i="73"/>
  <c r="H45" i="73"/>
  <c r="E45" i="73"/>
  <c r="F45" i="73"/>
  <c r="E48" i="73"/>
  <c r="G48" i="73"/>
  <c r="H48" i="73"/>
  <c r="F48" i="73"/>
  <c r="H51" i="73"/>
  <c r="E51" i="73"/>
  <c r="E63" i="69"/>
  <c r="G63" i="69"/>
  <c r="F43" i="69"/>
  <c r="H43" i="69"/>
  <c r="F50" i="73"/>
  <c r="G50" i="73"/>
  <c r="H53" i="69"/>
  <c r="E53" i="69"/>
  <c r="G53" i="69"/>
  <c r="F53" i="69"/>
  <c r="F56" i="74"/>
  <c r="H59" i="69"/>
  <c r="D62" i="74"/>
  <c r="A63" i="73"/>
  <c r="D49" i="69"/>
  <c r="H58" i="74"/>
  <c r="H42" i="70"/>
  <c r="D59" i="69"/>
  <c r="A48" i="69"/>
  <c r="F43" i="73"/>
  <c r="G49" i="69"/>
  <c r="D61" i="70"/>
  <c r="H57" i="69"/>
  <c r="D58" i="74"/>
  <c r="E41" i="69"/>
  <c r="D50" i="73"/>
  <c r="G49" i="73"/>
  <c r="G60" i="73"/>
  <c r="D41" i="69"/>
  <c r="H40" i="69"/>
  <c r="F40" i="69"/>
  <c r="F50" i="69"/>
  <c r="E50" i="69"/>
  <c r="A42" i="69"/>
  <c r="G42" i="69"/>
  <c r="H40" i="73"/>
  <c r="G40" i="73"/>
  <c r="E40" i="73"/>
  <c r="N7" i="31"/>
  <c r="N5" i="31"/>
  <c r="U5" i="68"/>
  <c r="H5" i="68" s="1"/>
  <c r="D52" i="74"/>
  <c r="D45" i="74"/>
  <c r="C6" i="74"/>
  <c r="O6" i="74" s="1"/>
  <c r="N6" i="74" s="1"/>
  <c r="A49" i="70"/>
  <c r="C6" i="71"/>
  <c r="F5" i="71"/>
  <c r="C6" i="68"/>
  <c r="O6" i="68" s="1"/>
  <c r="N6" i="68" s="1"/>
  <c r="A5" i="68"/>
  <c r="B3" i="52" s="1"/>
  <c r="U7" i="69"/>
  <c r="Q8" i="69"/>
  <c r="D59" i="74"/>
  <c r="B6" i="71"/>
  <c r="Q6" i="74"/>
  <c r="U5" i="74"/>
  <c r="H4" i="73"/>
  <c r="Q7" i="73"/>
  <c r="U6" i="73"/>
  <c r="U6" i="68"/>
  <c r="H6" i="68" s="1"/>
  <c r="Q7" i="68"/>
  <c r="B8" i="70"/>
  <c r="F8" i="70" s="1"/>
  <c r="A61" i="70"/>
  <c r="G51" i="74"/>
  <c r="F51" i="74"/>
  <c r="E51" i="74"/>
  <c r="D52" i="70"/>
  <c r="A52" i="70"/>
  <c r="F7" i="68"/>
  <c r="B8" i="68"/>
  <c r="E7" i="68"/>
  <c r="G7" i="68"/>
  <c r="D44" i="74"/>
  <c r="A44" i="74"/>
  <c r="A51" i="74"/>
  <c r="A45" i="74"/>
  <c r="E48" i="74"/>
  <c r="C6" i="70"/>
  <c r="G5" i="73"/>
  <c r="H5" i="73"/>
  <c r="E5" i="73"/>
  <c r="F5" i="73"/>
  <c r="B6" i="73"/>
  <c r="C6" i="73"/>
  <c r="F61" i="70"/>
  <c r="E61" i="70"/>
  <c r="H7" i="72"/>
  <c r="B8" i="72"/>
  <c r="F7" i="72"/>
  <c r="E7" i="72"/>
  <c r="G7" i="72"/>
  <c r="H61" i="70"/>
  <c r="A56" i="74"/>
  <c r="B7" i="74"/>
  <c r="E7" i="74" s="1"/>
  <c r="A48" i="70"/>
  <c r="C7" i="70"/>
  <c r="G57" i="70"/>
  <c r="F57" i="70"/>
  <c r="E54" i="74"/>
  <c r="A6" i="69"/>
  <c r="D6" i="69"/>
  <c r="G6" i="69"/>
  <c r="F6" i="69"/>
  <c r="H6" i="69"/>
  <c r="B7" i="69"/>
  <c r="E6" i="69"/>
  <c r="G61" i="74"/>
  <c r="D49" i="70"/>
  <c r="A59" i="74"/>
  <c r="A58" i="74"/>
  <c r="G56" i="70"/>
  <c r="A58" i="70"/>
  <c r="D58" i="70"/>
  <c r="E63" i="74"/>
  <c r="G63" i="74"/>
  <c r="H63" i="74"/>
  <c r="F63" i="74"/>
  <c r="A51" i="70"/>
  <c r="D51" i="70"/>
  <c r="D55" i="74"/>
  <c r="E46" i="74"/>
  <c r="G46" i="74"/>
  <c r="H46" i="74"/>
  <c r="F46" i="74"/>
  <c r="E40" i="74"/>
  <c r="H40" i="74"/>
  <c r="G40" i="74"/>
  <c r="F40" i="74"/>
  <c r="D63" i="74"/>
  <c r="A63" i="74"/>
  <c r="G56" i="74"/>
  <c r="H56" i="74"/>
  <c r="A41" i="74"/>
  <c r="G41" i="74"/>
  <c r="G6" i="74"/>
  <c r="F6" i="74"/>
  <c r="E6" i="74"/>
  <c r="D63" i="70"/>
  <c r="A63" i="70"/>
  <c r="E55" i="70"/>
  <c r="H55" i="70"/>
  <c r="G55" i="70"/>
  <c r="F55" i="70"/>
  <c r="D43" i="70"/>
  <c r="A43" i="70"/>
  <c r="D50" i="70"/>
  <c r="A50" i="70"/>
  <c r="H45" i="70"/>
  <c r="G45" i="70"/>
  <c r="E45" i="70"/>
  <c r="A40" i="70"/>
  <c r="D40" i="70"/>
  <c r="E5" i="70"/>
  <c r="H5" i="70"/>
  <c r="G5" i="70"/>
  <c r="F5" i="70"/>
  <c r="A47" i="74"/>
  <c r="D47" i="74"/>
  <c r="H55" i="74"/>
  <c r="F55" i="74"/>
  <c r="E55" i="74"/>
  <c r="G48" i="70"/>
  <c r="F48" i="70"/>
  <c r="H48" i="70"/>
  <c r="F49" i="74"/>
  <c r="E49" i="74"/>
  <c r="G49" i="74"/>
  <c r="H49" i="74"/>
  <c r="D43" i="74"/>
  <c r="A43" i="74"/>
  <c r="A49" i="74"/>
  <c r="D49" i="74"/>
  <c r="H52" i="74"/>
  <c r="F52" i="74"/>
  <c r="E52" i="74"/>
  <c r="G52" i="74"/>
  <c r="H46" i="70"/>
  <c r="G46" i="70"/>
  <c r="E46" i="70"/>
  <c r="F46" i="70"/>
  <c r="F58" i="70"/>
  <c r="E58" i="70"/>
  <c r="H58" i="70"/>
  <c r="G58" i="70"/>
  <c r="D46" i="70"/>
  <c r="A46" i="70"/>
  <c r="F7" i="70"/>
  <c r="G7" i="70"/>
  <c r="E7" i="70"/>
  <c r="A5" i="70"/>
  <c r="D5" i="70"/>
  <c r="A55" i="74"/>
  <c r="H61" i="74"/>
  <c r="D48" i="70"/>
  <c r="D56" i="70"/>
  <c r="A61" i="74"/>
  <c r="F56" i="70"/>
  <c r="F53" i="70"/>
  <c r="E53" i="70"/>
  <c r="G53" i="70"/>
  <c r="D54" i="70"/>
  <c r="A54" i="70"/>
  <c r="G59" i="70"/>
  <c r="E59" i="70"/>
  <c r="F59" i="70"/>
  <c r="H59" i="70"/>
  <c r="D46" i="74"/>
  <c r="D54" i="74"/>
  <c r="A54" i="74"/>
  <c r="G50" i="74"/>
  <c r="H50" i="74"/>
  <c r="F50" i="74"/>
  <c r="E50" i="74"/>
  <c r="D5" i="74"/>
  <c r="A5" i="74"/>
  <c r="E43" i="70"/>
  <c r="H43" i="70"/>
  <c r="F43" i="70"/>
  <c r="G43" i="70"/>
  <c r="E62" i="70"/>
  <c r="F62" i="70"/>
  <c r="H62" i="70"/>
  <c r="G62" i="70"/>
  <c r="F52" i="70"/>
  <c r="E52" i="70"/>
  <c r="H52" i="70"/>
  <c r="A62" i="70"/>
  <c r="D62" i="70"/>
  <c r="A55" i="70"/>
  <c r="D55" i="70"/>
  <c r="E49" i="70"/>
  <c r="F49" i="70"/>
  <c r="G49" i="70"/>
  <c r="F51" i="70"/>
  <c r="E51" i="70"/>
  <c r="G51" i="70"/>
  <c r="H51" i="70"/>
  <c r="A57" i="74"/>
  <c r="D57" i="74"/>
  <c r="A57" i="70"/>
  <c r="D57" i="70"/>
  <c r="E42" i="74"/>
  <c r="G42" i="74"/>
  <c r="H42" i="74"/>
  <c r="F42" i="74"/>
  <c r="A40" i="74"/>
  <c r="D40" i="74"/>
  <c r="G55" i="74"/>
  <c r="A52" i="74"/>
  <c r="E61" i="74"/>
  <c r="A56" i="70"/>
  <c r="A47" i="70"/>
  <c r="D47" i="70"/>
  <c r="E62" i="74"/>
  <c r="F62" i="74"/>
  <c r="H62" i="74"/>
  <c r="H63" i="70"/>
  <c r="F63" i="70"/>
  <c r="E63" i="70"/>
  <c r="G63" i="70"/>
  <c r="G44" i="74"/>
  <c r="F44" i="74"/>
  <c r="E44" i="74"/>
  <c r="H44" i="74"/>
  <c r="D50" i="74"/>
  <c r="A50" i="74"/>
  <c r="G43" i="74"/>
  <c r="H43" i="74"/>
  <c r="F43" i="74"/>
  <c r="E43" i="74"/>
  <c r="F47" i="74"/>
  <c r="H47" i="74"/>
  <c r="E47" i="74"/>
  <c r="G47" i="74"/>
  <c r="D42" i="74"/>
  <c r="A42" i="74"/>
  <c r="E5" i="74"/>
  <c r="H5" i="74"/>
  <c r="G5" i="74"/>
  <c r="F5" i="74"/>
  <c r="A59" i="70"/>
  <c r="D59" i="70"/>
  <c r="E50" i="70"/>
  <c r="G50" i="70"/>
  <c r="H50" i="70"/>
  <c r="F50" i="70"/>
  <c r="G60" i="70"/>
  <c r="H60" i="70"/>
  <c r="G54" i="70"/>
  <c r="F54" i="70"/>
  <c r="E47" i="70"/>
  <c r="F47" i="70"/>
  <c r="G47" i="70"/>
  <c r="H47" i="70"/>
  <c r="E41" i="70"/>
  <c r="G41" i="70"/>
  <c r="H41" i="70"/>
  <c r="H40" i="70"/>
  <c r="F40" i="70"/>
  <c r="G40" i="70"/>
  <c r="E40" i="70"/>
  <c r="F6" i="70"/>
  <c r="E6" i="70"/>
  <c r="G6" i="70"/>
  <c r="A45" i="70"/>
  <c r="B54" i="52"/>
  <c r="B42" i="52"/>
  <c r="B50" i="52"/>
  <c r="C7" i="74" l="1"/>
  <c r="V5" i="72"/>
  <c r="T18" i="78"/>
  <c r="E19" i="78"/>
  <c r="C20" i="78"/>
  <c r="B20" i="78"/>
  <c r="G19" i="78"/>
  <c r="H19" i="78"/>
  <c r="F19" i="78"/>
  <c r="O6" i="72"/>
  <c r="N6" i="72" s="1"/>
  <c r="S6" i="72" s="1"/>
  <c r="C7" i="72"/>
  <c r="D19" i="78"/>
  <c r="A19" i="78"/>
  <c r="O19" i="78"/>
  <c r="N19" i="78" s="1"/>
  <c r="T5" i="73"/>
  <c r="T5" i="68"/>
  <c r="T6" i="68" s="1"/>
  <c r="S6" i="68"/>
  <c r="S5" i="71"/>
  <c r="T5" i="70"/>
  <c r="A6" i="74"/>
  <c r="T5" i="74"/>
  <c r="T6" i="74" s="1"/>
  <c r="G8" i="70"/>
  <c r="T6" i="69"/>
  <c r="O7" i="74"/>
  <c r="N7" i="74" s="1"/>
  <c r="U18" i="78"/>
  <c r="Q19" i="78"/>
  <c r="V16" i="78"/>
  <c r="S17" i="78"/>
  <c r="S5" i="69"/>
  <c r="D6" i="74"/>
  <c r="O6" i="73"/>
  <c r="N6" i="73" s="1"/>
  <c r="O6" i="71"/>
  <c r="N6" i="71" s="1"/>
  <c r="S6" i="71" s="1"/>
  <c r="T5" i="71"/>
  <c r="A7" i="70"/>
  <c r="D6" i="70"/>
  <c r="S5" i="74"/>
  <c r="O7" i="69"/>
  <c r="N7" i="69" s="1"/>
  <c r="S5" i="73"/>
  <c r="V4" i="73"/>
  <c r="S5" i="70"/>
  <c r="A6" i="70"/>
  <c r="Q9" i="70"/>
  <c r="U8" i="70"/>
  <c r="H8" i="70" s="1"/>
  <c r="U8" i="72"/>
  <c r="Q9" i="72"/>
  <c r="E8" i="70"/>
  <c r="Q9" i="71"/>
  <c r="U8" i="71"/>
  <c r="F7" i="74"/>
  <c r="O5" i="31"/>
  <c r="O7" i="31"/>
  <c r="G7" i="74"/>
  <c r="Q9" i="69"/>
  <c r="U8" i="69"/>
  <c r="Q7" i="74"/>
  <c r="U6" i="74"/>
  <c r="H6" i="74" s="1"/>
  <c r="F6" i="71"/>
  <c r="H6" i="71"/>
  <c r="G6" i="71"/>
  <c r="E6" i="71"/>
  <c r="C7" i="71"/>
  <c r="B7" i="71"/>
  <c r="D6" i="68"/>
  <c r="C7" i="68"/>
  <c r="O7" i="68" s="1"/>
  <c r="N7" i="68" s="1"/>
  <c r="A6" i="68"/>
  <c r="A6" i="71"/>
  <c r="D6" i="71"/>
  <c r="U7" i="73"/>
  <c r="Q8" i="73"/>
  <c r="Q8" i="68"/>
  <c r="U7" i="68"/>
  <c r="H7" i="68" s="1"/>
  <c r="D6" i="73"/>
  <c r="A6" i="73"/>
  <c r="C7" i="73"/>
  <c r="G6" i="73"/>
  <c r="B7" i="73"/>
  <c r="H6" i="73"/>
  <c r="F6" i="73"/>
  <c r="E6" i="73"/>
  <c r="C8" i="70"/>
  <c r="H7" i="69"/>
  <c r="F7" i="69"/>
  <c r="C8" i="69"/>
  <c r="B8" i="69"/>
  <c r="E7" i="69"/>
  <c r="G7" i="69"/>
  <c r="D7" i="69"/>
  <c r="D7" i="74"/>
  <c r="A7" i="74"/>
  <c r="A7" i="69"/>
  <c r="E8" i="68"/>
  <c r="B9" i="68"/>
  <c r="F8" i="68"/>
  <c r="G8" i="68"/>
  <c r="B8" i="74"/>
  <c r="C8" i="74"/>
  <c r="O8" i="74" s="1"/>
  <c r="N8" i="74" s="1"/>
  <c r="B9" i="70"/>
  <c r="G8" i="72"/>
  <c r="E8" i="72"/>
  <c r="B9" i="72"/>
  <c r="F8" i="72"/>
  <c r="H8" i="72"/>
  <c r="D7" i="70"/>
  <c r="V6" i="68" l="1"/>
  <c r="V5" i="70"/>
  <c r="T6" i="72"/>
  <c r="V5" i="71"/>
  <c r="V5" i="68"/>
  <c r="D20" i="78"/>
  <c r="O20" i="78"/>
  <c r="N20" i="78" s="1"/>
  <c r="A20" i="78"/>
  <c r="E20" i="78"/>
  <c r="C21" i="78"/>
  <c r="B21" i="78"/>
  <c r="H20" i="78"/>
  <c r="F20" i="78"/>
  <c r="G20" i="78"/>
  <c r="C9" i="70"/>
  <c r="A9" i="70" s="1"/>
  <c r="D7" i="72"/>
  <c r="A7" i="72"/>
  <c r="C8" i="72"/>
  <c r="O7" i="72"/>
  <c r="S7" i="68"/>
  <c r="T19" i="78"/>
  <c r="T7" i="74"/>
  <c r="T8" i="74" s="1"/>
  <c r="O7" i="73"/>
  <c r="N7" i="73" s="1"/>
  <c r="T6" i="73"/>
  <c r="T6" i="71"/>
  <c r="V6" i="71" s="1"/>
  <c r="V17" i="78"/>
  <c r="S18" i="78"/>
  <c r="U19" i="78"/>
  <c r="Q20" i="78"/>
  <c r="B4" i="52"/>
  <c r="V5" i="69"/>
  <c r="S6" i="69"/>
  <c r="V6" i="69" s="1"/>
  <c r="V6" i="72"/>
  <c r="S6" i="73"/>
  <c r="V5" i="73"/>
  <c r="S6" i="70"/>
  <c r="T6" i="70"/>
  <c r="T7" i="70" s="1"/>
  <c r="T8" i="70" s="1"/>
  <c r="O8" i="69"/>
  <c r="N8" i="69" s="1"/>
  <c r="O7" i="71"/>
  <c r="N7" i="71" s="1"/>
  <c r="S7" i="71" s="1"/>
  <c r="S6" i="74"/>
  <c r="V5" i="74"/>
  <c r="T7" i="69"/>
  <c r="T7" i="68"/>
  <c r="Q10" i="70"/>
  <c r="U9" i="70"/>
  <c r="H9" i="70" s="1"/>
  <c r="U9" i="71"/>
  <c r="Q10" i="71"/>
  <c r="U9" i="72"/>
  <c r="Q10" i="72"/>
  <c r="P5" i="31"/>
  <c r="P7" i="31"/>
  <c r="F7" i="71"/>
  <c r="C8" i="71"/>
  <c r="E7" i="71"/>
  <c r="G7" i="71"/>
  <c r="H7" i="71"/>
  <c r="B8" i="71"/>
  <c r="A7" i="71"/>
  <c r="D7" i="71"/>
  <c r="Q8" i="74"/>
  <c r="U7" i="74"/>
  <c r="H7" i="74" s="1"/>
  <c r="Q10" i="69"/>
  <c r="U9" i="69"/>
  <c r="A7" i="68"/>
  <c r="B5" i="52" s="1"/>
  <c r="C8" i="68"/>
  <c r="O8" i="68" s="1"/>
  <c r="N8" i="68" s="1"/>
  <c r="D7" i="68"/>
  <c r="U8" i="73"/>
  <c r="Q9" i="73"/>
  <c r="U8" i="68"/>
  <c r="H8" i="68" s="1"/>
  <c r="Q9" i="68"/>
  <c r="E9" i="70"/>
  <c r="B10" i="70"/>
  <c r="F9" i="70"/>
  <c r="G9" i="70"/>
  <c r="D8" i="69"/>
  <c r="A8" i="69"/>
  <c r="D8" i="74"/>
  <c r="A8" i="74"/>
  <c r="G7" i="73"/>
  <c r="E7" i="73"/>
  <c r="C8" i="73"/>
  <c r="F7" i="73"/>
  <c r="B8" i="73"/>
  <c r="H7" i="73"/>
  <c r="G9" i="72"/>
  <c r="B10" i="72"/>
  <c r="E9" i="72"/>
  <c r="H9" i="72"/>
  <c r="F9" i="72"/>
  <c r="B9" i="74"/>
  <c r="C9" i="74"/>
  <c r="E8" i="74"/>
  <c r="G8" i="74"/>
  <c r="F8" i="74"/>
  <c r="G9" i="68"/>
  <c r="B10" i="68"/>
  <c r="F9" i="68"/>
  <c r="E9" i="68"/>
  <c r="F8" i="69"/>
  <c r="B9" i="69"/>
  <c r="E8" i="69"/>
  <c r="H8" i="69"/>
  <c r="G8" i="69"/>
  <c r="C9" i="69"/>
  <c r="A8" i="70"/>
  <c r="D8" i="70"/>
  <c r="A7" i="73"/>
  <c r="D7" i="73"/>
  <c r="C10" i="70" l="1"/>
  <c r="D10" i="70" s="1"/>
  <c r="D9" i="70"/>
  <c r="T7" i="73"/>
  <c r="T20" i="78"/>
  <c r="V6" i="73"/>
  <c r="V7" i="68"/>
  <c r="T9" i="70"/>
  <c r="D21" i="78"/>
  <c r="O21" i="78"/>
  <c r="N21" i="78" s="1"/>
  <c r="A21" i="78"/>
  <c r="C22" i="78"/>
  <c r="B22" i="78"/>
  <c r="G21" i="78"/>
  <c r="H21" i="78"/>
  <c r="F21" i="78"/>
  <c r="E21" i="78"/>
  <c r="A8" i="72"/>
  <c r="C9" i="72"/>
  <c r="D8" i="72"/>
  <c r="O8" i="72"/>
  <c r="N7" i="72"/>
  <c r="S7" i="72" s="1"/>
  <c r="T7" i="72"/>
  <c r="S8" i="68"/>
  <c r="S7" i="73"/>
  <c r="V7" i="73" s="1"/>
  <c r="O9" i="69"/>
  <c r="N9" i="69" s="1"/>
  <c r="U20" i="78"/>
  <c r="Q21" i="78"/>
  <c r="V18" i="78"/>
  <c r="S19" i="78"/>
  <c r="S7" i="69"/>
  <c r="V7" i="69" s="1"/>
  <c r="O9" i="74"/>
  <c r="N9" i="74" s="1"/>
  <c r="O8" i="73"/>
  <c r="N8" i="73" s="1"/>
  <c r="S8" i="73" s="1"/>
  <c r="T8" i="69"/>
  <c r="T8" i="68"/>
  <c r="T7" i="71"/>
  <c r="V7" i="71" s="1"/>
  <c r="O8" i="71"/>
  <c r="N8" i="71" s="1"/>
  <c r="S8" i="71" s="1"/>
  <c r="N10" i="70"/>
  <c r="V6" i="74"/>
  <c r="S7" i="74"/>
  <c r="V6" i="70"/>
  <c r="S7" i="70"/>
  <c r="Q11" i="70"/>
  <c r="U10" i="70"/>
  <c r="H10" i="70" s="1"/>
  <c r="Q11" i="72"/>
  <c r="U10" i="72"/>
  <c r="Q11" i="71"/>
  <c r="U10" i="71"/>
  <c r="Q7" i="31"/>
  <c r="Q5" i="31"/>
  <c r="D8" i="68"/>
  <c r="C9" i="68"/>
  <c r="O9" i="68" s="1"/>
  <c r="N9" i="68" s="1"/>
  <c r="A8" i="68"/>
  <c r="U10" i="69"/>
  <c r="Q11" i="69"/>
  <c r="G8" i="71"/>
  <c r="E8" i="71"/>
  <c r="F8" i="71"/>
  <c r="H8" i="71"/>
  <c r="B9" i="71"/>
  <c r="C9" i="71"/>
  <c r="D8" i="71"/>
  <c r="A8" i="71"/>
  <c r="U8" i="74"/>
  <c r="H8" i="74" s="1"/>
  <c r="Q9" i="74"/>
  <c r="U9" i="73"/>
  <c r="Q10" i="73"/>
  <c r="Q10" i="68"/>
  <c r="U9" i="68"/>
  <c r="H9" i="68" s="1"/>
  <c r="D9" i="69"/>
  <c r="A9" i="69"/>
  <c r="E9" i="69"/>
  <c r="B10" i="69"/>
  <c r="G9" i="69"/>
  <c r="C10" i="69"/>
  <c r="H9" i="69"/>
  <c r="F9" i="69"/>
  <c r="B11" i="72"/>
  <c r="F10" i="72"/>
  <c r="E10" i="72"/>
  <c r="G10" i="72"/>
  <c r="H10" i="72"/>
  <c r="H8" i="73"/>
  <c r="G8" i="73"/>
  <c r="E8" i="73"/>
  <c r="F8" i="73"/>
  <c r="B9" i="73"/>
  <c r="C9" i="73"/>
  <c r="D9" i="74"/>
  <c r="A9" i="74"/>
  <c r="B11" i="68"/>
  <c r="G10" i="68"/>
  <c r="F10" i="68"/>
  <c r="E10" i="68"/>
  <c r="B10" i="74"/>
  <c r="C10" i="74"/>
  <c r="E9" i="74"/>
  <c r="G9" i="74"/>
  <c r="F9" i="74"/>
  <c r="A8" i="73"/>
  <c r="D8" i="73"/>
  <c r="B11" i="70"/>
  <c r="C11" i="70"/>
  <c r="G10" i="70"/>
  <c r="F10" i="70"/>
  <c r="E10" i="70"/>
  <c r="A10" i="70"/>
  <c r="V8" i="68" l="1"/>
  <c r="V7" i="72"/>
  <c r="S9" i="68"/>
  <c r="N8" i="72"/>
  <c r="S8" i="72" s="1"/>
  <c r="T8" i="72"/>
  <c r="A22" i="78"/>
  <c r="O22" i="78"/>
  <c r="N22" i="78" s="1"/>
  <c r="D22" i="78"/>
  <c r="C10" i="72"/>
  <c r="O9" i="72"/>
  <c r="D9" i="72"/>
  <c r="A9" i="72"/>
  <c r="B23" i="78"/>
  <c r="C23" i="78"/>
  <c r="H22" i="78"/>
  <c r="F22" i="78"/>
  <c r="E22" i="78"/>
  <c r="G22" i="78"/>
  <c r="T21" i="78"/>
  <c r="O10" i="74"/>
  <c r="N10" i="74" s="1"/>
  <c r="T9" i="74"/>
  <c r="T9" i="69"/>
  <c r="V19" i="78"/>
  <c r="S20" i="78"/>
  <c r="U21" i="78"/>
  <c r="Q22" i="78"/>
  <c r="B6" i="52"/>
  <c r="N11" i="70"/>
  <c r="S8" i="69"/>
  <c r="T8" i="73"/>
  <c r="V8" i="73" s="1"/>
  <c r="T10" i="70"/>
  <c r="O10" i="69"/>
  <c r="N10" i="69" s="1"/>
  <c r="O9" i="71"/>
  <c r="N9" i="71" s="1"/>
  <c r="S9" i="71" s="1"/>
  <c r="V7" i="70"/>
  <c r="S8" i="70"/>
  <c r="T8" i="71"/>
  <c r="V8" i="71" s="1"/>
  <c r="T9" i="68"/>
  <c r="O9" i="73"/>
  <c r="N9" i="73" s="1"/>
  <c r="S9" i="73" s="1"/>
  <c r="V7" i="74"/>
  <c r="S8" i="74"/>
  <c r="U11" i="70"/>
  <c r="H11" i="70" s="1"/>
  <c r="Q12" i="70"/>
  <c r="U11" i="72"/>
  <c r="Q12" i="72"/>
  <c r="Q12" i="71"/>
  <c r="U11" i="71"/>
  <c r="R5" i="31"/>
  <c r="R7" i="31"/>
  <c r="C10" i="68"/>
  <c r="O10" i="68" s="1"/>
  <c r="N10" i="68" s="1"/>
  <c r="D9" i="68"/>
  <c r="A9" i="68"/>
  <c r="B7" i="52" s="1"/>
  <c r="D9" i="71"/>
  <c r="A9" i="71"/>
  <c r="B10" i="71"/>
  <c r="G9" i="71"/>
  <c r="E9" i="71"/>
  <c r="F9" i="71"/>
  <c r="C10" i="71"/>
  <c r="H9" i="71"/>
  <c r="Q10" i="74"/>
  <c r="U9" i="74"/>
  <c r="H9" i="74" s="1"/>
  <c r="U11" i="69"/>
  <c r="Q12" i="69"/>
  <c r="V9" i="68"/>
  <c r="U10" i="73"/>
  <c r="Q11" i="73"/>
  <c r="U10" i="68"/>
  <c r="H10" i="68" s="1"/>
  <c r="Q11" i="68"/>
  <c r="A10" i="74"/>
  <c r="D10" i="74"/>
  <c r="B11" i="74"/>
  <c r="C11" i="74"/>
  <c r="O11" i="74" s="1"/>
  <c r="N11" i="74" s="1"/>
  <c r="E10" i="74"/>
  <c r="F10" i="74"/>
  <c r="G10" i="74"/>
  <c r="C12" i="70"/>
  <c r="B12" i="70"/>
  <c r="G11" i="70"/>
  <c r="E11" i="70"/>
  <c r="F11" i="70"/>
  <c r="E11" i="68"/>
  <c r="B12" i="68"/>
  <c r="G11" i="68"/>
  <c r="F11" i="68"/>
  <c r="A11" i="70"/>
  <c r="D11" i="70"/>
  <c r="G11" i="72"/>
  <c r="B12" i="72"/>
  <c r="F11" i="72"/>
  <c r="E11" i="72"/>
  <c r="H11" i="72"/>
  <c r="A10" i="69"/>
  <c r="D10" i="69"/>
  <c r="D9" i="73"/>
  <c r="A9" i="73"/>
  <c r="B10" i="73"/>
  <c r="E9" i="73"/>
  <c r="C10" i="73"/>
  <c r="G9" i="73"/>
  <c r="F9" i="73"/>
  <c r="H9" i="73"/>
  <c r="F10" i="69"/>
  <c r="G10" i="69"/>
  <c r="H10" i="69"/>
  <c r="E10" i="69"/>
  <c r="C11" i="69"/>
  <c r="B11" i="69"/>
  <c r="S10" i="68" l="1"/>
  <c r="V8" i="72"/>
  <c r="T22" i="78"/>
  <c r="T10" i="74"/>
  <c r="T11" i="74" s="1"/>
  <c r="A23" i="78"/>
  <c r="O23" i="78"/>
  <c r="N23" i="78" s="1"/>
  <c r="D23" i="78"/>
  <c r="D10" i="72"/>
  <c r="A10" i="72"/>
  <c r="O10" i="72"/>
  <c r="C11" i="72"/>
  <c r="C24" i="78"/>
  <c r="B24" i="78"/>
  <c r="E23" i="78"/>
  <c r="F23" i="78"/>
  <c r="H23" i="78"/>
  <c r="G23" i="78"/>
  <c r="N9" i="72"/>
  <c r="S9" i="72" s="1"/>
  <c r="T9" i="72"/>
  <c r="O10" i="71"/>
  <c r="N10" i="71" s="1"/>
  <c r="S10" i="71" s="1"/>
  <c r="Q23" i="78"/>
  <c r="U22" i="78"/>
  <c r="V20" i="78"/>
  <c r="S21" i="78"/>
  <c r="T10" i="69"/>
  <c r="V8" i="69"/>
  <c r="S9" i="69"/>
  <c r="V9" i="69" s="1"/>
  <c r="T11" i="70"/>
  <c r="O10" i="73"/>
  <c r="N10" i="73" s="1"/>
  <c r="S10" i="73" s="1"/>
  <c r="T10" i="68"/>
  <c r="V10" i="68" s="1"/>
  <c r="N12" i="70"/>
  <c r="V8" i="74"/>
  <c r="S9" i="74"/>
  <c r="T9" i="71"/>
  <c r="V9" i="71" s="1"/>
  <c r="V8" i="70"/>
  <c r="S9" i="70"/>
  <c r="O11" i="69"/>
  <c r="N11" i="69" s="1"/>
  <c r="T9" i="73"/>
  <c r="V9" i="73" s="1"/>
  <c r="Q13" i="70"/>
  <c r="U12" i="70"/>
  <c r="H12" i="70" s="1"/>
  <c r="Q13" i="72"/>
  <c r="U12" i="72"/>
  <c r="Q13" i="71"/>
  <c r="U12" i="71"/>
  <c r="S7" i="31"/>
  <c r="S5" i="31"/>
  <c r="U12" i="69"/>
  <c r="Q13" i="69"/>
  <c r="D10" i="68"/>
  <c r="C11" i="68"/>
  <c r="O11" i="68" s="1"/>
  <c r="N11" i="68" s="1"/>
  <c r="A10" i="68"/>
  <c r="B8" i="52" s="1"/>
  <c r="Q11" i="74"/>
  <c r="U10" i="74"/>
  <c r="H10" i="74" s="1"/>
  <c r="D10" i="71"/>
  <c r="A10" i="71"/>
  <c r="E10" i="71"/>
  <c r="H10" i="71"/>
  <c r="B11" i="71"/>
  <c r="C11" i="71"/>
  <c r="G10" i="71"/>
  <c r="F10" i="71"/>
  <c r="U11" i="73"/>
  <c r="Q12" i="73"/>
  <c r="Q12" i="68"/>
  <c r="U11" i="68"/>
  <c r="H11" i="68" s="1"/>
  <c r="E11" i="69"/>
  <c r="F11" i="69"/>
  <c r="G11" i="69"/>
  <c r="H11" i="69"/>
  <c r="B12" i="69"/>
  <c r="C12" i="69"/>
  <c r="G12" i="68"/>
  <c r="E12" i="68"/>
  <c r="B13" i="68"/>
  <c r="F12" i="68"/>
  <c r="C13" i="70"/>
  <c r="B13" i="70"/>
  <c r="E12" i="70"/>
  <c r="F12" i="70"/>
  <c r="G12" i="70"/>
  <c r="A11" i="69"/>
  <c r="D11" i="69"/>
  <c r="A12" i="70"/>
  <c r="D12" i="70"/>
  <c r="D10" i="73"/>
  <c r="A10" i="73"/>
  <c r="A11" i="74"/>
  <c r="D11" i="74"/>
  <c r="E12" i="72"/>
  <c r="H12" i="72"/>
  <c r="F12" i="72"/>
  <c r="B13" i="72"/>
  <c r="G12" i="72"/>
  <c r="G10" i="73"/>
  <c r="E10" i="73"/>
  <c r="F10" i="73"/>
  <c r="H10" i="73"/>
  <c r="C11" i="73"/>
  <c r="B11" i="73"/>
  <c r="B12" i="74"/>
  <c r="C12" i="74"/>
  <c r="O12" i="74" s="1"/>
  <c r="N12" i="74" s="1"/>
  <c r="F11" i="74"/>
  <c r="E11" i="74"/>
  <c r="G11" i="74"/>
  <c r="S11" i="68" l="1"/>
  <c r="V9" i="72"/>
  <c r="N10" i="72"/>
  <c r="S10" i="72" s="1"/>
  <c r="T10" i="72"/>
  <c r="T10" i="71"/>
  <c r="V10" i="71" s="1"/>
  <c r="B25" i="78"/>
  <c r="C25" i="78"/>
  <c r="H24" i="78"/>
  <c r="F24" i="78"/>
  <c r="E24" i="78"/>
  <c r="G24" i="78"/>
  <c r="D24" i="78"/>
  <c r="O24" i="78"/>
  <c r="N24" i="78" s="1"/>
  <c r="A24" i="78"/>
  <c r="D11" i="72"/>
  <c r="A11" i="72"/>
  <c r="O11" i="72"/>
  <c r="C12" i="72"/>
  <c r="T23" i="78"/>
  <c r="V21" i="78"/>
  <c r="S22" i="78"/>
  <c r="Q24" i="78"/>
  <c r="U23" i="78"/>
  <c r="S10" i="69"/>
  <c r="O11" i="73"/>
  <c r="N11" i="73" s="1"/>
  <c r="S11" i="73" s="1"/>
  <c r="T10" i="73"/>
  <c r="V10" i="73" s="1"/>
  <c r="N13" i="70"/>
  <c r="T12" i="70"/>
  <c r="S10" i="74"/>
  <c r="V9" i="74"/>
  <c r="T11" i="68"/>
  <c r="V11" i="68" s="1"/>
  <c r="O12" i="69"/>
  <c r="N12" i="69" s="1"/>
  <c r="O11" i="71"/>
  <c r="N11" i="71" s="1"/>
  <c r="S11" i="71" s="1"/>
  <c r="V9" i="70"/>
  <c r="S10" i="70"/>
  <c r="T12" i="74"/>
  <c r="T11" i="69"/>
  <c r="Q14" i="70"/>
  <c r="U13" i="70"/>
  <c r="H13" i="70" s="1"/>
  <c r="Q14" i="72"/>
  <c r="U13" i="72"/>
  <c r="Q14" i="71"/>
  <c r="U13" i="71"/>
  <c r="A13" i="70"/>
  <c r="T7" i="31"/>
  <c r="T5" i="31"/>
  <c r="Q12" i="74"/>
  <c r="U11" i="74"/>
  <c r="H11" i="74" s="1"/>
  <c r="Q14" i="69"/>
  <c r="U13" i="69"/>
  <c r="A11" i="71"/>
  <c r="D11" i="71"/>
  <c r="F11" i="71"/>
  <c r="G11" i="71"/>
  <c r="C12" i="71"/>
  <c r="B12" i="71"/>
  <c r="E11" i="71"/>
  <c r="H11" i="71"/>
  <c r="D11" i="68"/>
  <c r="C12" i="68"/>
  <c r="O12" i="68" s="1"/>
  <c r="N12" i="68" s="1"/>
  <c r="S12" i="68" s="1"/>
  <c r="A11" i="68"/>
  <c r="B9" i="52" s="1"/>
  <c r="Q13" i="73"/>
  <c r="U12" i="73"/>
  <c r="U12" i="68"/>
  <c r="H12" i="68" s="1"/>
  <c r="Q13" i="68"/>
  <c r="D11" i="73"/>
  <c r="A11" i="73"/>
  <c r="E13" i="72"/>
  <c r="H13" i="72"/>
  <c r="B14" i="72"/>
  <c r="G13" i="72"/>
  <c r="F13" i="72"/>
  <c r="D12" i="74"/>
  <c r="A12" i="74"/>
  <c r="B13" i="74"/>
  <c r="C13" i="74"/>
  <c r="G12" i="74"/>
  <c r="E12" i="74"/>
  <c r="F12" i="74"/>
  <c r="H11" i="73"/>
  <c r="G11" i="73"/>
  <c r="E11" i="73"/>
  <c r="B12" i="73"/>
  <c r="F11" i="73"/>
  <c r="C12" i="73"/>
  <c r="B14" i="68"/>
  <c r="E13" i="68"/>
  <c r="F13" i="68"/>
  <c r="G13" i="68"/>
  <c r="D12" i="69"/>
  <c r="A12" i="69"/>
  <c r="D13" i="70"/>
  <c r="C14" i="70"/>
  <c r="B14" i="70"/>
  <c r="F13" i="70"/>
  <c r="E13" i="70"/>
  <c r="G13" i="70"/>
  <c r="C13" i="69"/>
  <c r="G12" i="69"/>
  <c r="E12" i="69"/>
  <c r="B13" i="69"/>
  <c r="F12" i="69"/>
  <c r="H12" i="69"/>
  <c r="V10" i="72" l="1"/>
  <c r="D12" i="72"/>
  <c r="C13" i="72"/>
  <c r="A12" i="72"/>
  <c r="O12" i="72"/>
  <c r="A25" i="78"/>
  <c r="O25" i="78"/>
  <c r="N25" i="78" s="1"/>
  <c r="D25" i="78"/>
  <c r="N11" i="72"/>
  <c r="S11" i="72" s="1"/>
  <c r="T11" i="72"/>
  <c r="B26" i="78"/>
  <c r="C26" i="78"/>
  <c r="F25" i="78"/>
  <c r="E25" i="78"/>
  <c r="H25" i="78"/>
  <c r="G25" i="78"/>
  <c r="O13" i="69"/>
  <c r="N13" i="69" s="1"/>
  <c r="T24" i="78"/>
  <c r="U24" i="78"/>
  <c r="Q25" i="78"/>
  <c r="V22" i="78"/>
  <c r="S23" i="78"/>
  <c r="V10" i="69"/>
  <c r="S11" i="69"/>
  <c r="V11" i="69" s="1"/>
  <c r="O13" i="74"/>
  <c r="N13" i="74" s="1"/>
  <c r="T11" i="73"/>
  <c r="V11" i="73" s="1"/>
  <c r="N14" i="70"/>
  <c r="T12" i="69"/>
  <c r="S11" i="74"/>
  <c r="V10" i="74"/>
  <c r="O12" i="71"/>
  <c r="N12" i="71" s="1"/>
  <c r="S12" i="71" s="1"/>
  <c r="T11" i="71"/>
  <c r="V11" i="71" s="1"/>
  <c r="T13" i="70"/>
  <c r="O12" i="73"/>
  <c r="N12" i="73" s="1"/>
  <c r="S12" i="73" s="1"/>
  <c r="T12" i="68"/>
  <c r="V10" i="70"/>
  <c r="S11" i="70"/>
  <c r="U14" i="70"/>
  <c r="H14" i="70" s="1"/>
  <c r="Q15" i="70"/>
  <c r="U14" i="72"/>
  <c r="Q15" i="72"/>
  <c r="U14" i="71"/>
  <c r="Q15" i="71"/>
  <c r="U5" i="31"/>
  <c r="U7" i="31"/>
  <c r="D12" i="68"/>
  <c r="A12" i="68"/>
  <c r="B10" i="52" s="1"/>
  <c r="C13" i="68"/>
  <c r="O13" i="68" s="1"/>
  <c r="N13" i="68" s="1"/>
  <c r="S13" i="68" s="1"/>
  <c r="E12" i="71"/>
  <c r="H12" i="71"/>
  <c r="C13" i="71"/>
  <c r="G12" i="71"/>
  <c r="B13" i="71"/>
  <c r="F12" i="71"/>
  <c r="D12" i="71"/>
  <c r="A12" i="71"/>
  <c r="U14" i="69"/>
  <c r="Q15" i="69"/>
  <c r="Q13" i="74"/>
  <c r="U12" i="74"/>
  <c r="H12" i="74" s="1"/>
  <c r="V12" i="68"/>
  <c r="U13" i="73"/>
  <c r="Q14" i="73"/>
  <c r="U13" i="68"/>
  <c r="H13" i="68" s="1"/>
  <c r="Q14" i="68"/>
  <c r="H13" i="69"/>
  <c r="E13" i="69"/>
  <c r="F13" i="69"/>
  <c r="G13" i="69"/>
  <c r="C14" i="69"/>
  <c r="B14" i="69"/>
  <c r="C15" i="70"/>
  <c r="B15" i="70"/>
  <c r="F14" i="70"/>
  <c r="G14" i="70"/>
  <c r="E14" i="70"/>
  <c r="A14" i="70"/>
  <c r="D14" i="70"/>
  <c r="B15" i="68"/>
  <c r="E14" i="68"/>
  <c r="F14" i="68"/>
  <c r="G14" i="68"/>
  <c r="H12" i="73"/>
  <c r="G12" i="73"/>
  <c r="E12" i="73"/>
  <c r="F12" i="73"/>
  <c r="C13" i="73"/>
  <c r="B13" i="73"/>
  <c r="A13" i="74"/>
  <c r="D13" i="74"/>
  <c r="D12" i="73"/>
  <c r="A12" i="73"/>
  <c r="A13" i="69"/>
  <c r="D13" i="69"/>
  <c r="B14" i="74"/>
  <c r="C14" i="74"/>
  <c r="F13" i="74"/>
  <c r="E13" i="74"/>
  <c r="G13" i="74"/>
  <c r="F14" i="72"/>
  <c r="B15" i="72"/>
  <c r="E14" i="72"/>
  <c r="H14" i="72"/>
  <c r="G14" i="72"/>
  <c r="V11" i="72" l="1"/>
  <c r="O26" i="78"/>
  <c r="N26" i="78" s="1"/>
  <c r="A26" i="78"/>
  <c r="D26" i="78"/>
  <c r="N12" i="72"/>
  <c r="S12" i="72" s="1"/>
  <c r="T12" i="72"/>
  <c r="B27" i="78"/>
  <c r="C27" i="78"/>
  <c r="G26" i="78"/>
  <c r="H26" i="78"/>
  <c r="F26" i="78"/>
  <c r="E26" i="78"/>
  <c r="O13" i="72"/>
  <c r="C14" i="72"/>
  <c r="D13" i="72"/>
  <c r="A13" i="72"/>
  <c r="T13" i="69"/>
  <c r="T25" i="78"/>
  <c r="S12" i="69"/>
  <c r="V12" i="69" s="1"/>
  <c r="V23" i="78"/>
  <c r="S24" i="78"/>
  <c r="U25" i="78"/>
  <c r="Q26" i="78"/>
  <c r="T13" i="74"/>
  <c r="T14" i="70"/>
  <c r="O14" i="69"/>
  <c r="N14" i="69" s="1"/>
  <c r="O13" i="73"/>
  <c r="N13" i="73" s="1"/>
  <c r="S13" i="73" s="1"/>
  <c r="N15" i="70"/>
  <c r="O13" i="71"/>
  <c r="N13" i="71" s="1"/>
  <c r="S13" i="71" s="1"/>
  <c r="V11" i="70"/>
  <c r="S12" i="70"/>
  <c r="T13" i="68"/>
  <c r="V13" i="68" s="1"/>
  <c r="O14" i="74"/>
  <c r="N14" i="74" s="1"/>
  <c r="T12" i="71"/>
  <c r="V12" i="71" s="1"/>
  <c r="S12" i="74"/>
  <c r="V11" i="74"/>
  <c r="T12" i="73"/>
  <c r="V12" i="73" s="1"/>
  <c r="Q16" i="70"/>
  <c r="U15" i="70"/>
  <c r="H15" i="70" s="1"/>
  <c r="U15" i="71"/>
  <c r="Q16" i="71"/>
  <c r="Q16" i="72"/>
  <c r="U15" i="72"/>
  <c r="V7" i="31"/>
  <c r="V5" i="31"/>
  <c r="Q14" i="74"/>
  <c r="U13" i="74"/>
  <c r="H13" i="74" s="1"/>
  <c r="D13" i="71"/>
  <c r="A13" i="71"/>
  <c r="Q16" i="69"/>
  <c r="U15" i="69"/>
  <c r="G13" i="71"/>
  <c r="B14" i="71"/>
  <c r="F13" i="71"/>
  <c r="C14" i="71"/>
  <c r="H13" i="71"/>
  <c r="E13" i="71"/>
  <c r="D13" i="68"/>
  <c r="C14" i="68"/>
  <c r="O14" i="68" s="1"/>
  <c r="N14" i="68" s="1"/>
  <c r="S14" i="68" s="1"/>
  <c r="A13" i="68"/>
  <c r="B11" i="52" s="1"/>
  <c r="Q15" i="73"/>
  <c r="U14" i="73"/>
  <c r="U14" i="68"/>
  <c r="H14" i="68" s="1"/>
  <c r="Q15" i="68"/>
  <c r="A13" i="73"/>
  <c r="D13" i="73"/>
  <c r="C16" i="70"/>
  <c r="B16" i="70"/>
  <c r="G15" i="70"/>
  <c r="E15" i="70"/>
  <c r="F15" i="70"/>
  <c r="A14" i="74"/>
  <c r="D14" i="74"/>
  <c r="A15" i="70"/>
  <c r="D15" i="70"/>
  <c r="B15" i="74"/>
  <c r="C15" i="74"/>
  <c r="E14" i="74"/>
  <c r="G14" i="74"/>
  <c r="F14" i="74"/>
  <c r="G14" i="69"/>
  <c r="F14" i="69"/>
  <c r="H14" i="69"/>
  <c r="E14" i="69"/>
  <c r="C15" i="69"/>
  <c r="B15" i="69"/>
  <c r="B16" i="72"/>
  <c r="G15" i="72"/>
  <c r="H15" i="72"/>
  <c r="E15" i="72"/>
  <c r="F15" i="72"/>
  <c r="G13" i="73"/>
  <c r="B14" i="73"/>
  <c r="F13" i="73"/>
  <c r="C14" i="73"/>
  <c r="E13" i="73"/>
  <c r="H13" i="73"/>
  <c r="G15" i="68"/>
  <c r="F15" i="68"/>
  <c r="B16" i="68"/>
  <c r="E15" i="68"/>
  <c r="D14" i="69"/>
  <c r="A14" i="69"/>
  <c r="S13" i="69" l="1"/>
  <c r="V13" i="69" s="1"/>
  <c r="T26" i="78"/>
  <c r="V12" i="72"/>
  <c r="B28" i="78"/>
  <c r="C28" i="78"/>
  <c r="H27" i="78"/>
  <c r="F27" i="78"/>
  <c r="G27" i="78"/>
  <c r="E27" i="78"/>
  <c r="O14" i="72"/>
  <c r="C15" i="72"/>
  <c r="A14" i="72"/>
  <c r="D14" i="72"/>
  <c r="D27" i="78"/>
  <c r="A27" i="78"/>
  <c r="O27" i="78"/>
  <c r="N27" i="78" s="1"/>
  <c r="N13" i="72"/>
  <c r="S13" i="72" s="1"/>
  <c r="T13" i="72"/>
  <c r="S14" i="69"/>
  <c r="V14" i="69" s="1"/>
  <c r="O14" i="73"/>
  <c r="N14" i="73" s="1"/>
  <c r="S14" i="73" s="1"/>
  <c r="U26" i="78"/>
  <c r="Q27" i="78"/>
  <c r="V24" i="78"/>
  <c r="S25" i="78"/>
  <c r="N16" i="70"/>
  <c r="T14" i="69"/>
  <c r="O14" i="71"/>
  <c r="N14" i="71" s="1"/>
  <c r="S14" i="71" s="1"/>
  <c r="T13" i="73"/>
  <c r="V13" i="73" s="1"/>
  <c r="T14" i="68"/>
  <c r="V14" i="68" s="1"/>
  <c r="T14" i="74"/>
  <c r="V12" i="74"/>
  <c r="S13" i="74"/>
  <c r="V13" i="74" s="1"/>
  <c r="S13" i="70"/>
  <c r="V12" i="70"/>
  <c r="O15" i="69"/>
  <c r="N15" i="69" s="1"/>
  <c r="O15" i="74"/>
  <c r="N15" i="74" s="1"/>
  <c r="T15" i="70"/>
  <c r="T13" i="71"/>
  <c r="V13" i="71" s="1"/>
  <c r="Q17" i="70"/>
  <c r="U16" i="70"/>
  <c r="H16" i="70" s="1"/>
  <c r="U16" i="71"/>
  <c r="Q17" i="71"/>
  <c r="U16" i="72"/>
  <c r="Q17" i="72"/>
  <c r="W7" i="31"/>
  <c r="W5" i="31"/>
  <c r="F14" i="71"/>
  <c r="H14" i="71"/>
  <c r="G14" i="71"/>
  <c r="C15" i="71"/>
  <c r="B15" i="71"/>
  <c r="E14" i="71"/>
  <c r="D14" i="68"/>
  <c r="A14" i="68"/>
  <c r="B12" i="52" s="1"/>
  <c r="C15" i="68"/>
  <c r="O15" i="68" s="1"/>
  <c r="N15" i="68" s="1"/>
  <c r="S15" i="68" s="1"/>
  <c r="D14" i="71"/>
  <c r="A14" i="71"/>
  <c r="U16" i="69"/>
  <c r="Q17" i="69"/>
  <c r="Q15" i="74"/>
  <c r="U14" i="74"/>
  <c r="H14" i="74" s="1"/>
  <c r="Q16" i="73"/>
  <c r="U15" i="73"/>
  <c r="U15" i="68"/>
  <c r="H15" i="68" s="1"/>
  <c r="Q16" i="68"/>
  <c r="G16" i="72"/>
  <c r="B17" i="72"/>
  <c r="E16" i="72"/>
  <c r="H16" i="72"/>
  <c r="F16" i="72"/>
  <c r="A15" i="69"/>
  <c r="D15" i="69"/>
  <c r="G14" i="73"/>
  <c r="F14" i="73"/>
  <c r="H14" i="73"/>
  <c r="E14" i="73"/>
  <c r="C15" i="73"/>
  <c r="B15" i="73"/>
  <c r="B17" i="68"/>
  <c r="F16" i="68"/>
  <c r="G16" i="68"/>
  <c r="E16" i="68"/>
  <c r="D14" i="73"/>
  <c r="A14" i="73"/>
  <c r="G15" i="69"/>
  <c r="F15" i="69"/>
  <c r="H15" i="69"/>
  <c r="B16" i="69"/>
  <c r="E15" i="69"/>
  <c r="C16" i="69"/>
  <c r="B16" i="74"/>
  <c r="C16" i="74"/>
  <c r="F15" i="74"/>
  <c r="E15" i="74"/>
  <c r="G15" i="74"/>
  <c r="A16" i="70"/>
  <c r="D16" i="70"/>
  <c r="D15" i="74"/>
  <c r="A15" i="74"/>
  <c r="B17" i="70"/>
  <c r="C17" i="70"/>
  <c r="F16" i="70"/>
  <c r="E16" i="70"/>
  <c r="G16" i="70"/>
  <c r="V13" i="72" l="1"/>
  <c r="T27" i="78"/>
  <c r="N14" i="72"/>
  <c r="S14" i="72" s="1"/>
  <c r="T14" i="72"/>
  <c r="A28" i="78"/>
  <c r="O28" i="78"/>
  <c r="N28" i="78" s="1"/>
  <c r="D28" i="78"/>
  <c r="C16" i="72"/>
  <c r="D15" i="72"/>
  <c r="O15" i="72"/>
  <c r="A15" i="72"/>
  <c r="E28" i="78"/>
  <c r="H28" i="78"/>
  <c r="F28" i="78"/>
  <c r="G28" i="78"/>
  <c r="O16" i="74"/>
  <c r="N16" i="74" s="1"/>
  <c r="T14" i="73"/>
  <c r="V14" i="73" s="1"/>
  <c r="N17" i="70"/>
  <c r="S15" i="69"/>
  <c r="V25" i="78"/>
  <c r="S26" i="78"/>
  <c r="U27" i="78"/>
  <c r="Q28" i="78"/>
  <c r="O16" i="69"/>
  <c r="N16" i="69" s="1"/>
  <c r="T16" i="70"/>
  <c r="O15" i="71"/>
  <c r="N15" i="71" s="1"/>
  <c r="S15" i="71" s="1"/>
  <c r="O15" i="73"/>
  <c r="N15" i="73" s="1"/>
  <c r="S15" i="73" s="1"/>
  <c r="T14" i="71"/>
  <c r="V14" i="71" s="1"/>
  <c r="T15" i="74"/>
  <c r="T15" i="69"/>
  <c r="V13" i="70"/>
  <c r="S14" i="70"/>
  <c r="T15" i="68"/>
  <c r="V15" i="68" s="1"/>
  <c r="S14" i="74"/>
  <c r="V14" i="74" s="1"/>
  <c r="U17" i="70"/>
  <c r="H17" i="70" s="1"/>
  <c r="Q18" i="70"/>
  <c r="U17" i="72"/>
  <c r="Q18" i="72"/>
  <c r="U17" i="71"/>
  <c r="Q18" i="71"/>
  <c r="X5" i="31"/>
  <c r="X7" i="31"/>
  <c r="A17" i="70"/>
  <c r="U17" i="69"/>
  <c r="Q18" i="69"/>
  <c r="B16" i="71"/>
  <c r="E15" i="71"/>
  <c r="F15" i="71"/>
  <c r="H15" i="71"/>
  <c r="C16" i="71"/>
  <c r="G15" i="71"/>
  <c r="A15" i="71"/>
  <c r="D15" i="71"/>
  <c r="D15" i="68"/>
  <c r="A15" i="68"/>
  <c r="B13" i="52" s="1"/>
  <c r="C16" i="68"/>
  <c r="O16" i="68" s="1"/>
  <c r="N16" i="68" s="1"/>
  <c r="S16" i="68" s="1"/>
  <c r="U15" i="74"/>
  <c r="H15" i="74" s="1"/>
  <c r="Q16" i="74"/>
  <c r="Q17" i="73"/>
  <c r="U16" i="73"/>
  <c r="Q17" i="68"/>
  <c r="U16" i="68"/>
  <c r="H16" i="68" s="1"/>
  <c r="D17" i="70"/>
  <c r="B18" i="70"/>
  <c r="C18" i="70"/>
  <c r="E17" i="70"/>
  <c r="F17" i="70"/>
  <c r="G17" i="70"/>
  <c r="D16" i="74"/>
  <c r="A16" i="74"/>
  <c r="A16" i="69"/>
  <c r="D16" i="69"/>
  <c r="F15" i="73"/>
  <c r="C16" i="73"/>
  <c r="B16" i="73"/>
  <c r="G15" i="73"/>
  <c r="E15" i="73"/>
  <c r="H15" i="73"/>
  <c r="H17" i="72"/>
  <c r="G17" i="72"/>
  <c r="B18" i="72"/>
  <c r="F17" i="72"/>
  <c r="E17" i="72"/>
  <c r="E16" i="74"/>
  <c r="C17" i="74"/>
  <c r="B17" i="74"/>
  <c r="G16" i="74"/>
  <c r="F16" i="74"/>
  <c r="F17" i="68"/>
  <c r="B18" i="68"/>
  <c r="G17" i="68"/>
  <c r="E17" i="68"/>
  <c r="A15" i="73"/>
  <c r="D15" i="73"/>
  <c r="E16" i="69"/>
  <c r="H16" i="69"/>
  <c r="B17" i="69"/>
  <c r="C17" i="69"/>
  <c r="F16" i="69"/>
  <c r="G16" i="69"/>
  <c r="V14" i="72" l="1"/>
  <c r="V15" i="69"/>
  <c r="A16" i="72"/>
  <c r="O16" i="72"/>
  <c r="D16" i="72"/>
  <c r="C17" i="72"/>
  <c r="N15" i="72"/>
  <c r="S15" i="72" s="1"/>
  <c r="T15" i="72"/>
  <c r="T28" i="78"/>
  <c r="T29" i="78" s="1"/>
  <c r="T30" i="78" s="1"/>
  <c r="T31" i="78" s="1"/>
  <c r="T32" i="78" s="1"/>
  <c r="T33" i="78" s="1"/>
  <c r="T34" i="78" s="1"/>
  <c r="T35" i="78" s="1"/>
  <c r="T36" i="78" s="1"/>
  <c r="T37" i="78" s="1"/>
  <c r="T38" i="78" s="1"/>
  <c r="T39" i="78" s="1"/>
  <c r="T40" i="78" s="1"/>
  <c r="T41" i="78" s="1"/>
  <c r="T42" i="78" s="1"/>
  <c r="T43" i="78" s="1"/>
  <c r="T44" i="78" s="1"/>
  <c r="T45" i="78" s="1"/>
  <c r="T46" i="78" s="1"/>
  <c r="T47" i="78" s="1"/>
  <c r="T48" i="78" s="1"/>
  <c r="T49" i="78" s="1"/>
  <c r="T50" i="78" s="1"/>
  <c r="T51" i="78" s="1"/>
  <c r="T52" i="78" s="1"/>
  <c r="T53" i="78" s="1"/>
  <c r="T54" i="78" s="1"/>
  <c r="T55" i="78" s="1"/>
  <c r="T56" i="78" s="1"/>
  <c r="T57" i="78" s="1"/>
  <c r="T58" i="78" s="1"/>
  <c r="T59" i="78" s="1"/>
  <c r="T60" i="78" s="1"/>
  <c r="T61" i="78" s="1"/>
  <c r="T62" i="78" s="1"/>
  <c r="T63" i="78" s="1"/>
  <c r="T16" i="74"/>
  <c r="T17" i="70"/>
  <c r="S16" i="69"/>
  <c r="O17" i="69"/>
  <c r="N17" i="69" s="1"/>
  <c r="S17" i="69" s="1"/>
  <c r="O17" i="74"/>
  <c r="N17" i="74" s="1"/>
  <c r="U28" i="78"/>
  <c r="Q29" i="78"/>
  <c r="V26" i="78"/>
  <c r="S27" i="78"/>
  <c r="O16" i="71"/>
  <c r="N16" i="71" s="1"/>
  <c r="S16" i="71" s="1"/>
  <c r="T16" i="69"/>
  <c r="T15" i="71"/>
  <c r="V15" i="71" s="1"/>
  <c r="O16" i="73"/>
  <c r="N16" i="73" s="1"/>
  <c r="S16" i="73" s="1"/>
  <c r="T15" i="73"/>
  <c r="V15" i="73" s="1"/>
  <c r="N18" i="70"/>
  <c r="V14" i="70"/>
  <c r="S15" i="70"/>
  <c r="T16" i="68"/>
  <c r="S15" i="74"/>
  <c r="Q19" i="70"/>
  <c r="U18" i="70"/>
  <c r="H18" i="70" s="1"/>
  <c r="Q19" i="71"/>
  <c r="U18" i="71"/>
  <c r="U18" i="72"/>
  <c r="Q19" i="72"/>
  <c r="Y5" i="31"/>
  <c r="Y7" i="31"/>
  <c r="Q17" i="74"/>
  <c r="U16" i="74"/>
  <c r="H16" i="74" s="1"/>
  <c r="A16" i="71"/>
  <c r="D16" i="71"/>
  <c r="C17" i="71"/>
  <c r="F16" i="71"/>
  <c r="E16" i="71"/>
  <c r="G16" i="71"/>
  <c r="B17" i="71"/>
  <c r="H16" i="71"/>
  <c r="U18" i="69"/>
  <c r="Q19" i="69"/>
  <c r="D16" i="68"/>
  <c r="C17" i="68"/>
  <c r="O17" i="68" s="1"/>
  <c r="N17" i="68" s="1"/>
  <c r="S17" i="68" s="1"/>
  <c r="A16" i="68"/>
  <c r="B14" i="52" s="1"/>
  <c r="V16" i="68"/>
  <c r="Q18" i="73"/>
  <c r="U17" i="73"/>
  <c r="Q18" i="68"/>
  <c r="U17" i="68"/>
  <c r="H17" i="68" s="1"/>
  <c r="D17" i="69"/>
  <c r="A17" i="69"/>
  <c r="G18" i="68"/>
  <c r="F18" i="68"/>
  <c r="B19" i="68"/>
  <c r="E18" i="68"/>
  <c r="D16" i="73"/>
  <c r="G17" i="69"/>
  <c r="F17" i="69"/>
  <c r="E17" i="69"/>
  <c r="H17" i="69"/>
  <c r="B18" i="69"/>
  <c r="C18" i="69"/>
  <c r="G18" i="72"/>
  <c r="F18" i="72"/>
  <c r="E18" i="72"/>
  <c r="H18" i="72"/>
  <c r="B19" i="72"/>
  <c r="A18" i="70"/>
  <c r="D18" i="70"/>
  <c r="B18" i="74"/>
  <c r="C18" i="74"/>
  <c r="E17" i="74"/>
  <c r="F17" i="74"/>
  <c r="G17" i="74"/>
  <c r="B19" i="70"/>
  <c r="C19" i="70"/>
  <c r="F18" i="70"/>
  <c r="E18" i="70"/>
  <c r="G18" i="70"/>
  <c r="A17" i="74"/>
  <c r="D17" i="74"/>
  <c r="A16" i="73"/>
  <c r="G16" i="73"/>
  <c r="B17" i="73"/>
  <c r="C17" i="73"/>
  <c r="F16" i="73"/>
  <c r="H16" i="73"/>
  <c r="E16" i="73"/>
  <c r="V15" i="72" l="1"/>
  <c r="V16" i="69"/>
  <c r="N16" i="72"/>
  <c r="S16" i="72" s="1"/>
  <c r="T16" i="72"/>
  <c r="O17" i="72"/>
  <c r="D17" i="72"/>
  <c r="C18" i="72"/>
  <c r="A17" i="72"/>
  <c r="T17" i="74"/>
  <c r="N19" i="70"/>
  <c r="T17" i="69"/>
  <c r="V17" i="69" s="1"/>
  <c r="O18" i="74"/>
  <c r="N18" i="74" s="1"/>
  <c r="V27" i="78"/>
  <c r="S28" i="78"/>
  <c r="Q30" i="78"/>
  <c r="U29" i="78"/>
  <c r="T16" i="71"/>
  <c r="V16" i="71" s="1"/>
  <c r="O18" i="69"/>
  <c r="N18" i="69" s="1"/>
  <c r="S18" i="69" s="1"/>
  <c r="T16" i="73"/>
  <c r="V16" i="73" s="1"/>
  <c r="O17" i="73"/>
  <c r="N17" i="73" s="1"/>
  <c r="S17" i="73" s="1"/>
  <c r="V15" i="74"/>
  <c r="S16" i="74"/>
  <c r="T18" i="70"/>
  <c r="O17" i="71"/>
  <c r="N17" i="71" s="1"/>
  <c r="S17" i="71" s="1"/>
  <c r="V15" i="70"/>
  <c r="S16" i="70"/>
  <c r="T17" i="68"/>
  <c r="V17" i="68" s="1"/>
  <c r="U19" i="70"/>
  <c r="H19" i="70" s="1"/>
  <c r="Q20" i="70"/>
  <c r="U19" i="72"/>
  <c r="Q20" i="72"/>
  <c r="Q20" i="71"/>
  <c r="U19" i="71"/>
  <c r="Z5" i="31"/>
  <c r="Z7" i="31"/>
  <c r="D17" i="68"/>
  <c r="A17" i="68"/>
  <c r="B15" i="52" s="1"/>
  <c r="C18" i="68"/>
  <c r="O18" i="68" s="1"/>
  <c r="N18" i="68" s="1"/>
  <c r="S18" i="68" s="1"/>
  <c r="Q20" i="69"/>
  <c r="U19" i="69"/>
  <c r="B18" i="71"/>
  <c r="H17" i="71"/>
  <c r="F17" i="71"/>
  <c r="C18" i="71"/>
  <c r="G17" i="71"/>
  <c r="E17" i="71"/>
  <c r="A17" i="71"/>
  <c r="D17" i="71"/>
  <c r="U17" i="74"/>
  <c r="H17" i="74" s="1"/>
  <c r="Q18" i="74"/>
  <c r="Q19" i="73"/>
  <c r="U18" i="73"/>
  <c r="U18" i="68"/>
  <c r="H18" i="68" s="1"/>
  <c r="Q19" i="68"/>
  <c r="B19" i="74"/>
  <c r="C19" i="74"/>
  <c r="G18" i="74"/>
  <c r="E18" i="74"/>
  <c r="F18" i="74"/>
  <c r="A18" i="74"/>
  <c r="D18" i="74"/>
  <c r="A17" i="73"/>
  <c r="D17" i="73"/>
  <c r="A19" i="70"/>
  <c r="D19" i="70"/>
  <c r="F19" i="72"/>
  <c r="B20" i="72"/>
  <c r="G19" i="72"/>
  <c r="E19" i="72"/>
  <c r="H19" i="72"/>
  <c r="A18" i="69"/>
  <c r="G17" i="73"/>
  <c r="C18" i="73"/>
  <c r="F17" i="73"/>
  <c r="H17" i="73"/>
  <c r="B18" i="73"/>
  <c r="E17" i="73"/>
  <c r="F19" i="70"/>
  <c r="C20" i="70"/>
  <c r="E19" i="70"/>
  <c r="B20" i="70"/>
  <c r="G19" i="70"/>
  <c r="D18" i="69"/>
  <c r="E18" i="69"/>
  <c r="F18" i="69"/>
  <c r="G18" i="69"/>
  <c r="H18" i="69"/>
  <c r="B19" i="69"/>
  <c r="C19" i="69"/>
  <c r="B20" i="68"/>
  <c r="E19" i="68"/>
  <c r="F19" i="68"/>
  <c r="G19" i="68"/>
  <c r="V16" i="72" l="1"/>
  <c r="N17" i="72"/>
  <c r="S17" i="72" s="1"/>
  <c r="T17" i="72"/>
  <c r="T19" i="70"/>
  <c r="O18" i="72"/>
  <c r="D18" i="72"/>
  <c r="A18" i="72"/>
  <c r="C19" i="72"/>
  <c r="T18" i="74"/>
  <c r="Q31" i="78"/>
  <c r="U30" i="78"/>
  <c r="V28" i="78"/>
  <c r="S29" i="78"/>
  <c r="N20" i="70"/>
  <c r="O19" i="74"/>
  <c r="N19" i="74" s="1"/>
  <c r="T18" i="69"/>
  <c r="V18" i="69" s="1"/>
  <c r="S17" i="70"/>
  <c r="V16" i="70"/>
  <c r="O18" i="73"/>
  <c r="N18" i="73" s="1"/>
  <c r="S18" i="73" s="1"/>
  <c r="O18" i="71"/>
  <c r="N18" i="71" s="1"/>
  <c r="S18" i="71" s="1"/>
  <c r="T17" i="71"/>
  <c r="V17" i="71" s="1"/>
  <c r="O19" i="69"/>
  <c r="N19" i="69" s="1"/>
  <c r="S19" i="69" s="1"/>
  <c r="T17" i="73"/>
  <c r="V17" i="73" s="1"/>
  <c r="T18" i="68"/>
  <c r="V18" i="68" s="1"/>
  <c r="S17" i="74"/>
  <c r="V16" i="74"/>
  <c r="U20" i="70"/>
  <c r="H20" i="70" s="1"/>
  <c r="Q21" i="70"/>
  <c r="U20" i="71"/>
  <c r="Q21" i="71"/>
  <c r="Q21" i="72"/>
  <c r="U20" i="72"/>
  <c r="AA7" i="31"/>
  <c r="AA5" i="31"/>
  <c r="B19" i="71"/>
  <c r="C19" i="71"/>
  <c r="E18" i="71"/>
  <c r="G18" i="71"/>
  <c r="H18" i="71"/>
  <c r="F18" i="71"/>
  <c r="U20" i="69"/>
  <c r="Q21" i="69"/>
  <c r="A18" i="71"/>
  <c r="D18" i="71"/>
  <c r="C19" i="68"/>
  <c r="O19" i="68" s="1"/>
  <c r="N19" i="68" s="1"/>
  <c r="S19" i="68" s="1"/>
  <c r="D18" i="68"/>
  <c r="A18" i="68"/>
  <c r="B16" i="52" s="1"/>
  <c r="Q19" i="74"/>
  <c r="U18" i="74"/>
  <c r="H18" i="74" s="1"/>
  <c r="U19" i="73"/>
  <c r="Q20" i="73"/>
  <c r="Q20" i="68"/>
  <c r="U19" i="68"/>
  <c r="H19" i="68" s="1"/>
  <c r="A19" i="69"/>
  <c r="D19" i="69"/>
  <c r="F19" i="69"/>
  <c r="H19" i="69"/>
  <c r="E19" i="69"/>
  <c r="C20" i="69"/>
  <c r="G19" i="69"/>
  <c r="B20" i="69"/>
  <c r="B21" i="70"/>
  <c r="C21" i="70"/>
  <c r="E20" i="70"/>
  <c r="G20" i="70"/>
  <c r="F20" i="70"/>
  <c r="D18" i="73"/>
  <c r="A18" i="73"/>
  <c r="D19" i="74"/>
  <c r="A19" i="74"/>
  <c r="B21" i="68"/>
  <c r="F20" i="68"/>
  <c r="G20" i="68"/>
  <c r="E20" i="68"/>
  <c r="B19" i="73"/>
  <c r="F18" i="73"/>
  <c r="H18" i="73"/>
  <c r="C19" i="73"/>
  <c r="E18" i="73"/>
  <c r="G18" i="73"/>
  <c r="C20" i="74"/>
  <c r="B20" i="74"/>
  <c r="F19" i="74"/>
  <c r="G19" i="74"/>
  <c r="E19" i="74"/>
  <c r="A20" i="70"/>
  <c r="D20" i="70"/>
  <c r="E20" i="72"/>
  <c r="B21" i="72"/>
  <c r="H20" i="72"/>
  <c r="G20" i="72"/>
  <c r="F20" i="72"/>
  <c r="V17" i="72" l="1"/>
  <c r="C20" i="72"/>
  <c r="D19" i="72"/>
  <c r="A19" i="72"/>
  <c r="O19" i="72"/>
  <c r="N18" i="72"/>
  <c r="S18" i="72" s="1"/>
  <c r="T18" i="72"/>
  <c r="O19" i="71"/>
  <c r="N19" i="71" s="1"/>
  <c r="S19" i="71" s="1"/>
  <c r="V29" i="78"/>
  <c r="S30" i="78"/>
  <c r="Q32" i="78"/>
  <c r="U31" i="78"/>
  <c r="T20" i="70"/>
  <c r="T19" i="74"/>
  <c r="O20" i="74"/>
  <c r="N20" i="74" s="1"/>
  <c r="T19" i="69"/>
  <c r="V19" i="69" s="1"/>
  <c r="T18" i="73"/>
  <c r="V18" i="73" s="1"/>
  <c r="T19" i="68"/>
  <c r="V19" i="68" s="1"/>
  <c r="O19" i="73"/>
  <c r="N19" i="73" s="1"/>
  <c r="S19" i="73" s="1"/>
  <c r="N21" i="70"/>
  <c r="O20" i="69"/>
  <c r="N20" i="69" s="1"/>
  <c r="S20" i="69" s="1"/>
  <c r="T18" i="71"/>
  <c r="V18" i="71" s="1"/>
  <c r="S18" i="74"/>
  <c r="V17" i="74"/>
  <c r="S18" i="70"/>
  <c r="V17" i="70"/>
  <c r="U21" i="70"/>
  <c r="H21" i="70" s="1"/>
  <c r="Q22" i="70"/>
  <c r="Q22" i="71"/>
  <c r="U21" i="71"/>
  <c r="Q22" i="72"/>
  <c r="U21" i="72"/>
  <c r="AB7" i="31"/>
  <c r="AB5" i="31"/>
  <c r="U19" i="74"/>
  <c r="H19" i="74" s="1"/>
  <c r="Q20" i="74"/>
  <c r="U21" i="69"/>
  <c r="Q22" i="69"/>
  <c r="D19" i="71"/>
  <c r="A19" i="71"/>
  <c r="A19" i="68"/>
  <c r="B17" i="52" s="1"/>
  <c r="D19" i="68"/>
  <c r="C20" i="68"/>
  <c r="O20" i="68" s="1"/>
  <c r="N20" i="68" s="1"/>
  <c r="S20" i="68" s="1"/>
  <c r="G19" i="71"/>
  <c r="H19" i="71"/>
  <c r="F19" i="71"/>
  <c r="E19" i="71"/>
  <c r="B20" i="71"/>
  <c r="C20" i="71"/>
  <c r="Q21" i="73"/>
  <c r="U20" i="73"/>
  <c r="U20" i="68"/>
  <c r="H20" i="68" s="1"/>
  <c r="Q21" i="68"/>
  <c r="F21" i="72"/>
  <c r="B22" i="72"/>
  <c r="E21" i="72"/>
  <c r="H21" i="72"/>
  <c r="G21" i="72"/>
  <c r="A20" i="74"/>
  <c r="D20" i="74"/>
  <c r="C20" i="73"/>
  <c r="G19" i="73"/>
  <c r="B20" i="73"/>
  <c r="E19" i="73"/>
  <c r="F19" i="73"/>
  <c r="H19" i="73"/>
  <c r="D19" i="73"/>
  <c r="A19" i="73"/>
  <c r="F20" i="69"/>
  <c r="G20" i="69"/>
  <c r="E20" i="69"/>
  <c r="H20" i="69"/>
  <c r="B21" i="69"/>
  <c r="C21" i="69"/>
  <c r="A21" i="70"/>
  <c r="D21" i="70"/>
  <c r="B21" i="74"/>
  <c r="C21" i="74"/>
  <c r="F20" i="74"/>
  <c r="E20" i="74"/>
  <c r="G20" i="74"/>
  <c r="B22" i="68"/>
  <c r="F21" i="68"/>
  <c r="G21" i="68"/>
  <c r="E21" i="68"/>
  <c r="C22" i="70"/>
  <c r="F21" i="70"/>
  <c r="G21" i="70"/>
  <c r="B22" i="70"/>
  <c r="E21" i="70"/>
  <c r="A20" i="69"/>
  <c r="D20" i="69"/>
  <c r="V18" i="72" l="1"/>
  <c r="N19" i="72"/>
  <c r="S19" i="72" s="1"/>
  <c r="T19" i="72"/>
  <c r="C21" i="72"/>
  <c r="D20" i="72"/>
  <c r="O20" i="72"/>
  <c r="A20" i="72"/>
  <c r="O21" i="69"/>
  <c r="N21" i="69" s="1"/>
  <c r="S21" i="69" s="1"/>
  <c r="T19" i="71"/>
  <c r="V19" i="71" s="1"/>
  <c r="V30" i="78"/>
  <c r="S31" i="78"/>
  <c r="Q33" i="78"/>
  <c r="U32" i="78"/>
  <c r="T20" i="74"/>
  <c r="N22" i="70"/>
  <c r="O20" i="73"/>
  <c r="N20" i="73" s="1"/>
  <c r="S20" i="73" s="1"/>
  <c r="O21" i="74"/>
  <c r="N21" i="74" s="1"/>
  <c r="O20" i="71"/>
  <c r="N20" i="71" s="1"/>
  <c r="S20" i="71" s="1"/>
  <c r="T21" i="70"/>
  <c r="T20" i="68"/>
  <c r="V20" i="68" s="1"/>
  <c r="T19" i="73"/>
  <c r="V19" i="73" s="1"/>
  <c r="S19" i="70"/>
  <c r="V18" i="70"/>
  <c r="V18" i="74"/>
  <c r="S19" i="74"/>
  <c r="T20" i="69"/>
  <c r="V20" i="69" s="1"/>
  <c r="Q23" i="70"/>
  <c r="U22" i="70"/>
  <c r="H22" i="70" s="1"/>
  <c r="U22" i="72"/>
  <c r="Q23" i="72"/>
  <c r="Q23" i="71"/>
  <c r="U22" i="71"/>
  <c r="AC7" i="31"/>
  <c r="AC5" i="31"/>
  <c r="F20" i="71"/>
  <c r="H20" i="71"/>
  <c r="B21" i="71"/>
  <c r="E20" i="71"/>
  <c r="C21" i="71"/>
  <c r="G20" i="71"/>
  <c r="Q23" i="69"/>
  <c r="U22" i="69"/>
  <c r="Q21" i="74"/>
  <c r="U20" i="74"/>
  <c r="H20" i="74" s="1"/>
  <c r="D20" i="71"/>
  <c r="A20" i="71"/>
  <c r="A20" i="68"/>
  <c r="B18" i="52" s="1"/>
  <c r="C21" i="68"/>
  <c r="O21" i="68" s="1"/>
  <c r="N21" i="68" s="1"/>
  <c r="S21" i="68" s="1"/>
  <c r="D20" i="68"/>
  <c r="Q22" i="73"/>
  <c r="U21" i="73"/>
  <c r="Q22" i="68"/>
  <c r="U21" i="68"/>
  <c r="H21" i="68" s="1"/>
  <c r="B23" i="70"/>
  <c r="C23" i="70"/>
  <c r="G22" i="70"/>
  <c r="E22" i="70"/>
  <c r="F22" i="70"/>
  <c r="B23" i="68"/>
  <c r="E22" i="68"/>
  <c r="G22" i="68"/>
  <c r="F22" i="68"/>
  <c r="A21" i="69"/>
  <c r="D21" i="69"/>
  <c r="H22" i="72"/>
  <c r="G22" i="72"/>
  <c r="F22" i="72"/>
  <c r="B23" i="72"/>
  <c r="E22" i="72"/>
  <c r="D21" i="74"/>
  <c r="A21" i="74"/>
  <c r="F21" i="69"/>
  <c r="C22" i="69"/>
  <c r="E21" i="69"/>
  <c r="B22" i="69"/>
  <c r="G21" i="69"/>
  <c r="H21" i="69"/>
  <c r="H20" i="73"/>
  <c r="F20" i="73"/>
  <c r="G20" i="73"/>
  <c r="B21" i="73"/>
  <c r="C21" i="73"/>
  <c r="E20" i="73"/>
  <c r="E21" i="74"/>
  <c r="C22" i="74"/>
  <c r="G21" i="74"/>
  <c r="B22" i="74"/>
  <c r="F21" i="74"/>
  <c r="D22" i="70"/>
  <c r="A22" i="70"/>
  <c r="D20" i="73"/>
  <c r="A20" i="73"/>
  <c r="V19" i="72" l="1"/>
  <c r="T21" i="69"/>
  <c r="V21" i="69" s="1"/>
  <c r="A21" i="72"/>
  <c r="O21" i="72"/>
  <c r="D21" i="72"/>
  <c r="C22" i="72"/>
  <c r="N20" i="72"/>
  <c r="S20" i="72" s="1"/>
  <c r="T20" i="72"/>
  <c r="O21" i="73"/>
  <c r="N21" i="73" s="1"/>
  <c r="S21" i="73" s="1"/>
  <c r="Q34" i="78"/>
  <c r="U33" i="78"/>
  <c r="V31" i="78"/>
  <c r="S32" i="78"/>
  <c r="T22" i="70"/>
  <c r="T21" i="74"/>
  <c r="T20" i="73"/>
  <c r="V20" i="73" s="1"/>
  <c r="T20" i="71"/>
  <c r="V20" i="71" s="1"/>
  <c r="N23" i="70"/>
  <c r="O22" i="69"/>
  <c r="N22" i="69" s="1"/>
  <c r="S22" i="69" s="1"/>
  <c r="O22" i="74"/>
  <c r="N22" i="74" s="1"/>
  <c r="O21" i="71"/>
  <c r="N21" i="71" s="1"/>
  <c r="S21" i="71" s="1"/>
  <c r="V19" i="70"/>
  <c r="S20" i="70"/>
  <c r="S20" i="74"/>
  <c r="V19" i="74"/>
  <c r="T21" i="68"/>
  <c r="Q24" i="70"/>
  <c r="U23" i="70"/>
  <c r="H23" i="70" s="1"/>
  <c r="U23" i="72"/>
  <c r="Q24" i="72"/>
  <c r="U23" i="71"/>
  <c r="Q24" i="71"/>
  <c r="AD7" i="31"/>
  <c r="AD5" i="31"/>
  <c r="D21" i="68"/>
  <c r="A21" i="68"/>
  <c r="B19" i="52" s="1"/>
  <c r="C22" i="68"/>
  <c r="O22" i="68" s="1"/>
  <c r="N22" i="68" s="1"/>
  <c r="S22" i="68" s="1"/>
  <c r="U21" i="74"/>
  <c r="H21" i="74" s="1"/>
  <c r="Q22" i="74"/>
  <c r="B22" i="71"/>
  <c r="C22" i="71"/>
  <c r="G21" i="71"/>
  <c r="E21" i="71"/>
  <c r="F21" i="71"/>
  <c r="H21" i="71"/>
  <c r="Q24" i="69"/>
  <c r="U23" i="69"/>
  <c r="D21" i="71"/>
  <c r="A21" i="71"/>
  <c r="V21" i="68"/>
  <c r="Q23" i="73"/>
  <c r="U22" i="73"/>
  <c r="U22" i="68"/>
  <c r="H22" i="68" s="1"/>
  <c r="Q23" i="68"/>
  <c r="B23" i="74"/>
  <c r="C23" i="74"/>
  <c r="E22" i="74"/>
  <c r="G22" i="74"/>
  <c r="F22" i="74"/>
  <c r="E23" i="68"/>
  <c r="G23" i="68"/>
  <c r="B24" i="68"/>
  <c r="F23" i="68"/>
  <c r="D23" i="70"/>
  <c r="A23" i="70"/>
  <c r="A22" i="69"/>
  <c r="D22" i="69"/>
  <c r="F23" i="72"/>
  <c r="G23" i="72"/>
  <c r="E23" i="72"/>
  <c r="H23" i="72"/>
  <c r="B24" i="72"/>
  <c r="C24" i="70"/>
  <c r="B24" i="70"/>
  <c r="G23" i="70"/>
  <c r="E23" i="70"/>
  <c r="F23" i="70"/>
  <c r="D21" i="73"/>
  <c r="A21" i="73"/>
  <c r="G21" i="73"/>
  <c r="C22" i="73"/>
  <c r="B22" i="73"/>
  <c r="F21" i="73"/>
  <c r="E21" i="73"/>
  <c r="H21" i="73"/>
  <c r="A22" i="74"/>
  <c r="D22" i="74"/>
  <c r="B23" i="69"/>
  <c r="C23" i="69"/>
  <c r="E22" i="69"/>
  <c r="H22" i="69"/>
  <c r="G22" i="69"/>
  <c r="F22" i="69"/>
  <c r="V20" i="72" l="1"/>
  <c r="N21" i="72"/>
  <c r="S21" i="72" s="1"/>
  <c r="T21" i="72"/>
  <c r="D22" i="72"/>
  <c r="A22" i="72"/>
  <c r="O22" i="72"/>
  <c r="C23" i="72"/>
  <c r="T21" i="73"/>
  <c r="V21" i="73" s="1"/>
  <c r="O22" i="71"/>
  <c r="N22" i="71" s="1"/>
  <c r="S22" i="71" s="1"/>
  <c r="V32" i="78"/>
  <c r="S33" i="78"/>
  <c r="U34" i="78"/>
  <c r="Q35" i="78"/>
  <c r="O23" i="74"/>
  <c r="N23" i="74" s="1"/>
  <c r="N24" i="70"/>
  <c r="T23" i="70"/>
  <c r="T22" i="69"/>
  <c r="V22" i="69" s="1"/>
  <c r="T22" i="74"/>
  <c r="T21" i="71"/>
  <c r="V21" i="71" s="1"/>
  <c r="O23" i="69"/>
  <c r="N23" i="69" s="1"/>
  <c r="S23" i="69" s="1"/>
  <c r="O22" i="73"/>
  <c r="N22" i="73" s="1"/>
  <c r="S22" i="73" s="1"/>
  <c r="S21" i="70"/>
  <c r="V20" i="70"/>
  <c r="T22" i="68"/>
  <c r="V22" i="68" s="1"/>
  <c r="V20" i="74"/>
  <c r="S21" i="74"/>
  <c r="V21" i="74" s="1"/>
  <c r="U24" i="70"/>
  <c r="H24" i="70" s="1"/>
  <c r="Q25" i="70"/>
  <c r="U24" i="72"/>
  <c r="Q25" i="72"/>
  <c r="Q25" i="71"/>
  <c r="U24" i="71"/>
  <c r="AE5" i="31"/>
  <c r="AE7" i="31"/>
  <c r="A22" i="71"/>
  <c r="D22" i="71"/>
  <c r="U24" i="69"/>
  <c r="Q25" i="69"/>
  <c r="B23" i="71"/>
  <c r="F22" i="71"/>
  <c r="G22" i="71"/>
  <c r="C23" i="71"/>
  <c r="E22" i="71"/>
  <c r="H22" i="71"/>
  <c r="Q23" i="74"/>
  <c r="U22" i="74"/>
  <c r="H22" i="74" s="1"/>
  <c r="D22" i="68"/>
  <c r="C23" i="68"/>
  <c r="O23" i="68" s="1"/>
  <c r="N23" i="68" s="1"/>
  <c r="S23" i="68" s="1"/>
  <c r="A22" i="68"/>
  <c r="B20" i="52" s="1"/>
  <c r="U23" i="73"/>
  <c r="Q24" i="73"/>
  <c r="Q24" i="68"/>
  <c r="U23" i="68"/>
  <c r="H23" i="68" s="1"/>
  <c r="H24" i="72"/>
  <c r="B25" i="72"/>
  <c r="F24" i="72"/>
  <c r="E24" i="72"/>
  <c r="G24" i="72"/>
  <c r="D23" i="74"/>
  <c r="A23" i="74"/>
  <c r="B25" i="68"/>
  <c r="G24" i="68"/>
  <c r="E24" i="68"/>
  <c r="F24" i="68"/>
  <c r="B24" i="74"/>
  <c r="C24" i="74"/>
  <c r="G23" i="74"/>
  <c r="F23" i="74"/>
  <c r="E23" i="74"/>
  <c r="F23" i="69"/>
  <c r="E23" i="69"/>
  <c r="C24" i="69"/>
  <c r="H23" i="69"/>
  <c r="B24" i="69"/>
  <c r="G23" i="69"/>
  <c r="A23" i="69"/>
  <c r="D23" i="69"/>
  <c r="H22" i="73"/>
  <c r="F22" i="73"/>
  <c r="E22" i="73"/>
  <c r="B23" i="73"/>
  <c r="C23" i="73"/>
  <c r="G22" i="73"/>
  <c r="C25" i="70"/>
  <c r="B25" i="70"/>
  <c r="F24" i="70"/>
  <c r="G24" i="70"/>
  <c r="E24" i="70"/>
  <c r="A22" i="73"/>
  <c r="D22" i="73"/>
  <c r="D24" i="70"/>
  <c r="A24" i="70"/>
  <c r="V21" i="72" l="1"/>
  <c r="O23" i="72"/>
  <c r="A23" i="72"/>
  <c r="C24" i="72"/>
  <c r="D23" i="72"/>
  <c r="N22" i="72"/>
  <c r="S22" i="72" s="1"/>
  <c r="T22" i="72"/>
  <c r="O23" i="73"/>
  <c r="N23" i="73" s="1"/>
  <c r="S23" i="73" s="1"/>
  <c r="O24" i="74"/>
  <c r="N24" i="74" s="1"/>
  <c r="T22" i="71"/>
  <c r="V22" i="71" s="1"/>
  <c r="U35" i="78"/>
  <c r="Q36" i="78"/>
  <c r="V33" i="78"/>
  <c r="S34" i="78"/>
  <c r="O23" i="71"/>
  <c r="N23" i="71" s="1"/>
  <c r="S23" i="71" s="1"/>
  <c r="T23" i="74"/>
  <c r="T24" i="70"/>
  <c r="T23" i="68"/>
  <c r="V23" i="68" s="1"/>
  <c r="T23" i="69"/>
  <c r="V23" i="69" s="1"/>
  <c r="S22" i="70"/>
  <c r="V21" i="70"/>
  <c r="N25" i="70"/>
  <c r="O24" i="69"/>
  <c r="N24" i="69" s="1"/>
  <c r="S24" i="69" s="1"/>
  <c r="T22" i="73"/>
  <c r="V22" i="73" s="1"/>
  <c r="S22" i="74"/>
  <c r="Q26" i="70"/>
  <c r="U25" i="70"/>
  <c r="H25" i="70" s="1"/>
  <c r="Q26" i="71"/>
  <c r="U25" i="71"/>
  <c r="U25" i="72"/>
  <c r="Q26" i="72"/>
  <c r="AF5" i="31"/>
  <c r="AF7" i="31"/>
  <c r="D24" i="69"/>
  <c r="A23" i="71"/>
  <c r="D23" i="71"/>
  <c r="U23" i="74"/>
  <c r="H23" i="74" s="1"/>
  <c r="Q24" i="74"/>
  <c r="C24" i="68"/>
  <c r="O24" i="68" s="1"/>
  <c r="N24" i="68" s="1"/>
  <c r="S24" i="68" s="1"/>
  <c r="D23" i="68"/>
  <c r="A23" i="68"/>
  <c r="B21" i="52" s="1"/>
  <c r="U25" i="69"/>
  <c r="Q26" i="69"/>
  <c r="H23" i="71"/>
  <c r="E23" i="71"/>
  <c r="B24" i="71"/>
  <c r="F23" i="71"/>
  <c r="C24" i="71"/>
  <c r="G23" i="71"/>
  <c r="Q25" i="73"/>
  <c r="U24" i="73"/>
  <c r="U24" i="68"/>
  <c r="H24" i="68" s="1"/>
  <c r="Q25" i="68"/>
  <c r="D24" i="74"/>
  <c r="A24" i="74"/>
  <c r="B26" i="68"/>
  <c r="G25" i="68"/>
  <c r="F25" i="68"/>
  <c r="E25" i="68"/>
  <c r="D25" i="70"/>
  <c r="A25" i="70"/>
  <c r="H23" i="73"/>
  <c r="F23" i="73"/>
  <c r="C24" i="73"/>
  <c r="E23" i="73"/>
  <c r="B24" i="73"/>
  <c r="G23" i="73"/>
  <c r="C25" i="74"/>
  <c r="B25" i="74"/>
  <c r="F24" i="74"/>
  <c r="G24" i="74"/>
  <c r="E24" i="74"/>
  <c r="B26" i="72"/>
  <c r="F25" i="72"/>
  <c r="H25" i="72"/>
  <c r="G25" i="72"/>
  <c r="E25" i="72"/>
  <c r="B26" i="70"/>
  <c r="C26" i="70"/>
  <c r="G25" i="70"/>
  <c r="E25" i="70"/>
  <c r="F25" i="70"/>
  <c r="D23" i="73"/>
  <c r="A23" i="73"/>
  <c r="A24" i="69"/>
  <c r="C25" i="69"/>
  <c r="B25" i="69"/>
  <c r="F24" i="69"/>
  <c r="E24" i="69"/>
  <c r="G24" i="69"/>
  <c r="H24" i="69"/>
  <c r="V22" i="72" l="1"/>
  <c r="C25" i="72"/>
  <c r="A24" i="72"/>
  <c r="D24" i="72"/>
  <c r="O24" i="72"/>
  <c r="N23" i="72"/>
  <c r="S23" i="72" s="1"/>
  <c r="T23" i="72"/>
  <c r="T23" i="73"/>
  <c r="V23" i="73" s="1"/>
  <c r="T24" i="74"/>
  <c r="O24" i="71"/>
  <c r="N24" i="71" s="1"/>
  <c r="S24" i="71" s="1"/>
  <c r="V34" i="78"/>
  <c r="S35" i="78"/>
  <c r="U36" i="78"/>
  <c r="Q37" i="78"/>
  <c r="T23" i="71"/>
  <c r="V23" i="71" s="1"/>
  <c r="V22" i="70"/>
  <c r="S23" i="70"/>
  <c r="V22" i="74"/>
  <c r="S23" i="74"/>
  <c r="O25" i="69"/>
  <c r="N25" i="69" s="1"/>
  <c r="S25" i="69" s="1"/>
  <c r="N26" i="70"/>
  <c r="O25" i="74"/>
  <c r="N25" i="74" s="1"/>
  <c r="O24" i="73"/>
  <c r="N24" i="73" s="1"/>
  <c r="S24" i="73" s="1"/>
  <c r="T25" i="70"/>
  <c r="T24" i="69"/>
  <c r="V24" i="69" s="1"/>
  <c r="T24" i="68"/>
  <c r="U26" i="70"/>
  <c r="H26" i="70" s="1"/>
  <c r="Q27" i="70"/>
  <c r="Q27" i="71"/>
  <c r="U26" i="71"/>
  <c r="U26" i="72"/>
  <c r="Q27" i="72"/>
  <c r="AG7" i="31"/>
  <c r="AG5" i="31"/>
  <c r="F24" i="71"/>
  <c r="H24" i="71"/>
  <c r="E24" i="71"/>
  <c r="C25" i="71"/>
  <c r="B25" i="71"/>
  <c r="G24" i="71"/>
  <c r="Q25" i="74"/>
  <c r="U24" i="74"/>
  <c r="H24" i="74" s="1"/>
  <c r="U26" i="69"/>
  <c r="Q27" i="69"/>
  <c r="A24" i="71"/>
  <c r="D24" i="71"/>
  <c r="D24" i="68"/>
  <c r="A24" i="68"/>
  <c r="B22" i="52" s="1"/>
  <c r="C25" i="68"/>
  <c r="O25" i="68" s="1"/>
  <c r="N25" i="68" s="1"/>
  <c r="S25" i="68" s="1"/>
  <c r="V24" i="68"/>
  <c r="Q26" i="73"/>
  <c r="U25" i="73"/>
  <c r="U25" i="68"/>
  <c r="H25" i="68" s="1"/>
  <c r="Q26" i="68"/>
  <c r="D25" i="69"/>
  <c r="A25" i="69"/>
  <c r="D25" i="74"/>
  <c r="A25" i="74"/>
  <c r="A24" i="73"/>
  <c r="D24" i="73"/>
  <c r="D26" i="70"/>
  <c r="A26" i="70"/>
  <c r="E26" i="68"/>
  <c r="B27" i="68"/>
  <c r="F26" i="68"/>
  <c r="G26" i="68"/>
  <c r="C27" i="70"/>
  <c r="B27" i="70"/>
  <c r="E26" i="70"/>
  <c r="G26" i="70"/>
  <c r="F26" i="70"/>
  <c r="B27" i="72"/>
  <c r="G26" i="72"/>
  <c r="H26" i="72"/>
  <c r="F26" i="72"/>
  <c r="E26" i="72"/>
  <c r="B26" i="74"/>
  <c r="C26" i="74"/>
  <c r="G25" i="74"/>
  <c r="E25" i="74"/>
  <c r="F25" i="74"/>
  <c r="C25" i="73"/>
  <c r="G24" i="73"/>
  <c r="B25" i="73"/>
  <c r="E24" i="73"/>
  <c r="H24" i="73"/>
  <c r="F24" i="73"/>
  <c r="B26" i="69"/>
  <c r="C26" i="69"/>
  <c r="E25" i="69"/>
  <c r="H25" i="69"/>
  <c r="G25" i="69"/>
  <c r="F25" i="69"/>
  <c r="V23" i="72" l="1"/>
  <c r="N24" i="72"/>
  <c r="S24" i="72" s="1"/>
  <c r="T24" i="72"/>
  <c r="A25" i="72"/>
  <c r="C26" i="72"/>
  <c r="D25" i="72"/>
  <c r="O25" i="72"/>
  <c r="T24" i="71"/>
  <c r="V24" i="71" s="1"/>
  <c r="Q38" i="78"/>
  <c r="U37" i="78"/>
  <c r="V35" i="78"/>
  <c r="S36" i="78"/>
  <c r="O26" i="74"/>
  <c r="N26" i="74" s="1"/>
  <c r="T25" i="74"/>
  <c r="T24" i="73"/>
  <c r="V24" i="73" s="1"/>
  <c r="T26" i="70"/>
  <c r="T25" i="69"/>
  <c r="V25" i="69" s="1"/>
  <c r="S24" i="74"/>
  <c r="V23" i="74"/>
  <c r="O25" i="73"/>
  <c r="N25" i="73" s="1"/>
  <c r="S25" i="73" s="1"/>
  <c r="O26" i="69"/>
  <c r="N26" i="69" s="1"/>
  <c r="S26" i="69" s="1"/>
  <c r="N27" i="70"/>
  <c r="O25" i="71"/>
  <c r="N25" i="71" s="1"/>
  <c r="S25" i="71" s="1"/>
  <c r="T25" i="68"/>
  <c r="V25" i="68" s="1"/>
  <c r="V23" i="70"/>
  <c r="S24" i="70"/>
  <c r="Q28" i="70"/>
  <c r="U27" i="70"/>
  <c r="H27" i="70" s="1"/>
  <c r="Q28" i="71"/>
  <c r="U27" i="71"/>
  <c r="U27" i="72"/>
  <c r="Q28" i="72"/>
  <c r="AH7" i="31"/>
  <c r="AH5" i="31"/>
  <c r="B26" i="71"/>
  <c r="F25" i="71"/>
  <c r="C26" i="71"/>
  <c r="E25" i="71"/>
  <c r="G25" i="71"/>
  <c r="H25" i="71"/>
  <c r="Q28" i="69"/>
  <c r="U27" i="69"/>
  <c r="D25" i="71"/>
  <c r="A25" i="71"/>
  <c r="A25" i="68"/>
  <c r="B23" i="52" s="1"/>
  <c r="D25" i="68"/>
  <c r="C26" i="68"/>
  <c r="O26" i="68" s="1"/>
  <c r="N26" i="68" s="1"/>
  <c r="S26" i="68" s="1"/>
  <c r="U25" i="74"/>
  <c r="H25" i="74" s="1"/>
  <c r="Q26" i="74"/>
  <c r="Q27" i="73"/>
  <c r="U26" i="73"/>
  <c r="U26" i="68"/>
  <c r="H26" i="68" s="1"/>
  <c r="Q27" i="68"/>
  <c r="E26" i="69"/>
  <c r="B27" i="69"/>
  <c r="C27" i="69"/>
  <c r="G26" i="69"/>
  <c r="H26" i="69"/>
  <c r="F26" i="69"/>
  <c r="A26" i="74"/>
  <c r="D26" i="74"/>
  <c r="C28" i="70"/>
  <c r="B28" i="70"/>
  <c r="G27" i="70"/>
  <c r="F27" i="70"/>
  <c r="E27" i="70"/>
  <c r="B28" i="68"/>
  <c r="F27" i="68"/>
  <c r="E27" i="68"/>
  <c r="G27" i="68"/>
  <c r="E25" i="73"/>
  <c r="C26" i="73"/>
  <c r="G25" i="73"/>
  <c r="B26" i="73"/>
  <c r="F25" i="73"/>
  <c r="H25" i="73"/>
  <c r="G26" i="74"/>
  <c r="B27" i="74"/>
  <c r="E26" i="74"/>
  <c r="C27" i="74"/>
  <c r="F26" i="74"/>
  <c r="D27" i="70"/>
  <c r="A27" i="70"/>
  <c r="D26" i="69"/>
  <c r="A26" i="69"/>
  <c r="A25" i="73"/>
  <c r="D25" i="73"/>
  <c r="G27" i="72"/>
  <c r="F27" i="72"/>
  <c r="B28" i="72"/>
  <c r="E27" i="72"/>
  <c r="H27" i="72"/>
  <c r="V24" i="72" l="1"/>
  <c r="N25" i="72"/>
  <c r="S25" i="72" s="1"/>
  <c r="T25" i="72"/>
  <c r="O26" i="72"/>
  <c r="A26" i="72"/>
  <c r="D26" i="72"/>
  <c r="C27" i="72"/>
  <c r="O27" i="69"/>
  <c r="N27" i="69" s="1"/>
  <c r="S27" i="69" s="1"/>
  <c r="V36" i="78"/>
  <c r="S37" i="78"/>
  <c r="Q39" i="78"/>
  <c r="U38" i="78"/>
  <c r="T26" i="74"/>
  <c r="T25" i="73"/>
  <c r="V25" i="73" s="1"/>
  <c r="T27" i="70"/>
  <c r="T26" i="69"/>
  <c r="V26" i="69" s="1"/>
  <c r="O27" i="74"/>
  <c r="N27" i="74" s="1"/>
  <c r="O26" i="73"/>
  <c r="N26" i="73" s="1"/>
  <c r="S26" i="73" s="1"/>
  <c r="O26" i="71"/>
  <c r="N26" i="71" s="1"/>
  <c r="S26" i="71" s="1"/>
  <c r="T26" i="68"/>
  <c r="V26" i="68" s="1"/>
  <c r="S25" i="74"/>
  <c r="V24" i="74"/>
  <c r="N28" i="70"/>
  <c r="V24" i="70"/>
  <c r="S25" i="70"/>
  <c r="T25" i="71"/>
  <c r="V25" i="71" s="1"/>
  <c r="Q29" i="70"/>
  <c r="U28" i="70"/>
  <c r="H28" i="70" s="1"/>
  <c r="U28" i="71"/>
  <c r="Q29" i="71"/>
  <c r="U28" i="72"/>
  <c r="Q29" i="72"/>
  <c r="AI7" i="31"/>
  <c r="AI5" i="31"/>
  <c r="C27" i="68"/>
  <c r="O27" i="68" s="1"/>
  <c r="N27" i="68" s="1"/>
  <c r="S27" i="68" s="1"/>
  <c r="D26" i="68"/>
  <c r="A26" i="68"/>
  <c r="B24" i="52" s="1"/>
  <c r="U28" i="69"/>
  <c r="Q29" i="69"/>
  <c r="G26" i="71"/>
  <c r="B27" i="71"/>
  <c r="H26" i="71"/>
  <c r="C27" i="71"/>
  <c r="F26" i="71"/>
  <c r="E26" i="71"/>
  <c r="U26" i="74"/>
  <c r="H26" i="74" s="1"/>
  <c r="Q27" i="74"/>
  <c r="A26" i="71"/>
  <c r="D26" i="71"/>
  <c r="U27" i="73"/>
  <c r="Q28" i="73"/>
  <c r="Q28" i="68"/>
  <c r="U27" i="68"/>
  <c r="H27" i="68" s="1"/>
  <c r="E28" i="72"/>
  <c r="B29" i="72"/>
  <c r="C29" i="72"/>
  <c r="G28" i="72"/>
  <c r="F28" i="72"/>
  <c r="H28" i="72"/>
  <c r="A27" i="74"/>
  <c r="D27" i="74"/>
  <c r="B29" i="70"/>
  <c r="C29" i="70"/>
  <c r="F28" i="70"/>
  <c r="E28" i="70"/>
  <c r="G28" i="70"/>
  <c r="A28" i="70"/>
  <c r="D28" i="70"/>
  <c r="A27" i="69"/>
  <c r="D27" i="69"/>
  <c r="A26" i="73"/>
  <c r="D26" i="73"/>
  <c r="B29" i="68"/>
  <c r="F28" i="68"/>
  <c r="E28" i="68"/>
  <c r="G28" i="68"/>
  <c r="H27" i="69"/>
  <c r="B28" i="69"/>
  <c r="F27" i="69"/>
  <c r="C28" i="69"/>
  <c r="G27" i="69"/>
  <c r="E27" i="69"/>
  <c r="C28" i="74"/>
  <c r="B28" i="74"/>
  <c r="E27" i="74"/>
  <c r="F27" i="74"/>
  <c r="G27" i="74"/>
  <c r="F26" i="73"/>
  <c r="G26" i="73"/>
  <c r="C27" i="73"/>
  <c r="B27" i="73"/>
  <c r="H26" i="73"/>
  <c r="E26" i="73"/>
  <c r="V25" i="72" l="1"/>
  <c r="D27" i="72"/>
  <c r="C28" i="72"/>
  <c r="O27" i="72"/>
  <c r="N27" i="72" s="1"/>
  <c r="A27" i="72"/>
  <c r="N26" i="72"/>
  <c r="S26" i="72" s="1"/>
  <c r="T26" i="72"/>
  <c r="T27" i="69"/>
  <c r="V27" i="69" s="1"/>
  <c r="U39" i="78"/>
  <c r="Q40" i="78"/>
  <c r="V37" i="78"/>
  <c r="S38" i="78"/>
  <c r="T27" i="74"/>
  <c r="O29" i="72"/>
  <c r="N29" i="72" s="1"/>
  <c r="T26" i="71"/>
  <c r="V26" i="71" s="1"/>
  <c r="T28" i="70"/>
  <c r="O28" i="69"/>
  <c r="N28" i="69" s="1"/>
  <c r="S28" i="69" s="1"/>
  <c r="O28" i="74"/>
  <c r="N28" i="74" s="1"/>
  <c r="O27" i="73"/>
  <c r="N27" i="73" s="1"/>
  <c r="S27" i="73" s="1"/>
  <c r="N29" i="70"/>
  <c r="T27" i="68"/>
  <c r="V27" i="68" s="1"/>
  <c r="V25" i="70"/>
  <c r="S26" i="70"/>
  <c r="O27" i="71"/>
  <c r="N27" i="71" s="1"/>
  <c r="S27" i="71" s="1"/>
  <c r="V25" i="74"/>
  <c r="S26" i="74"/>
  <c r="T26" i="73"/>
  <c r="V26" i="73" s="1"/>
  <c r="Q30" i="70"/>
  <c r="U29" i="70"/>
  <c r="Q30" i="71"/>
  <c r="U29" i="71"/>
  <c r="U29" i="72"/>
  <c r="Q30" i="72"/>
  <c r="AJ7" i="31"/>
  <c r="AJ5" i="31"/>
  <c r="D27" i="71"/>
  <c r="A27" i="71"/>
  <c r="U29" i="69"/>
  <c r="Q30" i="69"/>
  <c r="U27" i="74"/>
  <c r="H27" i="74" s="1"/>
  <c r="Q28" i="74"/>
  <c r="B28" i="71"/>
  <c r="H27" i="71"/>
  <c r="C28" i="71"/>
  <c r="F27" i="71"/>
  <c r="G27" i="71"/>
  <c r="E27" i="71"/>
  <c r="C28" i="68"/>
  <c r="O28" i="68" s="1"/>
  <c r="N28" i="68" s="1"/>
  <c r="S28" i="68" s="1"/>
  <c r="D27" i="68"/>
  <c r="A27" i="68"/>
  <c r="B25" i="52" s="1"/>
  <c r="U28" i="73"/>
  <c r="Q29" i="73"/>
  <c r="Q29" i="68"/>
  <c r="U28" i="68"/>
  <c r="H28" i="68" s="1"/>
  <c r="D27" i="73"/>
  <c r="A27" i="73"/>
  <c r="A28" i="74"/>
  <c r="D28" i="74"/>
  <c r="D28" i="69"/>
  <c r="A28" i="69"/>
  <c r="H29" i="72"/>
  <c r="B30" i="72"/>
  <c r="F29" i="72"/>
  <c r="C30" i="72"/>
  <c r="G29" i="72"/>
  <c r="E29" i="72"/>
  <c r="H27" i="73"/>
  <c r="F27" i="73"/>
  <c r="E27" i="73"/>
  <c r="G27" i="73"/>
  <c r="C28" i="73"/>
  <c r="B28" i="73"/>
  <c r="G28" i="74"/>
  <c r="C29" i="74"/>
  <c r="B29" i="74"/>
  <c r="E28" i="74"/>
  <c r="F28" i="74"/>
  <c r="B30" i="68"/>
  <c r="F29" i="68"/>
  <c r="G29" i="68"/>
  <c r="E29" i="68"/>
  <c r="A29" i="70"/>
  <c r="D29" i="70"/>
  <c r="E28" i="69"/>
  <c r="G28" i="69"/>
  <c r="C29" i="69"/>
  <c r="B29" i="69"/>
  <c r="F28" i="69"/>
  <c r="H28" i="69"/>
  <c r="C30" i="70"/>
  <c r="B30" i="70"/>
  <c r="G29" i="70"/>
  <c r="H29" i="70"/>
  <c r="E29" i="70"/>
  <c r="F29" i="70"/>
  <c r="A29" i="72"/>
  <c r="D29" i="72"/>
  <c r="S27" i="72" l="1"/>
  <c r="T27" i="72"/>
  <c r="V26" i="72"/>
  <c r="D28" i="72"/>
  <c r="O28" i="72"/>
  <c r="A28" i="72"/>
  <c r="V38" i="78"/>
  <c r="S39" i="78"/>
  <c r="Q41" i="78"/>
  <c r="U40" i="78"/>
  <c r="N30" i="70"/>
  <c r="O29" i="74"/>
  <c r="N29" i="74" s="1"/>
  <c r="O29" i="69"/>
  <c r="N29" i="69" s="1"/>
  <c r="S29" i="69" s="1"/>
  <c r="T28" i="74"/>
  <c r="T27" i="73"/>
  <c r="V27" i="73" s="1"/>
  <c r="O30" i="72"/>
  <c r="N30" i="72" s="1"/>
  <c r="O28" i="71"/>
  <c r="N28" i="71" s="1"/>
  <c r="S28" i="71" s="1"/>
  <c r="T28" i="69"/>
  <c r="V28" i="69" s="1"/>
  <c r="T29" i="70"/>
  <c r="T27" i="71"/>
  <c r="V27" i="71" s="1"/>
  <c r="V26" i="74"/>
  <c r="S27" i="74"/>
  <c r="S27" i="70"/>
  <c r="V26" i="70"/>
  <c r="T28" i="68"/>
  <c r="V28" i="68" s="1"/>
  <c r="O28" i="73"/>
  <c r="N28" i="73" s="1"/>
  <c r="S28" i="73" s="1"/>
  <c r="Q31" i="70"/>
  <c r="U30" i="70"/>
  <c r="Q31" i="71"/>
  <c r="U30" i="71"/>
  <c r="Q31" i="72"/>
  <c r="U30" i="72"/>
  <c r="AK5" i="31"/>
  <c r="AK7" i="31"/>
  <c r="U30" i="69"/>
  <c r="Q31" i="69"/>
  <c r="A28" i="68"/>
  <c r="B26" i="52" s="1"/>
  <c r="D28" i="68"/>
  <c r="C29" i="68"/>
  <c r="O29" i="68" s="1"/>
  <c r="N29" i="68" s="1"/>
  <c r="S29" i="68" s="1"/>
  <c r="E28" i="71"/>
  <c r="G28" i="71"/>
  <c r="H28" i="71"/>
  <c r="F28" i="71"/>
  <c r="B29" i="71"/>
  <c r="C29" i="71"/>
  <c r="Q29" i="74"/>
  <c r="U28" i="74"/>
  <c r="H28" i="74" s="1"/>
  <c r="A28" i="71"/>
  <c r="D28" i="71"/>
  <c r="U29" i="73"/>
  <c r="Q30" i="73"/>
  <c r="U29" i="68"/>
  <c r="H29" i="68" s="1"/>
  <c r="Q30" i="68"/>
  <c r="D30" i="70"/>
  <c r="A30" i="70"/>
  <c r="B29" i="73"/>
  <c r="C29" i="73"/>
  <c r="E28" i="73"/>
  <c r="F28" i="73"/>
  <c r="G28" i="73"/>
  <c r="H28" i="73"/>
  <c r="D30" i="72"/>
  <c r="A30" i="72"/>
  <c r="B30" i="69"/>
  <c r="C30" i="69"/>
  <c r="F29" i="69"/>
  <c r="H29" i="69"/>
  <c r="E29" i="69"/>
  <c r="G29" i="69"/>
  <c r="F30" i="68"/>
  <c r="B31" i="68"/>
  <c r="E30" i="68"/>
  <c r="G30" i="68"/>
  <c r="B30" i="74"/>
  <c r="C30" i="74"/>
  <c r="F29" i="74"/>
  <c r="E29" i="74"/>
  <c r="G29" i="74"/>
  <c r="D28" i="73"/>
  <c r="A28" i="73"/>
  <c r="C31" i="70"/>
  <c r="B31" i="70"/>
  <c r="H30" i="70"/>
  <c r="G30" i="70"/>
  <c r="E30" i="70"/>
  <c r="F30" i="70"/>
  <c r="A29" i="69"/>
  <c r="D29" i="69"/>
  <c r="A29" i="74"/>
  <c r="D29" i="74"/>
  <c r="E30" i="72"/>
  <c r="G30" i="72"/>
  <c r="B31" i="72"/>
  <c r="H30" i="72"/>
  <c r="C31" i="72"/>
  <c r="F30" i="72"/>
  <c r="V27" i="72" l="1"/>
  <c r="N28" i="72"/>
  <c r="S28" i="72" s="1"/>
  <c r="S29" i="72" s="1"/>
  <c r="T28" i="72"/>
  <c r="T29" i="72" s="1"/>
  <c r="T30" i="72" s="1"/>
  <c r="O30" i="74"/>
  <c r="N30" i="74" s="1"/>
  <c r="Q42" i="78"/>
  <c r="U41" i="78"/>
  <c r="V39" i="78"/>
  <c r="S40" i="78"/>
  <c r="T29" i="69"/>
  <c r="V29" i="69" s="1"/>
  <c r="T29" i="74"/>
  <c r="T30" i="70"/>
  <c r="O31" i="72"/>
  <c r="N31" i="72" s="1"/>
  <c r="T28" i="71"/>
  <c r="V28" i="71" s="1"/>
  <c r="N31" i="70"/>
  <c r="V27" i="70"/>
  <c r="S28" i="70"/>
  <c r="S28" i="74"/>
  <c r="V27" i="74"/>
  <c r="T28" i="73"/>
  <c r="V28" i="73" s="1"/>
  <c r="T29" i="68"/>
  <c r="O30" i="69"/>
  <c r="N30" i="69" s="1"/>
  <c r="S30" i="69" s="1"/>
  <c r="O29" i="73"/>
  <c r="N29" i="73" s="1"/>
  <c r="S29" i="73" s="1"/>
  <c r="O29" i="71"/>
  <c r="N29" i="71" s="1"/>
  <c r="S29" i="71" s="1"/>
  <c r="U31" i="70"/>
  <c r="Q32" i="70"/>
  <c r="Q32" i="71"/>
  <c r="U31" i="71"/>
  <c r="Q32" i="72"/>
  <c r="U31" i="72"/>
  <c r="AL7" i="31"/>
  <c r="AL5" i="31"/>
  <c r="U29" i="74"/>
  <c r="H29" i="74" s="1"/>
  <c r="Q30" i="74"/>
  <c r="Q32" i="69"/>
  <c r="U31" i="69"/>
  <c r="D29" i="71"/>
  <c r="A29" i="71"/>
  <c r="B30" i="71"/>
  <c r="G29" i="71"/>
  <c r="E29" i="71"/>
  <c r="F29" i="71"/>
  <c r="C30" i="71"/>
  <c r="H29" i="71"/>
  <c r="D29" i="68"/>
  <c r="A29" i="68"/>
  <c r="B27" i="52" s="1"/>
  <c r="C30" i="68"/>
  <c r="O30" i="68" s="1"/>
  <c r="N30" i="68" s="1"/>
  <c r="S30" i="68" s="1"/>
  <c r="V29" i="68"/>
  <c r="Q31" i="73"/>
  <c r="U30" i="73"/>
  <c r="U30" i="68"/>
  <c r="H30" i="68" s="1"/>
  <c r="Q31" i="68"/>
  <c r="D30" i="74"/>
  <c r="A30" i="74"/>
  <c r="D30" i="69"/>
  <c r="A30" i="69"/>
  <c r="F31" i="72"/>
  <c r="B32" i="72"/>
  <c r="H31" i="72"/>
  <c r="C32" i="72"/>
  <c r="E31" i="72"/>
  <c r="G31" i="72"/>
  <c r="C32" i="70"/>
  <c r="B32" i="70"/>
  <c r="H31" i="70"/>
  <c r="G31" i="70"/>
  <c r="F31" i="70"/>
  <c r="E31" i="70"/>
  <c r="B31" i="74"/>
  <c r="C31" i="74"/>
  <c r="G30" i="74"/>
  <c r="E30" i="74"/>
  <c r="F30" i="74"/>
  <c r="G31" i="68"/>
  <c r="F31" i="68"/>
  <c r="B32" i="68"/>
  <c r="E31" i="68"/>
  <c r="C31" i="69"/>
  <c r="B31" i="69"/>
  <c r="E30" i="69"/>
  <c r="F30" i="69"/>
  <c r="H30" i="69"/>
  <c r="G30" i="69"/>
  <c r="D29" i="73"/>
  <c r="A29" i="73"/>
  <c r="A31" i="72"/>
  <c r="D31" i="72"/>
  <c r="D31" i="70"/>
  <c r="A31" i="70"/>
  <c r="G29" i="73"/>
  <c r="H29" i="73"/>
  <c r="B30" i="73"/>
  <c r="C30" i="73"/>
  <c r="E29" i="73"/>
  <c r="F29" i="73"/>
  <c r="V29" i="72" l="1"/>
  <c r="V28" i="72"/>
  <c r="S30" i="72"/>
  <c r="V30" i="72" s="1"/>
  <c r="T30" i="74"/>
  <c r="O30" i="73"/>
  <c r="N30" i="73" s="1"/>
  <c r="S30" i="73" s="1"/>
  <c r="V40" i="78"/>
  <c r="S41" i="78"/>
  <c r="U42" i="78"/>
  <c r="Q43" i="78"/>
  <c r="O30" i="71"/>
  <c r="N30" i="71" s="1"/>
  <c r="S30" i="71" s="1"/>
  <c r="T31" i="72"/>
  <c r="O32" i="72"/>
  <c r="N32" i="72" s="1"/>
  <c r="T31" i="70"/>
  <c r="T30" i="68"/>
  <c r="T29" i="73"/>
  <c r="V29" i="73" s="1"/>
  <c r="V28" i="70"/>
  <c r="S29" i="70"/>
  <c r="N32" i="70"/>
  <c r="O31" i="69"/>
  <c r="N31" i="69" s="1"/>
  <c r="S31" i="69" s="1"/>
  <c r="O31" i="74"/>
  <c r="N31" i="74" s="1"/>
  <c r="T29" i="71"/>
  <c r="V29" i="71" s="1"/>
  <c r="V28" i="74"/>
  <c r="S29" i="74"/>
  <c r="T30" i="69"/>
  <c r="V30" i="69" s="1"/>
  <c r="U32" i="70"/>
  <c r="Q33" i="70"/>
  <c r="Q33" i="72"/>
  <c r="U32" i="72"/>
  <c r="U32" i="71"/>
  <c r="Q33" i="71"/>
  <c r="AM7" i="31"/>
  <c r="AM5" i="31"/>
  <c r="A30" i="68"/>
  <c r="B28" i="52" s="1"/>
  <c r="C31" i="68"/>
  <c r="O31" i="68" s="1"/>
  <c r="N31" i="68" s="1"/>
  <c r="S31" i="68" s="1"/>
  <c r="D30" i="68"/>
  <c r="U32" i="69"/>
  <c r="Q33" i="69"/>
  <c r="U30" i="74"/>
  <c r="H30" i="74" s="1"/>
  <c r="Q31" i="74"/>
  <c r="D30" i="71"/>
  <c r="A30" i="71"/>
  <c r="E30" i="71"/>
  <c r="B31" i="71"/>
  <c r="G30" i="71"/>
  <c r="F30" i="71"/>
  <c r="C31" i="71"/>
  <c r="H30" i="71"/>
  <c r="V30" i="68"/>
  <c r="Q32" i="73"/>
  <c r="U31" i="73"/>
  <c r="Q32" i="68"/>
  <c r="U31" i="68"/>
  <c r="H31" i="68" s="1"/>
  <c r="H30" i="73"/>
  <c r="E30" i="73"/>
  <c r="B31" i="73"/>
  <c r="F30" i="73"/>
  <c r="C31" i="73"/>
  <c r="G30" i="73"/>
  <c r="A31" i="69"/>
  <c r="D31" i="69"/>
  <c r="E31" i="74"/>
  <c r="B32" i="74"/>
  <c r="F31" i="74"/>
  <c r="C32" i="74"/>
  <c r="G31" i="74"/>
  <c r="D32" i="72"/>
  <c r="A32" i="72"/>
  <c r="F32" i="70"/>
  <c r="C33" i="70"/>
  <c r="B33" i="70"/>
  <c r="G32" i="70"/>
  <c r="H32" i="70"/>
  <c r="E32" i="70"/>
  <c r="D32" i="70"/>
  <c r="A32" i="70"/>
  <c r="B33" i="72"/>
  <c r="C33" i="72"/>
  <c r="G32" i="72"/>
  <c r="F32" i="72"/>
  <c r="H32" i="72"/>
  <c r="E32" i="72"/>
  <c r="D30" i="73"/>
  <c r="A30" i="73"/>
  <c r="F31" i="69"/>
  <c r="C32" i="69"/>
  <c r="B32" i="69"/>
  <c r="E31" i="69"/>
  <c r="H31" i="69"/>
  <c r="G31" i="69"/>
  <c r="B33" i="68"/>
  <c r="E32" i="68"/>
  <c r="F32" i="68"/>
  <c r="G32" i="68"/>
  <c r="D31" i="74"/>
  <c r="A31" i="74"/>
  <c r="S31" i="72" l="1"/>
  <c r="V31" i="72" s="1"/>
  <c r="T30" i="73"/>
  <c r="V30" i="73" s="1"/>
  <c r="U43" i="78"/>
  <c r="Q44" i="78"/>
  <c r="V41" i="78"/>
  <c r="S42" i="78"/>
  <c r="T30" i="71"/>
  <c r="V30" i="71" s="1"/>
  <c r="O33" i="72"/>
  <c r="N33" i="72" s="1"/>
  <c r="O31" i="71"/>
  <c r="N31" i="71" s="1"/>
  <c r="S31" i="71" s="1"/>
  <c r="T32" i="72"/>
  <c r="O32" i="69"/>
  <c r="N32" i="69" s="1"/>
  <c r="S32" i="69" s="1"/>
  <c r="O32" i="74"/>
  <c r="N32" i="74" s="1"/>
  <c r="T31" i="69"/>
  <c r="V31" i="69" s="1"/>
  <c r="T32" i="70"/>
  <c r="S30" i="74"/>
  <c r="V29" i="74"/>
  <c r="T31" i="74"/>
  <c r="N33" i="70"/>
  <c r="O31" i="73"/>
  <c r="N31" i="73" s="1"/>
  <c r="S31" i="73" s="1"/>
  <c r="S30" i="70"/>
  <c r="V29" i="70"/>
  <c r="T31" i="68"/>
  <c r="U33" i="70"/>
  <c r="Q34" i="70"/>
  <c r="U33" i="71"/>
  <c r="Q34" i="71"/>
  <c r="U33" i="72"/>
  <c r="Q34" i="72"/>
  <c r="AN5" i="31"/>
  <c r="AN7" i="31"/>
  <c r="A31" i="71"/>
  <c r="D31" i="71"/>
  <c r="A31" i="68"/>
  <c r="B29" i="52" s="1"/>
  <c r="C32" i="68"/>
  <c r="O32" i="68" s="1"/>
  <c r="N32" i="68" s="1"/>
  <c r="S32" i="68" s="1"/>
  <c r="D31" i="68"/>
  <c r="G31" i="71"/>
  <c r="B32" i="71"/>
  <c r="F31" i="71"/>
  <c r="H31" i="71"/>
  <c r="E31" i="71"/>
  <c r="C32" i="71"/>
  <c r="Q32" i="74"/>
  <c r="U31" i="74"/>
  <c r="H31" i="74" s="1"/>
  <c r="U33" i="69"/>
  <c r="Q34" i="69"/>
  <c r="V31" i="68"/>
  <c r="Q33" i="73"/>
  <c r="U32" i="73"/>
  <c r="U32" i="68"/>
  <c r="H32" i="68" s="1"/>
  <c r="Q33" i="68"/>
  <c r="D33" i="72"/>
  <c r="A33" i="72"/>
  <c r="A31" i="73"/>
  <c r="D31" i="73"/>
  <c r="B34" i="68"/>
  <c r="F33" i="68"/>
  <c r="G33" i="68"/>
  <c r="E33" i="68"/>
  <c r="H32" i="69"/>
  <c r="B33" i="69"/>
  <c r="C33" i="69"/>
  <c r="G32" i="69"/>
  <c r="E32" i="69"/>
  <c r="F32" i="69"/>
  <c r="B34" i="72"/>
  <c r="C34" i="72"/>
  <c r="E33" i="72"/>
  <c r="G33" i="72"/>
  <c r="F33" i="72"/>
  <c r="H33" i="72"/>
  <c r="E33" i="70"/>
  <c r="C34" i="70"/>
  <c r="B34" i="70"/>
  <c r="H33" i="70"/>
  <c r="F33" i="70"/>
  <c r="G33" i="70"/>
  <c r="A32" i="69"/>
  <c r="D32" i="69"/>
  <c r="A33" i="70"/>
  <c r="D33" i="70"/>
  <c r="C33" i="74"/>
  <c r="B33" i="74"/>
  <c r="G32" i="74"/>
  <c r="E32" i="74"/>
  <c r="F32" i="74"/>
  <c r="F31" i="73"/>
  <c r="B32" i="73"/>
  <c r="C32" i="73"/>
  <c r="E31" i="73"/>
  <c r="H31" i="73"/>
  <c r="G31" i="73"/>
  <c r="D32" i="74"/>
  <c r="A32" i="74"/>
  <c r="S32" i="72" l="1"/>
  <c r="V32" i="72" s="1"/>
  <c r="O33" i="69"/>
  <c r="N33" i="69" s="1"/>
  <c r="S33" i="69" s="1"/>
  <c r="V42" i="78"/>
  <c r="S43" i="78"/>
  <c r="U44" i="78"/>
  <c r="Q45" i="78"/>
  <c r="T31" i="71"/>
  <c r="V31" i="71" s="1"/>
  <c r="T33" i="72"/>
  <c r="O32" i="71"/>
  <c r="N32" i="71" s="1"/>
  <c r="S32" i="71" s="1"/>
  <c r="T32" i="74"/>
  <c r="O33" i="74"/>
  <c r="N33" i="74" s="1"/>
  <c r="O32" i="73"/>
  <c r="N32" i="73" s="1"/>
  <c r="S32" i="73" s="1"/>
  <c r="T33" i="70"/>
  <c r="O34" i="72"/>
  <c r="N34" i="72" s="1"/>
  <c r="S31" i="74"/>
  <c r="V31" i="74" s="1"/>
  <c r="V30" i="74"/>
  <c r="T32" i="69"/>
  <c r="V32" i="69" s="1"/>
  <c r="T32" i="68"/>
  <c r="V32" i="68" s="1"/>
  <c r="T31" i="73"/>
  <c r="V31" i="73" s="1"/>
  <c r="N34" i="70"/>
  <c r="V30" i="70"/>
  <c r="S31" i="70"/>
  <c r="Q35" i="70"/>
  <c r="U34" i="70"/>
  <c r="U34" i="72"/>
  <c r="Q35" i="72"/>
  <c r="Q35" i="71"/>
  <c r="U34" i="71"/>
  <c r="AO5" i="31"/>
  <c r="AO7" i="31"/>
  <c r="U32" i="74"/>
  <c r="H32" i="74" s="1"/>
  <c r="Q33" i="74"/>
  <c r="U34" i="69"/>
  <c r="Q35" i="69"/>
  <c r="D32" i="71"/>
  <c r="A32" i="71"/>
  <c r="G32" i="71"/>
  <c r="C33" i="71"/>
  <c r="H32" i="71"/>
  <c r="B33" i="71"/>
  <c r="F32" i="71"/>
  <c r="E32" i="71"/>
  <c r="A32" i="68"/>
  <c r="B30" i="52" s="1"/>
  <c r="D32" i="68"/>
  <c r="C33" i="68"/>
  <c r="O33" i="68" s="1"/>
  <c r="N33" i="68" s="1"/>
  <c r="S33" i="68" s="1"/>
  <c r="U33" i="73"/>
  <c r="Q34" i="73"/>
  <c r="Q34" i="68"/>
  <c r="U33" i="68"/>
  <c r="H33" i="68" s="1"/>
  <c r="H32" i="73"/>
  <c r="B33" i="73"/>
  <c r="C33" i="73"/>
  <c r="G32" i="73"/>
  <c r="E32" i="73"/>
  <c r="F32" i="73"/>
  <c r="C34" i="74"/>
  <c r="B34" i="74"/>
  <c r="F33" i="74"/>
  <c r="E33" i="74"/>
  <c r="G33" i="74"/>
  <c r="D34" i="72"/>
  <c r="A34" i="72"/>
  <c r="A33" i="74"/>
  <c r="D33" i="74"/>
  <c r="C35" i="72"/>
  <c r="B35" i="72"/>
  <c r="H34" i="72"/>
  <c r="E34" i="72"/>
  <c r="F34" i="72"/>
  <c r="G34" i="72"/>
  <c r="C35" i="70"/>
  <c r="E34" i="70"/>
  <c r="B35" i="70"/>
  <c r="H34" i="70"/>
  <c r="G34" i="70"/>
  <c r="F34" i="70"/>
  <c r="D33" i="69"/>
  <c r="A33" i="69"/>
  <c r="E34" i="68"/>
  <c r="B35" i="68"/>
  <c r="G34" i="68"/>
  <c r="F34" i="68"/>
  <c r="A32" i="73"/>
  <c r="D32" i="73"/>
  <c r="A34" i="70"/>
  <c r="D34" i="70"/>
  <c r="H33" i="69"/>
  <c r="B34" i="69"/>
  <c r="C34" i="69"/>
  <c r="G33" i="69"/>
  <c r="F33" i="69"/>
  <c r="E33" i="69"/>
  <c r="S33" i="72" l="1"/>
  <c r="V33" i="72" s="1"/>
  <c r="T33" i="69"/>
  <c r="V33" i="69" s="1"/>
  <c r="O34" i="74"/>
  <c r="N34" i="74" s="1"/>
  <c r="O33" i="71"/>
  <c r="N33" i="71" s="1"/>
  <c r="S33" i="71" s="1"/>
  <c r="O33" i="73"/>
  <c r="N33" i="73" s="1"/>
  <c r="S33" i="73" s="1"/>
  <c r="Q46" i="78"/>
  <c r="U45" i="78"/>
  <c r="V43" i="78"/>
  <c r="S44" i="78"/>
  <c r="T32" i="71"/>
  <c r="V32" i="71" s="1"/>
  <c r="T32" i="73"/>
  <c r="V32" i="73" s="1"/>
  <c r="T33" i="74"/>
  <c r="O35" i="72"/>
  <c r="N35" i="72" s="1"/>
  <c r="S32" i="70"/>
  <c r="V31" i="70"/>
  <c r="T34" i="72"/>
  <c r="O34" i="69"/>
  <c r="N34" i="69" s="1"/>
  <c r="S34" i="69" s="1"/>
  <c r="T34" i="70"/>
  <c r="T33" i="68"/>
  <c r="V33" i="68" s="1"/>
  <c r="N35" i="70"/>
  <c r="S32" i="74"/>
  <c r="U35" i="70"/>
  <c r="Q36" i="70"/>
  <c r="Q36" i="71"/>
  <c r="U35" i="71"/>
  <c r="Q36" i="72"/>
  <c r="U35" i="72"/>
  <c r="AP5" i="31"/>
  <c r="AP7" i="31"/>
  <c r="H33" i="71"/>
  <c r="F33" i="71"/>
  <c r="B34" i="71"/>
  <c r="G33" i="71"/>
  <c r="C34" i="71"/>
  <c r="E33" i="71"/>
  <c r="D33" i="68"/>
  <c r="C34" i="68"/>
  <c r="O34" i="68" s="1"/>
  <c r="N34" i="68" s="1"/>
  <c r="S34" i="68" s="1"/>
  <c r="A33" i="68"/>
  <c r="B31" i="52" s="1"/>
  <c r="A33" i="71"/>
  <c r="D33" i="71"/>
  <c r="Q36" i="69"/>
  <c r="U35" i="69"/>
  <c r="U33" i="74"/>
  <c r="H33" i="74" s="1"/>
  <c r="Q34" i="74"/>
  <c r="Q35" i="73"/>
  <c r="U34" i="73"/>
  <c r="U34" i="68"/>
  <c r="H34" i="68" s="1"/>
  <c r="Q35" i="68"/>
  <c r="G35" i="70"/>
  <c r="C36" i="70"/>
  <c r="B36" i="70"/>
  <c r="H35" i="70"/>
  <c r="E35" i="70"/>
  <c r="F35" i="70"/>
  <c r="H35" i="72"/>
  <c r="C36" i="72"/>
  <c r="B36" i="72"/>
  <c r="G35" i="72"/>
  <c r="E35" i="72"/>
  <c r="F35" i="72"/>
  <c r="D34" i="74"/>
  <c r="A34" i="74"/>
  <c r="D33" i="73"/>
  <c r="A33" i="73"/>
  <c r="G34" i="69"/>
  <c r="E34" i="69"/>
  <c r="H34" i="69"/>
  <c r="C35" i="69"/>
  <c r="B35" i="69"/>
  <c r="F34" i="69"/>
  <c r="C34" i="73"/>
  <c r="B34" i="73"/>
  <c r="E33" i="73"/>
  <c r="G33" i="73"/>
  <c r="F33" i="73"/>
  <c r="H33" i="73"/>
  <c r="B36" i="68"/>
  <c r="G35" i="68"/>
  <c r="F35" i="68"/>
  <c r="E35" i="68"/>
  <c r="A35" i="72"/>
  <c r="D35" i="72"/>
  <c r="D34" i="69"/>
  <c r="A34" i="69"/>
  <c r="A35" i="70"/>
  <c r="D35" i="70"/>
  <c r="C35" i="74"/>
  <c r="B35" i="74"/>
  <c r="F34" i="74"/>
  <c r="G34" i="74"/>
  <c r="E34" i="74"/>
  <c r="T34" i="74" l="1"/>
  <c r="S34" i="72"/>
  <c r="V34" i="72" s="1"/>
  <c r="T33" i="73"/>
  <c r="V33" i="73" s="1"/>
  <c r="T33" i="71"/>
  <c r="V33" i="71" s="1"/>
  <c r="V44" i="78"/>
  <c r="S45" i="78"/>
  <c r="Q47" i="78"/>
  <c r="U46" i="78"/>
  <c r="O34" i="71"/>
  <c r="N34" i="71" s="1"/>
  <c r="S34" i="71" s="1"/>
  <c r="T35" i="72"/>
  <c r="O35" i="69"/>
  <c r="N35" i="69" s="1"/>
  <c r="S35" i="69" s="1"/>
  <c r="O36" i="72"/>
  <c r="N36" i="72" s="1"/>
  <c r="O35" i="74"/>
  <c r="N35" i="74" s="1"/>
  <c r="V32" i="74"/>
  <c r="S33" i="74"/>
  <c r="O34" i="73"/>
  <c r="N34" i="73" s="1"/>
  <c r="S34" i="73" s="1"/>
  <c r="N36" i="70"/>
  <c r="T34" i="69"/>
  <c r="V34" i="69" s="1"/>
  <c r="T34" i="68"/>
  <c r="V34" i="68" s="1"/>
  <c r="T35" i="70"/>
  <c r="S33" i="70"/>
  <c r="V32" i="70"/>
  <c r="Q37" i="70"/>
  <c r="U36" i="70"/>
  <c r="U36" i="72"/>
  <c r="Q37" i="72"/>
  <c r="U36" i="71"/>
  <c r="Q37" i="71"/>
  <c r="A36" i="72"/>
  <c r="AQ5" i="31"/>
  <c r="AQ7" i="31"/>
  <c r="U36" i="69"/>
  <c r="Q37" i="69"/>
  <c r="U34" i="74"/>
  <c r="H34" i="74" s="1"/>
  <c r="Q35" i="74"/>
  <c r="F34" i="71"/>
  <c r="B35" i="71"/>
  <c r="G34" i="71"/>
  <c r="C35" i="71"/>
  <c r="E34" i="71"/>
  <c r="H34" i="71"/>
  <c r="D34" i="68"/>
  <c r="A34" i="68"/>
  <c r="B32" i="52" s="1"/>
  <c r="C35" i="68"/>
  <c r="O35" i="68" s="1"/>
  <c r="N35" i="68" s="1"/>
  <c r="S35" i="68" s="1"/>
  <c r="A34" i="71"/>
  <c r="D34" i="71"/>
  <c r="Q36" i="73"/>
  <c r="U35" i="73"/>
  <c r="Q36" i="68"/>
  <c r="U35" i="68"/>
  <c r="H35" i="68" s="1"/>
  <c r="B36" i="74"/>
  <c r="C36" i="74"/>
  <c r="E35" i="74"/>
  <c r="F35" i="74"/>
  <c r="G35" i="74"/>
  <c r="H35" i="69"/>
  <c r="G35" i="69"/>
  <c r="C36" i="69"/>
  <c r="B36" i="69"/>
  <c r="F35" i="69"/>
  <c r="E35" i="69"/>
  <c r="D35" i="74"/>
  <c r="A35" i="74"/>
  <c r="E36" i="68"/>
  <c r="B37" i="68"/>
  <c r="G36" i="68"/>
  <c r="F36" i="68"/>
  <c r="C35" i="73"/>
  <c r="G34" i="73"/>
  <c r="B35" i="73"/>
  <c r="H34" i="73"/>
  <c r="F34" i="73"/>
  <c r="E34" i="73"/>
  <c r="A35" i="69"/>
  <c r="D35" i="69"/>
  <c r="D36" i="72"/>
  <c r="B37" i="72"/>
  <c r="C37" i="72"/>
  <c r="E36" i="72"/>
  <c r="H36" i="72"/>
  <c r="G36" i="72"/>
  <c r="F36" i="72"/>
  <c r="A34" i="73"/>
  <c r="D34" i="73"/>
  <c r="C37" i="70"/>
  <c r="B37" i="70"/>
  <c r="G36" i="70"/>
  <c r="H36" i="70"/>
  <c r="F36" i="70"/>
  <c r="E36" i="70"/>
  <c r="D36" i="70"/>
  <c r="A36" i="70"/>
  <c r="S35" i="72" l="1"/>
  <c r="V35" i="72" s="1"/>
  <c r="O37" i="72"/>
  <c r="N37" i="72" s="1"/>
  <c r="Q48" i="78"/>
  <c r="U47" i="78"/>
  <c r="V45" i="78"/>
  <c r="S46" i="78"/>
  <c r="T34" i="71"/>
  <c r="V34" i="71" s="1"/>
  <c r="T35" i="74"/>
  <c r="O35" i="73"/>
  <c r="N35" i="73" s="1"/>
  <c r="S35" i="73" s="1"/>
  <c r="T36" i="72"/>
  <c r="O35" i="71"/>
  <c r="N35" i="71" s="1"/>
  <c r="S35" i="71" s="1"/>
  <c r="T36" i="70"/>
  <c r="T35" i="69"/>
  <c r="V35" i="69" s="1"/>
  <c r="O36" i="74"/>
  <c r="N36" i="74" s="1"/>
  <c r="T34" i="73"/>
  <c r="V34" i="73" s="1"/>
  <c r="V33" i="70"/>
  <c r="S34" i="70"/>
  <c r="O36" i="69"/>
  <c r="N36" i="69" s="1"/>
  <c r="S36" i="69" s="1"/>
  <c r="N37" i="70"/>
  <c r="T35" i="68"/>
  <c r="V35" i="68" s="1"/>
  <c r="V33" i="74"/>
  <c r="S34" i="74"/>
  <c r="V34" i="74" s="1"/>
  <c r="U37" i="70"/>
  <c r="Q38" i="70"/>
  <c r="U37" i="71"/>
  <c r="Q38" i="71"/>
  <c r="Q38" i="72"/>
  <c r="U37" i="72"/>
  <c r="AR7" i="31"/>
  <c r="AR5" i="31"/>
  <c r="A35" i="71"/>
  <c r="D35" i="71"/>
  <c r="U37" i="69"/>
  <c r="Q38" i="69"/>
  <c r="D35" i="68"/>
  <c r="C36" i="68"/>
  <c r="O36" i="68" s="1"/>
  <c r="N36" i="68" s="1"/>
  <c r="S36" i="68" s="1"/>
  <c r="A35" i="68"/>
  <c r="B33" i="52" s="1"/>
  <c r="E35" i="71"/>
  <c r="C36" i="71"/>
  <c r="G35" i="71"/>
  <c r="B36" i="71"/>
  <c r="F35" i="71"/>
  <c r="H35" i="71"/>
  <c r="U35" i="74"/>
  <c r="H35" i="74" s="1"/>
  <c r="Q36" i="74"/>
  <c r="Q37" i="73"/>
  <c r="U36" i="73"/>
  <c r="U36" i="68"/>
  <c r="H36" i="68" s="1"/>
  <c r="Q37" i="68"/>
  <c r="F36" i="74"/>
  <c r="B37" i="74"/>
  <c r="C37" i="74"/>
  <c r="G36" i="74"/>
  <c r="E36" i="74"/>
  <c r="A37" i="70"/>
  <c r="D37" i="70"/>
  <c r="D37" i="72"/>
  <c r="A37" i="72"/>
  <c r="B38" i="72"/>
  <c r="E37" i="72"/>
  <c r="C38" i="72"/>
  <c r="H37" i="72"/>
  <c r="F37" i="72"/>
  <c r="G37" i="72"/>
  <c r="D35" i="73"/>
  <c r="A35" i="73"/>
  <c r="H36" i="69"/>
  <c r="C37" i="69"/>
  <c r="B37" i="69"/>
  <c r="G36" i="69"/>
  <c r="F36" i="69"/>
  <c r="E36" i="69"/>
  <c r="A36" i="69"/>
  <c r="D36" i="69"/>
  <c r="G37" i="70"/>
  <c r="B38" i="70"/>
  <c r="F37" i="70"/>
  <c r="H37" i="70"/>
  <c r="C38" i="70"/>
  <c r="E37" i="70"/>
  <c r="E35" i="73"/>
  <c r="C36" i="73"/>
  <c r="B36" i="73"/>
  <c r="H35" i="73"/>
  <c r="F35" i="73"/>
  <c r="G35" i="73"/>
  <c r="E37" i="68"/>
  <c r="B38" i="68"/>
  <c r="G37" i="68"/>
  <c r="F37" i="68"/>
  <c r="D36" i="74"/>
  <c r="A36" i="74"/>
  <c r="S36" i="72" l="1"/>
  <c r="V36" i="72" s="1"/>
  <c r="T37" i="72"/>
  <c r="V46" i="78"/>
  <c r="S47" i="78"/>
  <c r="U48" i="78"/>
  <c r="Q49" i="78"/>
  <c r="O37" i="69"/>
  <c r="N37" i="69" s="1"/>
  <c r="S37" i="69" s="1"/>
  <c r="T35" i="73"/>
  <c r="V35" i="73" s="1"/>
  <c r="T35" i="71"/>
  <c r="V35" i="71" s="1"/>
  <c r="N38" i="70"/>
  <c r="O36" i="73"/>
  <c r="N36" i="73" s="1"/>
  <c r="S36" i="73" s="1"/>
  <c r="O38" i="72"/>
  <c r="N38" i="72" s="1"/>
  <c r="O36" i="71"/>
  <c r="N36" i="71" s="1"/>
  <c r="S36" i="71" s="1"/>
  <c r="T36" i="68"/>
  <c r="O37" i="74"/>
  <c r="N37" i="74" s="1"/>
  <c r="T37" i="70"/>
  <c r="T36" i="69"/>
  <c r="V36" i="69" s="1"/>
  <c r="T36" i="74"/>
  <c r="V34" i="70"/>
  <c r="S35" i="70"/>
  <c r="S35" i="74"/>
  <c r="V35" i="74" s="1"/>
  <c r="U38" i="70"/>
  <c r="Q39" i="70"/>
  <c r="U38" i="72"/>
  <c r="Q39" i="72"/>
  <c r="Q39" i="71"/>
  <c r="U38" i="71"/>
  <c r="AS5" i="31"/>
  <c r="AS7" i="31"/>
  <c r="D36" i="68"/>
  <c r="C37" i="68"/>
  <c r="O37" i="68" s="1"/>
  <c r="N37" i="68" s="1"/>
  <c r="S37" i="68" s="1"/>
  <c r="A36" i="68"/>
  <c r="B34" i="52" s="1"/>
  <c r="U36" i="74"/>
  <c r="H36" i="74" s="1"/>
  <c r="Q37" i="74"/>
  <c r="E36" i="71"/>
  <c r="H36" i="71"/>
  <c r="G36" i="71"/>
  <c r="C37" i="71"/>
  <c r="F36" i="71"/>
  <c r="B37" i="71"/>
  <c r="Q39" i="69"/>
  <c r="U38" i="69"/>
  <c r="A36" i="71"/>
  <c r="D36" i="71"/>
  <c r="V36" i="68"/>
  <c r="U37" i="73"/>
  <c r="Q38" i="73"/>
  <c r="Q38" i="68"/>
  <c r="U37" i="68"/>
  <c r="H37" i="68" s="1"/>
  <c r="C37" i="73"/>
  <c r="H36" i="73"/>
  <c r="G36" i="73"/>
  <c r="F36" i="73"/>
  <c r="E36" i="73"/>
  <c r="B37" i="73"/>
  <c r="H37" i="69"/>
  <c r="F37" i="69"/>
  <c r="B38" i="69"/>
  <c r="G37" i="69"/>
  <c r="C38" i="69"/>
  <c r="E37" i="69"/>
  <c r="A38" i="72"/>
  <c r="D38" i="72"/>
  <c r="G38" i="70"/>
  <c r="C39" i="70"/>
  <c r="F38" i="70"/>
  <c r="H38" i="70"/>
  <c r="B39" i="70"/>
  <c r="E38" i="70"/>
  <c r="A37" i="69"/>
  <c r="D37" i="69"/>
  <c r="F38" i="68"/>
  <c r="B39" i="68"/>
  <c r="G38" i="68"/>
  <c r="E38" i="68"/>
  <c r="A36" i="73"/>
  <c r="D36" i="73"/>
  <c r="A38" i="70"/>
  <c r="D38" i="70"/>
  <c r="C39" i="72"/>
  <c r="B39" i="72"/>
  <c r="G38" i="72"/>
  <c r="E38" i="72"/>
  <c r="H38" i="72"/>
  <c r="F38" i="72"/>
  <c r="D37" i="74"/>
  <c r="A37" i="74"/>
  <c r="B38" i="74"/>
  <c r="C38" i="74"/>
  <c r="G37" i="74"/>
  <c r="F37" i="74"/>
  <c r="E37" i="74"/>
  <c r="S37" i="72" l="1"/>
  <c r="V37" i="72" s="1"/>
  <c r="Q50" i="78"/>
  <c r="U49" i="78"/>
  <c r="V47" i="78"/>
  <c r="S48" i="78"/>
  <c r="T37" i="69"/>
  <c r="V37" i="69" s="1"/>
  <c r="O37" i="73"/>
  <c r="N37" i="73" s="1"/>
  <c r="S37" i="73" s="1"/>
  <c r="T36" i="73"/>
  <c r="V36" i="73" s="1"/>
  <c r="O39" i="72"/>
  <c r="N39" i="72" s="1"/>
  <c r="T38" i="72"/>
  <c r="T36" i="71"/>
  <c r="V36" i="71" s="1"/>
  <c r="O38" i="69"/>
  <c r="N38" i="69" s="1"/>
  <c r="S38" i="69" s="1"/>
  <c r="V35" i="70"/>
  <c r="S36" i="70"/>
  <c r="T37" i="68"/>
  <c r="O38" i="74"/>
  <c r="N38" i="74" s="1"/>
  <c r="N39" i="70"/>
  <c r="O37" i="71"/>
  <c r="N37" i="71" s="1"/>
  <c r="S37" i="71" s="1"/>
  <c r="T37" i="74"/>
  <c r="T38" i="70"/>
  <c r="S36" i="74"/>
  <c r="V36" i="74" s="1"/>
  <c r="U39" i="70"/>
  <c r="Q40" i="70"/>
  <c r="Q40" i="71"/>
  <c r="U39" i="71"/>
  <c r="Q40" i="72"/>
  <c r="U39" i="72"/>
  <c r="AT5" i="31"/>
  <c r="AT7" i="31"/>
  <c r="Q40" i="69"/>
  <c r="U39" i="69"/>
  <c r="E37" i="71"/>
  <c r="H37" i="71"/>
  <c r="F37" i="71"/>
  <c r="B38" i="71"/>
  <c r="C38" i="71"/>
  <c r="G37" i="71"/>
  <c r="A37" i="68"/>
  <c r="B35" i="52" s="1"/>
  <c r="C38" i="68"/>
  <c r="O38" i="68" s="1"/>
  <c r="N38" i="68" s="1"/>
  <c r="S38" i="68" s="1"/>
  <c r="D37" i="68"/>
  <c r="D37" i="71"/>
  <c r="A37" i="71"/>
  <c r="U37" i="74"/>
  <c r="H37" i="74" s="1"/>
  <c r="Q38" i="74"/>
  <c r="V37" i="68"/>
  <c r="U38" i="73"/>
  <c r="Q39" i="73"/>
  <c r="U38" i="68"/>
  <c r="H38" i="68" s="1"/>
  <c r="Q39" i="68"/>
  <c r="A39" i="72"/>
  <c r="D39" i="72"/>
  <c r="D39" i="70"/>
  <c r="A39" i="70"/>
  <c r="E38" i="69"/>
  <c r="G38" i="69"/>
  <c r="C39" i="69"/>
  <c r="B39" i="69"/>
  <c r="H38" i="69"/>
  <c r="F38" i="69"/>
  <c r="G39" i="70"/>
  <c r="E39" i="70"/>
  <c r="F39" i="70"/>
  <c r="H39" i="70"/>
  <c r="B38" i="73"/>
  <c r="F37" i="73"/>
  <c r="C38" i="73"/>
  <c r="G37" i="73"/>
  <c r="E37" i="73"/>
  <c r="H37" i="73"/>
  <c r="A38" i="74"/>
  <c r="D38" i="74"/>
  <c r="D38" i="69"/>
  <c r="A38" i="69"/>
  <c r="C39" i="74"/>
  <c r="B39" i="74"/>
  <c r="E38" i="74"/>
  <c r="F38" i="74"/>
  <c r="G38" i="74"/>
  <c r="G39" i="72"/>
  <c r="F39" i="72"/>
  <c r="H39" i="72"/>
  <c r="E39" i="72"/>
  <c r="E39" i="68"/>
  <c r="G39" i="68"/>
  <c r="F39" i="68"/>
  <c r="A37" i="73"/>
  <c r="D37" i="73"/>
  <c r="S38" i="72" l="1"/>
  <c r="V38" i="72" s="1"/>
  <c r="V48" i="78"/>
  <c r="S49" i="78"/>
  <c r="U50" i="78"/>
  <c r="Q51" i="78"/>
  <c r="O39" i="69"/>
  <c r="N39" i="69" s="1"/>
  <c r="S39" i="69" s="1"/>
  <c r="T37" i="73"/>
  <c r="V37" i="73" s="1"/>
  <c r="T39" i="72"/>
  <c r="T40" i="72" s="1"/>
  <c r="T41" i="72" s="1"/>
  <c r="T42" i="72" s="1"/>
  <c r="T43" i="72" s="1"/>
  <c r="T44" i="72" s="1"/>
  <c r="T45" i="72" s="1"/>
  <c r="T46" i="72" s="1"/>
  <c r="T47" i="72" s="1"/>
  <c r="T48" i="72" s="1"/>
  <c r="T49" i="72" s="1"/>
  <c r="T50" i="72" s="1"/>
  <c r="T51" i="72" s="1"/>
  <c r="T52" i="72" s="1"/>
  <c r="T53" i="72" s="1"/>
  <c r="T54" i="72" s="1"/>
  <c r="T55" i="72" s="1"/>
  <c r="T56" i="72" s="1"/>
  <c r="T57" i="72" s="1"/>
  <c r="T58" i="72" s="1"/>
  <c r="T59" i="72" s="1"/>
  <c r="T60" i="72" s="1"/>
  <c r="T61" i="72" s="1"/>
  <c r="T62" i="72" s="1"/>
  <c r="T63" i="72" s="1"/>
  <c r="O38" i="71"/>
  <c r="N38" i="71" s="1"/>
  <c r="S38" i="71" s="1"/>
  <c r="T39" i="70"/>
  <c r="T40" i="70" s="1"/>
  <c r="T41" i="70" s="1"/>
  <c r="T42" i="70" s="1"/>
  <c r="T43" i="70" s="1"/>
  <c r="T44" i="70" s="1"/>
  <c r="T45" i="70" s="1"/>
  <c r="T46" i="70" s="1"/>
  <c r="T47" i="70" s="1"/>
  <c r="T48" i="70" s="1"/>
  <c r="T49" i="70" s="1"/>
  <c r="T50" i="70" s="1"/>
  <c r="T51" i="70" s="1"/>
  <c r="T52" i="70" s="1"/>
  <c r="T53" i="70" s="1"/>
  <c r="T54" i="70" s="1"/>
  <c r="T55" i="70" s="1"/>
  <c r="T56" i="70" s="1"/>
  <c r="T57" i="70" s="1"/>
  <c r="T58" i="70" s="1"/>
  <c r="T59" i="70" s="1"/>
  <c r="T60" i="70" s="1"/>
  <c r="T61" i="70" s="1"/>
  <c r="T62" i="70" s="1"/>
  <c r="T63" i="70" s="1"/>
  <c r="T37" i="71"/>
  <c r="V37" i="71" s="1"/>
  <c r="T38" i="69"/>
  <c r="V38" i="69" s="1"/>
  <c r="O39" i="74"/>
  <c r="N39" i="74" s="1"/>
  <c r="O38" i="73"/>
  <c r="N38" i="73" s="1"/>
  <c r="S38" i="73" s="1"/>
  <c r="T38" i="74"/>
  <c r="T38" i="68"/>
  <c r="S37" i="70"/>
  <c r="V36" i="70"/>
  <c r="S37" i="74"/>
  <c r="V37" i="74" s="1"/>
  <c r="U40" i="70"/>
  <c r="Q41" i="70"/>
  <c r="U40" i="72"/>
  <c r="Q41" i="72"/>
  <c r="U40" i="71"/>
  <c r="Q41" i="71"/>
  <c r="AU5" i="31"/>
  <c r="AU7" i="31"/>
  <c r="A38" i="68"/>
  <c r="B36" i="52" s="1"/>
  <c r="D38" i="68"/>
  <c r="C39" i="68"/>
  <c r="O39" i="68" s="1"/>
  <c r="N39" i="68" s="1"/>
  <c r="S39" i="68" s="1"/>
  <c r="H38" i="71"/>
  <c r="G38" i="71"/>
  <c r="F38" i="71"/>
  <c r="B39" i="71"/>
  <c r="C39" i="71"/>
  <c r="O39" i="71" s="1"/>
  <c r="N39" i="71" s="1"/>
  <c r="E38" i="71"/>
  <c r="U38" i="74"/>
  <c r="H38" i="74" s="1"/>
  <c r="Q39" i="74"/>
  <c r="Q41" i="69"/>
  <c r="U40" i="69"/>
  <c r="A38" i="71"/>
  <c r="D38" i="71"/>
  <c r="V38" i="68"/>
  <c r="Q40" i="73"/>
  <c r="U39" i="73"/>
  <c r="Q40" i="68"/>
  <c r="U39" i="68"/>
  <c r="H39" i="68" s="1"/>
  <c r="F38" i="73"/>
  <c r="C39" i="73"/>
  <c r="H38" i="73"/>
  <c r="B39" i="73"/>
  <c r="E38" i="73"/>
  <c r="G38" i="73"/>
  <c r="D39" i="74"/>
  <c r="A39" i="74"/>
  <c r="H39" i="69"/>
  <c r="G39" i="69"/>
  <c r="F39" i="69"/>
  <c r="E39" i="69"/>
  <c r="D38" i="73"/>
  <c r="A38" i="73"/>
  <c r="D39" i="69"/>
  <c r="A39" i="69"/>
  <c r="G39" i="74"/>
  <c r="E39" i="74"/>
  <c r="F39" i="74"/>
  <c r="S39" i="72" l="1"/>
  <c r="U51" i="78"/>
  <c r="Q52" i="78"/>
  <c r="V49" i="78"/>
  <c r="S50" i="78"/>
  <c r="T39" i="68"/>
  <c r="T40" i="68" s="1"/>
  <c r="T41" i="68" s="1"/>
  <c r="T42" i="68" s="1"/>
  <c r="T43" i="68" s="1"/>
  <c r="T44" i="68" s="1"/>
  <c r="T45" i="68" s="1"/>
  <c r="T46" i="68" s="1"/>
  <c r="T47" i="68" s="1"/>
  <c r="T48" i="68" s="1"/>
  <c r="T49" i="68" s="1"/>
  <c r="T50" i="68" s="1"/>
  <c r="T51" i="68" s="1"/>
  <c r="T52" i="68" s="1"/>
  <c r="T53" i="68" s="1"/>
  <c r="T54" i="68" s="1"/>
  <c r="T55" i="68" s="1"/>
  <c r="T56" i="68" s="1"/>
  <c r="T57" i="68" s="1"/>
  <c r="T58" i="68" s="1"/>
  <c r="T59" i="68" s="1"/>
  <c r="T60" i="68" s="1"/>
  <c r="T61" i="68" s="1"/>
  <c r="T62" i="68" s="1"/>
  <c r="T63" i="68" s="1"/>
  <c r="S39" i="71"/>
  <c r="T39" i="69"/>
  <c r="T40" i="69" s="1"/>
  <c r="T41" i="69" s="1"/>
  <c r="T42" i="69" s="1"/>
  <c r="T43" i="69" s="1"/>
  <c r="T44" i="69" s="1"/>
  <c r="T45" i="69" s="1"/>
  <c r="T46" i="69" s="1"/>
  <c r="T47" i="69" s="1"/>
  <c r="T48" i="69" s="1"/>
  <c r="T49" i="69" s="1"/>
  <c r="T50" i="69" s="1"/>
  <c r="T51" i="69" s="1"/>
  <c r="T52" i="69" s="1"/>
  <c r="T53" i="69" s="1"/>
  <c r="T54" i="69" s="1"/>
  <c r="T55" i="69" s="1"/>
  <c r="T56" i="69" s="1"/>
  <c r="T57" i="69" s="1"/>
  <c r="T58" i="69" s="1"/>
  <c r="T59" i="69" s="1"/>
  <c r="T60" i="69" s="1"/>
  <c r="T61" i="69" s="1"/>
  <c r="T62" i="69" s="1"/>
  <c r="T63" i="69" s="1"/>
  <c r="T38" i="71"/>
  <c r="T39" i="71" s="1"/>
  <c r="T40" i="71" s="1"/>
  <c r="T41" i="71" s="1"/>
  <c r="T42" i="71" s="1"/>
  <c r="T43" i="71" s="1"/>
  <c r="T44" i="71" s="1"/>
  <c r="T45" i="71" s="1"/>
  <c r="T46" i="71" s="1"/>
  <c r="T47" i="71" s="1"/>
  <c r="T48" i="71" s="1"/>
  <c r="T49" i="71" s="1"/>
  <c r="T50" i="71" s="1"/>
  <c r="T51" i="71" s="1"/>
  <c r="T52" i="71" s="1"/>
  <c r="T53" i="71" s="1"/>
  <c r="T54" i="71" s="1"/>
  <c r="T55" i="71" s="1"/>
  <c r="T56" i="71" s="1"/>
  <c r="T57" i="71" s="1"/>
  <c r="T58" i="71" s="1"/>
  <c r="T59" i="71" s="1"/>
  <c r="T60" i="71" s="1"/>
  <c r="T61" i="71" s="1"/>
  <c r="T62" i="71" s="1"/>
  <c r="T63" i="71" s="1"/>
  <c r="S40" i="69"/>
  <c r="O39" i="73"/>
  <c r="N39" i="73" s="1"/>
  <c r="S39" i="73" s="1"/>
  <c r="T38" i="73"/>
  <c r="V38" i="73" s="1"/>
  <c r="T39" i="74"/>
  <c r="T40" i="74" s="1"/>
  <c r="T41" i="74" s="1"/>
  <c r="T42" i="74" s="1"/>
  <c r="T43" i="74" s="1"/>
  <c r="T44" i="74" s="1"/>
  <c r="T45" i="74" s="1"/>
  <c r="T46" i="74" s="1"/>
  <c r="T47" i="74" s="1"/>
  <c r="T48" i="74" s="1"/>
  <c r="T49" i="74" s="1"/>
  <c r="T50" i="74" s="1"/>
  <c r="T51" i="74" s="1"/>
  <c r="T52" i="74" s="1"/>
  <c r="T53" i="74" s="1"/>
  <c r="T54" i="74" s="1"/>
  <c r="T55" i="74" s="1"/>
  <c r="T56" i="74" s="1"/>
  <c r="T57" i="74" s="1"/>
  <c r="T58" i="74" s="1"/>
  <c r="T59" i="74" s="1"/>
  <c r="T60" i="74" s="1"/>
  <c r="T61" i="74" s="1"/>
  <c r="T62" i="74" s="1"/>
  <c r="T63" i="74" s="1"/>
  <c r="V37" i="70"/>
  <c r="S38" i="70"/>
  <c r="S38" i="74"/>
  <c r="Q42" i="70"/>
  <c r="U41" i="70"/>
  <c r="U41" i="71"/>
  <c r="Q42" i="71"/>
  <c r="U41" i="72"/>
  <c r="Q42" i="72"/>
  <c r="AV5" i="31"/>
  <c r="AV7" i="31"/>
  <c r="Q42" i="69"/>
  <c r="U41" i="69"/>
  <c r="D39" i="68"/>
  <c r="A39" i="68"/>
  <c r="D39" i="71"/>
  <c r="A39" i="71"/>
  <c r="U39" i="74"/>
  <c r="H39" i="74" s="1"/>
  <c r="Q40" i="74"/>
  <c r="E39" i="71"/>
  <c r="H39" i="71"/>
  <c r="F39" i="71"/>
  <c r="G39" i="71"/>
  <c r="S40" i="68"/>
  <c r="Q41" i="73"/>
  <c r="U40" i="73"/>
  <c r="U40" i="68"/>
  <c r="Q41" i="68"/>
  <c r="F39" i="73"/>
  <c r="H39" i="73"/>
  <c r="E39" i="73"/>
  <c r="G39" i="73"/>
  <c r="D39" i="73"/>
  <c r="A39" i="73"/>
  <c r="V39" i="68" l="1"/>
  <c r="V39" i="71"/>
  <c r="V38" i="71"/>
  <c r="V39" i="69"/>
  <c r="S40" i="72"/>
  <c r="V39" i="72"/>
  <c r="V50" i="78"/>
  <c r="S51" i="78"/>
  <c r="U52" i="78"/>
  <c r="Q53" i="78"/>
  <c r="S40" i="71"/>
  <c r="S41" i="71" s="1"/>
  <c r="S42" i="71" s="1"/>
  <c r="V40" i="69"/>
  <c r="S41" i="69"/>
  <c r="S40" i="73"/>
  <c r="T39" i="73"/>
  <c r="T40" i="73" s="1"/>
  <c r="T41" i="73" s="1"/>
  <c r="T42" i="73" s="1"/>
  <c r="T43" i="73" s="1"/>
  <c r="T44" i="73" s="1"/>
  <c r="T45" i="73" s="1"/>
  <c r="T46" i="73" s="1"/>
  <c r="T47" i="73" s="1"/>
  <c r="T48" i="73" s="1"/>
  <c r="T49" i="73" s="1"/>
  <c r="T50" i="73" s="1"/>
  <c r="T51" i="73" s="1"/>
  <c r="T52" i="73" s="1"/>
  <c r="T53" i="73" s="1"/>
  <c r="T54" i="73" s="1"/>
  <c r="T55" i="73" s="1"/>
  <c r="T56" i="73" s="1"/>
  <c r="T57" i="73" s="1"/>
  <c r="T58" i="73" s="1"/>
  <c r="T59" i="73" s="1"/>
  <c r="T60" i="73" s="1"/>
  <c r="T61" i="73" s="1"/>
  <c r="T62" i="73" s="1"/>
  <c r="T63" i="73" s="1"/>
  <c r="S39" i="70"/>
  <c r="V38" i="70"/>
  <c r="S39" i="74"/>
  <c r="V38" i="74"/>
  <c r="Q43" i="70"/>
  <c r="U42" i="70"/>
  <c r="U42" i="72"/>
  <c r="Q43" i="72"/>
  <c r="U42" i="71"/>
  <c r="Q43" i="71"/>
  <c r="AW7" i="31"/>
  <c r="AW5" i="31"/>
  <c r="Q41" i="74"/>
  <c r="U40" i="74"/>
  <c r="B37" i="52"/>
  <c r="U42" i="69"/>
  <c r="Q43" i="69"/>
  <c r="S41" i="68"/>
  <c r="V40" i="68"/>
  <c r="U41" i="73"/>
  <c r="Q42" i="73"/>
  <c r="Q42" i="68"/>
  <c r="U41" i="68"/>
  <c r="V40" i="73" l="1"/>
  <c r="V39" i="73"/>
  <c r="V40" i="72"/>
  <c r="S41" i="72"/>
  <c r="V41" i="71"/>
  <c r="V40" i="71"/>
  <c r="Y39" i="73"/>
  <c r="Z39" i="78"/>
  <c r="AA39" i="78" s="1"/>
  <c r="Z6" i="78"/>
  <c r="AA6" i="78" s="1"/>
  <c r="Y5" i="78"/>
  <c r="Y39" i="78"/>
  <c r="Y6" i="78"/>
  <c r="X6" i="78"/>
  <c r="X39" i="78"/>
  <c r="X12" i="78"/>
  <c r="Y59" i="78"/>
  <c r="Y54" i="78"/>
  <c r="Y17" i="78"/>
  <c r="X48" i="78"/>
  <c r="X53" i="78"/>
  <c r="Z14" i="78"/>
  <c r="AA14" i="78" s="1"/>
  <c r="X21" i="78"/>
  <c r="Z16" i="78"/>
  <c r="AA16" i="78" s="1"/>
  <c r="X36" i="78"/>
  <c r="X17" i="78"/>
  <c r="X42" i="78"/>
  <c r="Z12" i="78"/>
  <c r="AA12" i="78" s="1"/>
  <c r="Y51" i="78"/>
  <c r="Y36" i="78"/>
  <c r="X50" i="78"/>
  <c r="X59" i="78"/>
  <c r="Z48" i="78"/>
  <c r="AA48" i="78" s="1"/>
  <c r="Z40" i="78"/>
  <c r="AA40" i="78" s="1"/>
  <c r="Y40" i="78"/>
  <c r="Y25" i="78"/>
  <c r="Y55" i="78"/>
  <c r="X44" i="78"/>
  <c r="X4" i="78"/>
  <c r="X15" i="78"/>
  <c r="Y57" i="78"/>
  <c r="Z46" i="78"/>
  <c r="AA46" i="78" s="1"/>
  <c r="X54" i="78"/>
  <c r="Z63" i="78"/>
  <c r="AA63" i="78" s="1"/>
  <c r="Z52" i="78"/>
  <c r="AA52" i="78" s="1"/>
  <c r="Z37" i="78"/>
  <c r="AA37" i="78" s="1"/>
  <c r="X13" i="78"/>
  <c r="Z15" i="78"/>
  <c r="AA15" i="78" s="1"/>
  <c r="Y9" i="78"/>
  <c r="Y37" i="78"/>
  <c r="Y49" i="78"/>
  <c r="X33" i="78"/>
  <c r="Y8" i="78"/>
  <c r="X18" i="78"/>
  <c r="X29" i="78"/>
  <c r="Z62" i="78"/>
  <c r="AA62" i="78" s="1"/>
  <c r="X26" i="78"/>
  <c r="Z26" i="78"/>
  <c r="AA26" i="78" s="1"/>
  <c r="X51" i="78"/>
  <c r="Z47" i="78"/>
  <c r="AA47" i="78" s="1"/>
  <c r="Y61" i="78"/>
  <c r="Y26" i="78"/>
  <c r="Y13" i="78"/>
  <c r="Z57" i="78"/>
  <c r="AA57" i="78" s="1"/>
  <c r="Z35" i="78"/>
  <c r="AA35" i="78" s="1"/>
  <c r="Y19" i="78"/>
  <c r="Z7" i="78"/>
  <c r="AA7" i="78" s="1"/>
  <c r="Y60" i="78"/>
  <c r="X58" i="78"/>
  <c r="Y56" i="78"/>
  <c r="Z38" i="78"/>
  <c r="AA38" i="78" s="1"/>
  <c r="X55" i="78"/>
  <c r="Y22" i="78"/>
  <c r="Y7" i="78"/>
  <c r="Y32" i="78"/>
  <c r="X30" i="78"/>
  <c r="Y12" i="78"/>
  <c r="Y27" i="78"/>
  <c r="X34" i="78"/>
  <c r="X49" i="78"/>
  <c r="Z25" i="78"/>
  <c r="AA25" i="78" s="1"/>
  <c r="X47" i="78"/>
  <c r="X8" i="78"/>
  <c r="Z41" i="78"/>
  <c r="AA41" i="78" s="1"/>
  <c r="Y38" i="78"/>
  <c r="X46" i="78"/>
  <c r="X20" i="78"/>
  <c r="Z18" i="78"/>
  <c r="AA18" i="78" s="1"/>
  <c r="X16" i="78"/>
  <c r="Y45" i="78"/>
  <c r="Y15" i="78"/>
  <c r="Y31" i="78"/>
  <c r="Z42" i="78"/>
  <c r="AA42" i="78" s="1"/>
  <c r="Z31" i="78"/>
  <c r="AA31" i="78" s="1"/>
  <c r="X10" i="78"/>
  <c r="Z56" i="78"/>
  <c r="AA56" i="78" s="1"/>
  <c r="Y4" i="78"/>
  <c r="Y24" i="78"/>
  <c r="Y42" i="78"/>
  <c r="X43" i="78"/>
  <c r="Z10" i="78"/>
  <c r="AA10" i="78" s="1"/>
  <c r="X63" i="78"/>
  <c r="Z23" i="78"/>
  <c r="AA23" i="78" s="1"/>
  <c r="Z43" i="78"/>
  <c r="AA43" i="78" s="1"/>
  <c r="X23" i="78"/>
  <c r="X27" i="78"/>
  <c r="Y50" i="78"/>
  <c r="X24" i="78"/>
  <c r="X11" i="78"/>
  <c r="X31" i="78"/>
  <c r="Z59" i="78"/>
  <c r="AA59" i="78" s="1"/>
  <c r="Y58" i="78"/>
  <c r="X14" i="78"/>
  <c r="X41" i="78"/>
  <c r="Y20" i="78"/>
  <c r="Z61" i="78"/>
  <c r="AA61" i="78" s="1"/>
  <c r="X62" i="78"/>
  <c r="X32" i="78"/>
  <c r="X5" i="78"/>
  <c r="Z4" i="78"/>
  <c r="AA4" i="78" s="1"/>
  <c r="Z58" i="78"/>
  <c r="AA58" i="78" s="1"/>
  <c r="X7" i="78"/>
  <c r="Y30" i="78"/>
  <c r="Y41" i="78"/>
  <c r="X57" i="78"/>
  <c r="Y48" i="78"/>
  <c r="X56" i="78"/>
  <c r="X52" i="78"/>
  <c r="Y16" i="78"/>
  <c r="Z11" i="78"/>
  <c r="AA11" i="78" s="1"/>
  <c r="Y11" i="78"/>
  <c r="Z51" i="78"/>
  <c r="AA51" i="78" s="1"/>
  <c r="Z24" i="78"/>
  <c r="AA24" i="78" s="1"/>
  <c r="Z32" i="78"/>
  <c r="AA32" i="78" s="1"/>
  <c r="Z29" i="78"/>
  <c r="AA29" i="78" s="1"/>
  <c r="Y63" i="78"/>
  <c r="Y28" i="78"/>
  <c r="Z53" i="78"/>
  <c r="AA53" i="78" s="1"/>
  <c r="Z55" i="78"/>
  <c r="AA55" i="78" s="1"/>
  <c r="Z20" i="78"/>
  <c r="AA20" i="78" s="1"/>
  <c r="Z33" i="78"/>
  <c r="AA33" i="78" s="1"/>
  <c r="Y53" i="78"/>
  <c r="Z19" i="78"/>
  <c r="AA19" i="78" s="1"/>
  <c r="Z27" i="78"/>
  <c r="AA27" i="78" s="1"/>
  <c r="Z5" i="78"/>
  <c r="AA5" i="78" s="1"/>
  <c r="Y44" i="78"/>
  <c r="X38" i="78"/>
  <c r="Y29" i="78"/>
  <c r="Y52" i="78"/>
  <c r="X9" i="78"/>
  <c r="Z36" i="78"/>
  <c r="AA36" i="78" s="1"/>
  <c r="Z50" i="78"/>
  <c r="AA50" i="78" s="1"/>
  <c r="Z28" i="78"/>
  <c r="AA28" i="78" s="1"/>
  <c r="Y14" i="78"/>
  <c r="Y35" i="78"/>
  <c r="X19" i="78"/>
  <c r="Z8" i="78"/>
  <c r="AA8" i="78" s="1"/>
  <c r="X37" i="78"/>
  <c r="Z54" i="78"/>
  <c r="AA54" i="78" s="1"/>
  <c r="X22" i="78"/>
  <c r="Y21" i="78"/>
  <c r="Y23" i="78"/>
  <c r="X35" i="78"/>
  <c r="Z21" i="78"/>
  <c r="AA21" i="78" s="1"/>
  <c r="Z44" i="78"/>
  <c r="AA44" i="78" s="1"/>
  <c r="Y46" i="78"/>
  <c r="Z13" i="78"/>
  <c r="AA13" i="78" s="1"/>
  <c r="X40" i="78"/>
  <c r="Y34" i="78"/>
  <c r="Z9" i="78"/>
  <c r="AA9" i="78" s="1"/>
  <c r="X45" i="78"/>
  <c r="X25" i="78"/>
  <c r="X61" i="78"/>
  <c r="X28" i="78"/>
  <c r="Y47" i="78"/>
  <c r="Z17" i="78"/>
  <c r="AA17" i="78" s="1"/>
  <c r="Y33" i="78"/>
  <c r="Y10" i="78"/>
  <c r="Z49" i="78"/>
  <c r="AA49" i="78" s="1"/>
  <c r="Y43" i="78"/>
  <c r="X60" i="78"/>
  <c r="Z45" i="78"/>
  <c r="AA45" i="78" s="1"/>
  <c r="Y18" i="78"/>
  <c r="Z22" i="78"/>
  <c r="AA22" i="78" s="1"/>
  <c r="Z34" i="78"/>
  <c r="AA34" i="78" s="1"/>
  <c r="Y62" i="78"/>
  <c r="Z60" i="78"/>
  <c r="AA60" i="78" s="1"/>
  <c r="Z30" i="78"/>
  <c r="AA30" i="78" s="1"/>
  <c r="Q54" i="78"/>
  <c r="U53" i="78"/>
  <c r="V51" i="78"/>
  <c r="S52" i="78"/>
  <c r="X39" i="71"/>
  <c r="Z39" i="73"/>
  <c r="AA39" i="73" s="1"/>
  <c r="AC39" i="73" s="1"/>
  <c r="Y39" i="71"/>
  <c r="X39" i="73"/>
  <c r="V41" i="69"/>
  <c r="S42" i="69"/>
  <c r="X39" i="68"/>
  <c r="Z4" i="69"/>
  <c r="AA4" i="69" s="1"/>
  <c r="X4" i="74"/>
  <c r="Y4" i="71"/>
  <c r="X4" i="72"/>
  <c r="Y4" i="73"/>
  <c r="Y4" i="69"/>
  <c r="Z4" i="70"/>
  <c r="AA4" i="70" s="1"/>
  <c r="X4" i="73"/>
  <c r="Z4" i="74"/>
  <c r="X4" i="69"/>
  <c r="Z4" i="72"/>
  <c r="AA4" i="72" s="1"/>
  <c r="Y4" i="74"/>
  <c r="Y4" i="72"/>
  <c r="Z4" i="71"/>
  <c r="AA4" i="71" s="1"/>
  <c r="X4" i="71"/>
  <c r="X4" i="70"/>
  <c r="Z4" i="73"/>
  <c r="AA4" i="73" s="1"/>
  <c r="Y4" i="70"/>
  <c r="Z40" i="71"/>
  <c r="AA40" i="71" s="1"/>
  <c r="X49" i="72"/>
  <c r="Y49" i="73"/>
  <c r="X46" i="71"/>
  <c r="Z60" i="73"/>
  <c r="AA60" i="73" s="1"/>
  <c r="X58" i="71"/>
  <c r="Y62" i="71"/>
  <c r="X61" i="69"/>
  <c r="Y43" i="69"/>
  <c r="Y51" i="72"/>
  <c r="X55" i="72"/>
  <c r="X47" i="69"/>
  <c r="Y42" i="71"/>
  <c r="Y45" i="71"/>
  <c r="Z52" i="72"/>
  <c r="AA52" i="72" s="1"/>
  <c r="X46" i="72"/>
  <c r="X48" i="71"/>
  <c r="Z56" i="71"/>
  <c r="AA56" i="71" s="1"/>
  <c r="X52" i="72"/>
  <c r="Z48" i="72"/>
  <c r="AA48" i="72" s="1"/>
  <c r="Y62" i="69"/>
  <c r="Z45" i="69"/>
  <c r="AA45" i="69" s="1"/>
  <c r="Y60" i="69"/>
  <c r="Z55" i="73"/>
  <c r="AA55" i="73" s="1"/>
  <c r="X56" i="72"/>
  <c r="Y43" i="72"/>
  <c r="X44" i="69"/>
  <c r="Z57" i="73"/>
  <c r="AA57" i="73" s="1"/>
  <c r="Y50" i="72"/>
  <c r="X60" i="69"/>
  <c r="X48" i="72"/>
  <c r="X60" i="71"/>
  <c r="Z58" i="72"/>
  <c r="AA58" i="72" s="1"/>
  <c r="Z52" i="69"/>
  <c r="AA52" i="69" s="1"/>
  <c r="Y44" i="71"/>
  <c r="Z63" i="72"/>
  <c r="AA63" i="72" s="1"/>
  <c r="Z50" i="71"/>
  <c r="AA50" i="71" s="1"/>
  <c r="Y54" i="69"/>
  <c r="X57" i="69"/>
  <c r="X44" i="70"/>
  <c r="X56" i="71"/>
  <c r="Z43" i="71"/>
  <c r="AA43" i="71" s="1"/>
  <c r="Z53" i="72"/>
  <c r="AA53" i="72" s="1"/>
  <c r="X49" i="69"/>
  <c r="Z46" i="71"/>
  <c r="AA46" i="71" s="1"/>
  <c r="Y57" i="69"/>
  <c r="X50" i="72"/>
  <c r="Z46" i="72"/>
  <c r="AA46" i="72" s="1"/>
  <c r="X53" i="69"/>
  <c r="Y46" i="71"/>
  <c r="Y63" i="71"/>
  <c r="Z61" i="69"/>
  <c r="AA61" i="69" s="1"/>
  <c r="Z55" i="72"/>
  <c r="AA55" i="72" s="1"/>
  <c r="X63" i="71"/>
  <c r="Z59" i="73"/>
  <c r="AA59" i="73" s="1"/>
  <c r="Y44" i="69"/>
  <c r="X59" i="72"/>
  <c r="Y42" i="72"/>
  <c r="Y61" i="69"/>
  <c r="X40" i="73"/>
  <c r="Z57" i="72"/>
  <c r="AA57" i="72" s="1"/>
  <c r="Y40" i="72"/>
  <c r="Y54" i="71"/>
  <c r="Z44" i="73"/>
  <c r="AA44" i="73" s="1"/>
  <c r="Y40" i="71"/>
  <c r="Z49" i="72"/>
  <c r="AA49" i="72" s="1"/>
  <c r="Z43" i="72"/>
  <c r="AA43" i="72" s="1"/>
  <c r="X43" i="72"/>
  <c r="Z54" i="71"/>
  <c r="AA54" i="71" s="1"/>
  <c r="Y49" i="71"/>
  <c r="Z55" i="71"/>
  <c r="AA55" i="71" s="1"/>
  <c r="Z41" i="73"/>
  <c r="AA41" i="73" s="1"/>
  <c r="X47" i="71"/>
  <c r="Y6" i="72"/>
  <c r="X50" i="71"/>
  <c r="Y54" i="72"/>
  <c r="Z52" i="73"/>
  <c r="AA52" i="73" s="1"/>
  <c r="Z48" i="71"/>
  <c r="AA48" i="71" s="1"/>
  <c r="Y52" i="72"/>
  <c r="Z61" i="72"/>
  <c r="AA61" i="72" s="1"/>
  <c r="Y42" i="73"/>
  <c r="Y49" i="69"/>
  <c r="Z6" i="72"/>
  <c r="AA6" i="72" s="1"/>
  <c r="Z62" i="71"/>
  <c r="AA62" i="71" s="1"/>
  <c r="X51" i="71"/>
  <c r="X44" i="72"/>
  <c r="X60" i="73"/>
  <c r="X53" i="71"/>
  <c r="Y45" i="72"/>
  <c r="Y59" i="72"/>
  <c r="X49" i="73"/>
  <c r="Z54" i="72"/>
  <c r="AA54" i="72" s="1"/>
  <c r="Z53" i="74"/>
  <c r="AA53" i="74" s="1"/>
  <c r="Z63" i="71"/>
  <c r="AA63" i="71" s="1"/>
  <c r="X45" i="71"/>
  <c r="Z62" i="73"/>
  <c r="AA62" i="73" s="1"/>
  <c r="Y57" i="72"/>
  <c r="Y58" i="71"/>
  <c r="Y53" i="71"/>
  <c r="Z45" i="72"/>
  <c r="AA45" i="72" s="1"/>
  <c r="Y41" i="73"/>
  <c r="X6" i="72"/>
  <c r="Z42" i="73"/>
  <c r="AA42" i="73" s="1"/>
  <c r="Z44" i="71"/>
  <c r="AA44" i="71" s="1"/>
  <c r="Z53" i="71"/>
  <c r="AA53" i="71" s="1"/>
  <c r="X62" i="71"/>
  <c r="X63" i="72"/>
  <c r="X57" i="73"/>
  <c r="Y61" i="72"/>
  <c r="Z59" i="71"/>
  <c r="AA59" i="71" s="1"/>
  <c r="X62" i="69"/>
  <c r="Y47" i="72"/>
  <c r="X61" i="72"/>
  <c r="Z42" i="71"/>
  <c r="AA42" i="71" s="1"/>
  <c r="Z44" i="69"/>
  <c r="AA44" i="69" s="1"/>
  <c r="Y62" i="72"/>
  <c r="Z51" i="71"/>
  <c r="AA51" i="71" s="1"/>
  <c r="X58" i="72"/>
  <c r="X41" i="72"/>
  <c r="Z57" i="71"/>
  <c r="AA57" i="71" s="1"/>
  <c r="X61" i="71"/>
  <c r="Y52" i="73"/>
  <c r="Z42" i="72"/>
  <c r="AA42" i="72" s="1"/>
  <c r="Z49" i="71"/>
  <c r="AA49" i="71" s="1"/>
  <c r="Z60" i="71"/>
  <c r="AA60" i="71" s="1"/>
  <c r="X41" i="71"/>
  <c r="X43" i="69"/>
  <c r="Y62" i="73"/>
  <c r="Y52" i="69"/>
  <c r="Z62" i="72"/>
  <c r="AA62" i="72" s="1"/>
  <c r="X41" i="73"/>
  <c r="Y47" i="71"/>
  <c r="Y56" i="71"/>
  <c r="X45" i="69"/>
  <c r="Z41" i="71"/>
  <c r="AA41" i="71" s="1"/>
  <c r="Z48" i="74"/>
  <c r="AA48" i="74" s="1"/>
  <c r="Y46" i="72"/>
  <c r="X45" i="72"/>
  <c r="Z45" i="71"/>
  <c r="AA45" i="71" s="1"/>
  <c r="Y40" i="73"/>
  <c r="Z5" i="72"/>
  <c r="AA5" i="72" s="1"/>
  <c r="Z43" i="69"/>
  <c r="AA43" i="69" s="1"/>
  <c r="X55" i="69"/>
  <c r="X44" i="73"/>
  <c r="Y63" i="72"/>
  <c r="X5" i="72"/>
  <c r="Y58" i="72"/>
  <c r="Z60" i="72"/>
  <c r="AA60" i="72" s="1"/>
  <c r="Y50" i="71"/>
  <c r="Y53" i="72"/>
  <c r="Z52" i="71"/>
  <c r="AA52" i="71" s="1"/>
  <c r="X54" i="72"/>
  <c r="X42" i="73"/>
  <c r="Z44" i="72"/>
  <c r="AA44" i="72" s="1"/>
  <c r="X47" i="72"/>
  <c r="X59" i="73"/>
  <c r="X55" i="73"/>
  <c r="Z41" i="72"/>
  <c r="AA41" i="72" s="1"/>
  <c r="Z57" i="69"/>
  <c r="AA57" i="69" s="1"/>
  <c r="Z50" i="72"/>
  <c r="AA50" i="72" s="1"/>
  <c r="X60" i="72"/>
  <c r="Y59" i="71"/>
  <c r="Z58" i="71"/>
  <c r="AA58" i="71" s="1"/>
  <c r="Y52" i="71"/>
  <c r="X53" i="72"/>
  <c r="Y59" i="73"/>
  <c r="X54" i="71"/>
  <c r="Z54" i="73"/>
  <c r="AA54" i="73" s="1"/>
  <c r="Z40" i="72"/>
  <c r="AA40" i="72" s="1"/>
  <c r="Z47" i="69"/>
  <c r="AA47" i="69" s="1"/>
  <c r="Y40" i="69"/>
  <c r="Y54" i="73"/>
  <c r="Y56" i="72"/>
  <c r="X48" i="74"/>
  <c r="Z40" i="73"/>
  <c r="AA40" i="73" s="1"/>
  <c r="Y60" i="71"/>
  <c r="Y55" i="71"/>
  <c r="Z61" i="71"/>
  <c r="AA61" i="71" s="1"/>
  <c r="X42" i="72"/>
  <c r="Y5" i="72"/>
  <c r="Z44" i="70"/>
  <c r="AA44" i="70" s="1"/>
  <c r="X40" i="69"/>
  <c r="Y55" i="69"/>
  <c r="X51" i="72"/>
  <c r="Y55" i="73"/>
  <c r="Z53" i="69"/>
  <c r="AA53" i="69" s="1"/>
  <c r="Z49" i="73"/>
  <c r="AA49" i="73" s="1"/>
  <c r="Z49" i="69"/>
  <c r="AA49" i="69" s="1"/>
  <c r="Y60" i="73"/>
  <c r="Y51" i="71"/>
  <c r="X54" i="73"/>
  <c r="Y44" i="70"/>
  <c r="Y48" i="71"/>
  <c r="X57" i="72"/>
  <c r="Y44" i="73"/>
  <c r="Z59" i="72"/>
  <c r="AA59" i="72" s="1"/>
  <c r="X52" i="69"/>
  <c r="Y61" i="71"/>
  <c r="Z6" i="73"/>
  <c r="AA6" i="73" s="1"/>
  <c r="Z56" i="72"/>
  <c r="AA56" i="72" s="1"/>
  <c r="Y45" i="69"/>
  <c r="X62" i="72"/>
  <c r="Z40" i="69"/>
  <c r="AA40" i="69" s="1"/>
  <c r="Z54" i="69"/>
  <c r="AA54" i="69" s="1"/>
  <c r="X55" i="71"/>
  <c r="X42" i="71"/>
  <c r="Y43" i="71"/>
  <c r="X54" i="69"/>
  <c r="Y57" i="71"/>
  <c r="Y53" i="74"/>
  <c r="X40" i="71"/>
  <c r="X40" i="72"/>
  <c r="X44" i="71"/>
  <c r="Y57" i="73"/>
  <c r="Y48" i="74"/>
  <c r="Y53" i="69"/>
  <c r="X43" i="71"/>
  <c r="X52" i="71"/>
  <c r="X50" i="69"/>
  <c r="Z55" i="69"/>
  <c r="AA55" i="69" s="1"/>
  <c r="Y56" i="74"/>
  <c r="Z53" i="73"/>
  <c r="AA53" i="73" s="1"/>
  <c r="Y55" i="70"/>
  <c r="Z51" i="74"/>
  <c r="AA51" i="74" s="1"/>
  <c r="Z7" i="72"/>
  <c r="AA7" i="72" s="1"/>
  <c r="Z45" i="74"/>
  <c r="AA45" i="74" s="1"/>
  <c r="Y63" i="69"/>
  <c r="Z7" i="74"/>
  <c r="AA7" i="74" s="1"/>
  <c r="X61" i="74"/>
  <c r="Y41" i="74"/>
  <c r="Z57" i="70"/>
  <c r="AA57" i="70" s="1"/>
  <c r="Z56" i="70"/>
  <c r="AA56" i="70" s="1"/>
  <c r="X53" i="73"/>
  <c r="Y56" i="73"/>
  <c r="X8" i="72"/>
  <c r="Y58" i="70"/>
  <c r="X58" i="74"/>
  <c r="X61" i="70"/>
  <c r="Z7" i="69"/>
  <c r="AA7" i="69" s="1"/>
  <c r="Z41" i="70"/>
  <c r="AA41" i="70" s="1"/>
  <c r="Z45" i="70"/>
  <c r="AA45" i="70" s="1"/>
  <c r="Z48" i="69"/>
  <c r="AA48" i="69" s="1"/>
  <c r="X48" i="70"/>
  <c r="Y59" i="70"/>
  <c r="Z62" i="69"/>
  <c r="AA62" i="69" s="1"/>
  <c r="Y41" i="71"/>
  <c r="Y47" i="69"/>
  <c r="Y43" i="74"/>
  <c r="X58" i="70"/>
  <c r="Y45" i="70"/>
  <c r="Y59" i="69"/>
  <c r="Y61" i="70"/>
  <c r="Z62" i="74"/>
  <c r="AA62" i="74" s="1"/>
  <c r="Z58" i="73"/>
  <c r="AA58" i="73" s="1"/>
  <c r="X10" i="70"/>
  <c r="Z59" i="69"/>
  <c r="AA59" i="69" s="1"/>
  <c r="Z56" i="74"/>
  <c r="AA56" i="74" s="1"/>
  <c r="Z44" i="74"/>
  <c r="AA44" i="74" s="1"/>
  <c r="X56" i="69"/>
  <c r="Z55" i="74"/>
  <c r="AA55" i="74" s="1"/>
  <c r="Z51" i="70"/>
  <c r="AA51" i="70" s="1"/>
  <c r="Y40" i="70"/>
  <c r="Y42" i="74"/>
  <c r="Y48" i="73"/>
  <c r="Y61" i="73"/>
  <c r="X5" i="73"/>
  <c r="Z51" i="73"/>
  <c r="AA51" i="73" s="1"/>
  <c r="Y50" i="74"/>
  <c r="Y41" i="72"/>
  <c r="X49" i="71"/>
  <c r="Y48" i="72"/>
  <c r="Y60" i="70"/>
  <c r="Z59" i="70"/>
  <c r="AA59" i="70" s="1"/>
  <c r="Z42" i="69"/>
  <c r="AA42" i="69" s="1"/>
  <c r="Y58" i="74"/>
  <c r="X57" i="70"/>
  <c r="Z46" i="73"/>
  <c r="AA46" i="73" s="1"/>
  <c r="Y46" i="74"/>
  <c r="Y53" i="70"/>
  <c r="Z49" i="70"/>
  <c r="AA49" i="70" s="1"/>
  <c r="X42" i="69"/>
  <c r="Y48" i="70"/>
  <c r="Z6" i="71"/>
  <c r="AA6" i="71" s="1"/>
  <c r="X49" i="74"/>
  <c r="Y6" i="70"/>
  <c r="X48" i="73"/>
  <c r="Y8" i="72"/>
  <c r="Z48" i="73"/>
  <c r="AA48" i="73" s="1"/>
  <c r="Y46" i="69"/>
  <c r="X56" i="70"/>
  <c r="Z45" i="73"/>
  <c r="AA45" i="73" s="1"/>
  <c r="X49" i="70"/>
  <c r="X40" i="70"/>
  <c r="Y57" i="74"/>
  <c r="Z56" i="69"/>
  <c r="AA56" i="69" s="1"/>
  <c r="X47" i="73"/>
  <c r="Z6" i="74"/>
  <c r="AA6" i="74" s="1"/>
  <c r="Y40" i="74"/>
  <c r="Y51" i="74"/>
  <c r="X52" i="73"/>
  <c r="Z47" i="71"/>
  <c r="AA47" i="71" s="1"/>
  <c r="Y60" i="72"/>
  <c r="Z47" i="72"/>
  <c r="AA47" i="72" s="1"/>
  <c r="X57" i="71"/>
  <c r="Y51" i="70"/>
  <c r="Y55" i="74"/>
  <c r="Y49" i="70"/>
  <c r="Y48" i="69"/>
  <c r="X5" i="71"/>
  <c r="X55" i="70"/>
  <c r="X59" i="74"/>
  <c r="X63" i="73"/>
  <c r="Y51" i="69"/>
  <c r="Z43" i="70"/>
  <c r="AA43" i="70" s="1"/>
  <c r="Z43" i="73"/>
  <c r="AA43" i="73" s="1"/>
  <c r="X6" i="70"/>
  <c r="X56" i="73"/>
  <c r="Y62" i="70"/>
  <c r="Y41" i="69"/>
  <c r="X43" i="70"/>
  <c r="Y61" i="74"/>
  <c r="Y52" i="70"/>
  <c r="Y5" i="73"/>
  <c r="Z50" i="70"/>
  <c r="AA50" i="70" s="1"/>
  <c r="Y42" i="70"/>
  <c r="Z46" i="74"/>
  <c r="AA46" i="74" s="1"/>
  <c r="X51" i="73"/>
  <c r="Y56" i="70"/>
  <c r="X63" i="69"/>
  <c r="Z51" i="72"/>
  <c r="AA51" i="72" s="1"/>
  <c r="Y52" i="74"/>
  <c r="Z41" i="74"/>
  <c r="AA41" i="74" s="1"/>
  <c r="X7" i="72"/>
  <c r="Y51" i="73"/>
  <c r="Y49" i="74"/>
  <c r="X62" i="70"/>
  <c r="X58" i="73"/>
  <c r="Y54" i="74"/>
  <c r="Z63" i="69"/>
  <c r="AA63" i="69" s="1"/>
  <c r="Z43" i="74"/>
  <c r="AA43" i="74" s="1"/>
  <c r="Y63" i="74"/>
  <c r="X46" i="74"/>
  <c r="Z57" i="74"/>
  <c r="AA57" i="74" s="1"/>
  <c r="Y47" i="74"/>
  <c r="X45" i="73"/>
  <c r="Y5" i="70"/>
  <c r="Z55" i="70"/>
  <c r="AA55" i="70" s="1"/>
  <c r="X46" i="70"/>
  <c r="X45" i="70"/>
  <c r="X41" i="69"/>
  <c r="X44" i="74"/>
  <c r="X50" i="70"/>
  <c r="Y8" i="71"/>
  <c r="Z46" i="70"/>
  <c r="AA46" i="70" s="1"/>
  <c r="Y59" i="74"/>
  <c r="X42" i="74"/>
  <c r="Y41" i="70"/>
  <c r="Z50" i="69"/>
  <c r="AA50" i="69" s="1"/>
  <c r="X46" i="69"/>
  <c r="Y44" i="72"/>
  <c r="Y49" i="72"/>
  <c r="X48" i="69"/>
  <c r="Z42" i="70"/>
  <c r="AA42" i="70" s="1"/>
  <c r="Y43" i="70"/>
  <c r="Z62" i="70"/>
  <c r="AA62" i="70" s="1"/>
  <c r="Z42" i="74"/>
  <c r="AA42" i="74" s="1"/>
  <c r="Y46" i="70"/>
  <c r="Y50" i="73"/>
  <c r="X47" i="74"/>
  <c r="X58" i="69"/>
  <c r="Z41" i="69"/>
  <c r="AA41" i="69" s="1"/>
  <c r="Z5" i="74"/>
  <c r="AA5" i="74" s="1"/>
  <c r="X41" i="70"/>
  <c r="Z51" i="69"/>
  <c r="AA51" i="69" s="1"/>
  <c r="Z60" i="70"/>
  <c r="AA60" i="70" s="1"/>
  <c r="X60" i="74"/>
  <c r="Y50" i="69"/>
  <c r="X51" i="70"/>
  <c r="X52" i="74"/>
  <c r="X6" i="69"/>
  <c r="Z54" i="70"/>
  <c r="AA54" i="70" s="1"/>
  <c r="X63" i="70"/>
  <c r="X51" i="69"/>
  <c r="X55" i="74"/>
  <c r="Y6" i="73"/>
  <c r="X40" i="74"/>
  <c r="X5" i="74"/>
  <c r="Y53" i="73"/>
  <c r="X43" i="74"/>
  <c r="Y63" i="73"/>
  <c r="Y58" i="73"/>
  <c r="Y5" i="71"/>
  <c r="Y7" i="74"/>
  <c r="X53" i="74"/>
  <c r="Z49" i="74"/>
  <c r="AA49" i="74" s="1"/>
  <c r="Z58" i="69"/>
  <c r="AA58" i="69" s="1"/>
  <c r="Z58" i="74"/>
  <c r="AA58" i="74" s="1"/>
  <c r="Y45" i="73"/>
  <c r="X5" i="69"/>
  <c r="Z50" i="74"/>
  <c r="AA50" i="74" s="1"/>
  <c r="X62" i="74"/>
  <c r="Z5" i="71"/>
  <c r="AA5" i="71" s="1"/>
  <c r="Z47" i="73"/>
  <c r="AA47" i="73" s="1"/>
  <c r="X51" i="74"/>
  <c r="Y62" i="74"/>
  <c r="Z5" i="69"/>
  <c r="AA5" i="69" s="1"/>
  <c r="Z7" i="70"/>
  <c r="AA7" i="70" s="1"/>
  <c r="Z61" i="74"/>
  <c r="AA61" i="74" s="1"/>
  <c r="X53" i="70"/>
  <c r="Y6" i="74"/>
  <c r="X63" i="74"/>
  <c r="Y47" i="73"/>
  <c r="X50" i="74"/>
  <c r="Z40" i="74"/>
  <c r="AA40" i="74" s="1"/>
  <c r="Z52" i="74"/>
  <c r="AA52" i="74" s="1"/>
  <c r="X6" i="71"/>
  <c r="Z61" i="73"/>
  <c r="AA61" i="73" s="1"/>
  <c r="X6" i="74"/>
  <c r="Z47" i="74"/>
  <c r="AA47" i="74" s="1"/>
  <c r="Y50" i="70"/>
  <c r="Z54" i="74"/>
  <c r="AA54" i="74" s="1"/>
  <c r="X59" i="71"/>
  <c r="X62" i="73"/>
  <c r="Z60" i="69"/>
  <c r="AA60" i="69" s="1"/>
  <c r="Y55" i="72"/>
  <c r="Z56" i="73"/>
  <c r="AA56" i="73" s="1"/>
  <c r="Z5" i="73"/>
  <c r="AA5" i="73" s="1"/>
  <c r="Z46" i="69"/>
  <c r="AA46" i="69" s="1"/>
  <c r="Z61" i="70"/>
  <c r="AA61" i="70" s="1"/>
  <c r="X56" i="74"/>
  <c r="X43" i="73"/>
  <c r="Z47" i="70"/>
  <c r="AA47" i="70" s="1"/>
  <c r="X60" i="70"/>
  <c r="Y63" i="70"/>
  <c r="Y43" i="73"/>
  <c r="Z63" i="70"/>
  <c r="AA63" i="70" s="1"/>
  <c r="Z63" i="73"/>
  <c r="AA63" i="73" s="1"/>
  <c r="Y6" i="69"/>
  <c r="Z52" i="70"/>
  <c r="AA52" i="70" s="1"/>
  <c r="X57" i="74"/>
  <c r="X42" i="70"/>
  <c r="Y7" i="72"/>
  <c r="Y54" i="70"/>
  <c r="Y7" i="69"/>
  <c r="X61" i="73"/>
  <c r="Z60" i="74"/>
  <c r="AA60" i="74" s="1"/>
  <c r="Y44" i="74"/>
  <c r="Z5" i="70"/>
  <c r="AA5" i="70" s="1"/>
  <c r="Z6" i="69"/>
  <c r="AA6" i="69" s="1"/>
  <c r="Y42" i="69"/>
  <c r="Y60" i="74"/>
  <c r="Y7" i="70"/>
  <c r="X52" i="70"/>
  <c r="Z10" i="70"/>
  <c r="AA10" i="70" s="1"/>
  <c r="X54" i="70"/>
  <c r="X9" i="74"/>
  <c r="X7" i="69"/>
  <c r="X7" i="71"/>
  <c r="Z7" i="73"/>
  <c r="AA7" i="73" s="1"/>
  <c r="X47" i="70"/>
  <c r="Z9" i="69"/>
  <c r="AA9" i="69" s="1"/>
  <c r="Z9" i="74"/>
  <c r="AA9" i="74" s="1"/>
  <c r="Z50" i="73"/>
  <c r="AA50" i="73" s="1"/>
  <c r="Y8" i="70"/>
  <c r="X8" i="74"/>
  <c r="Y46" i="73"/>
  <c r="Y9" i="70"/>
  <c r="X7" i="70"/>
  <c r="X59" i="70"/>
  <c r="Z8" i="69"/>
  <c r="AA8" i="69" s="1"/>
  <c r="Y8" i="74"/>
  <c r="X41" i="74"/>
  <c r="Y5" i="69"/>
  <c r="Z63" i="74"/>
  <c r="AA63" i="74" s="1"/>
  <c r="Z8" i="70"/>
  <c r="AA8" i="70" s="1"/>
  <c r="Y8" i="69"/>
  <c r="X7" i="73"/>
  <c r="Y58" i="69"/>
  <c r="X59" i="69"/>
  <c r="Z59" i="74"/>
  <c r="AA59" i="74" s="1"/>
  <c r="Z8" i="74"/>
  <c r="AA8" i="74" s="1"/>
  <c r="Z7" i="71"/>
  <c r="AA7" i="71" s="1"/>
  <c r="Y47" i="70"/>
  <c r="Z58" i="70"/>
  <c r="AA58" i="70" s="1"/>
  <c r="X5" i="70"/>
  <c r="Y45" i="74"/>
  <c r="X6" i="73"/>
  <c r="X54" i="74"/>
  <c r="X8" i="71"/>
  <c r="Y9" i="72"/>
  <c r="Y5" i="74"/>
  <c r="Z9" i="70"/>
  <c r="AA9" i="70" s="1"/>
  <c r="X46" i="73"/>
  <c r="X8" i="69"/>
  <c r="Y7" i="71"/>
  <c r="X9" i="72"/>
  <c r="X8" i="70"/>
  <c r="X50" i="73"/>
  <c r="Z8" i="72"/>
  <c r="AA8" i="72" s="1"/>
  <c r="Z6" i="70"/>
  <c r="AA6" i="70" s="1"/>
  <c r="Y7" i="73"/>
  <c r="X7" i="74"/>
  <c r="X45" i="74"/>
  <c r="Z48" i="70"/>
  <c r="AA48" i="70" s="1"/>
  <c r="Z40" i="70"/>
  <c r="AA40" i="70" s="1"/>
  <c r="X9" i="70"/>
  <c r="X8" i="73"/>
  <c r="Y57" i="70"/>
  <c r="Y56" i="69"/>
  <c r="Z53" i="70"/>
  <c r="AA53" i="70" s="1"/>
  <c r="Z9" i="72"/>
  <c r="AA9" i="72" s="1"/>
  <c r="Y8" i="73"/>
  <c r="Z10" i="72"/>
  <c r="AA10" i="72" s="1"/>
  <c r="Y6" i="71"/>
  <c r="Z11" i="72"/>
  <c r="AA11" i="72" s="1"/>
  <c r="Z8" i="71"/>
  <c r="AA8" i="71" s="1"/>
  <c r="X11" i="70"/>
  <c r="Y10" i="70"/>
  <c r="X9" i="71"/>
  <c r="Y9" i="69"/>
  <c r="Y9" i="74"/>
  <c r="Y10" i="74"/>
  <c r="Y11" i="70"/>
  <c r="Z9" i="73"/>
  <c r="AA9" i="73" s="1"/>
  <c r="Y10" i="72"/>
  <c r="Z8" i="73"/>
  <c r="AA8" i="73" s="1"/>
  <c r="X10" i="69"/>
  <c r="X9" i="69"/>
  <c r="X11" i="72"/>
  <c r="Y11" i="72"/>
  <c r="Z10" i="74"/>
  <c r="AA10" i="74" s="1"/>
  <c r="X10" i="72"/>
  <c r="Z9" i="71"/>
  <c r="AA9" i="71" s="1"/>
  <c r="X9" i="73"/>
  <c r="Z11" i="70"/>
  <c r="AA11" i="70" s="1"/>
  <c r="Y10" i="69"/>
  <c r="Y12" i="70"/>
  <c r="Z10" i="71"/>
  <c r="AA10" i="71" s="1"/>
  <c r="X10" i="73"/>
  <c r="Y9" i="73"/>
  <c r="Y9" i="71"/>
  <c r="X10" i="74"/>
  <c r="Y11" i="69"/>
  <c r="Z10" i="69"/>
  <c r="AA10" i="69" s="1"/>
  <c r="Y11" i="74"/>
  <c r="X11" i="74"/>
  <c r="X12" i="72"/>
  <c r="Y12" i="72"/>
  <c r="Y10" i="73"/>
  <c r="Z13" i="72"/>
  <c r="AA13" i="72" s="1"/>
  <c r="Z12" i="72"/>
  <c r="AA12" i="72" s="1"/>
  <c r="X11" i="69"/>
  <c r="Z11" i="71"/>
  <c r="AA11" i="71" s="1"/>
  <c r="X13" i="70"/>
  <c r="X13" i="72"/>
  <c r="Z12" i="69"/>
  <c r="AA12" i="69" s="1"/>
  <c r="X12" i="70"/>
  <c r="X12" i="74"/>
  <c r="Z13" i="70"/>
  <c r="AA13" i="70" s="1"/>
  <c r="Z11" i="74"/>
  <c r="AA11" i="74" s="1"/>
  <c r="X11" i="71"/>
  <c r="Y10" i="71"/>
  <c r="X10" i="71"/>
  <c r="Y11" i="71"/>
  <c r="Z10" i="73"/>
  <c r="AA10" i="73" s="1"/>
  <c r="X11" i="73"/>
  <c r="Y11" i="73"/>
  <c r="Y13" i="72"/>
  <c r="Y13" i="70"/>
  <c r="Z12" i="74"/>
  <c r="AA12" i="74" s="1"/>
  <c r="Z12" i="70"/>
  <c r="AA12" i="70" s="1"/>
  <c r="Y12" i="74"/>
  <c r="X14" i="72"/>
  <c r="Z13" i="69"/>
  <c r="AA13" i="69" s="1"/>
  <c r="Z14" i="70"/>
  <c r="AA14" i="70" s="1"/>
  <c r="Y13" i="69"/>
  <c r="Y14" i="70"/>
  <c r="Y12" i="69"/>
  <c r="Y12" i="73"/>
  <c r="X12" i="69"/>
  <c r="Y12" i="71"/>
  <c r="X14" i="70"/>
  <c r="Z11" i="69"/>
  <c r="AA11" i="69" s="1"/>
  <c r="Z11" i="73"/>
  <c r="AA11" i="73" s="1"/>
  <c r="Y13" i="74"/>
  <c r="X12" i="71"/>
  <c r="Z14" i="72"/>
  <c r="AA14" i="72" s="1"/>
  <c r="Y14" i="74"/>
  <c r="X15" i="72"/>
  <c r="X12" i="73"/>
  <c r="Y14" i="72"/>
  <c r="X13" i="69"/>
  <c r="Z13" i="71"/>
  <c r="AA13" i="71" s="1"/>
  <c r="X13" i="71"/>
  <c r="Y16" i="72"/>
  <c r="X15" i="70"/>
  <c r="Z15" i="72"/>
  <c r="AA15" i="72" s="1"/>
  <c r="Y13" i="71"/>
  <c r="Z12" i="73"/>
  <c r="AA12" i="73" s="1"/>
  <c r="Z15" i="70"/>
  <c r="AA15" i="70" s="1"/>
  <c r="Y14" i="69"/>
  <c r="X13" i="74"/>
  <c r="Y14" i="71"/>
  <c r="Z13" i="74"/>
  <c r="AA13" i="74" s="1"/>
  <c r="Y15" i="74"/>
  <c r="X14" i="71"/>
  <c r="Y15" i="70"/>
  <c r="X14" i="74"/>
  <c r="Y15" i="72"/>
  <c r="X15" i="74"/>
  <c r="Z16" i="70"/>
  <c r="AA16" i="70" s="1"/>
  <c r="Z14" i="73"/>
  <c r="AA14" i="73" s="1"/>
  <c r="Z15" i="69"/>
  <c r="AA15" i="69" s="1"/>
  <c r="Z14" i="69"/>
  <c r="AA14" i="69" s="1"/>
  <c r="X16" i="72"/>
  <c r="X14" i="73"/>
  <c r="Z12" i="71"/>
  <c r="AA12" i="71" s="1"/>
  <c r="Z14" i="74"/>
  <c r="AA14" i="74" s="1"/>
  <c r="X17" i="70"/>
  <c r="X15" i="73"/>
  <c r="X13" i="73"/>
  <c r="Y16" i="74"/>
  <c r="Z15" i="74"/>
  <c r="AA15" i="74" s="1"/>
  <c r="Y17" i="72"/>
  <c r="Y17" i="70"/>
  <c r="Z15" i="73"/>
  <c r="AA15" i="73" s="1"/>
  <c r="Y14" i="73"/>
  <c r="Y16" i="69"/>
  <c r="X14" i="69"/>
  <c r="Y13" i="73"/>
  <c r="Z14" i="71"/>
  <c r="AA14" i="71" s="1"/>
  <c r="Z16" i="69"/>
  <c r="AA16" i="69" s="1"/>
  <c r="Y15" i="69"/>
  <c r="Z17" i="74"/>
  <c r="AA17" i="74" s="1"/>
  <c r="X15" i="69"/>
  <c r="Z17" i="72"/>
  <c r="AA17" i="72" s="1"/>
  <c r="X16" i="70"/>
  <c r="Y17" i="69"/>
  <c r="Y16" i="70"/>
  <c r="Z17" i="70"/>
  <c r="AA17" i="70" s="1"/>
  <c r="Y17" i="71"/>
  <c r="Y15" i="73"/>
  <c r="Z16" i="72"/>
  <c r="AA16" i="72" s="1"/>
  <c r="X16" i="69"/>
  <c r="Z16" i="74"/>
  <c r="AA16" i="74" s="1"/>
  <c r="Z19" i="72"/>
  <c r="AA19" i="72" s="1"/>
  <c r="X17" i="72"/>
  <c r="X17" i="69"/>
  <c r="Z20" i="70"/>
  <c r="AA20" i="70" s="1"/>
  <c r="Y18" i="70"/>
  <c r="Z17" i="73"/>
  <c r="AA17" i="73" s="1"/>
  <c r="Z17" i="69"/>
  <c r="AA17" i="69" s="1"/>
  <c r="X18" i="69"/>
  <c r="Y15" i="71"/>
  <c r="Z13" i="73"/>
  <c r="AA13" i="73" s="1"/>
  <c r="X17" i="71"/>
  <c r="Y18" i="74"/>
  <c r="X18" i="74"/>
  <c r="X18" i="70"/>
  <c r="Z16" i="71"/>
  <c r="AA16" i="71" s="1"/>
  <c r="X16" i="74"/>
  <c r="Y17" i="74"/>
  <c r="Y18" i="69"/>
  <c r="X16" i="73"/>
  <c r="X18" i="72"/>
  <c r="Z18" i="69"/>
  <c r="AA18" i="69" s="1"/>
  <c r="Z16" i="73"/>
  <c r="AA16" i="73" s="1"/>
  <c r="Z17" i="71"/>
  <c r="AA17" i="71" s="1"/>
  <c r="Y19" i="74"/>
  <c r="X17" i="74"/>
  <c r="Y19" i="70"/>
  <c r="Z18" i="72"/>
  <c r="AA18" i="72" s="1"/>
  <c r="Y16" i="71"/>
  <c r="X17" i="73"/>
  <c r="X19" i="73"/>
  <c r="Z15" i="71"/>
  <c r="AA15" i="71" s="1"/>
  <c r="X15" i="71"/>
  <c r="X19" i="69"/>
  <c r="X19" i="70"/>
  <c r="X19" i="74"/>
  <c r="X18" i="73"/>
  <c r="X21" i="70"/>
  <c r="X19" i="72"/>
  <c r="Y19" i="72"/>
  <c r="Z18" i="74"/>
  <c r="AA18" i="74" s="1"/>
  <c r="Z19" i="70"/>
  <c r="AA19" i="70" s="1"/>
  <c r="Z19" i="74"/>
  <c r="AA19" i="74" s="1"/>
  <c r="X20" i="70"/>
  <c r="Z18" i="73"/>
  <c r="AA18" i="73" s="1"/>
  <c r="X18" i="71"/>
  <c r="Z18" i="71"/>
  <c r="AA18" i="71" s="1"/>
  <c r="Y20" i="70"/>
  <c r="Y16" i="73"/>
  <c r="Y18" i="72"/>
  <c r="Y19" i="73"/>
  <c r="Z21" i="72"/>
  <c r="AA21" i="72" s="1"/>
  <c r="Z20" i="72"/>
  <c r="AA20" i="72" s="1"/>
  <c r="Z18" i="70"/>
  <c r="AA18" i="70" s="1"/>
  <c r="Z19" i="73"/>
  <c r="AA19" i="73" s="1"/>
  <c r="X20" i="69"/>
  <c r="Y21" i="72"/>
  <c r="Y20" i="72"/>
  <c r="Z22" i="70"/>
  <c r="AA22" i="70" s="1"/>
  <c r="X20" i="73"/>
  <c r="Y20" i="74"/>
  <c r="Y18" i="71"/>
  <c r="X20" i="74"/>
  <c r="Z21" i="69"/>
  <c r="AA21" i="69" s="1"/>
  <c r="Z21" i="71"/>
  <c r="AA21" i="71" s="1"/>
  <c r="X21" i="72"/>
  <c r="Z20" i="69"/>
  <c r="AA20" i="69" s="1"/>
  <c r="Y19" i="69"/>
  <c r="Y20" i="71"/>
  <c r="Y21" i="70"/>
  <c r="Y19" i="71"/>
  <c r="Z19" i="71"/>
  <c r="AA19" i="71" s="1"/>
  <c r="Y20" i="73"/>
  <c r="X16" i="71"/>
  <c r="Y17" i="73"/>
  <c r="Y22" i="72"/>
  <c r="X22" i="70"/>
  <c r="Z19" i="69"/>
  <c r="AA19" i="69" s="1"/>
  <c r="Y21" i="69"/>
  <c r="X21" i="74"/>
  <c r="Z21" i="70"/>
  <c r="AA21" i="70" s="1"/>
  <c r="Y20" i="69"/>
  <c r="Y23" i="74"/>
  <c r="Z20" i="71"/>
  <c r="AA20" i="71" s="1"/>
  <c r="X22" i="72"/>
  <c r="X21" i="73"/>
  <c r="Z22" i="72"/>
  <c r="AA22" i="72" s="1"/>
  <c r="X23" i="70"/>
  <c r="Z20" i="73"/>
  <c r="AA20" i="73" s="1"/>
  <c r="X19" i="71"/>
  <c r="X20" i="72"/>
  <c r="Y21" i="71"/>
  <c r="Y22" i="70"/>
  <c r="X20" i="71"/>
  <c r="Z20" i="74"/>
  <c r="AA20" i="74" s="1"/>
  <c r="X23" i="72"/>
  <c r="Z23" i="72"/>
  <c r="AA23" i="72" s="1"/>
  <c r="Z21" i="74"/>
  <c r="AA21" i="74" s="1"/>
  <c r="Z21" i="73"/>
  <c r="AA21" i="73" s="1"/>
  <c r="Y18" i="73"/>
  <c r="X21" i="71"/>
  <c r="Y21" i="74"/>
  <c r="X22" i="69"/>
  <c r="Z23" i="70"/>
  <c r="AA23" i="70" s="1"/>
  <c r="Z23" i="74"/>
  <c r="AA23" i="74" s="1"/>
  <c r="X22" i="71"/>
  <c r="Y22" i="69"/>
  <c r="X23" i="69"/>
  <c r="Y21" i="73"/>
  <c r="Y22" i="71"/>
  <c r="Y24" i="72"/>
  <c r="X21" i="69"/>
  <c r="X25" i="72"/>
  <c r="Z22" i="74"/>
  <c r="AA22" i="74" s="1"/>
  <c r="Y23" i="72"/>
  <c r="Y23" i="69"/>
  <c r="Y22" i="73"/>
  <c r="X22" i="73"/>
  <c r="Y24" i="70"/>
  <c r="X23" i="74"/>
  <c r="X22" i="74"/>
  <c r="Y22" i="74"/>
  <c r="Y23" i="70"/>
  <c r="Z24" i="72"/>
  <c r="AA24" i="72" s="1"/>
  <c r="X24" i="70"/>
  <c r="Z22" i="69"/>
  <c r="AA22" i="69" s="1"/>
  <c r="Z22" i="71"/>
  <c r="AA22" i="71" s="1"/>
  <c r="Y25" i="70"/>
  <c r="X25" i="70"/>
  <c r="X23" i="71"/>
  <c r="Z22" i="73"/>
  <c r="AA22" i="73" s="1"/>
  <c r="Y24" i="74"/>
  <c r="Z25" i="72"/>
  <c r="AA25" i="72" s="1"/>
  <c r="Z23" i="71"/>
  <c r="AA23" i="71" s="1"/>
  <c r="Y24" i="69"/>
  <c r="Z23" i="73"/>
  <c r="AA23" i="73" s="1"/>
  <c r="X24" i="74"/>
  <c r="Y25" i="72"/>
  <c r="Y23" i="73"/>
  <c r="X24" i="69"/>
  <c r="Z24" i="73"/>
  <c r="AA24" i="73" s="1"/>
  <c r="Y23" i="71"/>
  <c r="X23" i="73"/>
  <c r="Z24" i="74"/>
  <c r="AA24" i="74" s="1"/>
  <c r="Z23" i="69"/>
  <c r="AA23" i="69" s="1"/>
  <c r="Y24" i="71"/>
  <c r="X24" i="72"/>
  <c r="X25" i="69"/>
  <c r="Z24" i="69"/>
  <c r="AA24" i="69" s="1"/>
  <c r="Y28" i="72"/>
  <c r="Z24" i="71"/>
  <c r="AA24" i="71" s="1"/>
  <c r="Y25" i="69"/>
  <c r="X25" i="74"/>
  <c r="Z26" i="72"/>
  <c r="AA26" i="72" s="1"/>
  <c r="X27" i="72"/>
  <c r="Z25" i="70"/>
  <c r="AA25" i="70" s="1"/>
  <c r="Z24" i="70"/>
  <c r="AA24" i="70" s="1"/>
  <c r="Y25" i="74"/>
  <c r="Y28" i="70"/>
  <c r="Y26" i="73"/>
  <c r="Y27" i="72"/>
  <c r="Y25" i="71"/>
  <c r="X26" i="71"/>
  <c r="Z26" i="69"/>
  <c r="AA26" i="69" s="1"/>
  <c r="Z26" i="70"/>
  <c r="AA26" i="70" s="1"/>
  <c r="Z28" i="72"/>
  <c r="AA28" i="72" s="1"/>
  <c r="X24" i="73"/>
  <c r="Z25" i="71"/>
  <c r="AA25" i="71" s="1"/>
  <c r="X26" i="70"/>
  <c r="Y26" i="72"/>
  <c r="Y25" i="73"/>
  <c r="Y26" i="69"/>
  <c r="Z25" i="73"/>
  <c r="AA25" i="73" s="1"/>
  <c r="X26" i="72"/>
  <c r="X24" i="71"/>
  <c r="Z27" i="74"/>
  <c r="AA27" i="74" s="1"/>
  <c r="Z25" i="69"/>
  <c r="AA25" i="69" s="1"/>
  <c r="Z28" i="70"/>
  <c r="AA28" i="70" s="1"/>
  <c r="Y27" i="70"/>
  <c r="Y24" i="73"/>
  <c r="X25" i="73"/>
  <c r="Z30" i="70"/>
  <c r="AA30" i="70" s="1"/>
  <c r="Z25" i="74"/>
  <c r="AA25" i="74" s="1"/>
  <c r="Y26" i="74"/>
  <c r="Z26" i="74"/>
  <c r="AA26" i="74" s="1"/>
  <c r="X28" i="70"/>
  <c r="X27" i="71"/>
  <c r="Y27" i="74"/>
  <c r="Z27" i="69"/>
  <c r="AA27" i="69" s="1"/>
  <c r="X26" i="74"/>
  <c r="X27" i="74"/>
  <c r="X27" i="70"/>
  <c r="X27" i="69"/>
  <c r="Z27" i="72"/>
  <c r="AA27" i="72" s="1"/>
  <c r="X26" i="73"/>
  <c r="X28" i="72"/>
  <c r="Y27" i="69"/>
  <c r="Y26" i="70"/>
  <c r="Z27" i="70"/>
  <c r="AA27" i="70" s="1"/>
  <c r="X25" i="71"/>
  <c r="X26" i="69"/>
  <c r="Z26" i="71"/>
  <c r="AA26" i="71" s="1"/>
  <c r="Y28" i="74"/>
  <c r="Y28" i="71"/>
  <c r="Y27" i="73"/>
  <c r="Y26" i="71"/>
  <c r="Y29" i="74"/>
  <c r="Z28" i="74"/>
  <c r="AA28" i="74" s="1"/>
  <c r="Z29" i="72"/>
  <c r="AA29" i="72" s="1"/>
  <c r="Y29" i="70"/>
  <c r="Z27" i="73"/>
  <c r="AA27" i="73" s="1"/>
  <c r="Z29" i="69"/>
  <c r="AA29" i="69" s="1"/>
  <c r="Z28" i="69"/>
  <c r="AA28" i="69" s="1"/>
  <c r="X29" i="72"/>
  <c r="X29" i="74"/>
  <c r="Z29" i="70"/>
  <c r="AA29" i="70" s="1"/>
  <c r="Y29" i="69"/>
  <c r="Y27" i="71"/>
  <c r="Y29" i="72"/>
  <c r="X28" i="69"/>
  <c r="X29" i="69"/>
  <c r="X27" i="73"/>
  <c r="Z29" i="74"/>
  <c r="AA29" i="74" s="1"/>
  <c r="Z28" i="71"/>
  <c r="AA28" i="71" s="1"/>
  <c r="Z30" i="72"/>
  <c r="AA30" i="72" s="1"/>
  <c r="X29" i="70"/>
  <c r="Z26" i="73"/>
  <c r="AA26" i="73" s="1"/>
  <c r="Y30" i="70"/>
  <c r="X28" i="71"/>
  <c r="X30" i="72"/>
  <c r="X28" i="74"/>
  <c r="Y28" i="73"/>
  <c r="X30" i="70"/>
  <c r="Y28" i="69"/>
  <c r="Y30" i="72"/>
  <c r="X28" i="73"/>
  <c r="Z27" i="71"/>
  <c r="AA27" i="71" s="1"/>
  <c r="Z28" i="73"/>
  <c r="AA28" i="73" s="1"/>
  <c r="Y30" i="74"/>
  <c r="Z31" i="74"/>
  <c r="AA31" i="74" s="1"/>
  <c r="Y32" i="70"/>
  <c r="Y31" i="70"/>
  <c r="Z31" i="72"/>
  <c r="AA31" i="72" s="1"/>
  <c r="X29" i="71"/>
  <c r="Y30" i="69"/>
  <c r="X30" i="69"/>
  <c r="Z32" i="70"/>
  <c r="AA32" i="70" s="1"/>
  <c r="Y31" i="72"/>
  <c r="X30" i="74"/>
  <c r="Z30" i="74"/>
  <c r="AA30" i="74" s="1"/>
  <c r="Z29" i="71"/>
  <c r="AA29" i="71" s="1"/>
  <c r="Y29" i="73"/>
  <c r="Y32" i="72"/>
  <c r="Z30" i="71"/>
  <c r="AA30" i="71" s="1"/>
  <c r="X31" i="70"/>
  <c r="X29" i="73"/>
  <c r="X32" i="74"/>
  <c r="Z29" i="73"/>
  <c r="AA29" i="73" s="1"/>
  <c r="Y29" i="71"/>
  <c r="X31" i="72"/>
  <c r="Y30" i="71"/>
  <c r="Y32" i="69"/>
  <c r="Y32" i="74"/>
  <c r="Z31" i="69"/>
  <c r="AA31" i="69" s="1"/>
  <c r="Z32" i="74"/>
  <c r="AA32" i="74" s="1"/>
  <c r="Z31" i="73"/>
  <c r="AA31" i="73" s="1"/>
  <c r="X30" i="73"/>
  <c r="X32" i="70"/>
  <c r="Z34" i="70"/>
  <c r="AA34" i="70" s="1"/>
  <c r="Z30" i="69"/>
  <c r="AA30" i="69" s="1"/>
  <c r="Z32" i="72"/>
  <c r="AA32" i="72" s="1"/>
  <c r="Z31" i="70"/>
  <c r="AA31" i="70" s="1"/>
  <c r="X32" i="69"/>
  <c r="Y31" i="73"/>
  <c r="Y33" i="72"/>
  <c r="X32" i="72"/>
  <c r="X30" i="71"/>
  <c r="Y30" i="73"/>
  <c r="X31" i="71"/>
  <c r="Y31" i="74"/>
  <c r="X31" i="73"/>
  <c r="Z30" i="73"/>
  <c r="AA30" i="73" s="1"/>
  <c r="Z33" i="71"/>
  <c r="AA33" i="71" s="1"/>
  <c r="Y34" i="72"/>
  <c r="Y32" i="71"/>
  <c r="Z32" i="71"/>
  <c r="AA32" i="71" s="1"/>
  <c r="Y33" i="69"/>
  <c r="X38" i="69"/>
  <c r="Y33" i="70"/>
  <c r="Z34" i="72"/>
  <c r="AA34" i="72" s="1"/>
  <c r="Y33" i="74"/>
  <c r="X34" i="70"/>
  <c r="Z33" i="69"/>
  <c r="AA33" i="69" s="1"/>
  <c r="X37" i="70"/>
  <c r="Y39" i="70"/>
  <c r="X37" i="73"/>
  <c r="X34" i="72"/>
  <c r="Y31" i="69"/>
  <c r="Y32" i="73"/>
  <c r="X31" i="74"/>
  <c r="Z32" i="69"/>
  <c r="AA32" i="69" s="1"/>
  <c r="X31" i="69"/>
  <c r="X32" i="71"/>
  <c r="Y31" i="71"/>
  <c r="X34" i="73"/>
  <c r="X35" i="71"/>
  <c r="Z38" i="74"/>
  <c r="AA38" i="74" s="1"/>
  <c r="Z39" i="70"/>
  <c r="AA39" i="70" s="1"/>
  <c r="X35" i="69"/>
  <c r="Z36" i="70"/>
  <c r="AA36" i="70" s="1"/>
  <c r="Z35" i="70"/>
  <c r="AA35" i="70" s="1"/>
  <c r="Y33" i="73"/>
  <c r="Z35" i="69"/>
  <c r="AA35" i="69" s="1"/>
  <c r="Y36" i="70"/>
  <c r="Y37" i="71"/>
  <c r="X38" i="73"/>
  <c r="Z38" i="71"/>
  <c r="AA38" i="71" s="1"/>
  <c r="Z37" i="73"/>
  <c r="AA37" i="73" s="1"/>
  <c r="Y39" i="74"/>
  <c r="X35" i="70"/>
  <c r="Y34" i="74"/>
  <c r="X36" i="74"/>
  <c r="Z37" i="71"/>
  <c r="AA37" i="71" s="1"/>
  <c r="Y35" i="73"/>
  <c r="Z31" i="71"/>
  <c r="AA31" i="71" s="1"/>
  <c r="Z36" i="71"/>
  <c r="AA36" i="71" s="1"/>
  <c r="Z35" i="71"/>
  <c r="AA35" i="71" s="1"/>
  <c r="Y37" i="74"/>
  <c r="Z32" i="73"/>
  <c r="AA32" i="73" s="1"/>
  <c r="X39" i="70"/>
  <c r="Y35" i="74"/>
  <c r="Y35" i="70"/>
  <c r="Z35" i="73"/>
  <c r="AA35" i="73" s="1"/>
  <c r="Z39" i="72"/>
  <c r="AA39" i="72" s="1"/>
  <c r="Z33" i="74"/>
  <c r="AA33" i="74" s="1"/>
  <c r="Y37" i="72"/>
  <c r="X32" i="73"/>
  <c r="X33" i="72"/>
  <c r="Y37" i="73"/>
  <c r="X35" i="74"/>
  <c r="Z38" i="69"/>
  <c r="AA38" i="69" s="1"/>
  <c r="Y34" i="70"/>
  <c r="Z34" i="71"/>
  <c r="AA34" i="71" s="1"/>
  <c r="Y37" i="70"/>
  <c r="Z34" i="73"/>
  <c r="AA34" i="73" s="1"/>
  <c r="Z35" i="72"/>
  <c r="AA35" i="72" s="1"/>
  <c r="X38" i="72"/>
  <c r="Z38" i="72"/>
  <c r="AA38" i="72" s="1"/>
  <c r="Y36" i="73"/>
  <c r="X36" i="69"/>
  <c r="Z39" i="74"/>
  <c r="AA39" i="74" s="1"/>
  <c r="Z37" i="69"/>
  <c r="AA37" i="69" s="1"/>
  <c r="Z38" i="73"/>
  <c r="AA38" i="73" s="1"/>
  <c r="Z36" i="74"/>
  <c r="AA36" i="74" s="1"/>
  <c r="Y36" i="69"/>
  <c r="X33" i="70"/>
  <c r="X34" i="71"/>
  <c r="Z37" i="72"/>
  <c r="AA37" i="72" s="1"/>
  <c r="X39" i="72"/>
  <c r="Z34" i="74"/>
  <c r="AA34" i="74" s="1"/>
  <c r="X36" i="71"/>
  <c r="Y36" i="74"/>
  <c r="Z37" i="74"/>
  <c r="AA37" i="74" s="1"/>
  <c r="Y36" i="71"/>
  <c r="Z38" i="70"/>
  <c r="AA38" i="70" s="1"/>
  <c r="Y38" i="72"/>
  <c r="X33" i="71"/>
  <c r="Z35" i="74"/>
  <c r="AA35" i="74" s="1"/>
  <c r="X39" i="69"/>
  <c r="X38" i="74"/>
  <c r="X37" i="72"/>
  <c r="X34" i="69"/>
  <c r="Y34" i="71"/>
  <c r="Z36" i="69"/>
  <c r="AA36" i="69" s="1"/>
  <c r="Y38" i="73"/>
  <c r="Z39" i="69"/>
  <c r="AA39" i="69" s="1"/>
  <c r="X36" i="70"/>
  <c r="Y35" i="71"/>
  <c r="Z33" i="70"/>
  <c r="AA33" i="70" s="1"/>
  <c r="Y36" i="72"/>
  <c r="Y38" i="69"/>
  <c r="Z37" i="70"/>
  <c r="AA37" i="70" s="1"/>
  <c r="X34" i="74"/>
  <c r="X37" i="71"/>
  <c r="Y34" i="69"/>
  <c r="X36" i="72"/>
  <c r="X36" i="73"/>
  <c r="Y37" i="69"/>
  <c r="X37" i="69"/>
  <c r="Y38" i="70"/>
  <c r="Y33" i="71"/>
  <c r="Y39" i="69"/>
  <c r="X38" i="70"/>
  <c r="Y35" i="72"/>
  <c r="Z33" i="72"/>
  <c r="AA33" i="72" s="1"/>
  <c r="X37" i="74"/>
  <c r="X39" i="74"/>
  <c r="Y34" i="73"/>
  <c r="Y35" i="69"/>
  <c r="X35" i="73"/>
  <c r="X35" i="72"/>
  <c r="Y39" i="72"/>
  <c r="Z33" i="73"/>
  <c r="AA33" i="73" s="1"/>
  <c r="X33" i="69"/>
  <c r="Y38" i="71"/>
  <c r="Z36" i="73"/>
  <c r="AA36" i="73" s="1"/>
  <c r="Y38" i="74"/>
  <c r="X38" i="71"/>
  <c r="Z34" i="69"/>
  <c r="AA34" i="69" s="1"/>
  <c r="X33" i="74"/>
  <c r="Z36" i="72"/>
  <c r="AA36" i="72" s="1"/>
  <c r="X33" i="73"/>
  <c r="Z39" i="71"/>
  <c r="AA39" i="71" s="1"/>
  <c r="AC39" i="71" s="1"/>
  <c r="S41" i="73"/>
  <c r="S42" i="73" s="1"/>
  <c r="V39" i="74"/>
  <c r="S40" i="74"/>
  <c r="V39" i="70"/>
  <c r="S40" i="70"/>
  <c r="V42" i="71"/>
  <c r="S43" i="71"/>
  <c r="Q44" i="70"/>
  <c r="U43" i="70"/>
  <c r="Y39" i="68"/>
  <c r="Q44" i="71"/>
  <c r="U43" i="71"/>
  <c r="Z39" i="68"/>
  <c r="AA39" i="68" s="1"/>
  <c r="U43" i="72"/>
  <c r="Q44" i="72"/>
  <c r="AX5" i="31"/>
  <c r="AX7" i="31"/>
  <c r="Z37" i="68"/>
  <c r="AA37" i="68" s="1"/>
  <c r="X37" i="68"/>
  <c r="Y37" i="68"/>
  <c r="X9" i="68"/>
  <c r="Z5" i="68"/>
  <c r="AA5" i="68" s="1"/>
  <c r="Y7" i="68"/>
  <c r="Y4" i="68"/>
  <c r="Y11" i="68"/>
  <c r="Y10" i="68"/>
  <c r="Z7" i="68"/>
  <c r="AA7" i="68" s="1"/>
  <c r="X8" i="68"/>
  <c r="X5" i="68"/>
  <c r="X7" i="68"/>
  <c r="Y5" i="68"/>
  <c r="Y8" i="68"/>
  <c r="Z14" i="68"/>
  <c r="AA14" i="68" s="1"/>
  <c r="Y12" i="68"/>
  <c r="Z13" i="68"/>
  <c r="AA13" i="68" s="1"/>
  <c r="Y14" i="68"/>
  <c r="X4" i="68"/>
  <c r="Z4" i="68"/>
  <c r="AA4" i="68" s="1"/>
  <c r="Z6" i="68"/>
  <c r="AA6" i="68" s="1"/>
  <c r="X6" i="68"/>
  <c r="Y9" i="68"/>
  <c r="Z8" i="68"/>
  <c r="AA8" i="68" s="1"/>
  <c r="Z10" i="68"/>
  <c r="AA10" i="68" s="1"/>
  <c r="X10" i="68"/>
  <c r="Z11" i="68"/>
  <c r="AA11" i="68" s="1"/>
  <c r="Y13" i="68"/>
  <c r="X13" i="68"/>
  <c r="X14" i="68"/>
  <c r="Z9" i="68"/>
  <c r="AA9" i="68" s="1"/>
  <c r="X20" i="68"/>
  <c r="X21" i="68"/>
  <c r="Z22" i="68"/>
  <c r="AA22" i="68" s="1"/>
  <c r="X24" i="68"/>
  <c r="Z26" i="68"/>
  <c r="AA26" i="68" s="1"/>
  <c r="X26" i="68"/>
  <c r="Y26" i="68"/>
  <c r="Z27" i="68"/>
  <c r="AA27" i="68" s="1"/>
  <c r="X30" i="68"/>
  <c r="X12" i="68"/>
  <c r="Z12" i="68"/>
  <c r="AA12" i="68" s="1"/>
  <c r="Y16" i="68"/>
  <c r="X16" i="68"/>
  <c r="Z20" i="68"/>
  <c r="AA20" i="68" s="1"/>
  <c r="Z21" i="68"/>
  <c r="AA21" i="68" s="1"/>
  <c r="Y21" i="68"/>
  <c r="Z23" i="68"/>
  <c r="AA23" i="68" s="1"/>
  <c r="Y15" i="68"/>
  <c r="Z15" i="68"/>
  <c r="AA15" i="68" s="1"/>
  <c r="Z16" i="68"/>
  <c r="AA16" i="68" s="1"/>
  <c r="X17" i="68"/>
  <c r="Y18" i="68"/>
  <c r="X18" i="68"/>
  <c r="Y17" i="68"/>
  <c r="Z18" i="68"/>
  <c r="AA18" i="68" s="1"/>
  <c r="X19" i="68"/>
  <c r="Y20" i="68"/>
  <c r="X22" i="68"/>
  <c r="Y22" i="68"/>
  <c r="Y23" i="68"/>
  <c r="Z24" i="68"/>
  <c r="AA24" i="68" s="1"/>
  <c r="Y6" i="68"/>
  <c r="X11" i="68"/>
  <c r="X15" i="68"/>
  <c r="Z17" i="68"/>
  <c r="AA17" i="68" s="1"/>
  <c r="Y19" i="68"/>
  <c r="Z19" i="68"/>
  <c r="AA19" i="68" s="1"/>
  <c r="X23" i="68"/>
  <c r="Y25" i="68"/>
  <c r="Y27" i="68"/>
  <c r="Y29" i="68"/>
  <c r="Z31" i="68"/>
  <c r="AA31" i="68" s="1"/>
  <c r="Y33" i="68"/>
  <c r="Y32" i="68"/>
  <c r="X32" i="68"/>
  <c r="Z33" i="68"/>
  <c r="AA33" i="68" s="1"/>
  <c r="X34" i="68"/>
  <c r="Z38" i="68"/>
  <c r="AA38" i="68" s="1"/>
  <c r="Y34" i="68"/>
  <c r="Z36" i="68"/>
  <c r="AA36" i="68" s="1"/>
  <c r="Y30" i="68"/>
  <c r="Y31" i="68"/>
  <c r="Z34" i="68"/>
  <c r="AA34" i="68" s="1"/>
  <c r="X33" i="68"/>
  <c r="Z30" i="68"/>
  <c r="AA30" i="68" s="1"/>
  <c r="X31" i="68"/>
  <c r="X28" i="68"/>
  <c r="Y38" i="68"/>
  <c r="Z35" i="68"/>
  <c r="AA35" i="68" s="1"/>
  <c r="Y28" i="68"/>
  <c r="Y35" i="68"/>
  <c r="Z32" i="68"/>
  <c r="AA32" i="68" s="1"/>
  <c r="Y36" i="68"/>
  <c r="X35" i="68"/>
  <c r="Y24" i="68"/>
  <c r="Z25" i="68"/>
  <c r="AA25" i="68" s="1"/>
  <c r="X27" i="68"/>
  <c r="Z28" i="68"/>
  <c r="AA28" i="68" s="1"/>
  <c r="X29" i="68"/>
  <c r="X36" i="68"/>
  <c r="X38" i="68"/>
  <c r="X25" i="68"/>
  <c r="Z29" i="68"/>
  <c r="AA29" i="68" s="1"/>
  <c r="Q42" i="74"/>
  <c r="U41" i="74"/>
  <c r="Q44" i="69"/>
  <c r="U43" i="69"/>
  <c r="Z53" i="68"/>
  <c r="AA53" i="68" s="1"/>
  <c r="Y51" i="68"/>
  <c r="Y57" i="68"/>
  <c r="Z41" i="68"/>
  <c r="AA41" i="68" s="1"/>
  <c r="Z59" i="68"/>
  <c r="AA59" i="68" s="1"/>
  <c r="X50" i="68"/>
  <c r="Y54" i="68"/>
  <c r="Y45" i="68"/>
  <c r="Y60" i="68"/>
  <c r="Y46" i="68"/>
  <c r="Y41" i="68"/>
  <c r="X40" i="68"/>
  <c r="X63" i="68"/>
  <c r="X62" i="68"/>
  <c r="Y58" i="68"/>
  <c r="Z62" i="68"/>
  <c r="AA62" i="68" s="1"/>
  <c r="Y63" i="68"/>
  <c r="Z47" i="68"/>
  <c r="AA47" i="68" s="1"/>
  <c r="Y62" i="68"/>
  <c r="Y43" i="68"/>
  <c r="X48" i="68"/>
  <c r="X53" i="68"/>
  <c r="X51" i="68"/>
  <c r="Z63" i="68"/>
  <c r="AA63" i="68" s="1"/>
  <c r="Y52" i="68"/>
  <c r="Z40" i="68"/>
  <c r="AA40" i="68" s="1"/>
  <c r="X55" i="68"/>
  <c r="Y47" i="68"/>
  <c r="Y44" i="68"/>
  <c r="X52" i="68"/>
  <c r="Z60" i="68"/>
  <c r="AA60" i="68" s="1"/>
  <c r="Z43" i="68"/>
  <c r="AA43" i="68" s="1"/>
  <c r="Z58" i="68"/>
  <c r="AA58" i="68" s="1"/>
  <c r="Z54" i="68"/>
  <c r="AA54" i="68" s="1"/>
  <c r="Y49" i="68"/>
  <c r="X45" i="68"/>
  <c r="X49" i="68"/>
  <c r="Z50" i="68"/>
  <c r="AA50" i="68" s="1"/>
  <c r="Z44" i="68"/>
  <c r="AA44" i="68" s="1"/>
  <c r="Z45" i="68"/>
  <c r="AA45" i="68" s="1"/>
  <c r="X42" i="68"/>
  <c r="Z52" i="68"/>
  <c r="AA52" i="68" s="1"/>
  <c r="X58" i="68"/>
  <c r="Z48" i="68"/>
  <c r="AA48" i="68" s="1"/>
  <c r="Z46" i="68"/>
  <c r="AA46" i="68" s="1"/>
  <c r="Z56" i="68"/>
  <c r="AA56" i="68" s="1"/>
  <c r="Z49" i="68"/>
  <c r="AA49" i="68" s="1"/>
  <c r="X56" i="68"/>
  <c r="Z51" i="68"/>
  <c r="AA51" i="68" s="1"/>
  <c r="X44" i="68"/>
  <c r="X41" i="68"/>
  <c r="Y50" i="68"/>
  <c r="Y40" i="68"/>
  <c r="X46" i="68"/>
  <c r="Y48" i="68"/>
  <c r="X47" i="68"/>
  <c r="Y55" i="68"/>
  <c r="Z55" i="68"/>
  <c r="AA55" i="68" s="1"/>
  <c r="Y61" i="68"/>
  <c r="X59" i="68"/>
  <c r="Y59" i="68"/>
  <c r="X57" i="68"/>
  <c r="X54" i="68"/>
  <c r="Y53" i="68"/>
  <c r="Y56" i="68"/>
  <c r="Z61" i="68"/>
  <c r="AA61" i="68" s="1"/>
  <c r="Z42" i="68"/>
  <c r="AA42" i="68" s="1"/>
  <c r="X61" i="68"/>
  <c r="Z57" i="68"/>
  <c r="AA57" i="68" s="1"/>
  <c r="X43" i="68"/>
  <c r="Y42" i="68"/>
  <c r="X60" i="68"/>
  <c r="S42" i="68"/>
  <c r="V41" i="68"/>
  <c r="U42" i="73"/>
  <c r="Q43" i="73"/>
  <c r="U42" i="68"/>
  <c r="Q43" i="68"/>
  <c r="C5" i="54"/>
  <c r="D5" i="54"/>
  <c r="E5" i="54"/>
  <c r="J5" i="54"/>
  <c r="F5" i="54"/>
  <c r="G5" i="54"/>
  <c r="I5" i="54"/>
  <c r="H5" i="54"/>
  <c r="Q5" i="54" l="1"/>
  <c r="N5" i="54"/>
  <c r="M5" i="54"/>
  <c r="R5" i="54"/>
  <c r="P5" i="54"/>
  <c r="L5" i="54"/>
  <c r="B5" i="54"/>
  <c r="O5" i="54"/>
  <c r="S5" i="54"/>
  <c r="E7" i="54"/>
  <c r="N7" i="54" s="1"/>
  <c r="D7" i="54"/>
  <c r="M7" i="54" s="1"/>
  <c r="C7" i="54"/>
  <c r="F7" i="54"/>
  <c r="O7" i="54" s="1"/>
  <c r="J7" i="54"/>
  <c r="S7" i="54" s="1"/>
  <c r="G7" i="54"/>
  <c r="P7" i="54" s="1"/>
  <c r="I7" i="54"/>
  <c r="R7" i="54" s="1"/>
  <c r="H7" i="54"/>
  <c r="Q7" i="54" s="1"/>
  <c r="AB39" i="73"/>
  <c r="S42" i="72"/>
  <c r="V41" i="72"/>
  <c r="AB13" i="78"/>
  <c r="AD13" i="78"/>
  <c r="AC13" i="78"/>
  <c r="AC59" i="78"/>
  <c r="AB59" i="78"/>
  <c r="AC45" i="78"/>
  <c r="AB45" i="78"/>
  <c r="AB32" i="78"/>
  <c r="AC32" i="78"/>
  <c r="AB31" i="78"/>
  <c r="AD31" i="78"/>
  <c r="AC31" i="78"/>
  <c r="AC37" i="78"/>
  <c r="AB37" i="78"/>
  <c r="AC14" i="78"/>
  <c r="AD14" i="78"/>
  <c r="AB14" i="78"/>
  <c r="AB54" i="78"/>
  <c r="AC54" i="78"/>
  <c r="AB44" i="78"/>
  <c r="AC44" i="78"/>
  <c r="AD8" i="78"/>
  <c r="AB8" i="78"/>
  <c r="AC8" i="78"/>
  <c r="AC33" i="78"/>
  <c r="AB33" i="78"/>
  <c r="AB24" i="78"/>
  <c r="AC24" i="78"/>
  <c r="AD24" i="78"/>
  <c r="AD10" i="78"/>
  <c r="AC10" i="78"/>
  <c r="AB10" i="78"/>
  <c r="AC42" i="78"/>
  <c r="AB42" i="78"/>
  <c r="AB52" i="78"/>
  <c r="AC52" i="78"/>
  <c r="AB29" i="78"/>
  <c r="AD29" i="78"/>
  <c r="AC29" i="78"/>
  <c r="AC30" i="78"/>
  <c r="AB30" i="78"/>
  <c r="AD30" i="78"/>
  <c r="AB21" i="78"/>
  <c r="AC21" i="78"/>
  <c r="AD21" i="78"/>
  <c r="AD20" i="78"/>
  <c r="AC20" i="78"/>
  <c r="AB20" i="78"/>
  <c r="AC51" i="78"/>
  <c r="AB51" i="78"/>
  <c r="AB61" i="78"/>
  <c r="AC61" i="78"/>
  <c r="AC41" i="78"/>
  <c r="AB41" i="78"/>
  <c r="AC47" i="78"/>
  <c r="AB47" i="78"/>
  <c r="AC63" i="78"/>
  <c r="AB63" i="78"/>
  <c r="AD12" i="78"/>
  <c r="AC12" i="78"/>
  <c r="AB12" i="78"/>
  <c r="AC23" i="78"/>
  <c r="AB23" i="78"/>
  <c r="AD23" i="78"/>
  <c r="AA4" i="74"/>
  <c r="AC4" i="74" s="1"/>
  <c r="AB60" i="78"/>
  <c r="AC60" i="78"/>
  <c r="AC49" i="78"/>
  <c r="AB49" i="78"/>
  <c r="AB55" i="78"/>
  <c r="AC55" i="78"/>
  <c r="AC7" i="78"/>
  <c r="AB7" i="78"/>
  <c r="AD7" i="78"/>
  <c r="AB38" i="78"/>
  <c r="AC38" i="78"/>
  <c r="AD9" i="78"/>
  <c r="AB9" i="78"/>
  <c r="AC9" i="78"/>
  <c r="AB53" i="78"/>
  <c r="AC53" i="78"/>
  <c r="AB11" i="78"/>
  <c r="AC11" i="78"/>
  <c r="AD11" i="78"/>
  <c r="AB26" i="78"/>
  <c r="AD26" i="78"/>
  <c r="AC26" i="78"/>
  <c r="AC46" i="78"/>
  <c r="AB46" i="78"/>
  <c r="AB40" i="78"/>
  <c r="AC40" i="78"/>
  <c r="AB6" i="78"/>
  <c r="AD6" i="78"/>
  <c r="AC6" i="78"/>
  <c r="AB36" i="78"/>
  <c r="AC36" i="78"/>
  <c r="AC34" i="78"/>
  <c r="AB34" i="78"/>
  <c r="AD28" i="78"/>
  <c r="AB28" i="78"/>
  <c r="AC28" i="78"/>
  <c r="AD5" i="78"/>
  <c r="AC5" i="78"/>
  <c r="AB5" i="78"/>
  <c r="AB58" i="78"/>
  <c r="AC58" i="78"/>
  <c r="AD25" i="78"/>
  <c r="AC25" i="78"/>
  <c r="AB25" i="78"/>
  <c r="AC35" i="78"/>
  <c r="AB35" i="78"/>
  <c r="AC48" i="78"/>
  <c r="AB48" i="78"/>
  <c r="AB39" i="78"/>
  <c r="AC39" i="78"/>
  <c r="AC19" i="78"/>
  <c r="AB19" i="78"/>
  <c r="AD19" i="78"/>
  <c r="AB22" i="78"/>
  <c r="AD22" i="78"/>
  <c r="AC22" i="78"/>
  <c r="AD17" i="78"/>
  <c r="AC17" i="78"/>
  <c r="AB17" i="78"/>
  <c r="AB50" i="78"/>
  <c r="AC50" i="78"/>
  <c r="AC27" i="78"/>
  <c r="AB27" i="78"/>
  <c r="AD27" i="78"/>
  <c r="AD4" i="78"/>
  <c r="AC4" i="78"/>
  <c r="AB4" i="78"/>
  <c r="AC43" i="78"/>
  <c r="AB43" i="78"/>
  <c r="AC56" i="78"/>
  <c r="AB56" i="78"/>
  <c r="AD18" i="78"/>
  <c r="AC18" i="78"/>
  <c r="AB18" i="78"/>
  <c r="AC57" i="78"/>
  <c r="AB57" i="78"/>
  <c r="AB62" i="78"/>
  <c r="AC62" i="78"/>
  <c r="AD15" i="78"/>
  <c r="AC15" i="78"/>
  <c r="AB15" i="78"/>
  <c r="AC16" i="78"/>
  <c r="AB16" i="78"/>
  <c r="AD16" i="78"/>
  <c r="V52" i="78"/>
  <c r="S53" i="78"/>
  <c r="Q55" i="78"/>
  <c r="U54" i="78"/>
  <c r="AB59" i="68"/>
  <c r="AC59" i="68"/>
  <c r="AB35" i="68"/>
  <c r="AC35" i="68"/>
  <c r="AB17" i="68"/>
  <c r="AD17" i="68"/>
  <c r="AC17" i="68"/>
  <c r="AB15" i="68"/>
  <c r="AC15" i="68"/>
  <c r="AD15" i="68"/>
  <c r="AB12" i="68"/>
  <c r="AC12" i="68"/>
  <c r="AD12" i="68"/>
  <c r="AB22" i="68"/>
  <c r="AC22" i="68"/>
  <c r="AD22" i="68"/>
  <c r="V41" i="73"/>
  <c r="AC38" i="72"/>
  <c r="AB38" i="72"/>
  <c r="AC39" i="70"/>
  <c r="AB39" i="70"/>
  <c r="AD29" i="69"/>
  <c r="AC29" i="69"/>
  <c r="AB29" i="69"/>
  <c r="AC26" i="69"/>
  <c r="AB26" i="69"/>
  <c r="AD26" i="69"/>
  <c r="AD25" i="70"/>
  <c r="AC25" i="70"/>
  <c r="AB25" i="70"/>
  <c r="AD24" i="72"/>
  <c r="AC24" i="72"/>
  <c r="AB24" i="72"/>
  <c r="AB20" i="71"/>
  <c r="AD20" i="71"/>
  <c r="AC20" i="71"/>
  <c r="AD21" i="72"/>
  <c r="AC21" i="72"/>
  <c r="AB21" i="72"/>
  <c r="AC18" i="72"/>
  <c r="AD18" i="72"/>
  <c r="AB18" i="72"/>
  <c r="AD17" i="70"/>
  <c r="AC17" i="70"/>
  <c r="AB17" i="70"/>
  <c r="AD16" i="69"/>
  <c r="AC16" i="69"/>
  <c r="AB16" i="69"/>
  <c r="AC15" i="70"/>
  <c r="AB15" i="70"/>
  <c r="AD15" i="70"/>
  <c r="AD11" i="73"/>
  <c r="AC11" i="73"/>
  <c r="AB11" i="73"/>
  <c r="AC11" i="74"/>
  <c r="AB11" i="74"/>
  <c r="AD11" i="74"/>
  <c r="AD10" i="69"/>
  <c r="AC10" i="69"/>
  <c r="AB10" i="69"/>
  <c r="AC48" i="70"/>
  <c r="AB48" i="70"/>
  <c r="AC59" i="74"/>
  <c r="AB59" i="74"/>
  <c r="AC5" i="70"/>
  <c r="AB5" i="70"/>
  <c r="AD5" i="70"/>
  <c r="AC47" i="70"/>
  <c r="AB47" i="70"/>
  <c r="AC60" i="69"/>
  <c r="AB60" i="69"/>
  <c r="AB61" i="74"/>
  <c r="AC61" i="74"/>
  <c r="AB50" i="74"/>
  <c r="AC50" i="74"/>
  <c r="AB6" i="74"/>
  <c r="AC6" i="74"/>
  <c r="AD6" i="74"/>
  <c r="AB59" i="70"/>
  <c r="AC59" i="70"/>
  <c r="AB44" i="74"/>
  <c r="AC44" i="74"/>
  <c r="AC55" i="69"/>
  <c r="AB55" i="69"/>
  <c r="AC49" i="73"/>
  <c r="AB49" i="73"/>
  <c r="AC44" i="70"/>
  <c r="AB44" i="70"/>
  <c r="AB44" i="69"/>
  <c r="AC44" i="69"/>
  <c r="AC62" i="73"/>
  <c r="AB62" i="73"/>
  <c r="AC62" i="71"/>
  <c r="AB62" i="71"/>
  <c r="AC52" i="73"/>
  <c r="AB52" i="73"/>
  <c r="AC46" i="71"/>
  <c r="AB46" i="71"/>
  <c r="AB58" i="72"/>
  <c r="AC58" i="72"/>
  <c r="AC56" i="71"/>
  <c r="AB56" i="71"/>
  <c r="AB57" i="68"/>
  <c r="AC57" i="68"/>
  <c r="AB48" i="68"/>
  <c r="AC48" i="68"/>
  <c r="AB63" i="68"/>
  <c r="AC63" i="68"/>
  <c r="AB62" i="68"/>
  <c r="AC62" i="68"/>
  <c r="AB41" i="68"/>
  <c r="AC41" i="68"/>
  <c r="AB53" i="68"/>
  <c r="AC53" i="68"/>
  <c r="AB25" i="68"/>
  <c r="AD25" i="68"/>
  <c r="AC25" i="68"/>
  <c r="AB36" i="68"/>
  <c r="AC36" i="68"/>
  <c r="AB31" i="68"/>
  <c r="AC31" i="68"/>
  <c r="AD31" i="68"/>
  <c r="AB10" i="68"/>
  <c r="AD10" i="68"/>
  <c r="AC10" i="68"/>
  <c r="AB5" i="68"/>
  <c r="AC5" i="68"/>
  <c r="AD5" i="68"/>
  <c r="AC36" i="72"/>
  <c r="AB36" i="72"/>
  <c r="AC33" i="73"/>
  <c r="AB33" i="73"/>
  <c r="AC33" i="72"/>
  <c r="AB33" i="72"/>
  <c r="AC33" i="70"/>
  <c r="AB33" i="70"/>
  <c r="AC37" i="74"/>
  <c r="AB37" i="74"/>
  <c r="AC37" i="71"/>
  <c r="AB37" i="71"/>
  <c r="AC38" i="74"/>
  <c r="AB38" i="74"/>
  <c r="AC33" i="71"/>
  <c r="AB33" i="71"/>
  <c r="AB29" i="71"/>
  <c r="AC29" i="71"/>
  <c r="AD29" i="71"/>
  <c r="AB31" i="72"/>
  <c r="AD31" i="72"/>
  <c r="AC31" i="72"/>
  <c r="AB26" i="73"/>
  <c r="AD26" i="73"/>
  <c r="AC26" i="73"/>
  <c r="AD27" i="73"/>
  <c r="AC27" i="73"/>
  <c r="AB27" i="73"/>
  <c r="AC22" i="73"/>
  <c r="AB22" i="73"/>
  <c r="AD22" i="73"/>
  <c r="AB21" i="73"/>
  <c r="AD21" i="73"/>
  <c r="AC21" i="73"/>
  <c r="AD20" i="69"/>
  <c r="AC20" i="69"/>
  <c r="AB20" i="69"/>
  <c r="AB22" i="70"/>
  <c r="AC22" i="70"/>
  <c r="AD22" i="70"/>
  <c r="AB19" i="74"/>
  <c r="AC19" i="74"/>
  <c r="AD19" i="74"/>
  <c r="AB13" i="73"/>
  <c r="AD13" i="73"/>
  <c r="AC13" i="73"/>
  <c r="AD14" i="71"/>
  <c r="AC14" i="71"/>
  <c r="AB14" i="71"/>
  <c r="AD15" i="74"/>
  <c r="AC15" i="74"/>
  <c r="AB15" i="74"/>
  <c r="AC12" i="73"/>
  <c r="AB12" i="73"/>
  <c r="AD12" i="73"/>
  <c r="AC11" i="69"/>
  <c r="AD11" i="69"/>
  <c r="AB11" i="69"/>
  <c r="AC14" i="70"/>
  <c r="AB14" i="70"/>
  <c r="AD14" i="70"/>
  <c r="AB13" i="70"/>
  <c r="AC13" i="70"/>
  <c r="AD13" i="70"/>
  <c r="AC12" i="72"/>
  <c r="AB12" i="72"/>
  <c r="AD12" i="72"/>
  <c r="AD11" i="70"/>
  <c r="AC11" i="70"/>
  <c r="AB11" i="70"/>
  <c r="AB9" i="72"/>
  <c r="AC9" i="72"/>
  <c r="AD9" i="72"/>
  <c r="AC50" i="73"/>
  <c r="AB50" i="73"/>
  <c r="AC52" i="70"/>
  <c r="AB52" i="70"/>
  <c r="AB52" i="74"/>
  <c r="AC52" i="74"/>
  <c r="AD7" i="70"/>
  <c r="AC7" i="70"/>
  <c r="AB7" i="70"/>
  <c r="AB60" i="70"/>
  <c r="AC60" i="70"/>
  <c r="AB48" i="73"/>
  <c r="AC48" i="73"/>
  <c r="AC49" i="70"/>
  <c r="AB49" i="70"/>
  <c r="AC56" i="74"/>
  <c r="AB56" i="74"/>
  <c r="AC48" i="69"/>
  <c r="AB48" i="69"/>
  <c r="AC45" i="74"/>
  <c r="AB45" i="74"/>
  <c r="AC53" i="69"/>
  <c r="AB53" i="69"/>
  <c r="AC47" i="69"/>
  <c r="AB47" i="69"/>
  <c r="AB58" i="71"/>
  <c r="AC58" i="71"/>
  <c r="AC48" i="74"/>
  <c r="AB48" i="74"/>
  <c r="AC57" i="71"/>
  <c r="AB57" i="71"/>
  <c r="AB42" i="71"/>
  <c r="AC42" i="71"/>
  <c r="AD6" i="72"/>
  <c r="AC6" i="72"/>
  <c r="AB6" i="72"/>
  <c r="AB54" i="71"/>
  <c r="AC54" i="71"/>
  <c r="AC44" i="73"/>
  <c r="AB44" i="73"/>
  <c r="AB51" i="68"/>
  <c r="AC51" i="68"/>
  <c r="AB46" i="68"/>
  <c r="AC46" i="68"/>
  <c r="AB44" i="68"/>
  <c r="AC44" i="68"/>
  <c r="AB29" i="68"/>
  <c r="AD29" i="68"/>
  <c r="AC29" i="68"/>
  <c r="AB18" i="68"/>
  <c r="AD18" i="68"/>
  <c r="AC18" i="68"/>
  <c r="AB23" i="68"/>
  <c r="AC23" i="68"/>
  <c r="AD23" i="68"/>
  <c r="AB8" i="68"/>
  <c r="AD8" i="68"/>
  <c r="AC8" i="68"/>
  <c r="AB13" i="68"/>
  <c r="AC13" i="68"/>
  <c r="AD13" i="68"/>
  <c r="AB39" i="71"/>
  <c r="AC36" i="74"/>
  <c r="AB36" i="74"/>
  <c r="AC35" i="72"/>
  <c r="AB35" i="72"/>
  <c r="AB34" i="72"/>
  <c r="AC34" i="72"/>
  <c r="AC30" i="73"/>
  <c r="AB30" i="73"/>
  <c r="AD30" i="73"/>
  <c r="AD31" i="73"/>
  <c r="AB31" i="73"/>
  <c r="AC31" i="73"/>
  <c r="AB29" i="73"/>
  <c r="AC29" i="73"/>
  <c r="AD29" i="73"/>
  <c r="AC30" i="74"/>
  <c r="AB30" i="74"/>
  <c r="AD30" i="74"/>
  <c r="AC26" i="71"/>
  <c r="AD26" i="71"/>
  <c r="AB26" i="71"/>
  <c r="AD27" i="72"/>
  <c r="AC27" i="72"/>
  <c r="AB27" i="72"/>
  <c r="AD28" i="70"/>
  <c r="AC28" i="70"/>
  <c r="AB28" i="70"/>
  <c r="AC26" i="72"/>
  <c r="AD26" i="72"/>
  <c r="AB26" i="72"/>
  <c r="AB22" i="74"/>
  <c r="AD22" i="74"/>
  <c r="AC22" i="74"/>
  <c r="AC21" i="74"/>
  <c r="AB21" i="74"/>
  <c r="AD21" i="74"/>
  <c r="AB19" i="70"/>
  <c r="AD19" i="70"/>
  <c r="AC19" i="70"/>
  <c r="AD19" i="72"/>
  <c r="AB19" i="72"/>
  <c r="AC19" i="72"/>
  <c r="AC14" i="69"/>
  <c r="AB14" i="69"/>
  <c r="AD14" i="69"/>
  <c r="AD13" i="69"/>
  <c r="AB13" i="69"/>
  <c r="AC13" i="69"/>
  <c r="AC13" i="72"/>
  <c r="AB13" i="72"/>
  <c r="AD13" i="72"/>
  <c r="AB8" i="73"/>
  <c r="AD8" i="73"/>
  <c r="AC8" i="73"/>
  <c r="AB53" i="70"/>
  <c r="AC53" i="70"/>
  <c r="AB8" i="69"/>
  <c r="AD8" i="69"/>
  <c r="AC8" i="69"/>
  <c r="AB9" i="74"/>
  <c r="AC9" i="74"/>
  <c r="AD9" i="74"/>
  <c r="AC10" i="70"/>
  <c r="AB10" i="70"/>
  <c r="AD10" i="70"/>
  <c r="AB60" i="74"/>
  <c r="AC60" i="74"/>
  <c r="AC40" i="74"/>
  <c r="AB40" i="74"/>
  <c r="AB5" i="69"/>
  <c r="AD5" i="69"/>
  <c r="AC5" i="69"/>
  <c r="AC51" i="69"/>
  <c r="AB51" i="69"/>
  <c r="AC42" i="74"/>
  <c r="AB42" i="74"/>
  <c r="AC57" i="74"/>
  <c r="AB57" i="74"/>
  <c r="AC47" i="72"/>
  <c r="AB47" i="72"/>
  <c r="AC56" i="69"/>
  <c r="AB56" i="69"/>
  <c r="AC59" i="69"/>
  <c r="AB59" i="69"/>
  <c r="AC45" i="70"/>
  <c r="AB45" i="70"/>
  <c r="AD7" i="72"/>
  <c r="AC7" i="72"/>
  <c r="AB7" i="72"/>
  <c r="AD6" i="73"/>
  <c r="AC6" i="73"/>
  <c r="AB6" i="73"/>
  <c r="AC40" i="73"/>
  <c r="AB40" i="73"/>
  <c r="AC40" i="72"/>
  <c r="AB40" i="72"/>
  <c r="AC44" i="72"/>
  <c r="AB44" i="72"/>
  <c r="AC43" i="69"/>
  <c r="AB43" i="69"/>
  <c r="AC41" i="71"/>
  <c r="AB41" i="71"/>
  <c r="AB63" i="71"/>
  <c r="AC63" i="71"/>
  <c r="AC55" i="73"/>
  <c r="AB55" i="73"/>
  <c r="V42" i="69"/>
  <c r="S43" i="69"/>
  <c r="AB55" i="68"/>
  <c r="AC55" i="68"/>
  <c r="AB58" i="68"/>
  <c r="AC58" i="68"/>
  <c r="AB43" i="68"/>
  <c r="AC43" i="68"/>
  <c r="AB38" i="68"/>
  <c r="AC38" i="68"/>
  <c r="AB27" i="68"/>
  <c r="AD27" i="68"/>
  <c r="AC27" i="68"/>
  <c r="AB9" i="68"/>
  <c r="AD9" i="68"/>
  <c r="AC9" i="68"/>
  <c r="AB7" i="68"/>
  <c r="AC7" i="68"/>
  <c r="AD7" i="68"/>
  <c r="AB34" i="69"/>
  <c r="AC34" i="69"/>
  <c r="AC38" i="73"/>
  <c r="AB38" i="73"/>
  <c r="AC34" i="73"/>
  <c r="AB34" i="73"/>
  <c r="AB32" i="73"/>
  <c r="AC32" i="73"/>
  <c r="AC35" i="69"/>
  <c r="AB35" i="69"/>
  <c r="AC32" i="74"/>
  <c r="AB32" i="74"/>
  <c r="AC30" i="72"/>
  <c r="AD30" i="72"/>
  <c r="AB30" i="72"/>
  <c r="AC29" i="72"/>
  <c r="AB29" i="72"/>
  <c r="AD29" i="72"/>
  <c r="AC26" i="74"/>
  <c r="AB26" i="74"/>
  <c r="AD26" i="74"/>
  <c r="AD25" i="69"/>
  <c r="AC25" i="69"/>
  <c r="AB25" i="69"/>
  <c r="AC23" i="69"/>
  <c r="AB23" i="69"/>
  <c r="AD23" i="69"/>
  <c r="AD23" i="74"/>
  <c r="AC23" i="74"/>
  <c r="AB23" i="74"/>
  <c r="AD23" i="72"/>
  <c r="AC23" i="72"/>
  <c r="AB23" i="72"/>
  <c r="AD20" i="73"/>
  <c r="AC20" i="73"/>
  <c r="AB20" i="73"/>
  <c r="AB21" i="70"/>
  <c r="AD21" i="70"/>
  <c r="AC21" i="70"/>
  <c r="AB21" i="71"/>
  <c r="AD21" i="71"/>
  <c r="AC21" i="71"/>
  <c r="AD18" i="74"/>
  <c r="AC18" i="74"/>
  <c r="AB18" i="74"/>
  <c r="AD16" i="74"/>
  <c r="AC16" i="74"/>
  <c r="AB16" i="74"/>
  <c r="AD15" i="69"/>
  <c r="AC15" i="69"/>
  <c r="AB15" i="69"/>
  <c r="AD15" i="72"/>
  <c r="AC15" i="72"/>
  <c r="AB15" i="72"/>
  <c r="AD10" i="73"/>
  <c r="AC10" i="73"/>
  <c r="AB10" i="73"/>
  <c r="AD9" i="71"/>
  <c r="AC9" i="71"/>
  <c r="AB9" i="71"/>
  <c r="AC9" i="69"/>
  <c r="AB9" i="69"/>
  <c r="AD9" i="69"/>
  <c r="AB63" i="73"/>
  <c r="AC63" i="73"/>
  <c r="AB61" i="70"/>
  <c r="AC61" i="70"/>
  <c r="AB54" i="74"/>
  <c r="AC54" i="74"/>
  <c r="AB58" i="74"/>
  <c r="AC58" i="74"/>
  <c r="AB54" i="70"/>
  <c r="AC54" i="70"/>
  <c r="AC62" i="70"/>
  <c r="AB62" i="70"/>
  <c r="AC50" i="69"/>
  <c r="AB50" i="69"/>
  <c r="AC46" i="74"/>
  <c r="AB46" i="74"/>
  <c r="AC41" i="70"/>
  <c r="AB41" i="70"/>
  <c r="AC56" i="70"/>
  <c r="AB56" i="70"/>
  <c r="AC51" i="74"/>
  <c r="AB51" i="74"/>
  <c r="AC54" i="69"/>
  <c r="AB54" i="69"/>
  <c r="AB61" i="71"/>
  <c r="AC61" i="71"/>
  <c r="AC54" i="73"/>
  <c r="AB54" i="73"/>
  <c r="AD5" i="72"/>
  <c r="AC5" i="72"/>
  <c r="AB5" i="72"/>
  <c r="AC45" i="72"/>
  <c r="AB45" i="72"/>
  <c r="AC53" i="74"/>
  <c r="AB53" i="74"/>
  <c r="AC59" i="73"/>
  <c r="AB59" i="73"/>
  <c r="AB50" i="71"/>
  <c r="AC50" i="71"/>
  <c r="AC40" i="71"/>
  <c r="AB40" i="71"/>
  <c r="AD4" i="72"/>
  <c r="AB4" i="72"/>
  <c r="AC4" i="72"/>
  <c r="AB61" i="68"/>
  <c r="AC61" i="68"/>
  <c r="AB30" i="68"/>
  <c r="AC30" i="68"/>
  <c r="AD30" i="68"/>
  <c r="AB24" i="68"/>
  <c r="AD24" i="68"/>
  <c r="AC24" i="68"/>
  <c r="AB21" i="68"/>
  <c r="AC21" i="68"/>
  <c r="AD21" i="68"/>
  <c r="AB14" i="68"/>
  <c r="AC14" i="68"/>
  <c r="AD14" i="68"/>
  <c r="AB39" i="68"/>
  <c r="AC39" i="68"/>
  <c r="AC39" i="69"/>
  <c r="AB39" i="69"/>
  <c r="AC35" i="74"/>
  <c r="AB35" i="74"/>
  <c r="AC34" i="74"/>
  <c r="AB34" i="74"/>
  <c r="AB37" i="69"/>
  <c r="AC37" i="69"/>
  <c r="AB31" i="70"/>
  <c r="AD31" i="70"/>
  <c r="AC31" i="70"/>
  <c r="AD31" i="69"/>
  <c r="AC31" i="69"/>
  <c r="AB31" i="69"/>
  <c r="AD31" i="74"/>
  <c r="AC31" i="74"/>
  <c r="AB31" i="74"/>
  <c r="AB28" i="71"/>
  <c r="AC28" i="71"/>
  <c r="AD28" i="71"/>
  <c r="AB29" i="70"/>
  <c r="AD29" i="70"/>
  <c r="AC29" i="70"/>
  <c r="AD28" i="74"/>
  <c r="AC28" i="74"/>
  <c r="AB28" i="74"/>
  <c r="AD27" i="74"/>
  <c r="AB27" i="74"/>
  <c r="AC27" i="74"/>
  <c r="AC25" i="71"/>
  <c r="AB25" i="71"/>
  <c r="AD25" i="71"/>
  <c r="AD24" i="74"/>
  <c r="AC24" i="74"/>
  <c r="AB24" i="74"/>
  <c r="AC23" i="73"/>
  <c r="AB23" i="73"/>
  <c r="AD23" i="73"/>
  <c r="AD23" i="70"/>
  <c r="AC23" i="70"/>
  <c r="AB23" i="70"/>
  <c r="AD19" i="71"/>
  <c r="AC19" i="71"/>
  <c r="AB19" i="71"/>
  <c r="AB21" i="69"/>
  <c r="AD21" i="69"/>
  <c r="AC21" i="69"/>
  <c r="AD15" i="71"/>
  <c r="AC15" i="71"/>
  <c r="AB15" i="71"/>
  <c r="AB17" i="71"/>
  <c r="AD17" i="71"/>
  <c r="AC17" i="71"/>
  <c r="AD16" i="71"/>
  <c r="AC16" i="71"/>
  <c r="AB16" i="71"/>
  <c r="AB17" i="69"/>
  <c r="AD17" i="69"/>
  <c r="AC17" i="69"/>
  <c r="AC17" i="72"/>
  <c r="AB17" i="72"/>
  <c r="AD17" i="72"/>
  <c r="AC14" i="73"/>
  <c r="AB14" i="73"/>
  <c r="AD14" i="73"/>
  <c r="AD13" i="74"/>
  <c r="AC13" i="74"/>
  <c r="AB13" i="74"/>
  <c r="AB12" i="69"/>
  <c r="AD12" i="69"/>
  <c r="AC12" i="69"/>
  <c r="AC9" i="73"/>
  <c r="AB9" i="73"/>
  <c r="AD9" i="73"/>
  <c r="AD8" i="71"/>
  <c r="AC8" i="71"/>
  <c r="AB8" i="71"/>
  <c r="AD6" i="70"/>
  <c r="AB6" i="70"/>
  <c r="AC6" i="70"/>
  <c r="AC9" i="70"/>
  <c r="AB9" i="70"/>
  <c r="AD9" i="70"/>
  <c r="AC58" i="70"/>
  <c r="AB58" i="70"/>
  <c r="AB63" i="70"/>
  <c r="AC63" i="70"/>
  <c r="AB46" i="69"/>
  <c r="AC46" i="69"/>
  <c r="AC58" i="69"/>
  <c r="AB58" i="69"/>
  <c r="AC5" i="74"/>
  <c r="AD5" i="74"/>
  <c r="AB5" i="74"/>
  <c r="AB47" i="71"/>
  <c r="AC47" i="71"/>
  <c r="AC46" i="73"/>
  <c r="AB46" i="73"/>
  <c r="AC58" i="73"/>
  <c r="AB58" i="73"/>
  <c r="AC7" i="69"/>
  <c r="AD7" i="69"/>
  <c r="AB7" i="69"/>
  <c r="AC57" i="70"/>
  <c r="AB57" i="70"/>
  <c r="AC40" i="69"/>
  <c r="AB40" i="69"/>
  <c r="AB50" i="72"/>
  <c r="AC50" i="72"/>
  <c r="AC60" i="72"/>
  <c r="AB60" i="72"/>
  <c r="AB60" i="71"/>
  <c r="AC60" i="71"/>
  <c r="AC53" i="71"/>
  <c r="AB53" i="71"/>
  <c r="AB54" i="72"/>
  <c r="AC54" i="72"/>
  <c r="AC61" i="72"/>
  <c r="AB61" i="72"/>
  <c r="AC57" i="72"/>
  <c r="AB57" i="72"/>
  <c r="AC46" i="72"/>
  <c r="AB46" i="72"/>
  <c r="AC53" i="72"/>
  <c r="AB53" i="72"/>
  <c r="AC45" i="69"/>
  <c r="AB45" i="69"/>
  <c r="AB52" i="72"/>
  <c r="AC52" i="72"/>
  <c r="AC4" i="71"/>
  <c r="AB4" i="71"/>
  <c r="AD4" i="71"/>
  <c r="AB42" i="68"/>
  <c r="AC42" i="68"/>
  <c r="AB52" i="68"/>
  <c r="AC52" i="68"/>
  <c r="AB45" i="68"/>
  <c r="AC45" i="68"/>
  <c r="AB32" i="68"/>
  <c r="AC32" i="68"/>
  <c r="AB33" i="68"/>
  <c r="AC33" i="68"/>
  <c r="AB20" i="68"/>
  <c r="AC20" i="68"/>
  <c r="AD20" i="68"/>
  <c r="AB6" i="68"/>
  <c r="AC6" i="68"/>
  <c r="AD6" i="68"/>
  <c r="AB37" i="68"/>
  <c r="AC37" i="68"/>
  <c r="AC39" i="74"/>
  <c r="AB39" i="74"/>
  <c r="AB34" i="71"/>
  <c r="AC34" i="71"/>
  <c r="AB33" i="74"/>
  <c r="AC33" i="74"/>
  <c r="AC35" i="71"/>
  <c r="AB35" i="71"/>
  <c r="AB35" i="70"/>
  <c r="AC35" i="70"/>
  <c r="AC32" i="72"/>
  <c r="AB32" i="72"/>
  <c r="AC32" i="70"/>
  <c r="AB32" i="70"/>
  <c r="AB29" i="74"/>
  <c r="AD29" i="74"/>
  <c r="AC29" i="74"/>
  <c r="AD27" i="70"/>
  <c r="AC27" i="70"/>
  <c r="AB27" i="70"/>
  <c r="AD25" i="74"/>
  <c r="AC25" i="74"/>
  <c r="AB25" i="74"/>
  <c r="AD24" i="71"/>
  <c r="AC24" i="71"/>
  <c r="AB24" i="71"/>
  <c r="AC22" i="71"/>
  <c r="AB22" i="71"/>
  <c r="AD22" i="71"/>
  <c r="AD20" i="74"/>
  <c r="AC20" i="74"/>
  <c r="AB20" i="74"/>
  <c r="AC22" i="72"/>
  <c r="AB22" i="72"/>
  <c r="AD22" i="72"/>
  <c r="AD19" i="73"/>
  <c r="AC19" i="73"/>
  <c r="AB19" i="73"/>
  <c r="AD18" i="71"/>
  <c r="AC18" i="71"/>
  <c r="AB18" i="71"/>
  <c r="AD16" i="73"/>
  <c r="AC16" i="73"/>
  <c r="AB16" i="73"/>
  <c r="AB17" i="73"/>
  <c r="AD17" i="73"/>
  <c r="AC17" i="73"/>
  <c r="AB16" i="72"/>
  <c r="AD16" i="72"/>
  <c r="AC16" i="72"/>
  <c r="AB16" i="70"/>
  <c r="AC16" i="70"/>
  <c r="AD16" i="70"/>
  <c r="AC14" i="72"/>
  <c r="AD14" i="72"/>
  <c r="AB14" i="72"/>
  <c r="AB12" i="70"/>
  <c r="AD12" i="70"/>
  <c r="AC12" i="70"/>
  <c r="AB10" i="74"/>
  <c r="AC10" i="74"/>
  <c r="AD10" i="74"/>
  <c r="AD11" i="72"/>
  <c r="AC11" i="72"/>
  <c r="AB11" i="72"/>
  <c r="AD8" i="72"/>
  <c r="AC8" i="72"/>
  <c r="AB8" i="72"/>
  <c r="AB8" i="70"/>
  <c r="AD8" i="70"/>
  <c r="AC8" i="70"/>
  <c r="AC7" i="73"/>
  <c r="AB7" i="73"/>
  <c r="AD7" i="73"/>
  <c r="AC5" i="73"/>
  <c r="AB5" i="73"/>
  <c r="AD5" i="73"/>
  <c r="AC47" i="74"/>
  <c r="AB47" i="74"/>
  <c r="AC47" i="73"/>
  <c r="AB47" i="73"/>
  <c r="AC49" i="74"/>
  <c r="AB49" i="74"/>
  <c r="AC41" i="69"/>
  <c r="AB41" i="69"/>
  <c r="AB42" i="70"/>
  <c r="AC42" i="70"/>
  <c r="AB43" i="74"/>
  <c r="AC43" i="74"/>
  <c r="AB41" i="74"/>
  <c r="AC41" i="74"/>
  <c r="AB50" i="70"/>
  <c r="AC50" i="70"/>
  <c r="AC51" i="70"/>
  <c r="AB51" i="70"/>
  <c r="AC62" i="74"/>
  <c r="AB62" i="74"/>
  <c r="AB62" i="69"/>
  <c r="AC62" i="69"/>
  <c r="AC53" i="73"/>
  <c r="AB53" i="73"/>
  <c r="AC59" i="72"/>
  <c r="AB59" i="72"/>
  <c r="AB57" i="69"/>
  <c r="AC57" i="69"/>
  <c r="AB52" i="71"/>
  <c r="AC52" i="71"/>
  <c r="AB45" i="71"/>
  <c r="AC45" i="71"/>
  <c r="AC49" i="71"/>
  <c r="AB49" i="71"/>
  <c r="AC44" i="71"/>
  <c r="AB44" i="71"/>
  <c r="AB41" i="73"/>
  <c r="AC41" i="73"/>
  <c r="AC43" i="72"/>
  <c r="AB43" i="72"/>
  <c r="AC55" i="72"/>
  <c r="AB55" i="72"/>
  <c r="AB43" i="71"/>
  <c r="AC43" i="71"/>
  <c r="AC63" i="72"/>
  <c r="AB63" i="72"/>
  <c r="AC57" i="73"/>
  <c r="AB57" i="73"/>
  <c r="AB49" i="68"/>
  <c r="AC49" i="68"/>
  <c r="AB56" i="68"/>
  <c r="AC56" i="68"/>
  <c r="AB50" i="68"/>
  <c r="AC50" i="68"/>
  <c r="AB34" i="68"/>
  <c r="AC34" i="68"/>
  <c r="AB19" i="68"/>
  <c r="AC19" i="68"/>
  <c r="AD19" i="68"/>
  <c r="AB26" i="68"/>
  <c r="AD26" i="68"/>
  <c r="AC26" i="68"/>
  <c r="AD4" i="68"/>
  <c r="AC4" i="68"/>
  <c r="AB36" i="73"/>
  <c r="AC36" i="73"/>
  <c r="AC37" i="70"/>
  <c r="AB37" i="70"/>
  <c r="AC36" i="69"/>
  <c r="AB36" i="69"/>
  <c r="AC37" i="72"/>
  <c r="AB37" i="72"/>
  <c r="AC39" i="72"/>
  <c r="AB39" i="72"/>
  <c r="AC36" i="71"/>
  <c r="AB36" i="71"/>
  <c r="AB37" i="73"/>
  <c r="AC37" i="73"/>
  <c r="AC36" i="70"/>
  <c r="AB36" i="70"/>
  <c r="AB32" i="71"/>
  <c r="AC32" i="71"/>
  <c r="AB30" i="69"/>
  <c r="AD30" i="69"/>
  <c r="AC30" i="69"/>
  <c r="AC30" i="71"/>
  <c r="AB30" i="71"/>
  <c r="AD30" i="71"/>
  <c r="AD28" i="73"/>
  <c r="AC28" i="73"/>
  <c r="AB28" i="73"/>
  <c r="AC30" i="70"/>
  <c r="AB30" i="70"/>
  <c r="AD30" i="70"/>
  <c r="AB28" i="72"/>
  <c r="AD28" i="72"/>
  <c r="AC28" i="72"/>
  <c r="AD23" i="71"/>
  <c r="AC23" i="71"/>
  <c r="AB23" i="71"/>
  <c r="AD22" i="69"/>
  <c r="AC22" i="69"/>
  <c r="AB22" i="69"/>
  <c r="AB19" i="69"/>
  <c r="AD19" i="69"/>
  <c r="AC19" i="69"/>
  <c r="AC18" i="70"/>
  <c r="AB18" i="70"/>
  <c r="AD18" i="70"/>
  <c r="AD18" i="69"/>
  <c r="AC18" i="69"/>
  <c r="AB18" i="69"/>
  <c r="AB17" i="74"/>
  <c r="AD17" i="74"/>
  <c r="AC17" i="74"/>
  <c r="AD15" i="73"/>
  <c r="AC15" i="73"/>
  <c r="AB15" i="73"/>
  <c r="AD14" i="74"/>
  <c r="AC14" i="74"/>
  <c r="AB14" i="74"/>
  <c r="AC12" i="74"/>
  <c r="AB12" i="74"/>
  <c r="AD12" i="74"/>
  <c r="AD10" i="71"/>
  <c r="AC10" i="71"/>
  <c r="AB10" i="71"/>
  <c r="AB7" i="71"/>
  <c r="AC7" i="71"/>
  <c r="AD7" i="71"/>
  <c r="AC63" i="74"/>
  <c r="AB63" i="74"/>
  <c r="AC56" i="73"/>
  <c r="AB56" i="73"/>
  <c r="AD5" i="71"/>
  <c r="AC5" i="71"/>
  <c r="AB5" i="71"/>
  <c r="AB55" i="70"/>
  <c r="AC55" i="70"/>
  <c r="AB63" i="69"/>
  <c r="AC63" i="69"/>
  <c r="AC43" i="73"/>
  <c r="AB43" i="73"/>
  <c r="AB45" i="73"/>
  <c r="AC45" i="73"/>
  <c r="AB6" i="71"/>
  <c r="AD6" i="71"/>
  <c r="AC6" i="71"/>
  <c r="AB55" i="74"/>
  <c r="AC55" i="74"/>
  <c r="AC41" i="72"/>
  <c r="AB41" i="72"/>
  <c r="AC42" i="72"/>
  <c r="AB42" i="72"/>
  <c r="AC51" i="71"/>
  <c r="AB51" i="71"/>
  <c r="AC59" i="71"/>
  <c r="AB59" i="71"/>
  <c r="AB42" i="73"/>
  <c r="AC42" i="73"/>
  <c r="AB55" i="71"/>
  <c r="AC55" i="71"/>
  <c r="AC49" i="72"/>
  <c r="AB49" i="72"/>
  <c r="AB48" i="72"/>
  <c r="AC48" i="72"/>
  <c r="AB4" i="70"/>
  <c r="AD4" i="70"/>
  <c r="AC4" i="70"/>
  <c r="AB54" i="68"/>
  <c r="AC54" i="68"/>
  <c r="AB60" i="68"/>
  <c r="AC60" i="68"/>
  <c r="AB40" i="68"/>
  <c r="AC40" i="68"/>
  <c r="AB47" i="68"/>
  <c r="AC47" i="68"/>
  <c r="AB28" i="68"/>
  <c r="AC28" i="68"/>
  <c r="AD28" i="68"/>
  <c r="AB16" i="68"/>
  <c r="AD16" i="68"/>
  <c r="AC16" i="68"/>
  <c r="AB11" i="68"/>
  <c r="AD11" i="68"/>
  <c r="AC11" i="68"/>
  <c r="AC38" i="70"/>
  <c r="AB38" i="70"/>
  <c r="AC38" i="69"/>
  <c r="AB38" i="69"/>
  <c r="AC35" i="73"/>
  <c r="AB35" i="73"/>
  <c r="AD31" i="71"/>
  <c r="AC31" i="71"/>
  <c r="AB31" i="71"/>
  <c r="AB38" i="71"/>
  <c r="AC38" i="71"/>
  <c r="AC32" i="69"/>
  <c r="AB32" i="69"/>
  <c r="AB33" i="69"/>
  <c r="AC33" i="69"/>
  <c r="AB34" i="70"/>
  <c r="AC34" i="70"/>
  <c r="AD27" i="71"/>
  <c r="AC27" i="71"/>
  <c r="AB27" i="71"/>
  <c r="AB28" i="69"/>
  <c r="AC28" i="69"/>
  <c r="AD28" i="69"/>
  <c r="AC27" i="69"/>
  <c r="AB27" i="69"/>
  <c r="AD27" i="69"/>
  <c r="AB25" i="73"/>
  <c r="AD25" i="73"/>
  <c r="AC25" i="73"/>
  <c r="AB26" i="70"/>
  <c r="AC26" i="70"/>
  <c r="AD26" i="70"/>
  <c r="AD24" i="70"/>
  <c r="AC24" i="70"/>
  <c r="AB24" i="70"/>
  <c r="AC24" i="69"/>
  <c r="AB24" i="69"/>
  <c r="AD24" i="69"/>
  <c r="AD24" i="73"/>
  <c r="AC24" i="73"/>
  <c r="AB24" i="73"/>
  <c r="AC25" i="72"/>
  <c r="AD25" i="72"/>
  <c r="AB25" i="72"/>
  <c r="AD20" i="72"/>
  <c r="AC20" i="72"/>
  <c r="AB20" i="72"/>
  <c r="AC18" i="73"/>
  <c r="AB18" i="73"/>
  <c r="AD18" i="73"/>
  <c r="AC20" i="70"/>
  <c r="AB20" i="70"/>
  <c r="AD20" i="70"/>
  <c r="AB12" i="71"/>
  <c r="AC12" i="71"/>
  <c r="AD12" i="71"/>
  <c r="AB13" i="71"/>
  <c r="AC13" i="71"/>
  <c r="AD13" i="71"/>
  <c r="AD11" i="71"/>
  <c r="AC11" i="71"/>
  <c r="AB11" i="71"/>
  <c r="AD10" i="72"/>
  <c r="AC10" i="72"/>
  <c r="AB10" i="72"/>
  <c r="AC40" i="70"/>
  <c r="AB40" i="70"/>
  <c r="AD8" i="74"/>
  <c r="AC8" i="74"/>
  <c r="AB8" i="74"/>
  <c r="AC6" i="69"/>
  <c r="AB6" i="69"/>
  <c r="AD6" i="69"/>
  <c r="AC61" i="73"/>
  <c r="AB61" i="73"/>
  <c r="AC46" i="70"/>
  <c r="AB46" i="70"/>
  <c r="AB51" i="72"/>
  <c r="AC51" i="72"/>
  <c r="AC43" i="70"/>
  <c r="AB43" i="70"/>
  <c r="AB42" i="69"/>
  <c r="AC42" i="69"/>
  <c r="AC51" i="73"/>
  <c r="AB51" i="73"/>
  <c r="AD7" i="74"/>
  <c r="AC7" i="74"/>
  <c r="AB7" i="74"/>
  <c r="AB56" i="72"/>
  <c r="AC56" i="72"/>
  <c r="AC49" i="69"/>
  <c r="AB49" i="69"/>
  <c r="AB62" i="72"/>
  <c r="AC62" i="72"/>
  <c r="AC48" i="71"/>
  <c r="AB48" i="71"/>
  <c r="AC61" i="69"/>
  <c r="AB61" i="69"/>
  <c r="AC52" i="69"/>
  <c r="AB52" i="69"/>
  <c r="AC60" i="73"/>
  <c r="AB60" i="73"/>
  <c r="AB4" i="73"/>
  <c r="AD4" i="73"/>
  <c r="AC4" i="73"/>
  <c r="AB4" i="69"/>
  <c r="AC4" i="69"/>
  <c r="AD4" i="69"/>
  <c r="V40" i="74"/>
  <c r="S41" i="74"/>
  <c r="S41" i="70"/>
  <c r="V40" i="70"/>
  <c r="V42" i="73"/>
  <c r="S43" i="73"/>
  <c r="V43" i="71"/>
  <c r="S44" i="71"/>
  <c r="Q45" i="70"/>
  <c r="U44" i="70"/>
  <c r="Q45" i="71"/>
  <c r="U44" i="71"/>
  <c r="U44" i="72"/>
  <c r="Q45" i="72"/>
  <c r="AB4" i="68"/>
  <c r="AY5" i="31"/>
  <c r="AY7" i="31"/>
  <c r="U44" i="69"/>
  <c r="Q45" i="69"/>
  <c r="Q43" i="74"/>
  <c r="U42" i="74"/>
  <c r="S43" i="68"/>
  <c r="V42" i="68"/>
  <c r="Q44" i="73"/>
  <c r="U43" i="73"/>
  <c r="U43" i="68"/>
  <c r="Q44" i="68"/>
  <c r="L7" i="54" l="1"/>
  <c r="B7" i="54"/>
  <c r="V5" i="54"/>
  <c r="U5" i="54"/>
  <c r="AB4" i="74"/>
  <c r="S43" i="72"/>
  <c r="V42" i="72"/>
  <c r="AD4" i="74"/>
  <c r="Q56" i="78"/>
  <c r="U55" i="78"/>
  <c r="V53" i="78"/>
  <c r="S54" i="78"/>
  <c r="V43" i="69"/>
  <c r="S44" i="69"/>
  <c r="S42" i="70"/>
  <c r="V41" i="70"/>
  <c r="S44" i="73"/>
  <c r="V43" i="73"/>
  <c r="S42" i="74"/>
  <c r="V41" i="74"/>
  <c r="V44" i="71"/>
  <c r="S45" i="71"/>
  <c r="Q46" i="70"/>
  <c r="U45" i="70"/>
  <c r="Q46" i="71"/>
  <c r="U45" i="71"/>
  <c r="Q46" i="72"/>
  <c r="U45" i="72"/>
  <c r="AZ5" i="31"/>
  <c r="AZ7" i="31"/>
  <c r="U45" i="69"/>
  <c r="Q46" i="69"/>
  <c r="U43" i="74"/>
  <c r="Q44" i="74"/>
  <c r="V43" i="68"/>
  <c r="S44" i="68"/>
  <c r="Q45" i="73"/>
  <c r="U44" i="73"/>
  <c r="U44" i="68"/>
  <c r="Q45" i="68"/>
  <c r="U7" i="54" l="1"/>
  <c r="V7" i="54"/>
  <c r="S44" i="72"/>
  <c r="V43" i="72"/>
  <c r="V54" i="78"/>
  <c r="S55" i="78"/>
  <c r="Q57" i="78"/>
  <c r="U56" i="78"/>
  <c r="V44" i="69"/>
  <c r="S45" i="69"/>
  <c r="V44" i="73"/>
  <c r="S45" i="73"/>
  <c r="V42" i="74"/>
  <c r="S43" i="74"/>
  <c r="S43" i="70"/>
  <c r="V42" i="70"/>
  <c r="S46" i="71"/>
  <c r="V45" i="71"/>
  <c r="Q47" i="70"/>
  <c r="U46" i="70"/>
  <c r="Q47" i="71"/>
  <c r="U46" i="71"/>
  <c r="Q47" i="72"/>
  <c r="U46" i="72"/>
  <c r="BA5" i="31"/>
  <c r="BA7" i="31"/>
  <c r="Q47" i="69"/>
  <c r="U46" i="69"/>
  <c r="U44" i="74"/>
  <c r="Q45" i="74"/>
  <c r="V44" i="68"/>
  <c r="S45" i="68"/>
  <c r="U45" i="73"/>
  <c r="Q46" i="73"/>
  <c r="U45" i="68"/>
  <c r="Q46" i="68"/>
  <c r="V44" i="72" l="1"/>
  <c r="S45" i="72"/>
  <c r="V55" i="78"/>
  <c r="S56" i="78"/>
  <c r="Q58" i="78"/>
  <c r="U57" i="78"/>
  <c r="V45" i="69"/>
  <c r="S46" i="69"/>
  <c r="S44" i="74"/>
  <c r="V43" i="74"/>
  <c r="V45" i="73"/>
  <c r="S46" i="73"/>
  <c r="V43" i="70"/>
  <c r="S44" i="70"/>
  <c r="V46" i="71"/>
  <c r="S47" i="71"/>
  <c r="U47" i="70"/>
  <c r="Q48" i="70"/>
  <c r="U47" i="72"/>
  <c r="Q48" i="72"/>
  <c r="U47" i="71"/>
  <c r="Q48" i="71"/>
  <c r="BB5" i="31"/>
  <c r="BB7" i="31"/>
  <c r="U45" i="74"/>
  <c r="Q46" i="74"/>
  <c r="Q48" i="69"/>
  <c r="U47" i="69"/>
  <c r="V45" i="68"/>
  <c r="S46" i="68"/>
  <c r="U46" i="73"/>
  <c r="Q47" i="73"/>
  <c r="Q47" i="68"/>
  <c r="U46" i="68"/>
  <c r="V45" i="72" l="1"/>
  <c r="S46" i="72"/>
  <c r="V56" i="78"/>
  <c r="S57" i="78"/>
  <c r="U58" i="78"/>
  <c r="Q59" i="78"/>
  <c r="S47" i="69"/>
  <c r="V46" i="69"/>
  <c r="S47" i="73"/>
  <c r="V46" i="73"/>
  <c r="V44" i="70"/>
  <c r="S45" i="70"/>
  <c r="V44" i="74"/>
  <c r="S45" i="74"/>
  <c r="S48" i="71"/>
  <c r="V47" i="71"/>
  <c r="U48" i="70"/>
  <c r="Q49" i="70"/>
  <c r="Q49" i="71"/>
  <c r="U48" i="71"/>
  <c r="U48" i="72"/>
  <c r="Q49" i="72"/>
  <c r="BC5" i="31"/>
  <c r="BC7" i="31"/>
  <c r="U46" i="74"/>
  <c r="Q47" i="74"/>
  <c r="U48" i="69"/>
  <c r="Q49" i="69"/>
  <c r="V46" i="68"/>
  <c r="S47" i="68"/>
  <c r="Q48" i="73"/>
  <c r="U47" i="73"/>
  <c r="Q48" i="68"/>
  <c r="U47" i="68"/>
  <c r="V46" i="72" l="1"/>
  <c r="S47" i="72"/>
  <c r="U59" i="78"/>
  <c r="Q60" i="78"/>
  <c r="V57" i="78"/>
  <c r="S58" i="78"/>
  <c r="S48" i="69"/>
  <c r="V47" i="69"/>
  <c r="S46" i="70"/>
  <c r="V45" i="70"/>
  <c r="S46" i="74"/>
  <c r="V45" i="74"/>
  <c r="V47" i="73"/>
  <c r="S48" i="73"/>
  <c r="V48" i="71"/>
  <c r="S49" i="71"/>
  <c r="Q50" i="70"/>
  <c r="U49" i="70"/>
  <c r="Q50" i="72"/>
  <c r="U49" i="72"/>
  <c r="U49" i="71"/>
  <c r="Q50" i="71"/>
  <c r="BD7" i="31"/>
  <c r="BD5" i="31"/>
  <c r="Q50" i="69"/>
  <c r="U49" i="69"/>
  <c r="Q48" i="74"/>
  <c r="U47" i="74"/>
  <c r="S48" i="68"/>
  <c r="V47" i="68"/>
  <c r="Q49" i="73"/>
  <c r="U48" i="73"/>
  <c r="Q49" i="68"/>
  <c r="U48" i="68"/>
  <c r="V47" i="72" l="1"/>
  <c r="S48" i="72"/>
  <c r="V58" i="78"/>
  <c r="S59" i="78"/>
  <c r="Q61" i="78"/>
  <c r="U60" i="78"/>
  <c r="V48" i="69"/>
  <c r="S49" i="69"/>
  <c r="S47" i="74"/>
  <c r="V46" i="74"/>
  <c r="S49" i="73"/>
  <c r="V48" i="73"/>
  <c r="V46" i="70"/>
  <c r="S47" i="70"/>
  <c r="S50" i="71"/>
  <c r="V49" i="71"/>
  <c r="U50" i="70"/>
  <c r="Q51" i="70"/>
  <c r="U50" i="71"/>
  <c r="Q51" i="71"/>
  <c r="U50" i="72"/>
  <c r="Q51" i="72"/>
  <c r="BE7" i="31"/>
  <c r="BE5" i="31"/>
  <c r="U48" i="74"/>
  <c r="Q49" i="74"/>
  <c r="U50" i="69"/>
  <c r="Q51" i="69"/>
  <c r="V48" i="68"/>
  <c r="S49" i="68"/>
  <c r="Q50" i="73"/>
  <c r="U49" i="73"/>
  <c r="U49" i="68"/>
  <c r="Q50" i="68"/>
  <c r="S49" i="72" l="1"/>
  <c r="V48" i="72"/>
  <c r="Q62" i="78"/>
  <c r="U61" i="78"/>
  <c r="V59" i="78"/>
  <c r="S60" i="78"/>
  <c r="S50" i="69"/>
  <c r="V49" i="69"/>
  <c r="V49" i="73"/>
  <c r="S50" i="73"/>
  <c r="V47" i="70"/>
  <c r="S48" i="70"/>
  <c r="S48" i="74"/>
  <c r="V47" i="74"/>
  <c r="V50" i="71"/>
  <c r="S51" i="71"/>
  <c r="Q52" i="70"/>
  <c r="U51" i="70"/>
  <c r="Q52" i="72"/>
  <c r="U51" i="72"/>
  <c r="Q52" i="71"/>
  <c r="U51" i="71"/>
  <c r="BF7" i="31"/>
  <c r="BF5" i="31"/>
  <c r="Q50" i="74"/>
  <c r="U49" i="74"/>
  <c r="U51" i="69"/>
  <c r="Q52" i="69"/>
  <c r="S50" i="68"/>
  <c r="V49" i="68"/>
  <c r="U50" i="73"/>
  <c r="Q51" i="73"/>
  <c r="Q51" i="68"/>
  <c r="U50" i="68"/>
  <c r="S50" i="72" l="1"/>
  <c r="V49" i="72"/>
  <c r="V60" i="78"/>
  <c r="S61" i="78"/>
  <c r="Q63" i="78"/>
  <c r="U63" i="78" s="1"/>
  <c r="U62" i="78"/>
  <c r="V50" i="69"/>
  <c r="S51" i="69"/>
  <c r="V48" i="70"/>
  <c r="S49" i="70"/>
  <c r="V50" i="73"/>
  <c r="S51" i="73"/>
  <c r="S49" i="74"/>
  <c r="V48" i="74"/>
  <c r="S52" i="71"/>
  <c r="V51" i="71"/>
  <c r="U52" i="70"/>
  <c r="Q53" i="70"/>
  <c r="U52" i="71"/>
  <c r="Q53" i="71"/>
  <c r="U52" i="72"/>
  <c r="Q53" i="72"/>
  <c r="BG7" i="31"/>
  <c r="BG5" i="31"/>
  <c r="Q53" i="69"/>
  <c r="U52" i="69"/>
  <c r="Q51" i="74"/>
  <c r="U50" i="74"/>
  <c r="S51" i="68"/>
  <c r="V50" i="68"/>
  <c r="Q52" i="73"/>
  <c r="U51" i="73"/>
  <c r="Q52" i="68"/>
  <c r="U51" i="68"/>
  <c r="V50" i="72" l="1"/>
  <c r="S51" i="72"/>
  <c r="V61" i="78"/>
  <c r="S62" i="78"/>
  <c r="S52" i="69"/>
  <c r="V51" i="69"/>
  <c r="S52" i="73"/>
  <c r="V51" i="73"/>
  <c r="S50" i="70"/>
  <c r="V49" i="70"/>
  <c r="V49" i="74"/>
  <c r="S50" i="74"/>
  <c r="S53" i="71"/>
  <c r="V52" i="71"/>
  <c r="Q54" i="70"/>
  <c r="U53" i="70"/>
  <c r="U53" i="72"/>
  <c r="Q54" i="72"/>
  <c r="Q54" i="71"/>
  <c r="U53" i="71"/>
  <c r="BH5" i="31"/>
  <c r="BH7" i="31"/>
  <c r="U51" i="74"/>
  <c r="Q52" i="74"/>
  <c r="Q54" i="69"/>
  <c r="U53" i="69"/>
  <c r="V51" i="68"/>
  <c r="S52" i="68"/>
  <c r="Q53" i="73"/>
  <c r="U52" i="73"/>
  <c r="Q53" i="68"/>
  <c r="U52" i="68"/>
  <c r="S52" i="72" l="1"/>
  <c r="V51" i="72"/>
  <c r="V62" i="78"/>
  <c r="S63" i="78"/>
  <c r="V63" i="78" s="1"/>
  <c r="V52" i="69"/>
  <c r="S53" i="69"/>
  <c r="S51" i="70"/>
  <c r="V50" i="70"/>
  <c r="V50" i="74"/>
  <c r="S51" i="74"/>
  <c r="S53" i="73"/>
  <c r="V52" i="73"/>
  <c r="V53" i="71"/>
  <c r="S54" i="71"/>
  <c r="Q55" i="70"/>
  <c r="U54" i="70"/>
  <c r="U54" i="72"/>
  <c r="Q55" i="72"/>
  <c r="U54" i="71"/>
  <c r="Q55" i="71"/>
  <c r="BI5" i="31"/>
  <c r="BI7" i="31"/>
  <c r="Q53" i="74"/>
  <c r="U52" i="74"/>
  <c r="Q55" i="69"/>
  <c r="U54" i="69"/>
  <c r="S53" i="68"/>
  <c r="V52" i="68"/>
  <c r="U53" i="73"/>
  <c r="Q54" i="73"/>
  <c r="U53" i="68"/>
  <c r="Q54" i="68"/>
  <c r="V52" i="72" l="1"/>
  <c r="S53" i="72"/>
  <c r="V53" i="69"/>
  <c r="S54" i="69"/>
  <c r="V51" i="74"/>
  <c r="S52" i="74"/>
  <c r="S54" i="73"/>
  <c r="V53" i="73"/>
  <c r="S52" i="70"/>
  <c r="V51" i="70"/>
  <c r="S55" i="71"/>
  <c r="V54" i="71"/>
  <c r="U55" i="70"/>
  <c r="Q56" i="70"/>
  <c r="U55" i="71"/>
  <c r="Q56" i="71"/>
  <c r="U55" i="72"/>
  <c r="Q56" i="72"/>
  <c r="BJ7" i="31"/>
  <c r="BJ5" i="31"/>
  <c r="Q56" i="69"/>
  <c r="U55" i="69"/>
  <c r="Q54" i="74"/>
  <c r="U53" i="74"/>
  <c r="S54" i="68"/>
  <c r="V53" i="68"/>
  <c r="U54" i="73"/>
  <c r="Q55" i="73"/>
  <c r="Q55" i="68"/>
  <c r="U54" i="68"/>
  <c r="S54" i="72" l="1"/>
  <c r="V53" i="72"/>
  <c r="V54" i="69"/>
  <c r="S55" i="69"/>
  <c r="V54" i="73"/>
  <c r="S55" i="73"/>
  <c r="V52" i="74"/>
  <c r="S53" i="74"/>
  <c r="S53" i="70"/>
  <c r="V52" i="70"/>
  <c r="S56" i="71"/>
  <c r="V55" i="71"/>
  <c r="Q57" i="70"/>
  <c r="U56" i="70"/>
  <c r="Q57" i="72"/>
  <c r="U56" i="72"/>
  <c r="U56" i="71"/>
  <c r="Q57" i="71"/>
  <c r="BK5" i="31"/>
  <c r="BK7" i="31"/>
  <c r="U54" i="74"/>
  <c r="Q55" i="74"/>
  <c r="Q57" i="69"/>
  <c r="U56" i="69"/>
  <c r="V54" i="68"/>
  <c r="S55" i="68"/>
  <c r="U55" i="73"/>
  <c r="Q56" i="73"/>
  <c r="Q56" i="68"/>
  <c r="U55" i="68"/>
  <c r="V54" i="72" l="1"/>
  <c r="S55" i="72"/>
  <c r="V55" i="69"/>
  <c r="S56" i="69"/>
  <c r="S54" i="74"/>
  <c r="V53" i="74"/>
  <c r="S56" i="73"/>
  <c r="V55" i="73"/>
  <c r="S54" i="70"/>
  <c r="V53" i="70"/>
  <c r="S57" i="71"/>
  <c r="V56" i="71"/>
  <c r="Q58" i="70"/>
  <c r="U57" i="70"/>
  <c r="U57" i="71"/>
  <c r="Q58" i="71"/>
  <c r="Q58" i="72"/>
  <c r="U57" i="72"/>
  <c r="BL5" i="31"/>
  <c r="BL7" i="31"/>
  <c r="Q56" i="74"/>
  <c r="U55" i="74"/>
  <c r="U57" i="69"/>
  <c r="Q58" i="69"/>
  <c r="S56" i="68"/>
  <c r="V55" i="68"/>
  <c r="U56" i="73"/>
  <c r="Q57" i="73"/>
  <c r="U56" i="68"/>
  <c r="Q57" i="68"/>
  <c r="S56" i="72" l="1"/>
  <c r="V55" i="72"/>
  <c r="S57" i="69"/>
  <c r="V56" i="69"/>
  <c r="V56" i="73"/>
  <c r="S57" i="73"/>
  <c r="V54" i="70"/>
  <c r="S55" i="70"/>
  <c r="S55" i="74"/>
  <c r="V54" i="74"/>
  <c r="S58" i="71"/>
  <c r="V57" i="71"/>
  <c r="U58" i="70"/>
  <c r="Q59" i="70"/>
  <c r="Q59" i="72"/>
  <c r="U58" i="72"/>
  <c r="Q59" i="71"/>
  <c r="U58" i="71"/>
  <c r="BM7" i="31"/>
  <c r="BM5" i="31"/>
  <c r="Q57" i="74"/>
  <c r="U56" i="74"/>
  <c r="Q59" i="69"/>
  <c r="U58" i="69"/>
  <c r="S57" i="68"/>
  <c r="V56" i="68"/>
  <c r="U57" i="73"/>
  <c r="Q58" i="73"/>
  <c r="U57" i="68"/>
  <c r="Q58" i="68"/>
  <c r="V56" i="72" l="1"/>
  <c r="S57" i="72"/>
  <c r="V57" i="69"/>
  <c r="S58" i="69"/>
  <c r="V55" i="70"/>
  <c r="S56" i="70"/>
  <c r="V57" i="73"/>
  <c r="S58" i="73"/>
  <c r="S56" i="74"/>
  <c r="V55" i="74"/>
  <c r="S59" i="71"/>
  <c r="V58" i="71"/>
  <c r="U59" i="70"/>
  <c r="Q60" i="70"/>
  <c r="U59" i="72"/>
  <c r="Q60" i="72"/>
  <c r="U59" i="71"/>
  <c r="Q60" i="71"/>
  <c r="BN7" i="31"/>
  <c r="BN5" i="31"/>
  <c r="U57" i="74"/>
  <c r="Q58" i="74"/>
  <c r="Q60" i="69"/>
  <c r="U59" i="69"/>
  <c r="V57" i="68"/>
  <c r="S58" i="68"/>
  <c r="Q59" i="73"/>
  <c r="U58" i="73"/>
  <c r="U58" i="68"/>
  <c r="Q59" i="68"/>
  <c r="V57" i="72" l="1"/>
  <c r="S58" i="72"/>
  <c r="S59" i="69"/>
  <c r="V58" i="69"/>
  <c r="S59" i="73"/>
  <c r="V58" i="73"/>
  <c r="S57" i="70"/>
  <c r="V56" i="70"/>
  <c r="S57" i="74"/>
  <c r="V56" i="74"/>
  <c r="V59" i="71"/>
  <c r="S60" i="71"/>
  <c r="Q61" i="70"/>
  <c r="U60" i="70"/>
  <c r="U60" i="72"/>
  <c r="Q61" i="72"/>
  <c r="U60" i="71"/>
  <c r="Q61" i="71"/>
  <c r="BO5" i="31"/>
  <c r="BO7" i="31"/>
  <c r="U58" i="74"/>
  <c r="Q59" i="74"/>
  <c r="Q61" i="69"/>
  <c r="U60" i="69"/>
  <c r="V58" i="68"/>
  <c r="S59" i="68"/>
  <c r="Q60" i="73"/>
  <c r="U59" i="73"/>
  <c r="Q60" i="68"/>
  <c r="U59" i="68"/>
  <c r="V58" i="72" l="1"/>
  <c r="S59" i="72"/>
  <c r="S60" i="69"/>
  <c r="V59" i="69"/>
  <c r="V57" i="70"/>
  <c r="S58" i="70"/>
  <c r="S58" i="74"/>
  <c r="V57" i="74"/>
  <c r="S60" i="73"/>
  <c r="V59" i="73"/>
  <c r="V60" i="71"/>
  <c r="S61" i="71"/>
  <c r="Q62" i="70"/>
  <c r="U61" i="70"/>
  <c r="U61" i="71"/>
  <c r="Q62" i="71"/>
  <c r="Q62" i="72"/>
  <c r="U61" i="72"/>
  <c r="BP5" i="31"/>
  <c r="BP7" i="31"/>
  <c r="U61" i="69"/>
  <c r="Q62" i="69"/>
  <c r="Q60" i="74"/>
  <c r="U59" i="74"/>
  <c r="S60" i="68"/>
  <c r="V59" i="68"/>
  <c r="U60" i="73"/>
  <c r="Q61" i="73"/>
  <c r="U60" i="68"/>
  <c r="Q61" i="68"/>
  <c r="S60" i="72" l="1"/>
  <c r="V59" i="72"/>
  <c r="V60" i="69"/>
  <c r="S61" i="69"/>
  <c r="V58" i="74"/>
  <c r="S59" i="74"/>
  <c r="V58" i="70"/>
  <c r="S59" i="70"/>
  <c r="V60" i="73"/>
  <c r="S61" i="73"/>
  <c r="S62" i="71"/>
  <c r="V61" i="71"/>
  <c r="U62" i="70"/>
  <c r="Q63" i="70"/>
  <c r="Q63" i="71"/>
  <c r="U63" i="71" s="1"/>
  <c r="U62" i="71"/>
  <c r="U62" i="72"/>
  <c r="Q63" i="72"/>
  <c r="U63" i="72" s="1"/>
  <c r="BQ5" i="31"/>
  <c r="BQ7" i="31"/>
  <c r="Q61" i="74"/>
  <c r="U60" i="74"/>
  <c r="U62" i="69"/>
  <c r="Q63" i="69"/>
  <c r="U63" i="69" s="1"/>
  <c r="V60" i="68"/>
  <c r="S61" i="68"/>
  <c r="U61" i="73"/>
  <c r="Q62" i="73"/>
  <c r="Q62" i="68"/>
  <c r="U61" i="68"/>
  <c r="U63" i="70" l="1"/>
  <c r="S61" i="72"/>
  <c r="V60" i="72"/>
  <c r="V61" i="69"/>
  <c r="S62" i="69"/>
  <c r="V59" i="70"/>
  <c r="S60" i="70"/>
  <c r="S62" i="73"/>
  <c r="V61" i="73"/>
  <c r="S60" i="74"/>
  <c r="V59" i="74"/>
  <c r="V62" i="71"/>
  <c r="S63" i="71"/>
  <c r="V63" i="71" s="1"/>
  <c r="Q62" i="74"/>
  <c r="U61" i="74"/>
  <c r="V61" i="68"/>
  <c r="S62" i="68"/>
  <c r="U62" i="73"/>
  <c r="Q63" i="73"/>
  <c r="U63" i="73" s="1"/>
  <c r="Q63" i="68"/>
  <c r="U62" i="68"/>
  <c r="V61" i="72" l="1"/>
  <c r="S62" i="72"/>
  <c r="V62" i="69"/>
  <c r="S63" i="69"/>
  <c r="V63" i="69" s="1"/>
  <c r="V62" i="73"/>
  <c r="S63" i="73"/>
  <c r="V63" i="73" s="1"/>
  <c r="S61" i="70"/>
  <c r="V60" i="70"/>
  <c r="V60" i="74"/>
  <c r="S61" i="74"/>
  <c r="U63" i="68"/>
  <c r="U62" i="74"/>
  <c r="Q63" i="74"/>
  <c r="U63" i="74" s="1"/>
  <c r="S63" i="68"/>
  <c r="V62" i="68"/>
  <c r="S63" i="72" l="1"/>
  <c r="V63" i="72" s="1"/>
  <c r="V62" i="72"/>
  <c r="V61" i="70"/>
  <c r="S62" i="70"/>
  <c r="V61" i="74"/>
  <c r="S62" i="74"/>
  <c r="V63" i="68"/>
  <c r="V62" i="74" l="1"/>
  <c r="S63" i="74"/>
  <c r="V63" i="74" s="1"/>
  <c r="V62" i="70"/>
  <c r="S63" i="70"/>
  <c r="V63" i="70" s="1"/>
</calcChain>
</file>

<file path=xl/sharedStrings.xml><?xml version="1.0" encoding="utf-8"?>
<sst xmlns="http://schemas.openxmlformats.org/spreadsheetml/2006/main" count="864" uniqueCount="422">
  <si>
    <t>USD</t>
  </si>
  <si>
    <t>PT</t>
  </si>
  <si>
    <t>BR</t>
  </si>
  <si>
    <t>Main Activities</t>
  </si>
  <si>
    <t>DURATION</t>
  </si>
  <si>
    <t>START</t>
  </si>
  <si>
    <t>Starting Date</t>
  </si>
  <si>
    <t>Client Name</t>
  </si>
  <si>
    <t>Project Name</t>
  </si>
  <si>
    <t>Currency</t>
  </si>
  <si>
    <t>Name</t>
  </si>
  <si>
    <t>ACTUAL</t>
  </si>
  <si>
    <t>COMPLETE</t>
  </si>
  <si>
    <t>Code</t>
  </si>
  <si>
    <t>Account Manager</t>
  </si>
  <si>
    <t>Account</t>
  </si>
  <si>
    <t>Type</t>
  </si>
  <si>
    <t>Report Month</t>
  </si>
  <si>
    <t>Green</t>
  </si>
  <si>
    <t>Obs</t>
  </si>
  <si>
    <t>Value</t>
  </si>
  <si>
    <t>US</t>
  </si>
  <si>
    <t>MT</t>
  </si>
  <si>
    <t>MX</t>
  </si>
  <si>
    <t>Additional Comments</t>
  </si>
  <si>
    <t>Month</t>
  </si>
  <si>
    <t>Year</t>
  </si>
  <si>
    <t>Year-Month</t>
  </si>
  <si>
    <t>Status</t>
  </si>
  <si>
    <t>Sell Value</t>
  </si>
  <si>
    <t>Effort</t>
  </si>
  <si>
    <t>Timesheet</t>
  </si>
  <si>
    <t>Allocations</t>
  </si>
  <si>
    <t>% Deviation</t>
  </si>
  <si>
    <t>Guidelines:</t>
  </si>
  <si>
    <t>1.</t>
  </si>
  <si>
    <t>2.</t>
  </si>
  <si>
    <t xml:space="preserve">b) The distribution list of the report is: Account Manager, Delivery Manager, GEO Delivery Coordinator and GEO Admin. </t>
  </si>
  <si>
    <t>3.</t>
  </si>
  <si>
    <t>a) The reported times (timesheet and allocations) must included complete weeks.</t>
  </si>
  <si>
    <t>Field</t>
  </si>
  <si>
    <t>Expected Value</t>
  </si>
  <si>
    <r>
      <rPr>
        <i/>
        <sz val="11"/>
        <color theme="1"/>
        <rFont val="Neo Tech Std"/>
        <family val="2"/>
      </rPr>
      <t xml:space="preserve">     Code</t>
    </r>
    <r>
      <rPr>
        <sz val="11"/>
        <color theme="1"/>
        <rFont val="Neo Tech Std"/>
        <family val="2"/>
      </rPr>
      <t xml:space="preserve">: </t>
    </r>
  </si>
  <si>
    <t>Internal Retail Consult project code (RCSSNNN)</t>
  </si>
  <si>
    <t>Name:</t>
  </si>
  <si>
    <t>eTEA project Name</t>
  </si>
  <si>
    <t>Account:</t>
  </si>
  <si>
    <t>Account Manager:</t>
  </si>
  <si>
    <t>Delivery Manager:</t>
  </si>
  <si>
    <t>Project Manager:</t>
  </si>
  <si>
    <t>Type:</t>
  </si>
  <si>
    <t>Project Start Date:</t>
  </si>
  <si>
    <t>Report Month:</t>
  </si>
  <si>
    <t>Overall:</t>
  </si>
  <si>
    <t>Milestone:</t>
  </si>
  <si>
    <t>Description of the milestone</t>
  </si>
  <si>
    <t>Current status of the milestone</t>
  </si>
  <si>
    <r>
      <t xml:space="preserve">Fill </t>
    </r>
    <r>
      <rPr>
        <u/>
        <sz val="11"/>
        <color theme="1"/>
        <rFont val="Neo Tech Std"/>
        <family val="2"/>
      </rPr>
      <t>only the row related to the reporting month</t>
    </r>
    <r>
      <rPr>
        <sz val="11"/>
        <color theme="1"/>
        <rFont val="Neo Tech Std"/>
        <family val="2"/>
      </rPr>
      <t xml:space="preserve"> for all the columns except the column </t>
    </r>
    <r>
      <rPr>
        <i/>
        <sz val="11"/>
        <color theme="1"/>
        <rFont val="Neo Tech Std"/>
        <family val="2"/>
      </rPr>
      <t>Allocations</t>
    </r>
  </si>
  <si>
    <t>Status:</t>
  </si>
  <si>
    <t>Sell Value:</t>
  </si>
  <si>
    <t>Values sold to the client during this reporting month. This can be via the initial SOW or by Change requests.</t>
  </si>
  <si>
    <t>Effort:</t>
  </si>
  <si>
    <t xml:space="preserve">Effort sold to the client during this reporting month. This value must only be filled if there is also value in the Sell Value field. </t>
  </si>
  <si>
    <t>Timesheet:</t>
  </si>
  <si>
    <t>OTS:</t>
  </si>
  <si>
    <t>Allocations:</t>
  </si>
  <si>
    <t>Summary tab:</t>
  </si>
  <si>
    <r>
      <t xml:space="preserve">Fill only the values after the reporting month, values for the current month and before must be deleted(These are aggregated and saved for calculations on the OTS column). 
For each month in the future that the project needs to have persons working, please add here the total planned effort for that month. This value must include the sub-contractors also. 
Please refer to the general guideline 3 regarding reporting week rules. 
</t>
    </r>
    <r>
      <rPr>
        <i/>
        <sz val="10"/>
        <color theme="1"/>
        <rFont val="Neo Tech Std"/>
        <family val="2"/>
      </rPr>
      <t>Note: Fill only the rows after the reporting month in the column Allocations.</t>
    </r>
    <r>
      <rPr>
        <sz val="11"/>
        <color theme="1"/>
        <rFont val="Neo Tech Std"/>
        <family val="2"/>
      </rPr>
      <t xml:space="preserve"> </t>
    </r>
  </si>
  <si>
    <t>Base Plan tab:</t>
  </si>
  <si>
    <r>
      <t xml:space="preserve">The </t>
    </r>
    <r>
      <rPr>
        <b/>
        <sz val="11"/>
        <color theme="1"/>
        <rFont val="Neo Tech Std"/>
        <family val="2"/>
      </rPr>
      <t>Base Plan</t>
    </r>
    <r>
      <rPr>
        <sz val="11"/>
        <color theme="1"/>
        <rFont val="Neo Tech Std"/>
        <family val="2"/>
      </rPr>
      <t xml:space="preserve">  must be filled with the plan contained in the Project Estimation Tool. </t>
    </r>
  </si>
  <si>
    <t>Start</t>
  </si>
  <si>
    <t>Duration</t>
  </si>
  <si>
    <t>Finish</t>
  </si>
  <si>
    <t>Main Activities:</t>
  </si>
  <si>
    <t>Description of each main activity to be included in the project plan</t>
  </si>
  <si>
    <t>Start:</t>
  </si>
  <si>
    <t>Duration:</t>
  </si>
  <si>
    <t>Number of week relative to the start of the project that this activity is planned to start</t>
  </si>
  <si>
    <t>Number of weeks that this activity is planned to take</t>
  </si>
  <si>
    <t>% Execution:</t>
  </si>
  <si>
    <t>Number of week relative to the start of the project that this activity has started</t>
  </si>
  <si>
    <t>Insert here the percentage of the work already done for this task.</t>
  </si>
  <si>
    <t>Actual Plan tab:</t>
  </si>
  <si>
    <r>
      <t xml:space="preserve">The </t>
    </r>
    <r>
      <rPr>
        <b/>
        <sz val="11"/>
        <color theme="1"/>
        <rFont val="Neo Tech Std"/>
        <family val="2"/>
      </rPr>
      <t>Actual Plan</t>
    </r>
    <r>
      <rPr>
        <sz val="11"/>
        <color theme="1"/>
        <rFont val="Neo Tech Std"/>
        <family val="2"/>
      </rPr>
      <t xml:space="preserve">  must be filled with the execution of the plan contained in the base plan tab. </t>
    </r>
  </si>
  <si>
    <t>Actual Start:</t>
  </si>
  <si>
    <t>Actual Duration:</t>
  </si>
  <si>
    <t xml:space="preserve">The columns Main Activities, Base plan start and base plan duration are read only and copied from the Base Plan tab. </t>
  </si>
  <si>
    <t>Select Report Month</t>
  </si>
  <si>
    <r>
      <rPr>
        <sz val="12"/>
        <color theme="1" tint="0.24994659260841701"/>
        <rFont val="Calibri"/>
        <family val="2"/>
      </rPr>
      <t>%</t>
    </r>
    <r>
      <rPr>
        <sz val="10"/>
        <rFont val="Arial"/>
        <family val="2"/>
      </rPr>
      <t xml:space="preserve"> </t>
    </r>
    <r>
      <rPr>
        <sz val="12"/>
        <color theme="1" tint="0.24994659260841701"/>
        <rFont val="Calibri"/>
        <family val="2"/>
      </rPr>
      <t>Complete</t>
    </r>
  </si>
  <si>
    <t>PLAN</t>
  </si>
  <si>
    <t>Base Plan</t>
  </si>
  <si>
    <t>Actual Plan</t>
  </si>
  <si>
    <t>Activity 13</t>
  </si>
  <si>
    <t>Activity 14</t>
  </si>
  <si>
    <t>Activity 15</t>
  </si>
  <si>
    <t>Activity 16</t>
  </si>
  <si>
    <t>Activity 17</t>
  </si>
  <si>
    <t>Activity 18</t>
  </si>
  <si>
    <t>Activity 19</t>
  </si>
  <si>
    <t>Activity 20</t>
  </si>
  <si>
    <t xml:space="preserve"> Last Week Highlight</t>
  </si>
  <si>
    <t>Start
Date</t>
  </si>
  <si>
    <t>Plan 
End Date</t>
  </si>
  <si>
    <t>Estimate
 End Date</t>
  </si>
  <si>
    <t>OTS 
(Snapshot)</t>
  </si>
  <si>
    <t>In case the project does not have a "Project Estimation Tool", please include here the initial project plan.</t>
  </si>
  <si>
    <t>Month Delivery Report - Summary</t>
  </si>
  <si>
    <t>PT Financials</t>
  </si>
  <si>
    <t>DE</t>
  </si>
  <si>
    <t>GEO [PT,BR,US,DE,MT,MX] Financial tab:</t>
  </si>
  <si>
    <t>BR Financials</t>
  </si>
  <si>
    <t>US Financials</t>
  </si>
  <si>
    <t>DE Financials</t>
  </si>
  <si>
    <t>MT Financials</t>
  </si>
  <si>
    <t>MX Financials</t>
  </si>
  <si>
    <r>
      <rPr>
        <i/>
        <sz val="11"/>
        <color theme="1"/>
        <rFont val="Neo Tech Std"/>
        <family val="2"/>
      </rPr>
      <t>Start Date:</t>
    </r>
    <r>
      <rPr>
        <sz val="11"/>
        <color theme="1"/>
        <rFont val="Neo Tech Std"/>
        <family val="2"/>
      </rPr>
      <t xml:space="preserve"> </t>
    </r>
  </si>
  <si>
    <t>Plan End Date:</t>
  </si>
  <si>
    <r>
      <t xml:space="preserve">This column should be empty for the projects of type </t>
    </r>
    <r>
      <rPr>
        <i/>
        <sz val="11"/>
        <color theme="1"/>
        <rFont val="Neo Tech Std"/>
        <family val="2"/>
      </rPr>
      <t>Time &amp; Material</t>
    </r>
    <r>
      <rPr>
        <sz val="11"/>
        <color theme="1"/>
        <rFont val="Neo Tech Std"/>
        <family val="2"/>
      </rPr>
      <t xml:space="preserve">. 
For all other project types, this must have a value representing the total number of man-days needed to finalize the project. 
On the reporting month this value must  represent the total of the </t>
    </r>
    <r>
      <rPr>
        <i/>
        <sz val="11"/>
        <color theme="1"/>
        <rFont val="Neo Tech Std"/>
        <family val="2"/>
      </rPr>
      <t>Allocations</t>
    </r>
    <r>
      <rPr>
        <sz val="11"/>
        <color theme="1"/>
        <rFont val="Neo Tech Std"/>
        <family val="2"/>
      </rPr>
      <t xml:space="preserve"> for all the months after the reporting month.  Thus the best way to fill this column, is to first populate the Allocations columns (instructions below) and just insert on this field the total of the future allocations. 
</t>
    </r>
    <r>
      <rPr>
        <i/>
        <sz val="10"/>
        <color theme="1"/>
        <rFont val="Neo Tech Std"/>
        <family val="2"/>
      </rPr>
      <t>Note: Do not use any formula, this must be an absolute value.</t>
    </r>
  </si>
  <si>
    <t>CL</t>
  </si>
  <si>
    <t>CL Financials</t>
  </si>
  <si>
    <t># ID</t>
  </si>
  <si>
    <t>Dates</t>
  </si>
  <si>
    <t>Nature</t>
  </si>
  <si>
    <t>#</t>
  </si>
  <si>
    <t>Description</t>
  </si>
  <si>
    <t>R. End</t>
  </si>
  <si>
    <t>Dev</t>
  </si>
  <si>
    <t>Dev is too high</t>
  </si>
  <si>
    <t>Allocations or Estimate End date</t>
  </si>
  <si>
    <t>New Value higher than 30% of the total previous amount of project: create new project?</t>
  </si>
  <si>
    <t>Comments</t>
  </si>
  <si>
    <t>Note</t>
  </si>
  <si>
    <t>Effort or Timesheet or OTS 
(Snapshot)</t>
  </si>
  <si>
    <t>OTS 
(Snapshot) or Type</t>
  </si>
  <si>
    <t>Return</t>
  </si>
  <si>
    <t>Number of lines</t>
  </si>
  <si>
    <t>Period after month reported until end date</t>
  </si>
  <si>
    <t>Period after month reported including</t>
  </si>
  <si>
    <t>Period after month reported excluding</t>
  </si>
  <si>
    <t>Sell Value if T&amp;M</t>
  </si>
  <si>
    <t>Sell Value or Allocations</t>
  </si>
  <si>
    <t>New value: confirm estimation and agreement was sent to financial department</t>
  </si>
  <si>
    <t>Period of the month reported</t>
  </si>
  <si>
    <t>Sell Value or Effort</t>
  </si>
  <si>
    <t>Sell value without Effort or Effort without sell value</t>
  </si>
  <si>
    <t>Prime</t>
  </si>
  <si>
    <t>Estimated End Date:</t>
  </si>
  <si>
    <t xml:space="preserve">Time spent by the persons on this project obtained from eTEA including sub-contractor resources 
Please refer to the general guideline 3 regarding reporting week rules. </t>
  </si>
  <si>
    <r>
      <t xml:space="preserve">The </t>
    </r>
    <r>
      <rPr>
        <i/>
        <sz val="11"/>
        <color theme="1"/>
        <rFont val="Neo Tech Std"/>
        <family val="2"/>
      </rPr>
      <t>Project Start Date</t>
    </r>
    <r>
      <rPr>
        <sz val="11"/>
        <color theme="1"/>
        <rFont val="Neo Tech Std"/>
        <family val="2"/>
      </rPr>
      <t xml:space="preserve"> is the date included on the Header Information on the execution tab in that reporting month</t>
    </r>
  </si>
  <si>
    <r>
      <rPr>
        <i/>
        <sz val="11"/>
        <color theme="1"/>
        <rFont val="Neo Tech Std"/>
        <family val="2"/>
      </rPr>
      <t>Plan Project End Date</t>
    </r>
    <r>
      <rPr>
        <sz val="11"/>
        <color theme="1"/>
        <rFont val="Neo Tech Std"/>
        <family val="2"/>
      </rPr>
      <t xml:space="preserve"> is the date included on the Header Information on the execution tab in that reporting month</t>
    </r>
  </si>
  <si>
    <r>
      <t xml:space="preserve">The </t>
    </r>
    <r>
      <rPr>
        <i/>
        <sz val="11"/>
        <color theme="1"/>
        <rFont val="Neo Tech Std"/>
        <family val="2"/>
      </rPr>
      <t>Estimated End Date</t>
    </r>
    <r>
      <rPr>
        <sz val="11"/>
        <color theme="1"/>
        <rFont val="Neo Tech Std"/>
        <family val="2"/>
      </rPr>
      <t xml:space="preserve"> is the date included on the Header Information on the execution tab in that reporting month</t>
    </r>
  </si>
  <si>
    <t>Estimated End Date is not coherent with allocations</t>
  </si>
  <si>
    <t>The file name for each report must be: DR_RCXXXXX_Year_Month_Project Name</t>
  </si>
  <si>
    <r>
      <t xml:space="preserve">As project is </t>
    </r>
    <r>
      <rPr>
        <b/>
        <u/>
        <sz val="10"/>
        <color indexed="8"/>
        <rFont val="Calibri"/>
        <family val="2"/>
      </rPr>
      <t>T&amp;M</t>
    </r>
    <r>
      <rPr>
        <sz val="10"/>
        <color indexed="8"/>
        <rFont val="Calibri"/>
        <family val="2"/>
        <scheme val="minor"/>
      </rPr>
      <t xml:space="preserve"> or </t>
    </r>
    <r>
      <rPr>
        <b/>
        <u/>
        <sz val="10"/>
        <color indexed="8"/>
        <rFont val="Calibri"/>
        <family val="2"/>
        <scheme val="minor"/>
      </rPr>
      <t>CMS</t>
    </r>
    <r>
      <rPr>
        <sz val="10"/>
        <color indexed="8"/>
        <rFont val="Calibri"/>
        <family val="2"/>
        <scheme val="minor"/>
      </rPr>
      <t xml:space="preserve"> please confirm why the recognition is not 100%</t>
    </r>
  </si>
  <si>
    <r>
      <t xml:space="preserve">As project is </t>
    </r>
    <r>
      <rPr>
        <b/>
        <u/>
        <sz val="10"/>
        <color indexed="8"/>
        <rFont val="Calibri"/>
        <family val="2"/>
      </rPr>
      <t>T&amp;M</t>
    </r>
    <r>
      <rPr>
        <sz val="10"/>
        <color indexed="8"/>
        <rFont val="Calibri"/>
        <family val="2"/>
        <scheme val="minor"/>
      </rPr>
      <t xml:space="preserve"> or </t>
    </r>
    <r>
      <rPr>
        <b/>
        <u/>
        <sz val="10"/>
        <color indexed="8"/>
        <rFont val="Calibri"/>
        <family val="2"/>
        <scheme val="minor"/>
      </rPr>
      <t>CMS</t>
    </r>
    <r>
      <rPr>
        <sz val="10"/>
        <color indexed="8"/>
        <rFont val="Calibri"/>
        <family val="2"/>
        <scheme val="minor"/>
      </rPr>
      <t xml:space="preserve"> please put value in the timesheet and in the allocations</t>
    </r>
  </si>
  <si>
    <r>
      <t xml:space="preserve">As project is </t>
    </r>
    <r>
      <rPr>
        <b/>
        <u/>
        <sz val="10"/>
        <color indexed="8"/>
        <rFont val="Calibri"/>
        <family val="2"/>
      </rPr>
      <t>T&amp;M</t>
    </r>
    <r>
      <rPr>
        <sz val="10"/>
        <color indexed="8"/>
        <rFont val="Calibri"/>
        <family val="2"/>
        <scheme val="minor"/>
      </rPr>
      <t xml:space="preserve"> please confirm why there's deviation in the project</t>
    </r>
  </si>
  <si>
    <t>Lowes</t>
  </si>
  <si>
    <t>CMS</t>
  </si>
  <si>
    <t>Medium</t>
  </si>
  <si>
    <t>Denominação Original</t>
  </si>
  <si>
    <t>Empresa</t>
  </si>
  <si>
    <t>RC1</t>
  </si>
  <si>
    <t>RC2</t>
  </si>
  <si>
    <t>Taxes</t>
  </si>
  <si>
    <t>Language</t>
  </si>
  <si>
    <t>Due Date</t>
  </si>
  <si>
    <t>KSR,S.A.</t>
  </si>
  <si>
    <t>AHOLD US</t>
  </si>
  <si>
    <t>RC US</t>
  </si>
  <si>
    <t>Janeiro</t>
  </si>
  <si>
    <t>Enero</t>
  </si>
  <si>
    <t>January</t>
  </si>
  <si>
    <t>Y</t>
  </si>
  <si>
    <t>Time and Material</t>
  </si>
  <si>
    <t>T&amp;M</t>
  </si>
  <si>
    <t>RETAILKSR SA de CV</t>
  </si>
  <si>
    <t>Retail Equation INC, US</t>
  </si>
  <si>
    <t>Appriss Retail</t>
  </si>
  <si>
    <t>RC PT</t>
  </si>
  <si>
    <t>Fevereiro</t>
  </si>
  <si>
    <t>Febrero</t>
  </si>
  <si>
    <t>February</t>
  </si>
  <si>
    <t>N</t>
  </si>
  <si>
    <t>Fixed Price</t>
  </si>
  <si>
    <t>FP</t>
  </si>
  <si>
    <t>Retail Consult KSR SpA</t>
  </si>
  <si>
    <t>Bata Chile</t>
  </si>
  <si>
    <t>BATA</t>
  </si>
  <si>
    <t>RC CL</t>
  </si>
  <si>
    <t>Março</t>
  </si>
  <si>
    <t>Marzo</t>
  </si>
  <si>
    <t>March</t>
  </si>
  <si>
    <t>Retail Consult KSR Limited</t>
  </si>
  <si>
    <t>Empresas Comerciales S.A.</t>
  </si>
  <si>
    <t>Abril</t>
  </si>
  <si>
    <t>April</t>
  </si>
  <si>
    <t>Retail-Consult KSR GmbH</t>
  </si>
  <si>
    <t>COMPAR</t>
  </si>
  <si>
    <t>EUR</t>
  </si>
  <si>
    <t>Maio</t>
  </si>
  <si>
    <t>Mayo</t>
  </si>
  <si>
    <t>May</t>
  </si>
  <si>
    <t>Retail Consult KSR - Soluções para Varejo Ltda</t>
  </si>
  <si>
    <t>ABASIC, S.L.</t>
  </si>
  <si>
    <t>DESIGUAL</t>
  </si>
  <si>
    <t>Junho</t>
  </si>
  <si>
    <t>Junio</t>
  </si>
  <si>
    <t>June</t>
  </si>
  <si>
    <t>Ericsson</t>
  </si>
  <si>
    <t>Julho</t>
  </si>
  <si>
    <t>Julio</t>
  </si>
  <si>
    <t>July</t>
  </si>
  <si>
    <t>ERICSSON CHILE S.A.</t>
  </si>
  <si>
    <t>Agosto</t>
  </si>
  <si>
    <t>August</t>
  </si>
  <si>
    <t>Farmácias del ahorro</t>
  </si>
  <si>
    <t>RC MX</t>
  </si>
  <si>
    <t>Setembro</t>
  </si>
  <si>
    <t>Septiembre</t>
  </si>
  <si>
    <t>September</t>
  </si>
  <si>
    <t>FARMATODO</t>
  </si>
  <si>
    <t>RC MT</t>
  </si>
  <si>
    <t>Outubro</t>
  </si>
  <si>
    <t>Octubre</t>
  </si>
  <si>
    <t>October</t>
  </si>
  <si>
    <t>FARMATODO, C.A.</t>
  </si>
  <si>
    <t>Novembro</t>
  </si>
  <si>
    <t>Noviembre</t>
  </si>
  <si>
    <t>November</t>
  </si>
  <si>
    <t>Difarma</t>
  </si>
  <si>
    <t>FCV</t>
  </si>
  <si>
    <t>Dezembro</t>
  </si>
  <si>
    <t>Diciembre</t>
  </si>
  <si>
    <t>FYBECA</t>
  </si>
  <si>
    <t>RC DE</t>
  </si>
  <si>
    <t>Garcia</t>
  </si>
  <si>
    <t>HugoBoss</t>
  </si>
  <si>
    <t>Makro</t>
  </si>
  <si>
    <t>RC BR</t>
  </si>
  <si>
    <t>Marti</t>
  </si>
  <si>
    <t>Mega Santamaria</t>
  </si>
  <si>
    <t>OFFICE DEPOT</t>
  </si>
  <si>
    <t>ORACLE</t>
  </si>
  <si>
    <t>Oracle Corporation UK Limited</t>
  </si>
  <si>
    <t>Oracle France, S.A.S</t>
  </si>
  <si>
    <t>OXXO</t>
  </si>
  <si>
    <t>BARHOLD, S.A.</t>
  </si>
  <si>
    <t>PARFOIS</t>
  </si>
  <si>
    <t>RETAILKSR SA DE CV</t>
  </si>
  <si>
    <t>SONAE CENTER SERVIÇOS II  S.A.</t>
  </si>
  <si>
    <t>SONAE</t>
  </si>
  <si>
    <t>Tata Tia</t>
  </si>
  <si>
    <t>Desigual</t>
  </si>
  <si>
    <t>FARMAHORRO</t>
  </si>
  <si>
    <t>KSR, S.A.</t>
  </si>
  <si>
    <t>Retail Consult LLC</t>
  </si>
  <si>
    <t>Retail Consult KSR GmbH</t>
  </si>
  <si>
    <t>Manufactura Boliviana</t>
  </si>
  <si>
    <t>Calzacuero CA</t>
  </si>
  <si>
    <t>Manisol</t>
  </si>
  <si>
    <t>Bata Chile S.A</t>
  </si>
  <si>
    <t>Difarma S.A</t>
  </si>
  <si>
    <t>Ahold U.S.A., Inc.</t>
  </si>
  <si>
    <t>Lowes Companies De Mexico, S. de R.L. De C.V</t>
  </si>
  <si>
    <t>RETAIL KSR SA DE CV</t>
  </si>
  <si>
    <t>Manufactura Boliviana S.A.</t>
  </si>
  <si>
    <t>Calzacuero C.A.</t>
  </si>
  <si>
    <t>COMPAR S.P.A.</t>
  </si>
  <si>
    <t>Bata Chile S.A.</t>
  </si>
  <si>
    <t>Manisol S.A.</t>
  </si>
  <si>
    <t>SDSR - SPORTS DIVISION SR, S.A.</t>
  </si>
  <si>
    <t>COMERCIALIZADORA FAMACEUTICA DE CHIAPAS SAPI DE CV</t>
  </si>
  <si>
    <t>DEPORTES MARTI SA DE CV</t>
  </si>
  <si>
    <t>ORACLE DE MEXICO, S.A. DE C.V.</t>
  </si>
  <si>
    <t>LOWES COMPANIES MEXICO S DE RL DE CV</t>
  </si>
  <si>
    <t>COMERCIALIZADORA ALMACENES GARCIA DE MEX</t>
  </si>
  <si>
    <t>CADENA COMERCIAL OXXO, S.A. DE C.V.</t>
  </si>
  <si>
    <t>COMERCIALIZADORA ALMACENES GARCIA DE MEXICO SA DE</t>
  </si>
  <si>
    <t xml:space="preserve"> LOWES COMPANIES MEXICO S DE RL DE CV</t>
  </si>
  <si>
    <t xml:space="preserve"> CADENA COMERCIAL OXXO, S.A. DE C.V.</t>
  </si>
  <si>
    <t>RETAIL CONSULT KSR SPA   CHILE</t>
  </si>
  <si>
    <t>Mega Santamaria S.A.</t>
  </si>
  <si>
    <t>Oracle Corporation Dtl. B.V. &amp;</t>
  </si>
  <si>
    <t>Provefarma S.A.</t>
  </si>
  <si>
    <t>Tiendas Industriales Asociadas</t>
  </si>
  <si>
    <t xml:space="preserve">Difarma S.A </t>
  </si>
  <si>
    <t xml:space="preserve">Bata Chile S.A. </t>
  </si>
  <si>
    <t>FAR001 (Farmatodo C.A Venezuela)</t>
  </si>
  <si>
    <t>SAN002 (S.A Nacional Farmaceutica (SanFar))</t>
  </si>
  <si>
    <t>Retail Consult Ltd./Malta</t>
  </si>
  <si>
    <t>KSR002 (KSR, S.A. (USD))</t>
  </si>
  <si>
    <t>RET003 (Retail Consult KSR Germany USD)</t>
  </si>
  <si>
    <t>RET002 (Retail Consult LLC (USD))</t>
  </si>
  <si>
    <t>KSR001 (KSR SA)</t>
  </si>
  <si>
    <t>Operation Manager</t>
  </si>
  <si>
    <t>Time</t>
  </si>
  <si>
    <t>IN PROGRESS</t>
  </si>
  <si>
    <t>COMPLETED</t>
  </si>
  <si>
    <t>LATE</t>
  </si>
  <si>
    <t>CANCELLED</t>
  </si>
  <si>
    <t>STAND BY</t>
  </si>
  <si>
    <t>TO BE STARTED</t>
  </si>
  <si>
    <t>Very high</t>
  </si>
  <si>
    <t>High</t>
  </si>
  <si>
    <t>I</t>
  </si>
  <si>
    <t>R</t>
  </si>
  <si>
    <t>Red</t>
  </si>
  <si>
    <t>Amber</t>
  </si>
  <si>
    <t>Scope</t>
  </si>
  <si>
    <t>Estimated Target</t>
  </si>
  <si>
    <t>Target Margin</t>
  </si>
  <si>
    <t>Actual Margin</t>
  </si>
  <si>
    <t>Probability</t>
  </si>
  <si>
    <t>Estimated Date</t>
  </si>
  <si>
    <t>Additional comments/observations regarding each milestone</t>
  </si>
  <si>
    <t>Original End Date:</t>
  </si>
  <si>
    <t>Actual End Date:</t>
  </si>
  <si>
    <t>Expected project end date when the project started; must match the end date in the original contract/SOW</t>
  </si>
  <si>
    <t>Estimation of the final margin, reflecting the month being reported; prepared using the What-if simulator;</t>
  </si>
  <si>
    <t xml:space="preserve">Low </t>
  </si>
  <si>
    <t>Very Low</t>
  </si>
  <si>
    <t>MATRIX of Probability and Impact</t>
  </si>
  <si>
    <t>PROBABILITY</t>
  </si>
  <si>
    <t>IMPACT</t>
  </si>
  <si>
    <t>Plan</t>
  </si>
  <si>
    <t>Financial</t>
  </si>
  <si>
    <t>Scope &amp; Plan</t>
  </si>
  <si>
    <t>Scope &amp; Financial</t>
  </si>
  <si>
    <t>Plan &amp; Financial</t>
  </si>
  <si>
    <t>RED</t>
  </si>
  <si>
    <t>AMBER</t>
  </si>
  <si>
    <t>GREEN</t>
  </si>
  <si>
    <t xml:space="preserve">ID </t>
  </si>
  <si>
    <t>Unique ID of each criteria</t>
  </si>
  <si>
    <t>Description of the criteria</t>
  </si>
  <si>
    <t>When to measure</t>
  </si>
  <si>
    <t>Determine the timelines when each criteria should be evaluated</t>
  </si>
  <si>
    <t>How to measure</t>
  </si>
  <si>
    <t>b) For reporting purposes, each week is part one unique month; the Month correspondent to Monday of each week determines to witch month each week is part;</t>
  </si>
  <si>
    <t xml:space="preserve">A Delivery Report must the prepared for each booked project, even if not started. </t>
  </si>
  <si>
    <t>a) This report must be prepared every month and must be sent before the second Monday after the reporting month ends;</t>
  </si>
  <si>
    <r>
      <t xml:space="preserve">The </t>
    </r>
    <r>
      <rPr>
        <b/>
        <sz val="11"/>
        <color theme="1"/>
        <rFont val="Neo Tech Std"/>
        <family val="2"/>
      </rPr>
      <t>Header Information</t>
    </r>
    <r>
      <rPr>
        <sz val="11"/>
        <color theme="1"/>
        <rFont val="Neo Tech Std"/>
        <family val="2"/>
      </rPr>
      <t xml:space="preserve">  must be filled with the following project details.</t>
    </r>
  </si>
  <si>
    <t>Final client of the work to be delivered</t>
  </si>
  <si>
    <t>Name of the Operations Manager responsible for the account/Geo</t>
  </si>
  <si>
    <t xml:space="preserve">Name of the Account Manager responsible for the project. </t>
  </si>
  <si>
    <t xml:space="preserve">Name of the Delivery Manager responsible for the project. </t>
  </si>
  <si>
    <t xml:space="preserve">Name of the Project Manager responsible for the project. </t>
  </si>
  <si>
    <t>Expected start date of the project. Changed to the real start date once the project actually starts</t>
  </si>
  <si>
    <t>Reporting month  - should be selected from the drop down box</t>
  </si>
  <si>
    <t>Margin agreed at the beginning of the project between Project manager, Delivery Manager and Operations Manager</t>
  </si>
  <si>
    <t>Financial margin calculated in the last P&amp;L available ; the field "Month"  is the month of the last available P&amp;L</t>
  </si>
  <si>
    <r>
      <t xml:space="preserve">The </t>
    </r>
    <r>
      <rPr>
        <b/>
        <sz val="11"/>
        <color theme="1"/>
        <rFont val="Neo Tech Std"/>
        <family val="2"/>
      </rPr>
      <t>Status</t>
    </r>
    <r>
      <rPr>
        <sz val="11"/>
        <color theme="1"/>
        <rFont val="Neo Tech Std"/>
        <family val="2"/>
      </rPr>
      <t xml:space="preserve"> information provides on a visual perspective the status of the different components of the project. </t>
    </r>
  </si>
  <si>
    <t xml:space="preserve">Overall status of the project accordantly to the effort and plan components of the project; the color will represent the combination of effort and Time as per the table below
</t>
  </si>
  <si>
    <t>Represents if the project is being delivered accordingly to the effort estimated until the current month; will represent the color scheme of the Status field from the Tab of the PRIME Geo;</t>
  </si>
  <si>
    <r>
      <t xml:space="preserve">The </t>
    </r>
    <r>
      <rPr>
        <b/>
        <sz val="11"/>
        <color theme="1"/>
        <rFont val="Neo Tech Std"/>
        <family val="2"/>
      </rPr>
      <t>Major Milestones</t>
    </r>
    <r>
      <rPr>
        <sz val="11"/>
        <color theme="1"/>
        <rFont val="Neo Tech Std"/>
        <family val="2"/>
      </rPr>
      <t xml:space="preserve"> information must be filled with all the key milestones of the project; Examples : start of a phase of the project, Sign-off of key documentation, etc.</t>
    </r>
  </si>
  <si>
    <t>Target date for the milestone</t>
  </si>
  <si>
    <t>Expected project end date at the moment the report is produced</t>
  </si>
  <si>
    <r>
      <t xml:space="preserve">Represents if the milestones will be achieved or are at risk; 
</t>
    </r>
    <r>
      <rPr>
        <i/>
        <sz val="11"/>
        <color theme="1"/>
        <rFont val="Neo Tech Std"/>
        <family val="2"/>
      </rPr>
      <t>Green</t>
    </r>
    <r>
      <rPr>
        <sz val="11"/>
        <color theme="1"/>
        <rFont val="Neo Tech Std"/>
        <family val="2"/>
      </rPr>
      <t xml:space="preserve"> - no significant risks;
</t>
    </r>
    <r>
      <rPr>
        <i/>
        <sz val="11"/>
        <color theme="1"/>
        <rFont val="Neo Tech Std"/>
        <family val="2"/>
      </rPr>
      <t>Yellow</t>
    </r>
    <r>
      <rPr>
        <sz val="11"/>
        <color theme="1"/>
        <rFont val="Neo Tech Std"/>
        <family val="2"/>
      </rPr>
      <t xml:space="preserve"> - significant risks with potential to impact on plan; should translate into the Risk and/or Issue log of this report
</t>
    </r>
    <r>
      <rPr>
        <i/>
        <sz val="11"/>
        <color theme="1"/>
        <rFont val="Neo Tech Std"/>
        <family val="2"/>
      </rPr>
      <t>Red</t>
    </r>
    <r>
      <rPr>
        <sz val="11"/>
        <color theme="1"/>
        <rFont val="Neo Tech Std"/>
        <family val="2"/>
      </rPr>
      <t xml:space="preserve"> - one or more milestones have not or will not be achieved; Must translate into issues in the Risk and Issue Log of this report 
</t>
    </r>
  </si>
  <si>
    <t xml:space="preserve">On the Executive Summary the Project manager must summarize the key aspects of the project, at reporting time: Progress, highlights, key concerns, risks or issues that he/she wants to escalate; It's not supposed to describe the full project - it is the space for "2 minutes summary"; As attention points from previous months are solved, those attention points can be moved into the additional comments section at the bottom of the summary tab, with the solution implemented - so the management team is aware;
</t>
  </si>
  <si>
    <r>
      <t xml:space="preserve">Risk measurement of not achieving each milestone:
 + </t>
    </r>
    <r>
      <rPr>
        <i/>
        <sz val="11"/>
        <color theme="1"/>
        <rFont val="Neo Tech Std"/>
        <family val="2"/>
      </rPr>
      <t>Very High</t>
    </r>
    <r>
      <rPr>
        <sz val="11"/>
        <color theme="1"/>
        <rFont val="Neo Tech Std"/>
        <family val="2"/>
      </rPr>
      <t xml:space="preserve"> - Milestone will not be achieved - should be translated into a ISSUE
 + </t>
    </r>
    <r>
      <rPr>
        <i/>
        <sz val="11"/>
        <color theme="1"/>
        <rFont val="Neo Tech Std"/>
        <family val="2"/>
      </rPr>
      <t>High</t>
    </r>
    <r>
      <rPr>
        <sz val="11"/>
        <color theme="1"/>
        <rFont val="Neo Tech Std"/>
        <family val="2"/>
      </rPr>
      <t xml:space="preserve"> - Milestone will not be achieve if immediate action is not taken, escalation needed - should be translated into  RISK
 + </t>
    </r>
    <r>
      <rPr>
        <i/>
        <sz val="11"/>
        <color theme="1"/>
        <rFont val="Neo Tech Std"/>
        <family val="2"/>
      </rPr>
      <t>Medium</t>
    </r>
    <r>
      <rPr>
        <sz val="11"/>
        <color theme="1"/>
        <rFont val="Neo Tech Std"/>
        <family val="2"/>
      </rPr>
      <t xml:space="preserve"> -  Milestone will not be achieved if  action is not taken; the project structure has the means to take action - should be translated into  RISK
 + </t>
    </r>
    <r>
      <rPr>
        <i/>
        <sz val="11"/>
        <color theme="1"/>
        <rFont val="Neo Tech Std"/>
        <family val="2"/>
      </rPr>
      <t>Low</t>
    </r>
    <r>
      <rPr>
        <sz val="11"/>
        <color theme="1"/>
        <rFont val="Neo Tech Std"/>
        <family val="2"/>
      </rPr>
      <t xml:space="preserve"> - Moderate risk that the milestone will not be achieved; the PM has actions in place to ensure the milestone will be achieved; to be monitored by the PM, at PM level ; By definition should not be part of the risk log in this report, but the PM can decide to include if understands it as relevant to be reported;
 + </t>
    </r>
    <r>
      <rPr>
        <i/>
        <sz val="11"/>
        <color theme="1"/>
        <rFont val="Neo Tech Std"/>
        <family val="2"/>
      </rPr>
      <t xml:space="preserve">Very Low </t>
    </r>
    <r>
      <rPr>
        <sz val="11"/>
        <color theme="1"/>
        <rFont val="Neo Tech Std"/>
        <family val="2"/>
      </rPr>
      <t>- Unlikely risk, the PM has a plan and means to ensure the milestone is achieved; should not be translated into a Risk in the risk log of this report;</t>
    </r>
  </si>
  <si>
    <r>
      <t xml:space="preserve">The </t>
    </r>
    <r>
      <rPr>
        <b/>
        <sz val="11"/>
        <color theme="1"/>
        <rFont val="Neo Tech Std"/>
        <family val="2"/>
      </rPr>
      <t>Project Success Criteria</t>
    </r>
    <r>
      <rPr>
        <sz val="11"/>
        <color theme="1"/>
        <rFont val="Neo Tech Std"/>
        <family val="2"/>
      </rPr>
      <t xml:space="preserve"> is used to register Objectives besides margin or timelines; it should include the client goals of the project or internal objectives aligned with the Operations Manager; Examples: Train resources in a particular application; Develop a RC app; Develop a reference in a particular business case, Reduce shrink by 5%, etc.;</t>
    </r>
  </si>
  <si>
    <t>Determine metrics or ways how the criteria will be evaluated and measured</t>
  </si>
  <si>
    <r>
      <rPr>
        <b/>
        <sz val="11"/>
        <color theme="1"/>
        <rFont val="Neo Tech Std"/>
        <family val="2"/>
      </rPr>
      <t>Additional Comments</t>
    </r>
    <r>
      <rPr>
        <sz val="11"/>
        <color theme="1"/>
        <rFont val="Neo Tech Std"/>
        <family val="2"/>
      </rPr>
      <t xml:space="preserve"> box should be used by the PM to include additional details about any topic that he/she wants to report; for example, including information about old risks and issues ; can be kept from one reporting cycle to the next, at PM's will;</t>
    </r>
  </si>
  <si>
    <t>Number of weeks that this activity has taken(or is planned to take until completion, if next column is not 100%)</t>
  </si>
  <si>
    <t>If the project has a high negative deviation, the color will change to yellow or red if very high</t>
  </si>
  <si>
    <t>Date</t>
  </si>
  <si>
    <t>Version: V3</t>
  </si>
  <si>
    <t>% Ticket
Deviation</t>
  </si>
  <si>
    <t>Total 
Real Tickets</t>
  </si>
  <si>
    <t xml:space="preserve">Total 
Sell Tickets </t>
  </si>
  <si>
    <t>Total 
Spent Effort</t>
  </si>
  <si>
    <t>Total 
Sell Effort</t>
  </si>
  <si>
    <t>Total
Sell Value</t>
  </si>
  <si>
    <t xml:space="preserve">Real Tickets </t>
  </si>
  <si>
    <t>Plan Tickets</t>
  </si>
  <si>
    <t>Sell Effort</t>
  </si>
  <si>
    <t>Activity 12</t>
  </si>
  <si>
    <t>Activity 11</t>
  </si>
  <si>
    <t>Activity 10</t>
  </si>
  <si>
    <t>Activity 9</t>
  </si>
  <si>
    <t>Activity 8</t>
  </si>
  <si>
    <t>Activity 7</t>
  </si>
  <si>
    <t>Activity 6</t>
  </si>
  <si>
    <t>Activity 5</t>
  </si>
  <si>
    <t>Activity 4</t>
  </si>
  <si>
    <t>Activity 3</t>
  </si>
  <si>
    <t>Activity 1</t>
  </si>
  <si>
    <t>Activity 2</t>
  </si>
  <si>
    <t>etc..</t>
  </si>
  <si>
    <t>Change Requests</t>
  </si>
  <si>
    <t>Reclassifications</t>
  </si>
  <si>
    <t>Roll-Out</t>
  </si>
  <si>
    <t>Stock Counts</t>
  </si>
  <si>
    <t>Risk Factor</t>
  </si>
  <si>
    <t>Readiness</t>
  </si>
  <si>
    <t>Event</t>
  </si>
  <si>
    <t xml:space="preserve"> Major Events</t>
  </si>
  <si>
    <t>Country</t>
  </si>
  <si>
    <t>Estimated End Date</t>
  </si>
  <si>
    <t>Service Manager</t>
  </si>
  <si>
    <t>Contract End Date</t>
  </si>
  <si>
    <t>Contract Start Date</t>
  </si>
  <si>
    <t>Operational Manager</t>
  </si>
  <si>
    <t>Sell Value (USD)</t>
  </si>
  <si>
    <t>Sell value future</t>
  </si>
  <si>
    <t>Sell value past</t>
  </si>
  <si>
    <t>CN</t>
  </si>
  <si>
    <t>CN Financials</t>
  </si>
  <si>
    <t>December</t>
  </si>
  <si>
    <t>Retail Consult CN</t>
  </si>
  <si>
    <t>ARROCHA</t>
  </si>
  <si>
    <t xml:space="preserve">ARROCHA (MX) CMS 2025 </t>
  </si>
  <si>
    <t>RC06067</t>
  </si>
  <si>
    <t>Henrique Pereira Alves</t>
  </si>
  <si>
    <t>Luiz Felipe Horvat</t>
  </si>
  <si>
    <t>Javier Albez</t>
  </si>
  <si>
    <t>Panamá</t>
  </si>
  <si>
    <t>Prime:</t>
  </si>
  <si>
    <t>Fronting company invoicing the client</t>
  </si>
  <si>
    <r>
      <t xml:space="preserve">Type of project, one of: </t>
    </r>
    <r>
      <rPr>
        <i/>
        <sz val="11"/>
        <color theme="1"/>
        <rFont val="Neo Tech Std"/>
        <family val="2"/>
      </rPr>
      <t>Time and Material; Fixed Cost; CMS</t>
    </r>
  </si>
  <si>
    <t xml:space="preserve">Real Tickets (Incidents/UR) raised  27 vs 30(Range 3) </t>
  </si>
  <si>
    <t>2026-2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</si>
</sst>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8">
    <numFmt numFmtId="44" formatCode="_-&quot;€&quot;* #,##0.00_-;_-&quot;€&quot;* #,##0.00\-;_-&quot;€&quot;* &quot;-&quot;??_-;_-@_-"/>
    <numFmt numFmtId="43" formatCode="_-* #,##0.00_-;_-* #,##0.00\-;_-* &quot;-&quot;??_-;_-@_-"/>
    <numFmt numFmtId="164" formatCode="_-* #,##0_-;\-* #,##0_-;_-* &quot;-&quot;_-;_-@_-"/>
    <numFmt numFmtId="165" formatCode="_-&quot;R$&quot;\ * #,##0.00_-;\-&quot;R$&quot;\ * #,##0.00_-;_-&quot;R$&quot;\ * &quot;-&quot;??_-;_-@_-"/>
    <numFmt numFmtId="166" formatCode="_-* #,##0.00_-;\-* #,##0.00_-;_-* &quot;-&quot;??_-;_-@_-"/>
    <numFmt numFmtId="167" formatCode="_-* #,##0.00\ _€_-;_-* #,##0.00\ _€\-;_-* &quot;-&quot;??\ _€_-;_-@_-"/>
    <numFmt numFmtId="168" formatCode="_(&quot;$&quot;* #,##0.00_);_(&quot;$&quot;* \(#,##0.00\);_(&quot;$&quot;* &quot;-&quot;??_);_(@_)"/>
    <numFmt numFmtId="169" formatCode="dd/mm/yy;@"/>
    <numFmt numFmtId="170" formatCode="[$-409]d/mmm/yy;@"/>
    <numFmt numFmtId="171" formatCode="0.0"/>
    <numFmt numFmtId="172" formatCode="0.0%"/>
    <numFmt numFmtId="173" formatCode="#,##0\ ;\(#,##0\);\-\ "/>
    <numFmt numFmtId="174" formatCode="_-* #,##0.00\ &quot;€&quot;_-;\-* #,##0.00\ &quot;€&quot;_-;_-* &quot;-&quot;??\ &quot;€&quot;_-;_-@_-"/>
    <numFmt numFmtId="175" formatCode="_-* #,##0.00\ _€_-;\-* #,##0.00\ _€_-;_-* &quot;-&quot;??\ _€_-;_-@_-"/>
    <numFmt numFmtId="176" formatCode="_(&quot;R$ &quot;* #,##0.00_);_(&quot;R$ &quot;* \(#,##0.00\);_(&quot;R$ &quot;* &quot;-&quot;??_);_(@_)"/>
    <numFmt numFmtId="177" formatCode="&quot;Amt @&quot;"/>
    <numFmt numFmtId="178" formatCode="&quot;Amt@&quot;\ #&quot;€&quot;"/>
    <numFmt numFmtId="179" formatCode="#,##0.0"/>
  </numFmts>
  <fonts count="87" x14ac:knownFonts="1">
    <font>
      <sz val="1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b/>
      <sz val="11"/>
      <color theme="1"/>
      <name val="Calibri"/>
      <family val="2"/>
      <scheme val="minor"/>
    </font>
    <font>
      <b/>
      <sz val="12"/>
      <color theme="0"/>
      <name val="Calibri"/>
      <family val="2"/>
      <scheme val="minor"/>
    </font>
    <font>
      <sz val="11"/>
      <color theme="1" tint="0.24994659260841701"/>
      <name val="Cambria"/>
      <family val="2"/>
      <scheme val="major"/>
    </font>
    <font>
      <b/>
      <sz val="13"/>
      <color theme="7"/>
      <name val="Cambria"/>
      <family val="2"/>
      <scheme val="major"/>
    </font>
    <font>
      <b/>
      <sz val="13"/>
      <color theme="1" tint="0.24994659260841701"/>
      <name val="Cambria"/>
      <family val="2"/>
      <scheme val="major"/>
    </font>
    <font>
      <b/>
      <sz val="9.5"/>
      <color theme="1" tint="0.499984740745262"/>
      <name val="Calibri"/>
      <family val="2"/>
      <scheme val="minor"/>
    </font>
    <font>
      <b/>
      <sz val="11"/>
      <color theme="1" tint="0.499984740745262"/>
      <name val="Calibri"/>
      <family val="2"/>
      <scheme val="minor"/>
    </font>
    <font>
      <sz val="10"/>
      <color theme="1" tint="0.24994659260841701"/>
      <name val="Cambria"/>
      <family val="2"/>
      <scheme val="major"/>
    </font>
    <font>
      <sz val="10"/>
      <color theme="1" tint="0.24994659260841701"/>
      <name val="Calibri"/>
      <family val="2"/>
    </font>
    <font>
      <b/>
      <sz val="9"/>
      <color theme="1" tint="0.499984740745262"/>
      <name val="Calibri"/>
      <family val="2"/>
      <scheme val="minor"/>
    </font>
    <font>
      <b/>
      <sz val="10"/>
      <color theme="1" tint="0.499984740745262"/>
      <name val="Calibri"/>
      <family val="2"/>
      <scheme val="minor"/>
    </font>
    <font>
      <b/>
      <sz val="11"/>
      <color theme="1" tint="0.24994659260841701"/>
      <name val="Calibri"/>
      <family val="2"/>
      <scheme val="minor"/>
    </font>
    <font>
      <b/>
      <sz val="42"/>
      <color theme="7"/>
      <name val="Cambria"/>
      <family val="2"/>
      <scheme val="major"/>
    </font>
    <font>
      <b/>
      <sz val="36"/>
      <color theme="8"/>
      <name val="Neo Tech Std"/>
      <family val="2"/>
    </font>
    <font>
      <sz val="14"/>
      <color theme="1" tint="0.24994659260841701"/>
      <name val="Calibri"/>
      <family val="2"/>
      <scheme val="minor"/>
    </font>
    <font>
      <b/>
      <sz val="12"/>
      <color theme="1" tint="0.24994659260841701"/>
      <name val="Calibri"/>
      <family val="2"/>
    </font>
    <font>
      <sz val="40"/>
      <color theme="1"/>
      <name val="Calibri"/>
      <family val="2"/>
      <scheme val="minor"/>
    </font>
    <font>
      <i/>
      <sz val="11"/>
      <color theme="1"/>
      <name val="Calibri"/>
      <family val="2"/>
      <scheme val="minor"/>
    </font>
    <font>
      <sz val="12"/>
      <color theme="1"/>
      <name val="Calibri"/>
      <family val="2"/>
      <scheme val="minor"/>
    </font>
    <font>
      <b/>
      <sz val="12"/>
      <color theme="1"/>
      <name val="Calibri"/>
      <family val="2"/>
      <scheme val="minor"/>
    </font>
    <font>
      <sz val="10"/>
      <color theme="1"/>
      <name val="Calibri"/>
      <family val="2"/>
      <scheme val="minor"/>
    </font>
    <font>
      <sz val="10"/>
      <color theme="0"/>
      <name val="Calibri"/>
      <family val="2"/>
      <scheme val="minor"/>
    </font>
    <font>
      <b/>
      <sz val="11"/>
      <color theme="1"/>
      <name val="Neo Tech Std"/>
      <family val="2"/>
    </font>
    <font>
      <sz val="11"/>
      <color theme="1"/>
      <name val="Neo Tech Std"/>
      <family val="2"/>
    </font>
    <font>
      <b/>
      <u/>
      <sz val="11"/>
      <color theme="1"/>
      <name val="Neo Tech Std"/>
      <family val="2"/>
    </font>
    <font>
      <i/>
      <sz val="11"/>
      <color theme="1"/>
      <name val="Neo Tech Std"/>
      <family val="2"/>
    </font>
    <font>
      <u/>
      <sz val="11"/>
      <color theme="1"/>
      <name val="Neo Tech Std"/>
      <family val="2"/>
    </font>
    <font>
      <i/>
      <sz val="10"/>
      <color theme="1"/>
      <name val="Neo Tech Std"/>
      <family val="2"/>
    </font>
    <font>
      <b/>
      <sz val="12"/>
      <color theme="1" tint="0.24994659260841701"/>
      <name val="Cambria"/>
      <family val="2"/>
      <scheme val="major"/>
    </font>
    <font>
      <sz val="11"/>
      <name val="Calibri"/>
      <family val="2"/>
      <scheme val="minor"/>
    </font>
    <font>
      <b/>
      <sz val="11"/>
      <color theme="0"/>
      <name val="Calibri"/>
      <family val="2"/>
      <scheme val="minor"/>
    </font>
    <font>
      <sz val="12"/>
      <color theme="1" tint="0.24994659260841701"/>
      <name val="Calibri"/>
      <family val="2"/>
    </font>
    <font>
      <b/>
      <sz val="36"/>
      <color rgb="FFFF6B00"/>
      <name val="Neo Tech Std"/>
      <family val="2"/>
    </font>
    <font>
      <sz val="10"/>
      <color theme="1" tint="0.34998626667073579"/>
      <name val="Cambria"/>
      <family val="2"/>
      <scheme val="major"/>
    </font>
    <font>
      <sz val="10"/>
      <color theme="1" tint="0.34998626667073579"/>
      <name val="Neo Tech Std"/>
      <family val="2"/>
    </font>
    <font>
      <sz val="10"/>
      <color theme="1" tint="0.34998626667073579"/>
      <name val="Calibri"/>
      <family val="2"/>
    </font>
    <font>
      <sz val="10"/>
      <color theme="1" tint="0.499984740745262"/>
      <name val="Calibri"/>
      <family val="2"/>
    </font>
    <font>
      <sz val="10"/>
      <color theme="0"/>
      <name val="Calibri"/>
      <family val="2"/>
    </font>
    <font>
      <b/>
      <sz val="10"/>
      <color theme="0"/>
      <name val="Calibri"/>
      <family val="2"/>
    </font>
    <font>
      <sz val="10"/>
      <color theme="0" tint="-0.14999847407452621"/>
      <name val="Calibri"/>
      <family val="2"/>
    </font>
    <font>
      <b/>
      <sz val="10"/>
      <color theme="0" tint="-0.14999847407452621"/>
      <name val="Calibri"/>
      <family val="2"/>
    </font>
    <font>
      <sz val="14"/>
      <color theme="0"/>
      <name val="Calibri"/>
      <family val="2"/>
      <scheme val="minor"/>
    </font>
    <font>
      <sz val="11"/>
      <color theme="0"/>
      <name val="Calibri"/>
      <family val="2"/>
      <scheme val="minor"/>
    </font>
    <font>
      <sz val="11"/>
      <color theme="1"/>
      <name val="Cambria"/>
      <family val="2"/>
      <scheme val="major"/>
    </font>
    <font>
      <b/>
      <sz val="9.5"/>
      <color theme="1"/>
      <name val="Calibri"/>
      <family val="2"/>
      <scheme val="minor"/>
    </font>
    <font>
      <sz val="10"/>
      <color theme="1"/>
      <name val="Calibri"/>
      <family val="2"/>
    </font>
    <font>
      <sz val="36"/>
      <color theme="1"/>
      <name val="Calibri"/>
      <family val="2"/>
      <scheme val="minor"/>
    </font>
    <font>
      <b/>
      <i/>
      <sz val="11"/>
      <color theme="0"/>
      <name val="Calibri"/>
      <family val="2"/>
      <scheme val="minor"/>
    </font>
    <font>
      <sz val="11"/>
      <color indexed="8"/>
      <name val="Neo Tech Std"/>
      <family val="2"/>
    </font>
    <font>
      <sz val="10"/>
      <color theme="1"/>
      <name val="Neo Tech Std"/>
      <family val="2"/>
    </font>
    <font>
      <sz val="8"/>
      <color theme="1"/>
      <name val="Calibri"/>
      <family val="2"/>
      <scheme val="minor"/>
    </font>
    <font>
      <sz val="9"/>
      <name val="Calibri"/>
      <family val="2"/>
      <scheme val="minor"/>
    </font>
    <font>
      <b/>
      <sz val="10"/>
      <color theme="0"/>
      <name val="Calibri"/>
      <family val="2"/>
      <scheme val="minor"/>
    </font>
    <font>
      <b/>
      <sz val="10"/>
      <color indexed="8"/>
      <name val="Calibri"/>
      <family val="2"/>
      <scheme val="minor"/>
    </font>
    <font>
      <sz val="10"/>
      <color indexed="8"/>
      <name val="Calibri"/>
      <family val="2"/>
      <scheme val="minor"/>
    </font>
    <font>
      <b/>
      <u/>
      <sz val="10"/>
      <color indexed="8"/>
      <name val="Calibri"/>
      <family val="2"/>
    </font>
    <font>
      <b/>
      <u/>
      <sz val="10"/>
      <color indexed="8"/>
      <name val="Calibri"/>
      <family val="2"/>
      <scheme val="minor"/>
    </font>
    <font>
      <sz val="11"/>
      <color theme="1"/>
      <name val="Calibri"/>
      <family val="2"/>
      <charset val="1"/>
      <scheme val="minor"/>
    </font>
    <font>
      <b/>
      <sz val="9"/>
      <color theme="0"/>
      <name val="Calibri"/>
      <family val="2"/>
      <scheme val="minor"/>
    </font>
    <font>
      <sz val="10"/>
      <color indexed="10"/>
      <name val="Arial"/>
      <family val="2"/>
    </font>
    <font>
      <sz val="9"/>
      <color theme="1"/>
      <name val="Calibri"/>
      <family val="2"/>
      <scheme val="minor"/>
    </font>
    <font>
      <sz val="10"/>
      <color indexed="8"/>
      <name val="MS Sans Serif"/>
      <family val="2"/>
    </font>
    <font>
      <sz val="11"/>
      <color indexed="8"/>
      <name val="Calibri"/>
      <family val="2"/>
    </font>
    <font>
      <b/>
      <sz val="9"/>
      <color indexed="8"/>
      <name val="Arial"/>
      <family val="2"/>
    </font>
    <font>
      <b/>
      <sz val="11"/>
      <color rgb="FFFA7D00"/>
      <name val="Calibri"/>
      <family val="2"/>
      <charset val="238"/>
      <scheme val="minor"/>
    </font>
    <font>
      <b/>
      <sz val="11"/>
      <color theme="3"/>
      <name val="Calibri"/>
      <family val="2"/>
      <charset val="238"/>
      <scheme val="minor"/>
    </font>
    <font>
      <sz val="11"/>
      <color rgb="FF3F3F76"/>
      <name val="Calibri"/>
      <family val="2"/>
      <charset val="238"/>
      <scheme val="minor"/>
    </font>
    <font>
      <sz val="10"/>
      <color theme="1"/>
      <name val="Arial"/>
      <family val="2"/>
    </font>
    <font>
      <b/>
      <i/>
      <sz val="11"/>
      <color theme="1"/>
      <name val="Calibri"/>
      <family val="2"/>
      <scheme val="minor"/>
    </font>
    <font>
      <sz val="10"/>
      <name val="Calibri"/>
      <family val="2"/>
      <scheme val="minor"/>
    </font>
    <font>
      <i/>
      <sz val="11"/>
      <name val="Calibri"/>
      <family val="2"/>
      <scheme val="minor"/>
    </font>
    <font>
      <b/>
      <sz val="11"/>
      <color rgb="FFFF0000"/>
      <name val="Calibri"/>
      <family val="2"/>
      <scheme val="minor"/>
    </font>
    <font>
      <sz val="8"/>
      <name val="Arial"/>
      <family val="2"/>
    </font>
    <font>
      <sz val="10"/>
      <color rgb="FFFF0000"/>
      <name val="Calibri"/>
      <family val="2"/>
      <scheme val="minor"/>
    </font>
  </fonts>
  <fills count="23">
    <fill>
      <patternFill patternType="none"/>
    </fill>
    <fill>
      <patternFill patternType="gray125"/>
    </fill>
    <fill>
      <patternFill patternType="lightUp">
        <fgColor theme="7"/>
        <bgColor theme="9" tint="0.59996337778862885"/>
      </patternFill>
    </fill>
    <fill>
      <patternFill patternType="solid">
        <fgColor theme="9" tint="0.59996337778862885"/>
        <bgColor indexed="64"/>
      </patternFill>
    </fill>
    <fill>
      <patternFill patternType="solid">
        <fgColor theme="0" tint="-4.9989318521683403E-2"/>
        <bgColor indexed="64"/>
      </patternFill>
    </fill>
    <fill>
      <patternFill patternType="solid">
        <fgColor theme="1" tint="0.249977111117893"/>
        <bgColor indexed="64"/>
      </patternFill>
    </fill>
    <fill>
      <patternFill patternType="lightUp">
        <fgColor theme="1" tint="0.34998626667073579"/>
        <bgColor indexed="65"/>
      </patternFill>
    </fill>
    <fill>
      <patternFill patternType="solid">
        <fgColor theme="0"/>
        <bgColor indexed="64"/>
      </patternFill>
    </fill>
    <fill>
      <patternFill patternType="solid">
        <fgColor rgb="FFFFC000"/>
        <bgColor indexed="64"/>
      </patternFill>
    </fill>
    <fill>
      <patternFill patternType="solid">
        <fgColor theme="0" tint="-0.14999847407452621"/>
        <bgColor theme="0" tint="-0.499984740745262"/>
      </patternFill>
    </fill>
    <fill>
      <patternFill patternType="solid">
        <fgColor theme="1" tint="0.499984740745262"/>
        <bgColor indexed="64"/>
      </patternFill>
    </fill>
    <fill>
      <patternFill patternType="solid">
        <fgColor theme="0" tint="-0.14999847407452621"/>
        <bgColor indexed="64"/>
      </patternFill>
    </fill>
    <fill>
      <patternFill patternType="solid">
        <fgColor rgb="FFFF6B00"/>
        <bgColor indexed="64"/>
      </patternFill>
    </fill>
    <fill>
      <patternFill patternType="solid">
        <fgColor rgb="FFFF6600"/>
        <bgColor indexed="64"/>
      </patternFill>
    </fill>
    <fill>
      <patternFill patternType="solid">
        <fgColor theme="3"/>
        <bgColor indexed="64"/>
      </patternFill>
    </fill>
    <fill>
      <patternFill patternType="solid">
        <fgColor rgb="FFFFCC99"/>
      </patternFill>
    </fill>
    <fill>
      <patternFill patternType="solid">
        <fgColor rgb="FFF2F2F2"/>
      </patternFill>
    </fill>
    <fill>
      <patternFill patternType="solid">
        <fgColor theme="4"/>
      </patternFill>
    </fill>
    <fill>
      <patternFill patternType="solid">
        <fgColor theme="4" tint="0.79998168889431442"/>
        <bgColor indexed="65"/>
      </patternFill>
    </fill>
    <fill>
      <patternFill patternType="solid">
        <fgColor rgb="FFFF0000"/>
        <bgColor indexed="64"/>
      </patternFill>
    </fill>
    <fill>
      <patternFill patternType="solid">
        <fgColor rgb="FF00B050"/>
        <bgColor indexed="64"/>
      </patternFill>
    </fill>
    <fill>
      <patternFill patternType="solid">
        <fgColor rgb="FFFFFF00"/>
        <bgColor indexed="64"/>
      </patternFill>
    </fill>
    <fill>
      <patternFill patternType="solid">
        <fgColor theme="2"/>
        <bgColor indexed="64"/>
      </patternFill>
    </fill>
  </fills>
  <borders count="27">
    <border>
      <left/>
      <right/>
      <top/>
      <bottom/>
      <diagonal/>
    </border>
    <border>
      <left/>
      <right/>
      <top style="thin">
        <color indexed="64"/>
      </top>
      <bottom style="thin">
        <color indexed="64"/>
      </bottom>
      <diagonal/>
    </border>
    <border>
      <left/>
      <right/>
      <top style="thin">
        <color theme="7"/>
      </top>
      <bottom style="thin">
        <color indexed="64"/>
      </bottom>
      <diagonal/>
    </border>
    <border>
      <left/>
      <right/>
      <top/>
      <bottom style="thin">
        <color theme="7"/>
      </bottom>
      <diagonal/>
    </border>
    <border>
      <left/>
      <right/>
      <top/>
      <bottom style="thin">
        <color indexed="64"/>
      </bottom>
      <diagonal/>
    </border>
    <border>
      <left style="thin">
        <color theme="0"/>
      </left>
      <right style="thin">
        <color theme="0"/>
      </right>
      <top style="thin">
        <color theme="0"/>
      </top>
      <bottom style="thin">
        <color theme="0"/>
      </bottom>
      <diagonal/>
    </border>
    <border>
      <left/>
      <right/>
      <top style="thin">
        <color theme="9" tint="-0.24994659260841701"/>
      </top>
      <bottom style="thin">
        <color theme="9" tint="-0.24994659260841701"/>
      </bottom>
      <diagonal/>
    </border>
    <border>
      <left/>
      <right/>
      <top style="thin">
        <color indexed="64"/>
      </top>
      <bottom/>
      <diagonal/>
    </border>
    <border>
      <left/>
      <right style="thin">
        <color indexed="64"/>
      </right>
      <top/>
      <bottom style="thin">
        <color indexed="64"/>
      </bottom>
      <diagonal/>
    </border>
    <border>
      <left style="thin">
        <color indexed="64"/>
      </left>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hair">
        <color theme="0"/>
      </left>
      <right/>
      <top style="thin">
        <color indexed="64"/>
      </top>
      <bottom style="thin">
        <color indexed="64"/>
      </bottom>
      <diagonal/>
    </border>
    <border>
      <left style="hair">
        <color theme="0"/>
      </left>
      <right/>
      <top/>
      <bottom/>
      <diagonal/>
    </border>
    <border>
      <left style="hair">
        <color theme="0"/>
      </left>
      <right/>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right/>
      <top/>
      <bottom style="medium">
        <color indexed="64"/>
      </bottom>
      <diagonal/>
    </border>
    <border>
      <left/>
      <right style="medium">
        <color auto="1"/>
      </right>
      <top/>
      <bottom style="medium">
        <color indexed="64"/>
      </bottom>
      <diagonal/>
    </border>
    <border>
      <left style="medium">
        <color indexed="64"/>
      </left>
      <right style="medium">
        <color indexed="64"/>
      </right>
      <top/>
      <bottom style="medium">
        <color indexed="64"/>
      </bottom>
      <diagonal/>
    </border>
    <border>
      <left/>
      <right style="medium">
        <color indexed="64"/>
      </right>
      <top style="medium">
        <color indexed="64"/>
      </top>
      <bottom style="medium">
        <color indexed="64"/>
      </bottom>
      <diagonal/>
    </border>
  </borders>
  <cellStyleXfs count="141">
    <xf numFmtId="0" fontId="0" fillId="0" borderId="0"/>
    <xf numFmtId="0" fontId="15" fillId="0" borderId="0" applyNumberFormat="0" applyFill="0" applyBorder="0" applyProtection="0">
      <alignment vertical="center"/>
    </xf>
    <xf numFmtId="9" fontId="16" fillId="0" borderId="0" applyFill="0" applyBorder="0" applyProtection="0">
      <alignment horizontal="center" vertical="center"/>
    </xf>
    <xf numFmtId="0" fontId="17" fillId="0" borderId="0" applyFill="0" applyBorder="0" applyProtection="0">
      <alignment horizontal="left"/>
    </xf>
    <xf numFmtId="0" fontId="18" fillId="0" borderId="0" applyFill="0" applyBorder="0" applyProtection="0">
      <alignment horizontal="center"/>
    </xf>
    <xf numFmtId="3" fontId="18" fillId="0" borderId="3" applyFill="0" applyProtection="0">
      <alignment horizontal="center"/>
    </xf>
    <xf numFmtId="0" fontId="25" fillId="0" borderId="0" applyNumberFormat="0" applyFill="0" applyBorder="0" applyAlignment="0" applyProtection="0"/>
    <xf numFmtId="0" fontId="27" fillId="0" borderId="0" applyNumberFormat="0" applyFill="0" applyBorder="0" applyProtection="0">
      <alignment horizontal="left" vertical="center"/>
    </xf>
    <xf numFmtId="0" fontId="24" fillId="3" borderId="6" applyNumberFormat="0" applyProtection="0">
      <alignment horizontal="left" vertical="center"/>
    </xf>
    <xf numFmtId="0" fontId="11" fillId="0" borderId="0"/>
    <xf numFmtId="9" fontId="11" fillId="0" borderId="0" applyFont="0" applyFill="0" applyBorder="0" applyAlignment="0" applyProtection="0"/>
    <xf numFmtId="43" fontId="11" fillId="0" borderId="0" applyFont="0" applyFill="0" applyBorder="0" applyAlignment="0" applyProtection="0"/>
    <xf numFmtId="0" fontId="10" fillId="0" borderId="0"/>
    <xf numFmtId="0" fontId="9" fillId="0" borderId="0"/>
    <xf numFmtId="9" fontId="12" fillId="0" borderId="0" applyFont="0" applyFill="0" applyBorder="0" applyAlignment="0" applyProtection="0"/>
    <xf numFmtId="0" fontId="70" fillId="0" borderId="0"/>
    <xf numFmtId="0" fontId="72" fillId="0" borderId="0">
      <alignment vertical="top"/>
    </xf>
    <xf numFmtId="0" fontId="8" fillId="0" borderId="0"/>
    <xf numFmtId="0" fontId="12" fillId="0" borderId="0"/>
    <xf numFmtId="43" fontId="12" fillId="0" borderId="0" applyFont="0" applyFill="0" applyBorder="0" applyAlignment="0" applyProtection="0"/>
    <xf numFmtId="0" fontId="7" fillId="0" borderId="0"/>
    <xf numFmtId="0" fontId="12" fillId="0" borderId="0"/>
    <xf numFmtId="174" fontId="7" fillId="0" borderId="0" applyFont="0" applyFill="0" applyBorder="0" applyAlignment="0" applyProtection="0"/>
    <xf numFmtId="174" fontId="12" fillId="0" borderId="0" applyFont="0" applyFill="0" applyBorder="0" applyAlignment="0" applyProtection="0"/>
    <xf numFmtId="0" fontId="74" fillId="0" borderId="0"/>
    <xf numFmtId="166" fontId="12" fillId="0" borderId="0"/>
    <xf numFmtId="0" fontId="75" fillId="0" borderId="0"/>
    <xf numFmtId="0" fontId="12" fillId="0" borderId="0"/>
    <xf numFmtId="0" fontId="7" fillId="0" borderId="0"/>
    <xf numFmtId="0" fontId="75" fillId="0" borderId="0"/>
    <xf numFmtId="0" fontId="74" fillId="0" borderId="0"/>
    <xf numFmtId="9" fontId="75" fillId="0" borderId="0" applyFont="0" applyFill="0" applyBorder="0" applyAlignment="0" applyProtection="0"/>
    <xf numFmtId="9" fontId="7" fillId="0" borderId="0" applyFont="0" applyFill="0" applyBorder="0" applyAlignment="0" applyProtection="0"/>
    <xf numFmtId="9" fontId="31" fillId="0" borderId="0" applyFont="0" applyFill="0" applyBorder="0" applyAlignment="0" applyProtection="0"/>
    <xf numFmtId="9" fontId="76" fillId="0" borderId="0" applyFont="0" applyFill="0" applyBorder="0" applyAlignment="0" applyProtection="0"/>
    <xf numFmtId="0" fontId="12" fillId="0" borderId="0"/>
    <xf numFmtId="167" fontId="12" fillId="0" borderId="0" applyFont="0" applyFill="0" applyBorder="0" applyAlignment="0" applyProtection="0"/>
    <xf numFmtId="176" fontId="7" fillId="0" borderId="0" applyFont="0" applyFill="0" applyBorder="0" applyAlignment="0" applyProtection="0"/>
    <xf numFmtId="43" fontId="7" fillId="0" borderId="0" applyFont="0" applyFill="0" applyBorder="0" applyAlignment="0" applyProtection="0"/>
    <xf numFmtId="9" fontId="7" fillId="0" borderId="0" applyFont="0" applyFill="0" applyBorder="0" applyAlignment="0" applyProtection="0"/>
    <xf numFmtId="0" fontId="7" fillId="18" borderId="0" applyNumberFormat="0" applyBorder="0" applyAlignment="0" applyProtection="0"/>
    <xf numFmtId="0" fontId="7" fillId="18" borderId="0" applyNumberFormat="0" applyBorder="0" applyAlignment="0" applyProtection="0"/>
    <xf numFmtId="0" fontId="55" fillId="17" borderId="0" applyNumberFormat="0" applyBorder="0" applyAlignment="0" applyProtection="0"/>
    <xf numFmtId="0" fontId="77" fillId="16" borderId="22" applyNumberFormat="0" applyAlignment="0" applyProtection="0"/>
    <xf numFmtId="164" fontId="12" fillId="0" borderId="0" applyFont="0" applyFill="0" applyBorder="0" applyAlignment="0" applyProtection="0"/>
    <xf numFmtId="164" fontId="12" fillId="0" borderId="0" applyFont="0" applyFill="0" applyBorder="0" applyAlignment="0" applyProtection="0"/>
    <xf numFmtId="172" fontId="12" fillId="0" borderId="0" applyFont="0" applyFill="0" applyBorder="0" applyAlignment="0" applyProtection="0"/>
    <xf numFmtId="175" fontId="7" fillId="0" borderId="0" applyFont="0" applyFill="0" applyBorder="0" applyAlignment="0" applyProtection="0"/>
    <xf numFmtId="175" fontId="12" fillId="0" borderId="0" applyFont="0" applyFill="0" applyBorder="0" applyAlignment="0" applyProtection="0"/>
    <xf numFmtId="0" fontId="78" fillId="0" borderId="21" applyNumberFormat="0" applyFill="0" applyAlignment="0" applyProtection="0"/>
    <xf numFmtId="0" fontId="78" fillId="0" borderId="0" applyNumberFormat="0" applyFill="0" applyBorder="0" applyAlignment="0" applyProtection="0"/>
    <xf numFmtId="0" fontId="79" fillId="15" borderId="22" applyNumberFormat="0" applyAlignment="0" applyProtection="0"/>
    <xf numFmtId="0" fontId="7" fillId="0" borderId="0"/>
    <xf numFmtId="0" fontId="12" fillId="0" borderId="0"/>
    <xf numFmtId="0" fontId="7" fillId="0" borderId="0"/>
    <xf numFmtId="0" fontId="12" fillId="0" borderId="0"/>
    <xf numFmtId="0" fontId="12" fillId="0" borderId="0"/>
    <xf numFmtId="0" fontId="12" fillId="0" borderId="0"/>
    <xf numFmtId="0" fontId="12" fillId="0" borderId="0"/>
    <xf numFmtId="0" fontId="12" fillId="0" borderId="0"/>
    <xf numFmtId="177" fontId="12" fillId="0" borderId="0"/>
    <xf numFmtId="178" fontId="12" fillId="0" borderId="0"/>
    <xf numFmtId="0" fontId="7" fillId="0" borderId="0"/>
    <xf numFmtId="168" fontId="7" fillId="0" borderId="0" applyFont="0" applyFill="0" applyBorder="0" applyAlignment="0" applyProtection="0"/>
    <xf numFmtId="165" fontId="7" fillId="0" borderId="0" applyFont="0" applyFill="0" applyBorder="0" applyAlignment="0" applyProtection="0"/>
    <xf numFmtId="44" fontId="7" fillId="0" borderId="0" applyFont="0" applyFill="0" applyBorder="0" applyAlignment="0" applyProtection="0"/>
    <xf numFmtId="0" fontId="15" fillId="0" borderId="0" applyNumberFormat="0" applyFill="0" applyBorder="0" applyProtection="0">
      <alignment vertical="center"/>
    </xf>
    <xf numFmtId="43" fontId="7" fillId="0" borderId="0" applyFont="0" applyFill="0" applyBorder="0" applyAlignment="0" applyProtection="0"/>
    <xf numFmtId="43" fontId="7" fillId="0" borderId="0" applyFont="0" applyFill="0" applyBorder="0" applyAlignment="0" applyProtection="0"/>
    <xf numFmtId="9" fontId="12" fillId="0" borderId="0" applyFont="0" applyFill="0" applyBorder="0" applyAlignment="0" applyProtection="0"/>
    <xf numFmtId="166" fontId="12" fillId="0" borderId="0" applyFont="0" applyFill="0" applyBorder="0" applyAlignment="0" applyProtection="0"/>
    <xf numFmtId="175" fontId="12" fillId="0" borderId="0" applyFont="0" applyFill="0" applyBorder="0" applyAlignment="0" applyProtection="0"/>
    <xf numFmtId="0" fontId="7" fillId="0" borderId="0"/>
    <xf numFmtId="168" fontId="7" fillId="0" borderId="0" applyFont="0" applyFill="0" applyBorder="0" applyAlignment="0" applyProtection="0"/>
    <xf numFmtId="166" fontId="7" fillId="0" borderId="0" applyFont="0" applyFill="0" applyBorder="0" applyAlignment="0" applyProtection="0"/>
    <xf numFmtId="43" fontId="12" fillId="0" borderId="0" applyFont="0" applyFill="0" applyBorder="0" applyAlignment="0" applyProtection="0"/>
    <xf numFmtId="0" fontId="7" fillId="0" borderId="0"/>
    <xf numFmtId="168" fontId="12" fillId="0" borderId="0" applyFont="0" applyFill="0" applyBorder="0" applyAlignment="0" applyProtection="0"/>
    <xf numFmtId="167" fontId="12" fillId="0" borderId="0" applyFont="0" applyFill="0" applyBorder="0" applyAlignment="0" applyProtection="0"/>
    <xf numFmtId="175" fontId="12" fillId="0" borderId="0" applyFont="0" applyFill="0" applyBorder="0" applyAlignment="0" applyProtection="0"/>
    <xf numFmtId="44" fontId="12" fillId="0" borderId="0" applyFont="0" applyFill="0" applyBorder="0" applyAlignment="0" applyProtection="0"/>
    <xf numFmtId="43" fontId="12" fillId="0" borderId="0" applyFont="0" applyFill="0" applyBorder="0" applyAlignment="0" applyProtection="0"/>
    <xf numFmtId="0" fontId="7" fillId="0" borderId="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9"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0" fontId="12" fillId="0" borderId="0"/>
    <xf numFmtId="43" fontId="12" fillId="0" borderId="0" applyFont="0" applyFill="0" applyBorder="0" applyAlignment="0" applyProtection="0"/>
    <xf numFmtId="166" fontId="12" fillId="0" borderId="0" applyFont="0" applyFill="0" applyBorder="0" applyAlignment="0" applyProtection="0"/>
    <xf numFmtId="167" fontId="12" fillId="0" borderId="0" applyFont="0" applyFill="0" applyBorder="0" applyAlignment="0" applyProtection="0"/>
    <xf numFmtId="43" fontId="7" fillId="0" borderId="0" applyFont="0" applyFill="0" applyBorder="0" applyAlignment="0" applyProtection="0"/>
    <xf numFmtId="9" fontId="12" fillId="0" borderId="0" applyFont="0" applyFill="0" applyBorder="0" applyAlignment="0" applyProtection="0"/>
    <xf numFmtId="166"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0" fontId="7" fillId="0" borderId="0"/>
    <xf numFmtId="0" fontId="12" fillId="0" borderId="0"/>
    <xf numFmtId="43" fontId="12" fillId="0" borderId="0" applyFont="0" applyFill="0" applyBorder="0" applyAlignment="0" applyProtection="0"/>
    <xf numFmtId="166" fontId="12" fillId="0" borderId="0" applyFont="0" applyFill="0" applyBorder="0" applyAlignment="0" applyProtection="0"/>
    <xf numFmtId="0" fontId="7" fillId="0" borderId="0"/>
    <xf numFmtId="167" fontId="12" fillId="0" borderId="0" applyFont="0" applyFill="0" applyBorder="0" applyAlignment="0" applyProtection="0"/>
    <xf numFmtId="175"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43" fontId="12" fillId="0" borderId="0" applyFont="0" applyFill="0" applyBorder="0" applyAlignment="0" applyProtection="0"/>
    <xf numFmtId="43" fontId="7" fillId="0" borderId="0" applyFont="0" applyFill="0" applyBorder="0" applyAlignment="0" applyProtection="0"/>
    <xf numFmtId="43" fontId="12" fillId="0" borderId="0" applyFont="0" applyFill="0" applyBorder="0" applyAlignment="0" applyProtection="0"/>
    <xf numFmtId="43" fontId="7" fillId="0" borderId="0" applyFont="0" applyFill="0" applyBorder="0" applyAlignment="0" applyProtection="0"/>
    <xf numFmtId="43" fontId="12" fillId="0" borderId="0" applyFont="0" applyFill="0" applyBorder="0" applyAlignment="0" applyProtection="0"/>
    <xf numFmtId="167" fontId="12" fillId="0" borderId="0" applyFont="0" applyFill="0" applyBorder="0" applyAlignment="0" applyProtection="0"/>
    <xf numFmtId="0" fontId="12" fillId="0" borderId="0"/>
    <xf numFmtId="167" fontId="12" fillId="0" borderId="0" applyFont="0" applyFill="0" applyBorder="0" applyAlignment="0" applyProtection="0"/>
    <xf numFmtId="0" fontId="6" fillId="0" borderId="0"/>
    <xf numFmtId="0" fontId="5" fillId="0" borderId="0"/>
    <xf numFmtId="0" fontId="5" fillId="0" borderId="0"/>
    <xf numFmtId="0" fontId="4" fillId="0" borderId="0"/>
    <xf numFmtId="0" fontId="4" fillId="0" borderId="0"/>
    <xf numFmtId="9" fontId="4" fillId="0" borderId="0" applyFont="0" applyFill="0" applyBorder="0" applyAlignment="0" applyProtection="0"/>
    <xf numFmtId="0" fontId="3" fillId="0" borderId="0"/>
    <xf numFmtId="0" fontId="3" fillId="0" borderId="0"/>
    <xf numFmtId="0" fontId="2" fillId="0" borderId="0"/>
  </cellStyleXfs>
  <cellXfs count="258">
    <xf numFmtId="0" fontId="0" fillId="0" borderId="0" xfId="0"/>
    <xf numFmtId="0" fontId="36" fillId="9" borderId="0" xfId="12" applyFont="1" applyFill="1" applyAlignment="1">
      <alignment horizontal="right" vertical="top"/>
    </xf>
    <xf numFmtId="0" fontId="38" fillId="9" borderId="0" xfId="12" applyFont="1" applyFill="1" applyAlignment="1">
      <alignment horizontal="right" vertical="top"/>
    </xf>
    <xf numFmtId="0" fontId="26" fillId="7" borderId="0" xfId="6" applyFont="1" applyFill="1" applyAlignment="1">
      <alignment horizontal="center"/>
    </xf>
    <xf numFmtId="9" fontId="16" fillId="7" borderId="0" xfId="2" applyFill="1">
      <alignment horizontal="center" vertical="center"/>
    </xf>
    <xf numFmtId="0" fontId="15" fillId="7" borderId="0" xfId="1" applyFill="1">
      <alignment vertical="center"/>
    </xf>
    <xf numFmtId="0" fontId="26" fillId="7" borderId="0" xfId="6" applyFont="1" applyFill="1"/>
    <xf numFmtId="0" fontId="26" fillId="7" borderId="0" xfId="6" applyFont="1" applyFill="1" applyAlignment="1">
      <alignment horizontal="left"/>
    </xf>
    <xf numFmtId="0" fontId="15" fillId="7" borderId="0" xfId="1" applyFill="1" applyAlignment="1">
      <alignment horizontal="center"/>
    </xf>
    <xf numFmtId="0" fontId="15" fillId="7" borderId="0" xfId="1" applyFill="1" applyAlignment="1">
      <alignment horizontal="center" vertical="center"/>
    </xf>
    <xf numFmtId="0" fontId="18" fillId="7" borderId="0" xfId="4" applyFill="1">
      <alignment horizontal="center"/>
    </xf>
    <xf numFmtId="0" fontId="15" fillId="7" borderId="4" xfId="1" applyFill="1" applyBorder="1">
      <alignment vertical="center"/>
    </xf>
    <xf numFmtId="3" fontId="18" fillId="7" borderId="3" xfId="5" applyFill="1">
      <alignment horizontal="center"/>
    </xf>
    <xf numFmtId="3" fontId="19" fillId="7" borderId="3" xfId="5" applyFont="1" applyFill="1">
      <alignment horizontal="center"/>
    </xf>
    <xf numFmtId="0" fontId="22" fillId="7" borderId="0" xfId="4" applyFont="1" applyFill="1">
      <alignment horizontal="center"/>
    </xf>
    <xf numFmtId="0" fontId="28" fillId="7" borderId="4" xfId="3" applyFont="1" applyFill="1" applyBorder="1">
      <alignment horizontal="left"/>
    </xf>
    <xf numFmtId="0" fontId="41" fillId="7" borderId="4" xfId="3" applyFont="1" applyFill="1" applyBorder="1">
      <alignment horizontal="left"/>
    </xf>
    <xf numFmtId="0" fontId="32" fillId="7" borderId="2" xfId="4" applyFont="1" applyFill="1" applyBorder="1">
      <alignment horizontal="center"/>
    </xf>
    <xf numFmtId="3" fontId="19" fillId="7" borderId="4" xfId="5" applyFont="1" applyFill="1" applyBorder="1">
      <alignment horizontal="center"/>
    </xf>
    <xf numFmtId="3" fontId="18" fillId="7" borderId="4" xfId="5" applyFill="1" applyBorder="1">
      <alignment horizontal="center"/>
    </xf>
    <xf numFmtId="0" fontId="20" fillId="7" borderId="0" xfId="1" applyFont="1" applyFill="1">
      <alignment vertical="center"/>
    </xf>
    <xf numFmtId="0" fontId="21" fillId="7" borderId="0" xfId="1" applyFont="1" applyFill="1" applyAlignment="1">
      <alignment horizontal="center"/>
    </xf>
    <xf numFmtId="0" fontId="20" fillId="7" borderId="0" xfId="1" applyFont="1" applyFill="1" applyAlignment="1">
      <alignment horizontal="center"/>
    </xf>
    <xf numFmtId="0" fontId="17" fillId="7" borderId="0" xfId="3" applyFill="1">
      <alignment horizontal="left"/>
    </xf>
    <xf numFmtId="0" fontId="26" fillId="7" borderId="0" xfId="6" applyFont="1" applyFill="1" applyAlignment="1">
      <alignment horizontal="center" vertical="center"/>
    </xf>
    <xf numFmtId="0" fontId="26" fillId="0" borderId="0" xfId="6" applyFont="1" applyAlignment="1">
      <alignment horizontal="left"/>
    </xf>
    <xf numFmtId="0" fontId="26" fillId="0" borderId="0" xfId="6" applyFont="1" applyAlignment="1">
      <alignment horizontal="center"/>
    </xf>
    <xf numFmtId="9" fontId="16" fillId="0" borderId="0" xfId="2">
      <alignment horizontal="center" vertical="center"/>
    </xf>
    <xf numFmtId="0" fontId="18" fillId="0" borderId="0" xfId="4">
      <alignment horizontal="center"/>
    </xf>
    <xf numFmtId="3" fontId="19" fillId="0" borderId="3" xfId="5" applyFont="1">
      <alignment horizontal="center"/>
    </xf>
    <xf numFmtId="3" fontId="19" fillId="0" borderId="4" xfId="5" applyFont="1" applyBorder="1">
      <alignment horizontal="center"/>
    </xf>
    <xf numFmtId="169" fontId="23" fillId="7" borderId="0" xfId="1" applyNumberFormat="1" applyFont="1" applyFill="1" applyAlignment="1">
      <alignment horizontal="center" textRotation="90"/>
    </xf>
    <xf numFmtId="0" fontId="61" fillId="7" borderId="4" xfId="9" applyFont="1" applyFill="1" applyBorder="1" applyAlignment="1">
      <alignment horizontal="center" vertical="center"/>
    </xf>
    <xf numFmtId="171" fontId="61" fillId="7" borderId="4" xfId="9" applyNumberFormat="1" applyFont="1" applyFill="1" applyBorder="1" applyAlignment="1">
      <alignment horizontal="center" vertical="center"/>
    </xf>
    <xf numFmtId="0" fontId="62" fillId="11" borderId="0" xfId="3" applyFont="1" applyFill="1" applyProtection="1">
      <alignment horizontal="left"/>
      <protection locked="0"/>
    </xf>
    <xf numFmtId="0" fontId="58" fillId="11" borderId="0" xfId="1" applyFont="1" applyFill="1" applyAlignment="1" applyProtection="1">
      <alignment horizontal="center"/>
      <protection locked="0"/>
    </xf>
    <xf numFmtId="0" fontId="62" fillId="4" borderId="0" xfId="3" applyFont="1" applyFill="1" applyProtection="1">
      <alignment horizontal="left"/>
      <protection locked="0"/>
    </xf>
    <xf numFmtId="0" fontId="58" fillId="4" borderId="0" xfId="1" applyFont="1" applyFill="1" applyAlignment="1" applyProtection="1">
      <alignment horizontal="center"/>
      <protection locked="0"/>
    </xf>
    <xf numFmtId="0" fontId="58" fillId="0" borderId="0" xfId="1" applyFont="1" applyAlignment="1">
      <alignment horizontal="center"/>
    </xf>
    <xf numFmtId="0" fontId="50" fillId="0" borderId="0" xfId="1" applyFont="1" applyAlignment="1">
      <alignment horizontal="center"/>
    </xf>
    <xf numFmtId="0" fontId="45" fillId="0" borderId="0" xfId="6" applyFont="1"/>
    <xf numFmtId="0" fontId="15" fillId="0" borderId="0" xfId="1" applyAlignment="1">
      <alignment horizontal="center"/>
    </xf>
    <xf numFmtId="0" fontId="15" fillId="0" borderId="0" xfId="1">
      <alignment vertical="center"/>
    </xf>
    <xf numFmtId="0" fontId="43" fillId="5" borderId="0" xfId="8" applyFont="1" applyFill="1" applyBorder="1" applyAlignment="1">
      <alignment horizontal="right" vertical="center"/>
    </xf>
    <xf numFmtId="0" fontId="15" fillId="6" borderId="5" xfId="1" applyFill="1" applyBorder="1" applyAlignment="1">
      <alignment horizontal="center"/>
    </xf>
    <xf numFmtId="0" fontId="44" fillId="0" borderId="0" xfId="7" applyFont="1">
      <alignment horizontal="left" vertical="center"/>
    </xf>
    <xf numFmtId="0" fontId="15" fillId="2" borderId="5" xfId="1" applyFill="1" applyBorder="1" applyAlignment="1">
      <alignment horizontal="center"/>
    </xf>
    <xf numFmtId="0" fontId="15" fillId="12" borderId="5" xfId="1" applyFill="1" applyBorder="1" applyAlignment="1">
      <alignment horizontal="center"/>
    </xf>
    <xf numFmtId="0" fontId="12" fillId="0" borderId="0" xfId="7" applyFont="1">
      <alignment horizontal="left" vertical="center"/>
    </xf>
    <xf numFmtId="0" fontId="17" fillId="0" borderId="0" xfId="3">
      <alignment horizontal="left"/>
    </xf>
    <xf numFmtId="0" fontId="18" fillId="0" borderId="0" xfId="4" applyAlignment="1">
      <alignment horizontal="left"/>
    </xf>
    <xf numFmtId="0" fontId="56" fillId="0" borderId="4" xfId="1" applyFont="1" applyBorder="1">
      <alignment vertical="center"/>
    </xf>
    <xf numFmtId="3" fontId="57" fillId="0" borderId="4" xfId="5" applyFont="1" applyBorder="1">
      <alignment horizontal="center"/>
    </xf>
    <xf numFmtId="3" fontId="18" fillId="0" borderId="4" xfId="5" applyBorder="1">
      <alignment horizontal="center"/>
    </xf>
    <xf numFmtId="0" fontId="32" fillId="0" borderId="1" xfId="4" applyFont="1" applyBorder="1" applyAlignment="1">
      <alignment horizontal="left"/>
    </xf>
    <xf numFmtId="0" fontId="57" fillId="0" borderId="1" xfId="4" applyFont="1" applyBorder="1">
      <alignment horizontal="center"/>
    </xf>
    <xf numFmtId="0" fontId="57" fillId="0" borderId="16" xfId="4" applyFont="1" applyBorder="1">
      <alignment horizontal="center"/>
    </xf>
    <xf numFmtId="3" fontId="18" fillId="0" borderId="1" xfId="5" applyBorder="1">
      <alignment horizontal="center"/>
    </xf>
    <xf numFmtId="0" fontId="46" fillId="0" borderId="0" xfId="1" applyFont="1">
      <alignment vertical="center"/>
    </xf>
    <xf numFmtId="0" fontId="49" fillId="7" borderId="0" xfId="1" applyFont="1" applyFill="1" applyAlignment="1">
      <alignment horizontal="center"/>
    </xf>
    <xf numFmtId="0" fontId="50" fillId="7" borderId="17" xfId="1" applyFont="1" applyFill="1" applyBorder="1" applyAlignment="1">
      <alignment horizontal="center"/>
    </xf>
    <xf numFmtId="0" fontId="50" fillId="7" borderId="0" xfId="1" applyFont="1" applyFill="1" applyAlignment="1">
      <alignment horizontal="center"/>
    </xf>
    <xf numFmtId="9" fontId="51" fillId="7" borderId="0" xfId="2" applyFont="1" applyFill="1">
      <alignment horizontal="center" vertical="center"/>
    </xf>
    <xf numFmtId="0" fontId="46" fillId="0" borderId="0" xfId="1" applyFont="1" applyAlignment="1">
      <alignment horizontal="center"/>
    </xf>
    <xf numFmtId="0" fontId="20" fillId="0" borderId="0" xfId="1" applyFont="1" applyAlignment="1">
      <alignment horizontal="center"/>
    </xf>
    <xf numFmtId="0" fontId="20" fillId="0" borderId="0" xfId="1" applyFont="1">
      <alignment vertical="center"/>
    </xf>
    <xf numFmtId="0" fontId="48" fillId="11" borderId="0" xfId="1" applyFont="1" applyFill="1" applyAlignment="1">
      <alignment horizontal="center"/>
    </xf>
    <xf numFmtId="0" fontId="52" fillId="11" borderId="17" xfId="1" applyFont="1" applyFill="1" applyBorder="1" applyAlignment="1">
      <alignment horizontal="center"/>
    </xf>
    <xf numFmtId="0" fontId="52" fillId="11" borderId="0" xfId="1" applyFont="1" applyFill="1" applyAlignment="1">
      <alignment horizontal="center"/>
    </xf>
    <xf numFmtId="9" fontId="53" fillId="11" borderId="0" xfId="2" applyFont="1" applyFill="1">
      <alignment horizontal="center" vertical="center"/>
    </xf>
    <xf numFmtId="0" fontId="46" fillId="0" borderId="4" xfId="1" applyFont="1" applyBorder="1">
      <alignment vertical="center"/>
    </xf>
    <xf numFmtId="0" fontId="49" fillId="10" borderId="4" xfId="1" applyFont="1" applyFill="1" applyBorder="1" applyAlignment="1">
      <alignment horizontal="center"/>
    </xf>
    <xf numFmtId="0" fontId="20" fillId="0" borderId="4" xfId="1" applyFont="1" applyBorder="1" applyAlignment="1">
      <alignment horizontal="center"/>
    </xf>
    <xf numFmtId="0" fontId="20" fillId="0" borderId="4" xfId="1" applyFont="1" applyBorder="1">
      <alignment vertical="center"/>
    </xf>
    <xf numFmtId="0" fontId="50" fillId="10" borderId="18" xfId="1" applyFont="1" applyFill="1" applyBorder="1" applyAlignment="1" applyProtection="1">
      <alignment horizontal="center"/>
      <protection locked="0"/>
    </xf>
    <xf numFmtId="0" fontId="50" fillId="10" borderId="4" xfId="1" applyFont="1" applyFill="1" applyBorder="1" applyAlignment="1" applyProtection="1">
      <alignment horizontal="center"/>
      <protection locked="0"/>
    </xf>
    <xf numFmtId="9" fontId="51" fillId="10" borderId="4" xfId="2" applyFont="1" applyFill="1" applyBorder="1" applyProtection="1">
      <alignment horizontal="center" vertical="center"/>
      <protection locked="0"/>
    </xf>
    <xf numFmtId="0" fontId="64" fillId="0" borderId="0" xfId="0" applyFont="1"/>
    <xf numFmtId="14" fontId="64" fillId="0" borderId="0" xfId="0" applyNumberFormat="1" applyFont="1"/>
    <xf numFmtId="0" fontId="13" fillId="7" borderId="1" xfId="9" applyFont="1" applyFill="1" applyBorder="1" applyAlignment="1">
      <alignment vertical="center"/>
    </xf>
    <xf numFmtId="0" fontId="65" fillId="13" borderId="19" xfId="13" applyFont="1" applyFill="1" applyBorder="1" applyAlignment="1">
      <alignment horizontal="center" vertical="center"/>
    </xf>
    <xf numFmtId="173" fontId="65" fillId="13" borderId="19" xfId="13" applyNumberFormat="1" applyFont="1" applyFill="1" applyBorder="1" applyAlignment="1">
      <alignment horizontal="center" vertical="center"/>
    </xf>
    <xf numFmtId="0" fontId="65" fillId="13" borderId="19" xfId="13" applyFont="1" applyFill="1" applyBorder="1" applyAlignment="1">
      <alignment horizontal="left" vertical="center"/>
    </xf>
    <xf numFmtId="0" fontId="66" fillId="0" borderId="19" xfId="13" applyFont="1" applyBorder="1" applyAlignment="1">
      <alignment horizontal="right" vertical="top"/>
    </xf>
    <xf numFmtId="173" fontId="66" fillId="0" borderId="19" xfId="13" applyNumberFormat="1" applyFont="1" applyBorder="1" applyAlignment="1">
      <alignment horizontal="right" vertical="top"/>
    </xf>
    <xf numFmtId="0" fontId="67" fillId="0" borderId="19" xfId="13" applyFont="1" applyBorder="1" applyAlignment="1">
      <alignment horizontal="left" vertical="top"/>
    </xf>
    <xf numFmtId="171" fontId="66" fillId="0" borderId="19" xfId="13" applyNumberFormat="1" applyFont="1" applyBorder="1" applyAlignment="1">
      <alignment horizontal="right" vertical="top"/>
    </xf>
    <xf numFmtId="0" fontId="13" fillId="0" borderId="1" xfId="9" applyFont="1" applyBorder="1" applyAlignment="1">
      <alignment vertical="center"/>
    </xf>
    <xf numFmtId="173" fontId="65" fillId="0" borderId="0" xfId="13" applyNumberFormat="1" applyFont="1" applyAlignment="1">
      <alignment horizontal="center" vertical="center"/>
    </xf>
    <xf numFmtId="0" fontId="65" fillId="0" borderId="0" xfId="13" applyFont="1" applyAlignment="1">
      <alignment horizontal="left" vertical="center"/>
    </xf>
    <xf numFmtId="0" fontId="64" fillId="0" borderId="0" xfId="0" applyFont="1" applyProtection="1">
      <protection locked="0"/>
    </xf>
    <xf numFmtId="173" fontId="65" fillId="13" borderId="19" xfId="13" applyNumberFormat="1" applyFont="1" applyFill="1" applyBorder="1" applyAlignment="1" applyProtection="1">
      <alignment horizontal="center" vertical="center"/>
      <protection locked="0"/>
    </xf>
    <xf numFmtId="0" fontId="64" fillId="0" borderId="19" xfId="0" applyFont="1" applyBorder="1" applyProtection="1">
      <protection locked="0"/>
    </xf>
    <xf numFmtId="173" fontId="64" fillId="0" borderId="0" xfId="0" applyNumberFormat="1" applyFont="1"/>
    <xf numFmtId="173" fontId="64" fillId="0" borderId="0" xfId="0" applyNumberFormat="1" applyFont="1" applyAlignment="1">
      <alignment horizontal="center"/>
    </xf>
    <xf numFmtId="0" fontId="64" fillId="0" borderId="19" xfId="0" applyFont="1" applyBorder="1"/>
    <xf numFmtId="0" fontId="71" fillId="14" borderId="0" xfId="15" applyFont="1" applyFill="1" applyAlignment="1">
      <alignment horizontal="center" vertical="center"/>
    </xf>
    <xf numFmtId="0" fontId="64" fillId="0" borderId="0" xfId="16" applyFont="1">
      <alignment vertical="top"/>
    </xf>
    <xf numFmtId="0" fontId="73" fillId="0" borderId="0" xfId="15" applyFont="1"/>
    <xf numFmtId="9" fontId="64" fillId="0" borderId="0" xfId="16" applyNumberFormat="1" applyFont="1">
      <alignment vertical="top"/>
    </xf>
    <xf numFmtId="10" fontId="64" fillId="0" borderId="0" xfId="16" applyNumberFormat="1" applyFont="1">
      <alignment vertical="top"/>
    </xf>
    <xf numFmtId="9" fontId="73" fillId="0" borderId="0" xfId="15" applyNumberFormat="1" applyFont="1"/>
    <xf numFmtId="9" fontId="73" fillId="0" borderId="0" xfId="14" applyFont="1"/>
    <xf numFmtId="0" fontId="80" fillId="0" borderId="0" xfId="0" applyFont="1" applyAlignment="1">
      <alignment horizontal="right" vertical="center" wrapText="1"/>
    </xf>
    <xf numFmtId="9" fontId="64" fillId="0" borderId="0" xfId="0" applyNumberFormat="1" applyFont="1"/>
    <xf numFmtId="0" fontId="64" fillId="0" borderId="0" xfId="0" applyFont="1" applyAlignment="1">
      <alignment horizontal="right"/>
    </xf>
    <xf numFmtId="0" fontId="80" fillId="0" borderId="23" xfId="0" applyFont="1" applyBorder="1" applyAlignment="1">
      <alignment vertical="center"/>
    </xf>
    <xf numFmtId="0" fontId="80" fillId="0" borderId="20" xfId="0" applyFont="1" applyBorder="1" applyAlignment="1">
      <alignment vertical="center" wrapText="1"/>
    </xf>
    <xf numFmtId="0" fontId="80" fillId="0" borderId="26" xfId="0" applyFont="1" applyBorder="1" applyAlignment="1">
      <alignment vertical="center" wrapText="1"/>
    </xf>
    <xf numFmtId="0" fontId="80" fillId="20" borderId="24" xfId="0" applyFont="1" applyFill="1" applyBorder="1" applyAlignment="1">
      <alignment horizontal="right" vertical="center" wrapText="1"/>
    </xf>
    <xf numFmtId="0" fontId="80" fillId="21" borderId="24" xfId="0" applyFont="1" applyFill="1" applyBorder="1" applyAlignment="1">
      <alignment horizontal="right" vertical="center" wrapText="1"/>
    </xf>
    <xf numFmtId="0" fontId="80" fillId="19" borderId="24" xfId="0" applyFont="1" applyFill="1" applyBorder="1" applyAlignment="1">
      <alignment horizontal="right" vertical="center" wrapText="1"/>
    </xf>
    <xf numFmtId="0" fontId="80" fillId="0" borderId="25" xfId="0" applyFont="1" applyBorder="1" applyAlignment="1">
      <alignment vertical="center" wrapText="1"/>
    </xf>
    <xf numFmtId="0" fontId="81" fillId="0" borderId="0" xfId="0" applyFont="1" applyAlignment="1">
      <alignment horizontal="left" vertical="top"/>
    </xf>
    <xf numFmtId="0" fontId="80" fillId="8" borderId="24" xfId="0" applyFont="1" applyFill="1" applyBorder="1" applyAlignment="1">
      <alignment horizontal="right" vertical="center" wrapText="1"/>
    </xf>
    <xf numFmtId="0" fontId="10" fillId="12" borderId="0" xfId="12" applyFill="1"/>
    <xf numFmtId="0" fontId="80" fillId="22" borderId="25" xfId="0" applyFont="1" applyFill="1" applyBorder="1" applyAlignment="1">
      <alignment horizontal="center" vertical="center" wrapText="1"/>
    </xf>
    <xf numFmtId="0" fontId="80" fillId="22" borderId="0" xfId="0" applyFont="1" applyFill="1" applyAlignment="1">
      <alignment horizontal="left" vertical="center" wrapText="1"/>
    </xf>
    <xf numFmtId="0" fontId="12" fillId="0" borderId="0" xfId="0" applyFont="1"/>
    <xf numFmtId="0" fontId="80" fillId="20" borderId="24" xfId="0" applyFont="1" applyFill="1" applyBorder="1" applyAlignment="1">
      <alignment horizontal="center" vertical="center" wrapText="1"/>
    </xf>
    <xf numFmtId="0" fontId="36" fillId="9" borderId="10" xfId="12" applyFont="1" applyFill="1" applyBorder="1" applyAlignment="1">
      <alignment horizontal="right" vertical="top"/>
    </xf>
    <xf numFmtId="0" fontId="36" fillId="9" borderId="7" xfId="12" applyFont="1" applyFill="1" applyBorder="1" applyAlignment="1">
      <alignment horizontal="left" vertical="top"/>
    </xf>
    <xf numFmtId="0" fontId="36" fillId="9" borderId="11" xfId="12" applyFont="1" applyFill="1" applyBorder="1" applyAlignment="1">
      <alignment horizontal="left" vertical="top"/>
    </xf>
    <xf numFmtId="0" fontId="36" fillId="9" borderId="12" xfId="12" applyFont="1" applyFill="1" applyBorder="1" applyAlignment="1">
      <alignment horizontal="right" vertical="top"/>
    </xf>
    <xf numFmtId="0" fontId="37" fillId="9" borderId="12" xfId="12" applyFont="1" applyFill="1" applyBorder="1" applyAlignment="1">
      <alignment horizontal="left" vertical="top"/>
    </xf>
    <xf numFmtId="0" fontId="38" fillId="9" borderId="12" xfId="12" applyFont="1" applyFill="1" applyBorder="1" applyAlignment="1">
      <alignment horizontal="right" vertical="top"/>
    </xf>
    <xf numFmtId="0" fontId="36" fillId="9" borderId="4" xfId="12" applyFont="1" applyFill="1" applyBorder="1" applyAlignment="1">
      <alignment horizontal="left" vertical="top"/>
    </xf>
    <xf numFmtId="0" fontId="36" fillId="9" borderId="8" xfId="12" applyFont="1" applyFill="1" applyBorder="1" applyAlignment="1">
      <alignment horizontal="left" vertical="top"/>
    </xf>
    <xf numFmtId="0" fontId="36" fillId="9" borderId="9" xfId="12" applyFont="1" applyFill="1" applyBorder="1" applyAlignment="1">
      <alignment horizontal="left" vertical="top"/>
    </xf>
    <xf numFmtId="0" fontId="38" fillId="9" borderId="9" xfId="12" applyFont="1" applyFill="1" applyBorder="1" applyAlignment="1">
      <alignment horizontal="right" vertical="top"/>
    </xf>
    <xf numFmtId="0" fontId="36" fillId="9" borderId="4" xfId="12" applyFont="1" applyFill="1" applyBorder="1" applyAlignment="1">
      <alignment horizontal="right" vertical="top"/>
    </xf>
    <xf numFmtId="0" fontId="37" fillId="9" borderId="9" xfId="12" applyFont="1" applyFill="1" applyBorder="1" applyAlignment="1">
      <alignment horizontal="left" vertical="top"/>
    </xf>
    <xf numFmtId="0" fontId="36" fillId="9" borderId="4" xfId="12" applyFont="1" applyFill="1" applyBorder="1" applyAlignment="1">
      <alignment horizontal="left" vertical="top" wrapText="1"/>
    </xf>
    <xf numFmtId="0" fontId="36" fillId="9" borderId="8" xfId="12" applyFont="1" applyFill="1" applyBorder="1" applyAlignment="1">
      <alignment horizontal="left" vertical="top" wrapText="1"/>
    </xf>
    <xf numFmtId="0" fontId="20" fillId="11" borderId="0" xfId="1" applyFont="1" applyFill="1" applyAlignment="1">
      <alignment horizontal="center"/>
    </xf>
    <xf numFmtId="0" fontId="36" fillId="9" borderId="0" xfId="12" applyFont="1" applyFill="1" applyAlignment="1">
      <alignment horizontal="left" vertical="top" wrapText="1"/>
    </xf>
    <xf numFmtId="0" fontId="36" fillId="9" borderId="13" xfId="12" applyFont="1" applyFill="1" applyBorder="1" applyAlignment="1">
      <alignment horizontal="left" vertical="top" wrapText="1"/>
    </xf>
    <xf numFmtId="0" fontId="36" fillId="9" borderId="0" xfId="12" applyFont="1" applyFill="1" applyAlignment="1">
      <alignment horizontal="left" vertical="top"/>
    </xf>
    <xf numFmtId="0" fontId="36" fillId="9" borderId="13" xfId="12" applyFont="1" applyFill="1" applyBorder="1" applyAlignment="1">
      <alignment horizontal="left" vertical="top"/>
    </xf>
    <xf numFmtId="0" fontId="33" fillId="0" borderId="0" xfId="136" applyFont="1"/>
    <xf numFmtId="0" fontId="82" fillId="0" borderId="0" xfId="136" applyFont="1"/>
    <xf numFmtId="0" fontId="34" fillId="0" borderId="0" xfId="136" applyFont="1"/>
    <xf numFmtId="0" fontId="34" fillId="0" borderId="0" xfId="136" applyFont="1" applyAlignment="1">
      <alignment horizontal="center" vertical="center"/>
    </xf>
    <xf numFmtId="0" fontId="33" fillId="0" borderId="0" xfId="136" applyFont="1" applyProtection="1">
      <protection locked="0"/>
    </xf>
    <xf numFmtId="0" fontId="34" fillId="0" borderId="0" xfId="136" applyFont="1" applyProtection="1">
      <protection locked="0"/>
    </xf>
    <xf numFmtId="9" fontId="33" fillId="7" borderId="0" xfId="137" applyFont="1" applyFill="1" applyAlignment="1">
      <alignment horizontal="center"/>
    </xf>
    <xf numFmtId="43" fontId="33" fillId="7" borderId="0" xfId="19" applyFont="1" applyFill="1" applyAlignment="1">
      <alignment vertical="center"/>
    </xf>
    <xf numFmtId="43" fontId="33" fillId="7" borderId="0" xfId="90" applyFont="1" applyFill="1" applyAlignment="1">
      <alignment vertical="center"/>
    </xf>
    <xf numFmtId="4" fontId="33" fillId="11" borderId="0" xfId="136" applyNumberFormat="1" applyFont="1" applyFill="1" applyAlignment="1" applyProtection="1">
      <alignment horizontal="center" vertical="center"/>
      <protection locked="0"/>
    </xf>
    <xf numFmtId="171" fontId="33" fillId="11" borderId="0" xfId="136" applyNumberFormat="1" applyFont="1" applyFill="1" applyAlignment="1" applyProtection="1">
      <alignment horizontal="center" vertical="center"/>
      <protection locked="0"/>
    </xf>
    <xf numFmtId="0" fontId="33" fillId="11" borderId="0" xfId="136" applyFont="1" applyFill="1" applyAlignment="1">
      <alignment horizontal="center" vertical="center"/>
    </xf>
    <xf numFmtId="169" fontId="33" fillId="11" borderId="0" xfId="136" applyNumberFormat="1" applyFont="1" applyFill="1" applyAlignment="1">
      <alignment horizontal="center" vertical="center"/>
    </xf>
    <xf numFmtId="1" fontId="33" fillId="0" borderId="0" xfId="136" applyNumberFormat="1" applyFont="1" applyAlignment="1">
      <alignment horizontal="center"/>
    </xf>
    <xf numFmtId="1" fontId="33" fillId="7" borderId="0" xfId="136" applyNumberFormat="1" applyFont="1" applyFill="1" applyAlignment="1">
      <alignment horizontal="center"/>
    </xf>
    <xf numFmtId="1" fontId="33" fillId="7" borderId="0" xfId="136" applyNumberFormat="1" applyFont="1" applyFill="1" applyAlignment="1" applyProtection="1">
      <alignment horizontal="center"/>
      <protection locked="0"/>
    </xf>
    <xf numFmtId="0" fontId="34" fillId="7" borderId="0" xfId="136" applyFont="1" applyFill="1" applyProtection="1">
      <protection locked="0"/>
    </xf>
    <xf numFmtId="4" fontId="33" fillId="4" borderId="0" xfId="136" applyNumberFormat="1" applyFont="1" applyFill="1" applyAlignment="1" applyProtection="1">
      <alignment horizontal="center" vertical="center"/>
      <protection locked="0"/>
    </xf>
    <xf numFmtId="171" fontId="33" fillId="4" borderId="0" xfId="136" applyNumberFormat="1" applyFont="1" applyFill="1" applyAlignment="1" applyProtection="1">
      <alignment horizontal="center" vertical="center"/>
      <protection locked="0"/>
    </xf>
    <xf numFmtId="0" fontId="33" fillId="4" borderId="0" xfId="136" applyFont="1" applyFill="1" applyAlignment="1">
      <alignment horizontal="center" vertical="center"/>
    </xf>
    <xf numFmtId="169" fontId="33" fillId="4" borderId="0" xfId="136" applyNumberFormat="1" applyFont="1" applyFill="1" applyAlignment="1">
      <alignment horizontal="center" vertical="center"/>
    </xf>
    <xf numFmtId="179" fontId="33" fillId="4" borderId="0" xfId="136" applyNumberFormat="1" applyFont="1" applyFill="1" applyAlignment="1" applyProtection="1">
      <alignment horizontal="center" vertical="center"/>
      <protection locked="0"/>
    </xf>
    <xf numFmtId="179" fontId="33" fillId="11" borderId="0" xfId="136" applyNumberFormat="1" applyFont="1" applyFill="1" applyAlignment="1" applyProtection="1">
      <alignment horizontal="center" vertical="center"/>
      <protection locked="0"/>
    </xf>
    <xf numFmtId="0" fontId="4" fillId="7" borderId="0" xfId="136" applyFill="1" applyAlignment="1">
      <alignment vertical="center"/>
    </xf>
    <xf numFmtId="0" fontId="61" fillId="7" borderId="4" xfId="136" applyFont="1" applyFill="1" applyBorder="1" applyAlignment="1">
      <alignment horizontal="center" vertical="center" wrapText="1"/>
    </xf>
    <xf numFmtId="0" fontId="61" fillId="7" borderId="4" xfId="136" applyFont="1" applyFill="1" applyBorder="1" applyAlignment="1">
      <alignment horizontal="center" vertical="center"/>
    </xf>
    <xf numFmtId="0" fontId="61" fillId="10" borderId="4" xfId="136" applyFont="1" applyFill="1" applyBorder="1" applyAlignment="1" applyProtection="1">
      <alignment horizontal="center" vertical="center" wrapText="1"/>
      <protection locked="0"/>
    </xf>
    <xf numFmtId="171" fontId="61" fillId="7" borderId="4" xfId="136" applyNumberFormat="1" applyFont="1" applyFill="1" applyBorder="1" applyAlignment="1">
      <alignment horizontal="center" vertical="center" wrapText="1"/>
    </xf>
    <xf numFmtId="0" fontId="61" fillId="10" borderId="4" xfId="136" applyFont="1" applyFill="1" applyBorder="1" applyAlignment="1" applyProtection="1">
      <alignment horizontal="center" vertical="center"/>
      <protection locked="0"/>
    </xf>
    <xf numFmtId="171" fontId="61" fillId="10" borderId="4" xfId="136" applyNumberFormat="1" applyFont="1" applyFill="1" applyBorder="1" applyAlignment="1" applyProtection="1">
      <alignment horizontal="center" vertical="center"/>
      <protection locked="0"/>
    </xf>
    <xf numFmtId="0" fontId="61" fillId="7" borderId="4" xfId="136" applyFont="1" applyFill="1" applyBorder="1" applyAlignment="1" applyProtection="1">
      <alignment horizontal="center" vertical="center"/>
      <protection locked="0"/>
    </xf>
    <xf numFmtId="0" fontId="61" fillId="7" borderId="4" xfId="136" applyFont="1" applyFill="1" applyBorder="1" applyAlignment="1" applyProtection="1">
      <alignment horizontal="center" vertical="center" wrapText="1"/>
      <protection locked="0"/>
    </xf>
    <xf numFmtId="171" fontId="61" fillId="7" borderId="4" xfId="136" applyNumberFormat="1" applyFont="1" applyFill="1" applyBorder="1" applyAlignment="1" applyProtection="1">
      <alignment horizontal="center" vertical="center"/>
      <protection locked="0"/>
    </xf>
    <xf numFmtId="0" fontId="55" fillId="7" borderId="0" xfId="136" applyFont="1" applyFill="1" applyAlignment="1" applyProtection="1">
      <alignment vertical="center"/>
      <protection locked="0"/>
    </xf>
    <xf numFmtId="0" fontId="29" fillId="0" borderId="4" xfId="136" applyFont="1" applyBorder="1" applyAlignment="1">
      <alignment horizontal="center" vertical="center"/>
    </xf>
    <xf numFmtId="0" fontId="33" fillId="0" borderId="4" xfId="136" applyFont="1" applyBorder="1" applyProtection="1">
      <protection locked="0"/>
    </xf>
    <xf numFmtId="0" fontId="29" fillId="0" borderId="0" xfId="136" applyFont="1" applyAlignment="1">
      <alignment horizontal="centerContinuous" vertical="center"/>
    </xf>
    <xf numFmtId="0" fontId="29" fillId="0" borderId="0" xfId="136" applyFont="1" applyAlignment="1" applyProtection="1">
      <alignment horizontal="centerContinuous" vertical="center"/>
      <protection locked="0"/>
    </xf>
    <xf numFmtId="173" fontId="60" fillId="0" borderId="4" xfId="136" applyNumberFormat="1" applyFont="1" applyBorder="1" applyAlignment="1" applyProtection="1">
      <alignment horizontal="center" vertical="center"/>
      <protection locked="0"/>
    </xf>
    <xf numFmtId="0" fontId="3" fillId="0" borderId="0" xfId="138" applyProtection="1">
      <protection locked="0"/>
    </xf>
    <xf numFmtId="0" fontId="3" fillId="0" borderId="0" xfId="138" applyAlignment="1" applyProtection="1">
      <alignment vertical="center"/>
      <protection locked="0"/>
    </xf>
    <xf numFmtId="170" fontId="3" fillId="0" borderId="0" xfId="138" applyNumberFormat="1" applyAlignment="1" applyProtection="1">
      <alignment vertical="center"/>
      <protection locked="0"/>
    </xf>
    <xf numFmtId="0" fontId="13" fillId="0" borderId="0" xfId="138" applyFont="1" applyAlignment="1" applyProtection="1">
      <alignment horizontal="center" vertical="center"/>
      <protection locked="0"/>
    </xf>
    <xf numFmtId="0" fontId="13" fillId="0" borderId="0" xfId="138" applyFont="1" applyAlignment="1" applyProtection="1">
      <alignment vertical="center"/>
      <protection locked="0"/>
    </xf>
    <xf numFmtId="0" fontId="30" fillId="0" borderId="0" xfId="138" applyFont="1" applyAlignment="1" applyProtection="1">
      <alignment horizontal="left" vertical="center"/>
      <protection locked="0"/>
    </xf>
    <xf numFmtId="0" fontId="13" fillId="0" borderId="0" xfId="138" applyFont="1" applyAlignment="1" applyProtection="1">
      <alignment horizontal="left" vertical="center"/>
      <protection locked="0"/>
    </xf>
    <xf numFmtId="0" fontId="30" fillId="0" borderId="0" xfId="138" applyFont="1" applyAlignment="1" applyProtection="1">
      <alignment vertical="center"/>
      <protection locked="0"/>
    </xf>
    <xf numFmtId="0" fontId="30" fillId="0" borderId="0" xfId="138" applyFont="1" applyAlignment="1">
      <alignment vertical="center"/>
    </xf>
    <xf numFmtId="0" fontId="3" fillId="0" borderId="0" xfId="138" applyAlignment="1">
      <alignment vertical="center"/>
    </xf>
    <xf numFmtId="0" fontId="84" fillId="0" borderId="0" xfId="138" applyFont="1" applyProtection="1">
      <protection locked="0"/>
    </xf>
    <xf numFmtId="0" fontId="3" fillId="0" borderId="0" xfId="138" applyAlignment="1" applyProtection="1">
      <alignment horizontal="center" vertical="center"/>
      <protection locked="0"/>
    </xf>
    <xf numFmtId="0" fontId="3" fillId="0" borderId="0" xfId="138" applyAlignment="1">
      <alignment horizontal="center" vertical="center"/>
    </xf>
    <xf numFmtId="0" fontId="29" fillId="0" borderId="4" xfId="138" applyFont="1" applyBorder="1" applyAlignment="1" applyProtection="1">
      <alignment horizontal="center" vertical="center"/>
      <protection locked="0"/>
    </xf>
    <xf numFmtId="0" fontId="29" fillId="0" borderId="0" xfId="138" applyFont="1" applyAlignment="1" applyProtection="1">
      <alignment horizontal="center" vertical="center"/>
      <protection locked="0"/>
    </xf>
    <xf numFmtId="0" fontId="63" fillId="0" borderId="0" xfId="138" applyFont="1" applyProtection="1">
      <protection locked="0"/>
    </xf>
    <xf numFmtId="0" fontId="55" fillId="0" borderId="0" xfId="136" applyFont="1" applyAlignment="1">
      <alignment vertical="center"/>
    </xf>
    <xf numFmtId="0" fontId="86" fillId="0" borderId="0" xfId="136" applyFont="1"/>
    <xf numFmtId="0" fontId="34" fillId="0" borderId="0" xfId="136" applyFont="1" applyAlignment="1">
      <alignment horizontal="center" vertical="center" wrapText="1"/>
    </xf>
    <xf numFmtId="0" fontId="55" fillId="7" borderId="0" xfId="136" applyFont="1" applyFill="1" applyAlignment="1">
      <alignment vertical="center"/>
    </xf>
    <xf numFmtId="173" fontId="34" fillId="0" borderId="0" xfId="136" applyNumberFormat="1" applyFont="1"/>
    <xf numFmtId="0" fontId="34" fillId="0" borderId="0" xfId="9" applyFont="1"/>
    <xf numFmtId="0" fontId="38" fillId="9" borderId="4" xfId="12" applyFont="1" applyFill="1" applyBorder="1" applyAlignment="1">
      <alignment horizontal="right" vertical="top"/>
    </xf>
    <xf numFmtId="0" fontId="36" fillId="9" borderId="9" xfId="12" applyFont="1" applyFill="1" applyBorder="1" applyAlignment="1">
      <alignment horizontal="right" vertical="top"/>
    </xf>
    <xf numFmtId="0" fontId="1" fillId="4" borderId="0" xfId="138" applyFont="1" applyFill="1" applyAlignment="1" applyProtection="1">
      <alignment horizontal="left" vertical="top" wrapText="1"/>
      <protection locked="0"/>
    </xf>
    <xf numFmtId="0" fontId="3" fillId="4" borderId="0" xfId="138" applyFill="1" applyAlignment="1" applyProtection="1">
      <alignment horizontal="left" vertical="top"/>
      <protection locked="0"/>
    </xf>
    <xf numFmtId="0" fontId="3" fillId="4" borderId="0" xfId="138" applyFill="1" applyAlignment="1" applyProtection="1">
      <alignment horizontal="center" vertical="center" wrapText="1"/>
      <protection locked="0"/>
    </xf>
    <xf numFmtId="9" fontId="42" fillId="4" borderId="0" xfId="14" applyFont="1" applyFill="1" applyAlignment="1" applyProtection="1">
      <alignment horizontal="center"/>
      <protection locked="0"/>
    </xf>
    <xf numFmtId="0" fontId="42" fillId="4" borderId="0" xfId="96" applyFont="1" applyFill="1" applyAlignment="1" applyProtection="1">
      <alignment horizontal="center" vertical="center"/>
      <protection locked="0"/>
    </xf>
    <xf numFmtId="0" fontId="83" fillId="4" borderId="0" xfId="96" applyFont="1" applyFill="1" applyAlignment="1" applyProtection="1">
      <alignment horizontal="center" wrapText="1"/>
      <protection locked="0"/>
    </xf>
    <xf numFmtId="15" fontId="42" fillId="4" borderId="0" xfId="96" applyNumberFormat="1" applyFont="1" applyFill="1" applyAlignment="1" applyProtection="1">
      <alignment horizontal="center"/>
      <protection locked="0"/>
    </xf>
    <xf numFmtId="0" fontId="42" fillId="4" borderId="0" xfId="96" applyFont="1" applyFill="1" applyAlignment="1" applyProtection="1">
      <alignment horizontal="center" wrapText="1"/>
      <protection locked="0"/>
    </xf>
    <xf numFmtId="0" fontId="42" fillId="11" borderId="0" xfId="96" applyFont="1" applyFill="1" applyAlignment="1" applyProtection="1">
      <alignment horizontal="center" wrapText="1"/>
      <protection locked="0"/>
    </xf>
    <xf numFmtId="15" fontId="42" fillId="11" borderId="0" xfId="96" applyNumberFormat="1" applyFont="1" applyFill="1" applyAlignment="1" applyProtection="1">
      <alignment horizontal="center"/>
      <protection locked="0"/>
    </xf>
    <xf numFmtId="9" fontId="42" fillId="11" borderId="0" xfId="14" applyFont="1" applyFill="1" applyAlignment="1" applyProtection="1">
      <alignment horizontal="center"/>
      <protection locked="0"/>
    </xf>
    <xf numFmtId="0" fontId="42" fillId="11" borderId="0" xfId="96" applyFont="1" applyFill="1" applyAlignment="1" applyProtection="1">
      <alignment horizontal="center" vertical="center"/>
      <protection locked="0"/>
    </xf>
    <xf numFmtId="0" fontId="3" fillId="11" borderId="0" xfId="138" applyFill="1" applyAlignment="1" applyProtection="1">
      <alignment horizontal="center" vertical="center" wrapText="1"/>
      <protection locked="0"/>
    </xf>
    <xf numFmtId="0" fontId="32" fillId="7" borderId="1" xfId="138" applyFont="1" applyFill="1" applyBorder="1" applyAlignment="1" applyProtection="1">
      <alignment horizontal="center" vertical="center"/>
      <protection locked="0"/>
    </xf>
    <xf numFmtId="0" fontId="3" fillId="4" borderId="7" xfId="138" applyFill="1" applyBorder="1" applyAlignment="1" applyProtection="1">
      <alignment horizontal="center" vertical="center" wrapText="1"/>
      <protection locked="0"/>
    </xf>
    <xf numFmtId="0" fontId="32" fillId="0" borderId="1" xfId="138" applyFont="1" applyBorder="1" applyAlignment="1" applyProtection="1">
      <alignment horizontal="center" vertical="center"/>
      <protection locked="0"/>
    </xf>
    <xf numFmtId="0" fontId="13" fillId="0" borderId="1" xfId="138" applyFont="1" applyBorder="1" applyAlignment="1" applyProtection="1">
      <alignment horizontal="center" vertical="center"/>
      <protection locked="0"/>
    </xf>
    <xf numFmtId="0" fontId="83" fillId="11" borderId="0" xfId="96" applyFont="1" applyFill="1" applyAlignment="1" applyProtection="1">
      <alignment horizontal="center" wrapText="1"/>
      <protection locked="0"/>
    </xf>
    <xf numFmtId="15" fontId="42" fillId="4" borderId="7" xfId="96" applyNumberFormat="1" applyFont="1" applyFill="1" applyBorder="1" applyAlignment="1" applyProtection="1">
      <alignment horizontal="center"/>
      <protection locked="0"/>
    </xf>
    <xf numFmtId="0" fontId="83" fillId="4" borderId="7" xfId="96" applyFont="1" applyFill="1" applyBorder="1" applyAlignment="1" applyProtection="1">
      <alignment horizontal="center" wrapText="1"/>
      <protection locked="0"/>
    </xf>
    <xf numFmtId="0" fontId="42" fillId="4" borderId="7" xfId="96" applyFont="1" applyFill="1" applyBorder="1" applyAlignment="1" applyProtection="1">
      <alignment horizontal="center" vertical="center"/>
      <protection locked="0"/>
    </xf>
    <xf numFmtId="9" fontId="42" fillId="4" borderId="7" xfId="14" applyFont="1" applyFill="1" applyBorder="1" applyAlignment="1" applyProtection="1">
      <alignment horizontal="center"/>
      <protection locked="0"/>
    </xf>
    <xf numFmtId="0" fontId="13" fillId="7" borderId="1" xfId="138" applyFont="1" applyFill="1" applyBorder="1" applyAlignment="1">
      <alignment horizontal="left" vertical="center"/>
    </xf>
    <xf numFmtId="169" fontId="60" fillId="5" borderId="1" xfId="96" applyNumberFormat="1" applyFont="1" applyFill="1" applyBorder="1" applyAlignment="1">
      <alignment horizontal="center" vertical="center"/>
    </xf>
    <xf numFmtId="0" fontId="43" fillId="5" borderId="1" xfId="96" applyFont="1" applyFill="1" applyBorder="1" applyAlignment="1">
      <alignment horizontal="center" vertical="center"/>
    </xf>
    <xf numFmtId="0" fontId="43" fillId="5" borderId="1" xfId="96" applyFont="1" applyFill="1" applyBorder="1" applyAlignment="1" applyProtection="1">
      <alignment horizontal="center" vertical="center"/>
      <protection locked="0"/>
    </xf>
    <xf numFmtId="0" fontId="43" fillId="5" borderId="1" xfId="0" applyFont="1" applyFill="1" applyBorder="1" applyAlignment="1">
      <alignment horizontal="center" vertical="center"/>
    </xf>
    <xf numFmtId="0" fontId="13" fillId="7" borderId="1" xfId="139" applyFont="1" applyFill="1" applyBorder="1" applyAlignment="1" applyProtection="1">
      <alignment horizontal="left" vertical="center"/>
      <protection locked="0"/>
    </xf>
    <xf numFmtId="3" fontId="43" fillId="5" borderId="1" xfId="96" applyNumberFormat="1" applyFont="1" applyFill="1" applyBorder="1" applyAlignment="1" applyProtection="1">
      <alignment horizontal="center" vertical="center"/>
      <protection locked="0"/>
    </xf>
    <xf numFmtId="169" fontId="43" fillId="5" borderId="1" xfId="96" applyNumberFormat="1" applyFont="1" applyFill="1" applyBorder="1" applyAlignment="1" applyProtection="1">
      <alignment horizontal="center" vertical="center"/>
      <protection locked="0"/>
    </xf>
    <xf numFmtId="0" fontId="59" fillId="0" borderId="0" xfId="138" applyFont="1" applyAlignment="1" applyProtection="1">
      <alignment horizontal="center" vertical="center"/>
      <protection locked="0"/>
    </xf>
    <xf numFmtId="0" fontId="13" fillId="7" borderId="1" xfId="138" applyFont="1" applyFill="1" applyBorder="1" applyAlignment="1" applyProtection="1">
      <alignment horizontal="left" vertical="center"/>
      <protection locked="0"/>
    </xf>
    <xf numFmtId="169" fontId="60" fillId="5" borderId="1" xfId="96" applyNumberFormat="1" applyFont="1" applyFill="1" applyBorder="1" applyAlignment="1" applyProtection="1">
      <alignment horizontal="center" vertical="center"/>
      <protection locked="0"/>
    </xf>
    <xf numFmtId="0" fontId="36" fillId="9" borderId="0" xfId="12" applyFont="1" applyFill="1" applyAlignment="1">
      <alignment horizontal="left" vertical="top"/>
    </xf>
    <xf numFmtId="0" fontId="36" fillId="9" borderId="13" xfId="12" applyFont="1" applyFill="1" applyBorder="1" applyAlignment="1">
      <alignment horizontal="left" vertical="top"/>
    </xf>
    <xf numFmtId="0" fontId="35" fillId="11" borderId="12" xfId="12" applyFont="1" applyFill="1" applyBorder="1" applyAlignment="1">
      <alignment horizontal="left" vertical="center"/>
    </xf>
    <xf numFmtId="0" fontId="35" fillId="11" borderId="0" xfId="12" applyFont="1" applyFill="1" applyAlignment="1">
      <alignment horizontal="left" vertical="center"/>
    </xf>
    <xf numFmtId="0" fontId="36" fillId="9" borderId="0" xfId="12" applyFont="1" applyFill="1" applyAlignment="1">
      <alignment horizontal="left" vertical="top" wrapText="1"/>
    </xf>
    <xf numFmtId="0" fontId="36" fillId="9" borderId="13" xfId="12" applyFont="1" applyFill="1" applyBorder="1" applyAlignment="1">
      <alignment horizontal="left" vertical="top" wrapText="1"/>
    </xf>
    <xf numFmtId="0" fontId="58" fillId="7" borderId="0" xfId="1" applyFont="1" applyFill="1" applyAlignment="1">
      <alignment horizontal="center"/>
    </xf>
    <xf numFmtId="0" fontId="32" fillId="7" borderId="2" xfId="4" applyFont="1" applyFill="1" applyBorder="1">
      <alignment horizontal="center"/>
    </xf>
    <xf numFmtId="0" fontId="58" fillId="7" borderId="7" xfId="1" applyFont="1" applyFill="1" applyBorder="1" applyAlignment="1">
      <alignment horizontal="center"/>
    </xf>
    <xf numFmtId="169" fontId="23" fillId="7" borderId="0" xfId="1" applyNumberFormat="1" applyFont="1" applyFill="1" applyAlignment="1">
      <alignment horizontal="center" textRotation="90"/>
    </xf>
    <xf numFmtId="0" fontId="28" fillId="7" borderId="1" xfId="3" applyFont="1" applyFill="1" applyBorder="1" applyAlignment="1">
      <alignment horizontal="center" vertical="center"/>
    </xf>
    <xf numFmtId="0" fontId="14" fillId="5" borderId="7" xfId="1" applyFont="1" applyFill="1" applyBorder="1" applyAlignment="1">
      <alignment horizontal="left" vertical="center"/>
    </xf>
    <xf numFmtId="0" fontId="14" fillId="5" borderId="1" xfId="1" applyFont="1" applyFill="1" applyBorder="1" applyAlignment="1">
      <alignment horizontal="left" vertical="center"/>
    </xf>
    <xf numFmtId="170" fontId="14" fillId="5" borderId="1" xfId="1" applyNumberFormat="1" applyFont="1" applyFill="1" applyBorder="1" applyAlignment="1">
      <alignment horizontal="left" vertical="center"/>
    </xf>
    <xf numFmtId="0" fontId="54" fillId="5" borderId="0" xfId="8" applyFont="1" applyFill="1" applyBorder="1" applyAlignment="1" applyProtection="1">
      <alignment horizontal="center" vertical="center"/>
      <protection locked="0"/>
    </xf>
    <xf numFmtId="0" fontId="13" fillId="7" borderId="1" xfId="8" applyFont="1" applyFill="1" applyBorder="1" applyAlignment="1">
      <alignment horizontal="center" vertical="center"/>
    </xf>
    <xf numFmtId="0" fontId="47" fillId="0" borderId="7" xfId="3" applyFont="1" applyBorder="1" applyAlignment="1">
      <alignment horizontal="left" vertical="center"/>
    </xf>
    <xf numFmtId="0" fontId="47" fillId="0" borderId="0" xfId="3" applyFont="1" applyAlignment="1">
      <alignment horizontal="left" vertical="center"/>
    </xf>
    <xf numFmtId="0" fontId="47" fillId="0" borderId="4" xfId="3" applyFont="1" applyBorder="1" applyAlignment="1">
      <alignment horizontal="left" vertical="center"/>
    </xf>
    <xf numFmtId="0" fontId="14" fillId="5" borderId="0" xfId="1" applyFont="1" applyFill="1" applyAlignment="1">
      <alignment horizontal="left" vertical="center"/>
    </xf>
    <xf numFmtId="0" fontId="57" fillId="0" borderId="14" xfId="4" applyFont="1" applyBorder="1">
      <alignment horizontal="center"/>
    </xf>
    <xf numFmtId="0" fontId="57" fillId="0" borderId="1" xfId="4" applyFont="1" applyBorder="1">
      <alignment horizontal="center"/>
    </xf>
    <xf numFmtId="0" fontId="57" fillId="0" borderId="15" xfId="4" applyFont="1" applyBorder="1">
      <alignment horizontal="center"/>
    </xf>
  </cellXfs>
  <cellStyles count="141">
    <cellStyle name="%" xfId="21" xr:uid="{00000000-0005-0000-0000-000000000000}"/>
    <cellStyle name="% 2 2" xfId="35" xr:uid="{00000000-0005-0000-0000-000001000000}"/>
    <cellStyle name="20% - Accent1 2" xfId="40" xr:uid="{00000000-0005-0000-0000-000002000000}"/>
    <cellStyle name="20% - Accent1 2 2" xfId="41" xr:uid="{00000000-0005-0000-0000-000003000000}"/>
    <cellStyle name="Accent1 2" xfId="42" xr:uid="{00000000-0005-0000-0000-000004000000}"/>
    <cellStyle name="Activity" xfId="3" xr:uid="{00000000-0005-0000-0000-000005000000}"/>
    <cellStyle name="Calculation 2" xfId="43" xr:uid="{00000000-0005-0000-0000-000006000000}"/>
    <cellStyle name="Comma [0] 2" xfId="44" xr:uid="{00000000-0005-0000-0000-000008000000}"/>
    <cellStyle name="Comma [0] 3" xfId="45" xr:uid="{00000000-0005-0000-0000-000009000000}"/>
    <cellStyle name="Comma 10" xfId="90" xr:uid="{00000000-0005-0000-0000-00000A000000}"/>
    <cellStyle name="Comma 11" xfId="85" xr:uid="{00000000-0005-0000-0000-00000B000000}"/>
    <cellStyle name="Comma 12" xfId="87" xr:uid="{00000000-0005-0000-0000-00000C000000}"/>
    <cellStyle name="Comma 13" xfId="89" xr:uid="{00000000-0005-0000-0000-00000D000000}"/>
    <cellStyle name="Comma 14" xfId="86" xr:uid="{00000000-0005-0000-0000-00000E000000}"/>
    <cellStyle name="Comma 15" xfId="95" xr:uid="{00000000-0005-0000-0000-00000F000000}"/>
    <cellStyle name="Comma 16" xfId="88" xr:uid="{00000000-0005-0000-0000-000010000000}"/>
    <cellStyle name="Comma 17" xfId="91" xr:uid="{00000000-0005-0000-0000-000011000000}"/>
    <cellStyle name="Comma 18" xfId="94" xr:uid="{00000000-0005-0000-0000-000012000000}"/>
    <cellStyle name="Comma 19" xfId="106" xr:uid="{00000000-0005-0000-0000-000013000000}"/>
    <cellStyle name="Comma 2" xfId="11" xr:uid="{00000000-0005-0000-0000-000014000000}"/>
    <cellStyle name="Comma 2 2" xfId="68" xr:uid="{00000000-0005-0000-0000-000015000000}"/>
    <cellStyle name="Comma 2 2 2" xfId="36" xr:uid="{00000000-0005-0000-0000-000016000000}"/>
    <cellStyle name="Comma 2 2 2 2" xfId="78" xr:uid="{00000000-0005-0000-0000-000017000000}"/>
    <cellStyle name="Comma 2 2 2 2 2" xfId="123" xr:uid="{00000000-0005-0000-0000-000018000000}"/>
    <cellStyle name="Comma 2 2 2 2 2 2" xfId="131" xr:uid="{00000000-0005-0000-0000-000019000000}"/>
    <cellStyle name="Comma 2 2 2 2 3" xfId="122" xr:uid="{00000000-0005-0000-0000-00001A000000}"/>
    <cellStyle name="Comma 2 2 2 2 4" xfId="99" xr:uid="{00000000-0005-0000-0000-00001B000000}"/>
    <cellStyle name="Comma 2 2 2 3" xfId="120" xr:uid="{00000000-0005-0000-0000-00001C000000}"/>
    <cellStyle name="Comma 2 2 2 4" xfId="129" xr:uid="{00000000-0005-0000-0000-00001D000000}"/>
    <cellStyle name="Comma 2 3" xfId="100" xr:uid="{00000000-0005-0000-0000-00001E000000}"/>
    <cellStyle name="Comma 2 4" xfId="46" xr:uid="{00000000-0005-0000-0000-00001F000000}"/>
    <cellStyle name="Comma 20" xfId="107" xr:uid="{00000000-0005-0000-0000-000020000000}"/>
    <cellStyle name="Comma 21" xfId="109" xr:uid="{00000000-0005-0000-0000-000021000000}"/>
    <cellStyle name="Comma 22" xfId="113" xr:uid="{00000000-0005-0000-0000-000022000000}"/>
    <cellStyle name="Comma 23" xfId="105" xr:uid="{00000000-0005-0000-0000-000023000000}"/>
    <cellStyle name="Comma 24" xfId="110" xr:uid="{00000000-0005-0000-0000-000024000000}"/>
    <cellStyle name="Comma 25" xfId="112" xr:uid="{00000000-0005-0000-0000-000025000000}"/>
    <cellStyle name="Comma 26" xfId="114" xr:uid="{00000000-0005-0000-0000-000026000000}"/>
    <cellStyle name="Comma 27" xfId="111" xr:uid="{00000000-0005-0000-0000-000027000000}"/>
    <cellStyle name="Comma 28" xfId="108" xr:uid="{00000000-0005-0000-0000-000028000000}"/>
    <cellStyle name="Comma 29" xfId="117" xr:uid="{00000000-0005-0000-0000-000029000000}"/>
    <cellStyle name="Comma 3" xfId="19" xr:uid="{00000000-0005-0000-0000-00002A000000}"/>
    <cellStyle name="Comma 3 2" xfId="93" xr:uid="{00000000-0005-0000-0000-00002B000000}"/>
    <cellStyle name="Comma 3 2 2" xfId="124" xr:uid="{00000000-0005-0000-0000-00002C000000}"/>
    <cellStyle name="Comma 3 2 3" xfId="121" xr:uid="{00000000-0005-0000-0000-00002D000000}"/>
    <cellStyle name="Comma 3 3" xfId="47" xr:uid="{00000000-0005-0000-0000-00002E000000}"/>
    <cellStyle name="Comma 30" xfId="103" xr:uid="{00000000-0005-0000-0000-00002F000000}"/>
    <cellStyle name="Comma 31" xfId="104" xr:uid="{00000000-0005-0000-0000-000030000000}"/>
    <cellStyle name="Comma 32" xfId="38" xr:uid="{00000000-0005-0000-0000-000031000000}"/>
    <cellStyle name="Comma 32 2" xfId="128" xr:uid="{00000000-0005-0000-0000-000032000000}"/>
    <cellStyle name="Comma 33" xfId="125" xr:uid="{00000000-0005-0000-0000-000033000000}"/>
    <cellStyle name="Comma 33 2" xfId="126" xr:uid="{00000000-0005-0000-0000-000034000000}"/>
    <cellStyle name="Comma 34" xfId="127" xr:uid="{00000000-0005-0000-0000-000035000000}"/>
    <cellStyle name="Comma 35" xfId="67" xr:uid="{00000000-0005-0000-0000-000036000000}"/>
    <cellStyle name="Comma 4" xfId="48" xr:uid="{00000000-0005-0000-0000-000037000000}"/>
    <cellStyle name="Comma 5" xfId="70" xr:uid="{00000000-0005-0000-0000-000038000000}"/>
    <cellStyle name="Comma 5 2" xfId="79" xr:uid="{00000000-0005-0000-0000-000039000000}"/>
    <cellStyle name="Comma 5 3" xfId="102" xr:uid="{00000000-0005-0000-0000-00003A000000}"/>
    <cellStyle name="Comma 5 4" xfId="97" xr:uid="{00000000-0005-0000-0000-00003B000000}"/>
    <cellStyle name="Comma 6" xfId="75" xr:uid="{00000000-0005-0000-0000-00003C000000}"/>
    <cellStyle name="Comma 7" xfId="83" xr:uid="{00000000-0005-0000-0000-00003D000000}"/>
    <cellStyle name="Comma 8" xfId="81" xr:uid="{00000000-0005-0000-0000-00003E000000}"/>
    <cellStyle name="Comma 9" xfId="84" xr:uid="{00000000-0005-0000-0000-00003F000000}"/>
    <cellStyle name="Currency 2" xfId="22" xr:uid="{00000000-0005-0000-0000-000040000000}"/>
    <cellStyle name="Currency 2 2" xfId="37" xr:uid="{00000000-0005-0000-0000-000041000000}"/>
    <cellStyle name="Currency 2 3" xfId="80" xr:uid="{00000000-0005-0000-0000-000042000000}"/>
    <cellStyle name="Currency 3" xfId="63" xr:uid="{00000000-0005-0000-0000-000043000000}"/>
    <cellStyle name="Currency 4" xfId="64" xr:uid="{00000000-0005-0000-0000-000044000000}"/>
    <cellStyle name="Currency 5" xfId="65" xr:uid="{00000000-0005-0000-0000-000045000000}"/>
    <cellStyle name="Euro" xfId="23" xr:uid="{00000000-0005-0000-0000-000046000000}"/>
    <cellStyle name="Heading 1 2" xfId="6" xr:uid="{00000000-0005-0000-0000-000047000000}"/>
    <cellStyle name="Heading 3 2" xfId="49" xr:uid="{00000000-0005-0000-0000-000048000000}"/>
    <cellStyle name="Heading 4 2" xfId="50" xr:uid="{00000000-0005-0000-0000-000049000000}"/>
    <cellStyle name="Input 2" xfId="51" xr:uid="{00000000-0005-0000-0000-00004A000000}"/>
    <cellStyle name="Label" xfId="7" xr:uid="{00000000-0005-0000-0000-00004B000000}"/>
    <cellStyle name="Moeda 2" xfId="73" xr:uid="{00000000-0005-0000-0000-00004C000000}"/>
    <cellStyle name="Moeda 2 2" xfId="77" xr:uid="{00000000-0005-0000-0000-00004D000000}"/>
    <cellStyle name="Normal" xfId="0" builtinId="0"/>
    <cellStyle name="Normal 10" xfId="96" xr:uid="{00000000-0005-0000-0000-00004F000000}"/>
    <cellStyle name="Normal 10 2" xfId="130" xr:uid="{00000000-0005-0000-0000-000050000000}"/>
    <cellStyle name="Normal 2" xfId="1" xr:uid="{00000000-0005-0000-0000-000051000000}"/>
    <cellStyle name="Normal 2 2" xfId="25" xr:uid="{00000000-0005-0000-0000-000052000000}"/>
    <cellStyle name="Normal 2 3" xfId="26" xr:uid="{00000000-0005-0000-0000-000053000000}"/>
    <cellStyle name="Normal 2 4" xfId="66" xr:uid="{00000000-0005-0000-0000-000054000000}"/>
    <cellStyle name="Normal 2 5" xfId="24" xr:uid="{00000000-0005-0000-0000-000055000000}"/>
    <cellStyle name="Normal 3" xfId="9" xr:uid="{00000000-0005-0000-0000-000056000000}"/>
    <cellStyle name="Normal 3 2" xfId="27" xr:uid="{00000000-0005-0000-0000-000057000000}"/>
    <cellStyle name="Normal 3 2 2" xfId="76" xr:uid="{00000000-0005-0000-0000-000058000000}"/>
    <cellStyle name="Normal 3 2 2 2" xfId="136" xr:uid="{00000000-0005-0000-0000-000059000000}"/>
    <cellStyle name="Normal 3 2 2 2 2" xfId="140" xr:uid="{E67BE1DB-4C39-45F3-B20F-0C30900AB544}"/>
    <cellStyle name="Normal 3 2 2 3" xfId="139" xr:uid="{00000000-0005-0000-0000-00005A000000}"/>
    <cellStyle name="Normal 3 2 3" xfId="133" xr:uid="{00000000-0005-0000-0000-00005B000000}"/>
    <cellStyle name="Normal 3 3" xfId="28" xr:uid="{00000000-0005-0000-0000-00005C000000}"/>
    <cellStyle name="Normal 3 3 2" xfId="62" xr:uid="{00000000-0005-0000-0000-00005D000000}"/>
    <cellStyle name="Normal 3 3 3" xfId="116" xr:uid="{00000000-0005-0000-0000-00005E000000}"/>
    <cellStyle name="Normal 3 4" xfId="17" xr:uid="{00000000-0005-0000-0000-00005F000000}"/>
    <cellStyle name="Normal 3 4 2" xfId="20" xr:uid="{00000000-0005-0000-0000-000060000000}"/>
    <cellStyle name="Normal 3 4 3" xfId="132" xr:uid="{00000000-0005-0000-0000-000061000000}"/>
    <cellStyle name="Normal 3 4 4" xfId="134" xr:uid="{00000000-0005-0000-0000-000062000000}"/>
    <cellStyle name="Normal 3 5" xfId="135" xr:uid="{00000000-0005-0000-0000-000063000000}"/>
    <cellStyle name="Normal 3 6" xfId="138" xr:uid="{00000000-0005-0000-0000-000064000000}"/>
    <cellStyle name="Normal 4" xfId="12" xr:uid="{00000000-0005-0000-0000-000065000000}"/>
    <cellStyle name="Normal 4 2" xfId="52" xr:uid="{00000000-0005-0000-0000-000066000000}"/>
    <cellStyle name="Normal 4 3" xfId="29" xr:uid="{00000000-0005-0000-0000-000067000000}"/>
    <cellStyle name="Normal 43 2" xfId="16" xr:uid="{00000000-0005-0000-0000-000068000000}"/>
    <cellStyle name="Normal 45" xfId="13" xr:uid="{00000000-0005-0000-0000-000069000000}"/>
    <cellStyle name="Normal 45 2" xfId="115" xr:uid="{00000000-0005-0000-0000-00006A000000}"/>
    <cellStyle name="Normal 45 3" xfId="82" xr:uid="{00000000-0005-0000-0000-00006B000000}"/>
    <cellStyle name="Normal 46" xfId="15" xr:uid="{00000000-0005-0000-0000-00006C000000}"/>
    <cellStyle name="Normal 5" xfId="18" xr:uid="{00000000-0005-0000-0000-00006D000000}"/>
    <cellStyle name="Normal 5 2" xfId="53" xr:uid="{00000000-0005-0000-0000-00006E000000}"/>
    <cellStyle name="Normal 5 2 2" xfId="119" xr:uid="{00000000-0005-0000-0000-00006F000000}"/>
    <cellStyle name="Normal 5 3" xfId="72" xr:uid="{00000000-0005-0000-0000-000070000000}"/>
    <cellStyle name="Normal 5 4" xfId="30" xr:uid="{00000000-0005-0000-0000-000071000000}"/>
    <cellStyle name="Normal 6" xfId="54" xr:uid="{00000000-0005-0000-0000-000072000000}"/>
    <cellStyle name="Normal 6 2" xfId="55" xr:uid="{00000000-0005-0000-0000-000073000000}"/>
    <cellStyle name="Normal 7" xfId="56" xr:uid="{00000000-0005-0000-0000-000074000000}"/>
    <cellStyle name="Normal 8" xfId="57" xr:uid="{00000000-0005-0000-0000-000075000000}"/>
    <cellStyle name="Normal 9" xfId="58" xr:uid="{00000000-0005-0000-0000-000076000000}"/>
    <cellStyle name="Percent 2" xfId="10" xr:uid="{00000000-0005-0000-0000-000078000000}"/>
    <cellStyle name="Percent 2 2" xfId="32" xr:uid="{00000000-0005-0000-0000-000079000000}"/>
    <cellStyle name="Percent 2 3" xfId="31" xr:uid="{00000000-0005-0000-0000-00007A000000}"/>
    <cellStyle name="Percent 2 3 2" xfId="137" xr:uid="{00000000-0005-0000-0000-00007B000000}"/>
    <cellStyle name="Percent 3" xfId="14" xr:uid="{00000000-0005-0000-0000-00007C000000}"/>
    <cellStyle name="Percent 3 2" xfId="92" xr:uid="{00000000-0005-0000-0000-00007D000000}"/>
    <cellStyle name="Percent 3 3" xfId="33" xr:uid="{00000000-0005-0000-0000-00007E000000}"/>
    <cellStyle name="Percent 4" xfId="34" xr:uid="{00000000-0005-0000-0000-00007F000000}"/>
    <cellStyle name="Percent 5" xfId="69" xr:uid="{00000000-0005-0000-0000-000080000000}"/>
    <cellStyle name="Percent 6" xfId="39" xr:uid="{00000000-0005-0000-0000-000081000000}"/>
    <cellStyle name="Percent Complete" xfId="2" xr:uid="{00000000-0005-0000-0000-000082000000}"/>
    <cellStyle name="Period Headers" xfId="5" xr:uid="{00000000-0005-0000-0000-000083000000}"/>
    <cellStyle name="Period Highlight Control" xfId="8" xr:uid="{00000000-0005-0000-0000-000084000000}"/>
    <cellStyle name="Porcentagem 2" xfId="101" xr:uid="{00000000-0005-0000-0000-000085000000}"/>
    <cellStyle name="Project Headers" xfId="4" xr:uid="{00000000-0005-0000-0000-000086000000}"/>
    <cellStyle name="Style 1" xfId="59" xr:uid="{00000000-0005-0000-0000-000087000000}"/>
    <cellStyle name="Style 2" xfId="60" xr:uid="{00000000-0005-0000-0000-000088000000}"/>
    <cellStyle name="Style 3" xfId="61" xr:uid="{00000000-0005-0000-0000-000089000000}"/>
    <cellStyle name="Vírgula 2" xfId="71" xr:uid="{00000000-0005-0000-0000-00008A000000}"/>
    <cellStyle name="Vírgula 3" xfId="74" xr:uid="{00000000-0005-0000-0000-00008B000000}"/>
    <cellStyle name="Vírgula 3 2" xfId="118" xr:uid="{00000000-0005-0000-0000-00008C000000}"/>
    <cellStyle name="Vírgula 4" xfId="98" xr:uid="{00000000-0005-0000-0000-00008D000000}"/>
  </cellStyles>
  <dxfs count="68">
    <dxf>
      <fill>
        <patternFill>
          <bgColor theme="0"/>
        </patternFill>
      </fill>
      <border>
        <bottom style="thin">
          <color theme="0"/>
        </bottom>
        <vertical/>
        <horizontal/>
      </border>
    </dxf>
    <dxf>
      <fill>
        <patternFill>
          <bgColor theme="0" tint="-4.9989318521683403E-2"/>
        </patternFill>
      </fill>
      <border>
        <bottom style="thin">
          <color theme="0"/>
        </bottom>
        <vertical/>
        <horizontal/>
      </border>
    </dxf>
    <dxf>
      <fill>
        <patternFill patternType="solid">
          <bgColor theme="1" tint="0.499984740745262"/>
        </patternFill>
      </fill>
      <border>
        <left style="thin">
          <color theme="1" tint="0.499984740745262"/>
        </left>
        <right style="thin">
          <color theme="1" tint="0.499984740745262"/>
        </right>
        <bottom style="thin">
          <color theme="1" tint="0.499984740745262"/>
        </bottom>
        <vertical/>
        <horizontal/>
      </border>
    </dxf>
    <dxf>
      <fill>
        <patternFill patternType="lightUp">
          <fgColor theme="1" tint="0.24994659260841701"/>
          <bgColor auto="1"/>
        </patternFill>
      </fill>
      <border>
        <bottom style="thin">
          <color theme="0"/>
        </bottom>
      </border>
    </dxf>
    <dxf>
      <fill>
        <patternFill patternType="lightUp">
          <fgColor theme="7"/>
          <bgColor theme="9" tint="0.59996337778862885"/>
        </patternFill>
      </fill>
      <border>
        <bottom style="thin">
          <color theme="0"/>
        </bottom>
      </border>
    </dxf>
    <dxf>
      <fill>
        <patternFill>
          <fgColor theme="1" tint="0.499984740745262"/>
          <bgColor theme="1" tint="0.499984740745262"/>
        </patternFill>
      </fill>
      <border>
        <bottom style="thin">
          <color theme="0"/>
        </bottom>
      </border>
    </dxf>
    <dxf>
      <fill>
        <patternFill patternType="solid">
          <fgColor rgb="FFFF0000"/>
          <bgColor rgb="FFFF6B00"/>
        </patternFill>
      </fill>
      <border>
        <bottom style="thin">
          <color theme="0"/>
        </bottom>
      </border>
    </dxf>
    <dxf>
      <fill>
        <patternFill patternType="solid">
          <fgColor auto="1"/>
          <bgColor theme="8"/>
        </patternFill>
      </fill>
      <border>
        <bottom style="thin">
          <color theme="0"/>
        </bottom>
      </border>
    </dxf>
    <dxf>
      <fill>
        <patternFill>
          <bgColor theme="0"/>
        </patternFill>
      </fill>
      <border>
        <bottom style="thin">
          <color theme="0"/>
        </bottom>
        <vertical/>
        <horizontal/>
      </border>
    </dxf>
    <dxf>
      <fill>
        <patternFill>
          <bgColor theme="0" tint="-4.9989318521683403E-2"/>
        </patternFill>
      </fill>
      <border>
        <bottom style="thin">
          <color theme="0"/>
        </bottom>
        <vertical/>
        <horizontal/>
      </border>
    </dxf>
    <dxf>
      <fill>
        <patternFill>
          <bgColor theme="9" tint="0.59996337778862885"/>
        </patternFill>
      </fill>
      <border>
        <left style="dashed">
          <color theme="1" tint="0.499984740745262"/>
        </left>
        <right style="dashed">
          <color theme="1" tint="0.499984740745262"/>
        </right>
        <bottom style="thin">
          <color theme="9" tint="0.59996337778862885"/>
        </bottom>
        <vertical/>
        <horizontal/>
      </border>
    </dxf>
    <dxf>
      <fill>
        <patternFill patternType="lightUp">
          <fgColor theme="1" tint="4.9989318521683403E-2"/>
          <bgColor theme="0" tint="-0.34998626667073579"/>
        </patternFill>
      </fill>
      <border>
        <bottom style="thin">
          <color theme="0"/>
        </bottom>
      </border>
    </dxf>
    <dxf>
      <fill>
        <patternFill patternType="lightUp">
          <fgColor theme="7"/>
          <bgColor theme="9" tint="0.59996337778862885"/>
        </patternFill>
      </fill>
      <border>
        <bottom style="thin">
          <color theme="0"/>
        </bottom>
      </border>
    </dxf>
    <dxf>
      <fill>
        <patternFill>
          <fgColor theme="1" tint="0.499984740745262"/>
          <bgColor theme="1" tint="0.24994659260841701"/>
        </patternFill>
      </fill>
      <border>
        <bottom style="thin">
          <color theme="0"/>
        </bottom>
      </border>
    </dxf>
    <dxf>
      <fill>
        <patternFill patternType="lightGrid">
          <fgColor rgb="FFFF0000"/>
          <bgColor rgb="FFFF0000"/>
        </patternFill>
      </fill>
      <border>
        <bottom style="thin">
          <color theme="0"/>
        </bottom>
      </border>
    </dxf>
    <dxf>
      <fill>
        <patternFill patternType="solid">
          <fgColor auto="1"/>
          <bgColor theme="8"/>
        </patternFill>
      </fill>
      <border>
        <bottom style="thin">
          <color theme="0"/>
        </bottom>
      </border>
    </dxf>
    <dxf>
      <fill>
        <patternFill>
          <bgColor theme="9" tint="0.59996337778862885"/>
        </patternFill>
      </fill>
      <border>
        <left style="thin">
          <color theme="9" tint="-0.24994659260841701"/>
        </left>
        <right style="thin">
          <color theme="9" tint="-0.24994659260841701"/>
        </right>
        <bottom style="thin">
          <color theme="7"/>
        </bottom>
        <vertical/>
        <horizontal/>
      </border>
    </dxf>
    <dxf>
      <font>
        <color rgb="FF9C5700"/>
      </font>
      <fill>
        <patternFill>
          <bgColor rgb="FFFFEB9C"/>
        </patternFill>
      </fill>
    </dxf>
    <dxf>
      <font>
        <b/>
        <i val="0"/>
        <color theme="0"/>
      </font>
      <fill>
        <patternFill>
          <bgColor rgb="FFFF0000"/>
        </patternFill>
      </fill>
    </dxf>
    <dxf>
      <fill>
        <patternFill>
          <bgColor rgb="FFFF0000"/>
        </patternFill>
      </fill>
    </dxf>
    <dxf>
      <fill>
        <patternFill>
          <bgColor rgb="FFFFC000"/>
        </patternFill>
      </fill>
    </dxf>
    <dxf>
      <fill>
        <patternFill>
          <bgColor rgb="FF92D050"/>
        </patternFill>
      </fill>
    </dxf>
    <dxf>
      <font>
        <b/>
        <i val="0"/>
        <color theme="0"/>
      </font>
      <fill>
        <patternFill>
          <bgColor rgb="FFFF0000"/>
        </patternFill>
      </fill>
    </dxf>
    <dxf>
      <fill>
        <patternFill>
          <bgColor rgb="FFFF0000"/>
        </patternFill>
      </fill>
    </dxf>
    <dxf>
      <fill>
        <patternFill>
          <bgColor rgb="FFFFC000"/>
        </patternFill>
      </fill>
    </dxf>
    <dxf>
      <fill>
        <patternFill>
          <bgColor rgb="FF92D050"/>
        </patternFill>
      </fill>
    </dxf>
    <dxf>
      <font>
        <b/>
        <i val="0"/>
        <color theme="0"/>
      </font>
      <fill>
        <patternFill>
          <bgColor rgb="FFFF0000"/>
        </patternFill>
      </fill>
    </dxf>
    <dxf>
      <fill>
        <patternFill>
          <bgColor rgb="FFFF0000"/>
        </patternFill>
      </fill>
    </dxf>
    <dxf>
      <fill>
        <patternFill>
          <bgColor rgb="FFFFC000"/>
        </patternFill>
      </fill>
    </dxf>
    <dxf>
      <fill>
        <patternFill>
          <bgColor rgb="FF92D050"/>
        </patternFill>
      </fill>
    </dxf>
    <dxf>
      <font>
        <b/>
        <i val="0"/>
        <color theme="0"/>
      </font>
      <fill>
        <patternFill>
          <bgColor rgb="FFFF0000"/>
        </patternFill>
      </fill>
    </dxf>
    <dxf>
      <fill>
        <patternFill>
          <bgColor rgb="FFFF0000"/>
        </patternFill>
      </fill>
    </dxf>
    <dxf>
      <fill>
        <patternFill>
          <bgColor rgb="FFFFC000"/>
        </patternFill>
      </fill>
    </dxf>
    <dxf>
      <fill>
        <patternFill>
          <bgColor rgb="FF92D050"/>
        </patternFill>
      </fill>
    </dxf>
    <dxf>
      <font>
        <b/>
        <i val="0"/>
        <color theme="0"/>
      </font>
      <fill>
        <patternFill>
          <bgColor rgb="FFFF0000"/>
        </patternFill>
      </fill>
    </dxf>
    <dxf>
      <fill>
        <patternFill>
          <bgColor rgb="FFFF0000"/>
        </patternFill>
      </fill>
    </dxf>
    <dxf>
      <fill>
        <patternFill>
          <bgColor rgb="FFFFC000"/>
        </patternFill>
      </fill>
    </dxf>
    <dxf>
      <fill>
        <patternFill>
          <bgColor rgb="FF92D050"/>
        </patternFill>
      </fill>
    </dxf>
    <dxf>
      <fill>
        <patternFill>
          <bgColor rgb="FFFF0000"/>
        </patternFill>
      </fill>
    </dxf>
    <dxf>
      <fill>
        <patternFill>
          <bgColor rgb="FFFFC000"/>
        </patternFill>
      </fill>
    </dxf>
    <dxf>
      <fill>
        <patternFill>
          <bgColor rgb="FF92D050"/>
        </patternFill>
      </fill>
    </dxf>
    <dxf>
      <font>
        <b/>
        <i val="0"/>
        <color theme="0"/>
      </font>
      <fill>
        <patternFill>
          <bgColor rgb="FFFF0000"/>
        </patternFill>
      </fill>
    </dxf>
    <dxf>
      <fill>
        <patternFill>
          <bgColor rgb="FFFF0000"/>
        </patternFill>
      </fill>
    </dxf>
    <dxf>
      <fill>
        <patternFill>
          <bgColor rgb="FFFFC000"/>
        </patternFill>
      </fill>
    </dxf>
    <dxf>
      <fill>
        <patternFill>
          <bgColor rgb="FF92D050"/>
        </patternFill>
      </fill>
    </dxf>
    <dxf>
      <font>
        <b/>
        <i val="0"/>
        <color theme="0"/>
      </font>
      <fill>
        <patternFill>
          <bgColor rgb="FFFF0000"/>
        </patternFill>
      </fill>
    </dxf>
    <dxf>
      <fill>
        <patternFill>
          <bgColor rgb="FFFF0000"/>
        </patternFill>
      </fill>
    </dxf>
    <dxf>
      <fill>
        <patternFill>
          <bgColor rgb="FFFFC000"/>
        </patternFill>
      </fill>
    </dxf>
    <dxf>
      <fill>
        <patternFill>
          <bgColor rgb="FF92D050"/>
        </patternFill>
      </fill>
    </dxf>
    <dxf>
      <font>
        <b/>
        <i val="0"/>
        <color theme="0"/>
      </font>
      <fill>
        <patternFill>
          <bgColor rgb="FFFF0000"/>
        </patternFill>
      </fill>
    </dxf>
    <dxf>
      <font>
        <b/>
        <i val="0"/>
        <color theme="0"/>
      </font>
      <fill>
        <patternFill>
          <bgColor rgb="FFFF0000"/>
        </patternFill>
      </fill>
    </dxf>
    <dxf>
      <fill>
        <patternFill>
          <bgColor rgb="FFFF0000"/>
        </patternFill>
      </fill>
    </dxf>
    <dxf>
      <fill>
        <patternFill>
          <bgColor rgb="FFFFC000"/>
        </patternFill>
      </fill>
    </dxf>
    <dxf>
      <fill>
        <patternFill>
          <bgColor rgb="FF92D050"/>
        </patternFill>
      </fill>
    </dxf>
    <dxf>
      <fill>
        <patternFill>
          <bgColor rgb="FFFF0000"/>
        </patternFill>
      </fill>
    </dxf>
    <dxf>
      <fill>
        <patternFill>
          <bgColor rgb="FFFFC000"/>
        </patternFill>
      </fill>
    </dxf>
    <dxf>
      <fill>
        <patternFill>
          <bgColor rgb="FF92D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FF6B00"/>
      <color rgb="FFFF6BFF"/>
      <color rgb="FFFF0000"/>
      <color rgb="FFE6E6E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externalLink" Target="externalLinks/externalLink2.xml"/><Relationship Id="rId2" Type="http://schemas.openxmlformats.org/officeDocument/2006/relationships/worksheet" Target="worksheets/sheet2.xml"/><Relationship Id="rId16" Type="http://schemas.openxmlformats.org/officeDocument/2006/relationships/externalLink" Target="externalLinks/externalLink1.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3.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ustomXml" Target="../customXml/item2.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1.xml"/></Relationships>
</file>

<file path=xl/ctrlProps/ctrlProp1.xml><?xml version="1.0" encoding="utf-8"?>
<formControlPr xmlns="http://schemas.microsoft.com/office/spreadsheetml/2009/9/main" objectType="Spin" dx="16" fmlaLink="period_selected" max="60" min="1" page="10"/>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png"/></Relationships>
</file>

<file path=xl/drawings/_rels/drawing6.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png"/></Relationships>
</file>

<file path=xl/drawings/_rels/drawing7.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png"/></Relationships>
</file>

<file path=xl/drawings/_rels/drawing8.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png"/></Relationships>
</file>

<file path=xl/drawings/_rels/drawing9.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png"/></Relationships>
</file>

<file path=xl/drawings/_rels/drawing10.xml.rels><?xml version="1.0" encoding="UTF-8" standalone="yes"?>
<Relationships xmlns="http://schemas.openxmlformats.org/package/2006/relationships"><Relationship Id="rId3" Type="http://schemas.openxmlformats.org/officeDocument/2006/relationships/image" Target="../media/image6.emf"/><Relationship Id="rId2" Type="http://schemas.openxmlformats.org/officeDocument/2006/relationships/image" Target="../media/image5.emf"/><Relationship Id="rId1" Type="http://schemas.openxmlformats.org/officeDocument/2006/relationships/image" Target="../media/image4.emf"/><Relationship Id="rId5" Type="http://schemas.openxmlformats.org/officeDocument/2006/relationships/image" Target="../media/image8.emf"/><Relationship Id="rId4" Type="http://schemas.openxmlformats.org/officeDocument/2006/relationships/image" Target="../media/image7.emf"/></Relationships>
</file>

<file path=xl/drawings/_rels/vmlDrawing1.vml.rels><?xml version="1.0" encoding="UTF-8" standalone="yes"?>
<Relationships xmlns="http://schemas.openxmlformats.org/package/2006/relationships"><Relationship Id="rId3" Type="http://schemas.openxmlformats.org/officeDocument/2006/relationships/image" Target="../media/image11.emf"/><Relationship Id="rId2" Type="http://schemas.openxmlformats.org/officeDocument/2006/relationships/image" Target="../media/image10.emf"/><Relationship Id="rId1" Type="http://schemas.openxmlformats.org/officeDocument/2006/relationships/image" Target="../media/image9.emf"/></Relationships>
</file>

<file path=xl/drawings/drawing1.xml><?xml version="1.0" encoding="utf-8"?>
<xdr:wsDr xmlns:xdr="http://schemas.openxmlformats.org/drawingml/2006/spreadsheetDrawing" xmlns:a="http://schemas.openxmlformats.org/drawingml/2006/main">
  <xdr:oneCellAnchor>
    <xdr:from>
      <xdr:col>1</xdr:col>
      <xdr:colOff>0</xdr:colOff>
      <xdr:row>1</xdr:row>
      <xdr:rowOff>179294</xdr:rowOff>
    </xdr:from>
    <xdr:ext cx="2667000" cy="731762"/>
    <xdr:pic>
      <xdr:nvPicPr>
        <xdr:cNvPr id="2" name="Picture 1" descr="cid:image001.jpg@01D0140E.DEC31950">
          <a:extLst>
            <a:ext uri="{FF2B5EF4-FFF2-40B4-BE49-F238E27FC236}">
              <a16:creationId xmlns:a16="http://schemas.microsoft.com/office/drawing/2014/main" id="{00000000-0008-0000-0200-000002000000}"/>
            </a:ext>
          </a:extLst>
        </xdr:cNvPr>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46760" y="331694"/>
          <a:ext cx="2667000" cy="731762"/>
        </a:xfrm>
        <a:prstGeom prst="rect">
          <a:avLst/>
        </a:prstGeom>
        <a:noFill/>
        <a:ln>
          <a:noFill/>
        </a:ln>
      </xdr:spPr>
    </xdr:pic>
    <xdr:clientData/>
  </xdr:oneCellAnchor>
</xdr:wsDr>
</file>

<file path=xl/drawings/drawing2.xml><?xml version="1.0" encoding="utf-8"?>
<xdr:wsDr xmlns:xdr="http://schemas.openxmlformats.org/drawingml/2006/spreadsheetDrawing" xmlns:a="http://schemas.openxmlformats.org/drawingml/2006/main">
  <xdr:oneCellAnchor>
    <xdr:from>
      <xdr:col>2</xdr:col>
      <xdr:colOff>158750</xdr:colOff>
      <xdr:row>0</xdr:row>
      <xdr:rowOff>2</xdr:rowOff>
    </xdr:from>
    <xdr:ext cx="0" cy="603250"/>
    <xdr:pic>
      <xdr:nvPicPr>
        <xdr:cNvPr id="2" name="Picture 1">
          <a:extLst>
            <a:ext uri="{FF2B5EF4-FFF2-40B4-BE49-F238E27FC236}">
              <a16:creationId xmlns:a16="http://schemas.microsoft.com/office/drawing/2014/main" id="{00000000-0008-0000-1400-000002000000}"/>
            </a:ext>
          </a:extLst>
        </xdr:cNvPr>
        <xdr:cNvPicPr/>
      </xdr:nvPicPr>
      <xdr:blipFill>
        <a:blip xmlns:r="http://schemas.openxmlformats.org/officeDocument/2006/relationships" r:embed="rId1">
          <a:clrChange>
            <a:clrFrom>
              <a:srgbClr val="FFFFFE"/>
            </a:clrFrom>
            <a:clrTo>
              <a:srgbClr val="FFFFFE">
                <a:alpha val="0"/>
              </a:srgbClr>
            </a:clrTo>
          </a:clrChange>
          <a:extLst>
            <a:ext uri="{28A0092B-C50C-407E-A947-70E740481C1C}">
              <a14:useLocalDpi xmlns:a14="http://schemas.microsoft.com/office/drawing/2010/main" val="0"/>
            </a:ext>
          </a:extLst>
        </a:blip>
        <a:srcRect/>
        <a:stretch>
          <a:fillRect/>
        </a:stretch>
      </xdr:blipFill>
      <xdr:spPr bwMode="auto">
        <a:xfrm>
          <a:off x="1408430" y="2"/>
          <a:ext cx="0" cy="603250"/>
        </a:xfrm>
        <a:prstGeom prst="rect">
          <a:avLst/>
        </a:prstGeom>
        <a:noFill/>
        <a:ln>
          <a:noFill/>
        </a:ln>
      </xdr:spPr>
    </xdr:pic>
    <xdr:clientData/>
  </xdr:oneCellAnchor>
  <xdr:oneCellAnchor>
    <xdr:from>
      <xdr:col>2</xdr:col>
      <xdr:colOff>158750</xdr:colOff>
      <xdr:row>0</xdr:row>
      <xdr:rowOff>2</xdr:rowOff>
    </xdr:from>
    <xdr:ext cx="0" cy="603250"/>
    <xdr:pic>
      <xdr:nvPicPr>
        <xdr:cNvPr id="4" name="Picture 3">
          <a:extLst>
            <a:ext uri="{FF2B5EF4-FFF2-40B4-BE49-F238E27FC236}">
              <a16:creationId xmlns:a16="http://schemas.microsoft.com/office/drawing/2014/main" id="{00000000-0008-0000-1400-000004000000}"/>
            </a:ext>
          </a:extLst>
        </xdr:cNvPr>
        <xdr:cNvPicPr/>
      </xdr:nvPicPr>
      <xdr:blipFill>
        <a:blip xmlns:r="http://schemas.openxmlformats.org/officeDocument/2006/relationships" r:embed="rId1">
          <a:clrChange>
            <a:clrFrom>
              <a:srgbClr val="FFFFFE"/>
            </a:clrFrom>
            <a:clrTo>
              <a:srgbClr val="FFFFFE">
                <a:alpha val="0"/>
              </a:srgbClr>
            </a:clrTo>
          </a:clrChange>
          <a:extLst>
            <a:ext uri="{28A0092B-C50C-407E-A947-70E740481C1C}">
              <a14:useLocalDpi xmlns:a14="http://schemas.microsoft.com/office/drawing/2010/main" val="0"/>
            </a:ext>
          </a:extLst>
        </a:blip>
        <a:srcRect/>
        <a:stretch>
          <a:fillRect/>
        </a:stretch>
      </xdr:blipFill>
      <xdr:spPr bwMode="auto">
        <a:xfrm>
          <a:off x="1408430" y="2"/>
          <a:ext cx="0" cy="603250"/>
        </a:xfrm>
        <a:prstGeom prst="rect">
          <a:avLst/>
        </a:prstGeom>
        <a:noFill/>
        <a:ln>
          <a:noFill/>
        </a:ln>
      </xdr:spPr>
    </xdr:pic>
    <xdr:clientData/>
  </xdr:oneCellAnchor>
  <xdr:twoCellAnchor editAs="oneCell">
    <xdr:from>
      <xdr:col>1</xdr:col>
      <xdr:colOff>0</xdr:colOff>
      <xdr:row>0</xdr:row>
      <xdr:rowOff>0</xdr:rowOff>
    </xdr:from>
    <xdr:to>
      <xdr:col>5</xdr:col>
      <xdr:colOff>50837</xdr:colOff>
      <xdr:row>2</xdr:row>
      <xdr:rowOff>94077</xdr:rowOff>
    </xdr:to>
    <xdr:pic>
      <xdr:nvPicPr>
        <xdr:cNvPr id="5" name="Picture 4">
          <a:extLst>
            <a:ext uri="{FF2B5EF4-FFF2-40B4-BE49-F238E27FC236}">
              <a16:creationId xmlns:a16="http://schemas.microsoft.com/office/drawing/2014/main" id="{00000000-0008-0000-1400-000005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718457" y="0"/>
          <a:ext cx="2064694" cy="1258848"/>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oneCellAnchor>
    <xdr:from>
      <xdr:col>2</xdr:col>
      <xdr:colOff>158750</xdr:colOff>
      <xdr:row>0</xdr:row>
      <xdr:rowOff>2</xdr:rowOff>
    </xdr:from>
    <xdr:ext cx="0" cy="603250"/>
    <xdr:pic>
      <xdr:nvPicPr>
        <xdr:cNvPr id="2" name="Picture 1">
          <a:extLst>
            <a:ext uri="{FF2B5EF4-FFF2-40B4-BE49-F238E27FC236}">
              <a16:creationId xmlns:a16="http://schemas.microsoft.com/office/drawing/2014/main" id="{00000000-0008-0000-1100-000002000000}"/>
            </a:ext>
          </a:extLst>
        </xdr:cNvPr>
        <xdr:cNvPicPr/>
      </xdr:nvPicPr>
      <xdr:blipFill>
        <a:blip xmlns:r="http://schemas.openxmlformats.org/officeDocument/2006/relationships" r:embed="rId1">
          <a:clrChange>
            <a:clrFrom>
              <a:srgbClr val="FFFFFE"/>
            </a:clrFrom>
            <a:clrTo>
              <a:srgbClr val="FFFFFE">
                <a:alpha val="0"/>
              </a:srgbClr>
            </a:clrTo>
          </a:clrChange>
          <a:extLst>
            <a:ext uri="{28A0092B-C50C-407E-A947-70E740481C1C}">
              <a14:useLocalDpi xmlns:a14="http://schemas.microsoft.com/office/drawing/2010/main" val="0"/>
            </a:ext>
          </a:extLst>
        </a:blip>
        <a:srcRect/>
        <a:stretch>
          <a:fillRect/>
        </a:stretch>
      </xdr:blipFill>
      <xdr:spPr bwMode="auto">
        <a:xfrm>
          <a:off x="1400810" y="2"/>
          <a:ext cx="0" cy="603250"/>
        </a:xfrm>
        <a:prstGeom prst="rect">
          <a:avLst/>
        </a:prstGeom>
        <a:noFill/>
        <a:ln>
          <a:noFill/>
        </a:ln>
      </xdr:spPr>
    </xdr:pic>
    <xdr:clientData/>
  </xdr:oneCellAnchor>
  <xdr:oneCellAnchor>
    <xdr:from>
      <xdr:col>2</xdr:col>
      <xdr:colOff>158750</xdr:colOff>
      <xdr:row>0</xdr:row>
      <xdr:rowOff>2</xdr:rowOff>
    </xdr:from>
    <xdr:ext cx="0" cy="603250"/>
    <xdr:pic>
      <xdr:nvPicPr>
        <xdr:cNvPr id="3" name="Picture 2">
          <a:extLst>
            <a:ext uri="{FF2B5EF4-FFF2-40B4-BE49-F238E27FC236}">
              <a16:creationId xmlns:a16="http://schemas.microsoft.com/office/drawing/2014/main" id="{00000000-0008-0000-1100-000003000000}"/>
            </a:ext>
          </a:extLst>
        </xdr:cNvPr>
        <xdr:cNvPicPr/>
      </xdr:nvPicPr>
      <xdr:blipFill>
        <a:blip xmlns:r="http://schemas.openxmlformats.org/officeDocument/2006/relationships" r:embed="rId1">
          <a:clrChange>
            <a:clrFrom>
              <a:srgbClr val="FFFFFE"/>
            </a:clrFrom>
            <a:clrTo>
              <a:srgbClr val="FFFFFE">
                <a:alpha val="0"/>
              </a:srgbClr>
            </a:clrTo>
          </a:clrChange>
          <a:extLst>
            <a:ext uri="{28A0092B-C50C-407E-A947-70E740481C1C}">
              <a14:useLocalDpi xmlns:a14="http://schemas.microsoft.com/office/drawing/2010/main" val="0"/>
            </a:ext>
          </a:extLst>
        </a:blip>
        <a:srcRect/>
        <a:stretch>
          <a:fillRect/>
        </a:stretch>
      </xdr:blipFill>
      <xdr:spPr bwMode="auto">
        <a:xfrm>
          <a:off x="1400810" y="2"/>
          <a:ext cx="0" cy="603250"/>
        </a:xfrm>
        <a:prstGeom prst="rect">
          <a:avLst/>
        </a:prstGeom>
        <a:noFill/>
        <a:ln>
          <a:noFill/>
        </a:ln>
      </xdr:spPr>
    </xdr:pic>
    <xdr:clientData/>
  </xdr:oneCellAnchor>
  <xdr:twoCellAnchor editAs="oneCell">
    <xdr:from>
      <xdr:col>1</xdr:col>
      <xdr:colOff>0</xdr:colOff>
      <xdr:row>0</xdr:row>
      <xdr:rowOff>0</xdr:rowOff>
    </xdr:from>
    <xdr:to>
      <xdr:col>5</xdr:col>
      <xdr:colOff>50837</xdr:colOff>
      <xdr:row>2</xdr:row>
      <xdr:rowOff>94077</xdr:rowOff>
    </xdr:to>
    <xdr:pic>
      <xdr:nvPicPr>
        <xdr:cNvPr id="4" name="Picture 3">
          <a:extLst>
            <a:ext uri="{FF2B5EF4-FFF2-40B4-BE49-F238E27FC236}">
              <a16:creationId xmlns:a16="http://schemas.microsoft.com/office/drawing/2014/main" id="{00000000-0008-0000-1100-000004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716280" y="0"/>
          <a:ext cx="2070137" cy="1259937"/>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oneCellAnchor>
    <xdr:from>
      <xdr:col>2</xdr:col>
      <xdr:colOff>158750</xdr:colOff>
      <xdr:row>0</xdr:row>
      <xdr:rowOff>2</xdr:rowOff>
    </xdr:from>
    <xdr:ext cx="0" cy="603250"/>
    <xdr:pic>
      <xdr:nvPicPr>
        <xdr:cNvPr id="2" name="Picture 1">
          <a:extLst>
            <a:ext uri="{FF2B5EF4-FFF2-40B4-BE49-F238E27FC236}">
              <a16:creationId xmlns:a16="http://schemas.microsoft.com/office/drawing/2014/main" id="{00000000-0008-0000-1200-000002000000}"/>
            </a:ext>
          </a:extLst>
        </xdr:cNvPr>
        <xdr:cNvPicPr/>
      </xdr:nvPicPr>
      <xdr:blipFill>
        <a:blip xmlns:r="http://schemas.openxmlformats.org/officeDocument/2006/relationships" r:embed="rId1">
          <a:clrChange>
            <a:clrFrom>
              <a:srgbClr val="FFFFFE"/>
            </a:clrFrom>
            <a:clrTo>
              <a:srgbClr val="FFFFFE">
                <a:alpha val="0"/>
              </a:srgbClr>
            </a:clrTo>
          </a:clrChange>
          <a:extLst>
            <a:ext uri="{28A0092B-C50C-407E-A947-70E740481C1C}">
              <a14:useLocalDpi xmlns:a14="http://schemas.microsoft.com/office/drawing/2010/main" val="0"/>
            </a:ext>
          </a:extLst>
        </a:blip>
        <a:srcRect/>
        <a:stretch>
          <a:fillRect/>
        </a:stretch>
      </xdr:blipFill>
      <xdr:spPr bwMode="auto">
        <a:xfrm>
          <a:off x="1408430" y="2"/>
          <a:ext cx="0" cy="603250"/>
        </a:xfrm>
        <a:prstGeom prst="rect">
          <a:avLst/>
        </a:prstGeom>
        <a:noFill/>
        <a:ln>
          <a:noFill/>
        </a:ln>
      </xdr:spPr>
    </xdr:pic>
    <xdr:clientData/>
  </xdr:oneCellAnchor>
  <xdr:twoCellAnchor editAs="oneCell">
    <xdr:from>
      <xdr:col>1</xdr:col>
      <xdr:colOff>0</xdr:colOff>
      <xdr:row>0</xdr:row>
      <xdr:rowOff>0</xdr:rowOff>
    </xdr:from>
    <xdr:to>
      <xdr:col>4</xdr:col>
      <xdr:colOff>246780</xdr:colOff>
      <xdr:row>2</xdr:row>
      <xdr:rowOff>94077</xdr:rowOff>
    </xdr:to>
    <xdr:pic>
      <xdr:nvPicPr>
        <xdr:cNvPr id="3" name="Picture 2">
          <a:extLst>
            <a:ext uri="{FF2B5EF4-FFF2-40B4-BE49-F238E27FC236}">
              <a16:creationId xmlns:a16="http://schemas.microsoft.com/office/drawing/2014/main" id="{00000000-0008-0000-1200-000003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718457" y="0"/>
          <a:ext cx="2064694" cy="1258848"/>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oneCellAnchor>
    <xdr:from>
      <xdr:col>2</xdr:col>
      <xdr:colOff>158750</xdr:colOff>
      <xdr:row>0</xdr:row>
      <xdr:rowOff>2</xdr:rowOff>
    </xdr:from>
    <xdr:ext cx="0" cy="603250"/>
    <xdr:pic>
      <xdr:nvPicPr>
        <xdr:cNvPr id="2" name="Picture 1">
          <a:extLst>
            <a:ext uri="{FF2B5EF4-FFF2-40B4-BE49-F238E27FC236}">
              <a16:creationId xmlns:a16="http://schemas.microsoft.com/office/drawing/2014/main" id="{00000000-0008-0000-1300-000002000000}"/>
            </a:ext>
          </a:extLst>
        </xdr:cNvPr>
        <xdr:cNvPicPr/>
      </xdr:nvPicPr>
      <xdr:blipFill>
        <a:blip xmlns:r="http://schemas.openxmlformats.org/officeDocument/2006/relationships" r:embed="rId1">
          <a:clrChange>
            <a:clrFrom>
              <a:srgbClr val="FFFFFE"/>
            </a:clrFrom>
            <a:clrTo>
              <a:srgbClr val="FFFFFE">
                <a:alpha val="0"/>
              </a:srgbClr>
            </a:clrTo>
          </a:clrChange>
          <a:extLst>
            <a:ext uri="{28A0092B-C50C-407E-A947-70E740481C1C}">
              <a14:useLocalDpi xmlns:a14="http://schemas.microsoft.com/office/drawing/2010/main" val="0"/>
            </a:ext>
          </a:extLst>
        </a:blip>
        <a:srcRect/>
        <a:stretch>
          <a:fillRect/>
        </a:stretch>
      </xdr:blipFill>
      <xdr:spPr bwMode="auto">
        <a:xfrm>
          <a:off x="1408430" y="2"/>
          <a:ext cx="0" cy="603250"/>
        </a:xfrm>
        <a:prstGeom prst="rect">
          <a:avLst/>
        </a:prstGeom>
        <a:noFill/>
        <a:ln>
          <a:noFill/>
        </a:ln>
      </xdr:spPr>
    </xdr:pic>
    <xdr:clientData/>
  </xdr:oneCellAnchor>
  <xdr:oneCellAnchor>
    <xdr:from>
      <xdr:col>2</xdr:col>
      <xdr:colOff>158750</xdr:colOff>
      <xdr:row>0</xdr:row>
      <xdr:rowOff>2</xdr:rowOff>
    </xdr:from>
    <xdr:ext cx="0" cy="603250"/>
    <xdr:pic>
      <xdr:nvPicPr>
        <xdr:cNvPr id="4" name="Picture 3">
          <a:extLst>
            <a:ext uri="{FF2B5EF4-FFF2-40B4-BE49-F238E27FC236}">
              <a16:creationId xmlns:a16="http://schemas.microsoft.com/office/drawing/2014/main" id="{00000000-0008-0000-1300-000004000000}"/>
            </a:ext>
          </a:extLst>
        </xdr:cNvPr>
        <xdr:cNvPicPr/>
      </xdr:nvPicPr>
      <xdr:blipFill>
        <a:blip xmlns:r="http://schemas.openxmlformats.org/officeDocument/2006/relationships" r:embed="rId1">
          <a:clrChange>
            <a:clrFrom>
              <a:srgbClr val="FFFFFE"/>
            </a:clrFrom>
            <a:clrTo>
              <a:srgbClr val="FFFFFE">
                <a:alpha val="0"/>
              </a:srgbClr>
            </a:clrTo>
          </a:clrChange>
          <a:extLst>
            <a:ext uri="{28A0092B-C50C-407E-A947-70E740481C1C}">
              <a14:useLocalDpi xmlns:a14="http://schemas.microsoft.com/office/drawing/2010/main" val="0"/>
            </a:ext>
          </a:extLst>
        </a:blip>
        <a:srcRect/>
        <a:stretch>
          <a:fillRect/>
        </a:stretch>
      </xdr:blipFill>
      <xdr:spPr bwMode="auto">
        <a:xfrm>
          <a:off x="1408430" y="2"/>
          <a:ext cx="0" cy="603250"/>
        </a:xfrm>
        <a:prstGeom prst="rect">
          <a:avLst/>
        </a:prstGeom>
        <a:noFill/>
        <a:ln>
          <a:noFill/>
        </a:ln>
      </xdr:spPr>
    </xdr:pic>
    <xdr:clientData/>
  </xdr:oneCellAnchor>
  <xdr:twoCellAnchor editAs="oneCell">
    <xdr:from>
      <xdr:col>1</xdr:col>
      <xdr:colOff>0</xdr:colOff>
      <xdr:row>0</xdr:row>
      <xdr:rowOff>0</xdr:rowOff>
    </xdr:from>
    <xdr:to>
      <xdr:col>4</xdr:col>
      <xdr:colOff>246780</xdr:colOff>
      <xdr:row>2</xdr:row>
      <xdr:rowOff>94077</xdr:rowOff>
    </xdr:to>
    <xdr:pic>
      <xdr:nvPicPr>
        <xdr:cNvPr id="5" name="Picture 4">
          <a:extLst>
            <a:ext uri="{FF2B5EF4-FFF2-40B4-BE49-F238E27FC236}">
              <a16:creationId xmlns:a16="http://schemas.microsoft.com/office/drawing/2014/main" id="{00000000-0008-0000-1300-000005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718457" y="0"/>
          <a:ext cx="2064694" cy="1258848"/>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oneCellAnchor>
    <xdr:from>
      <xdr:col>2</xdr:col>
      <xdr:colOff>158750</xdr:colOff>
      <xdr:row>0</xdr:row>
      <xdr:rowOff>2</xdr:rowOff>
    </xdr:from>
    <xdr:ext cx="0" cy="603250"/>
    <xdr:pic>
      <xdr:nvPicPr>
        <xdr:cNvPr id="2" name="Picture 1">
          <a:extLst>
            <a:ext uri="{FF2B5EF4-FFF2-40B4-BE49-F238E27FC236}">
              <a16:creationId xmlns:a16="http://schemas.microsoft.com/office/drawing/2014/main" id="{00000000-0008-0000-1500-000002000000}"/>
            </a:ext>
          </a:extLst>
        </xdr:cNvPr>
        <xdr:cNvPicPr/>
      </xdr:nvPicPr>
      <xdr:blipFill>
        <a:blip xmlns:r="http://schemas.openxmlformats.org/officeDocument/2006/relationships" r:embed="rId1">
          <a:clrChange>
            <a:clrFrom>
              <a:srgbClr val="FFFFFE"/>
            </a:clrFrom>
            <a:clrTo>
              <a:srgbClr val="FFFFFE">
                <a:alpha val="0"/>
              </a:srgbClr>
            </a:clrTo>
          </a:clrChange>
          <a:extLst>
            <a:ext uri="{28A0092B-C50C-407E-A947-70E740481C1C}">
              <a14:useLocalDpi xmlns:a14="http://schemas.microsoft.com/office/drawing/2010/main" val="0"/>
            </a:ext>
          </a:extLst>
        </a:blip>
        <a:srcRect/>
        <a:stretch>
          <a:fillRect/>
        </a:stretch>
      </xdr:blipFill>
      <xdr:spPr bwMode="auto">
        <a:xfrm>
          <a:off x="1408430" y="2"/>
          <a:ext cx="0" cy="603250"/>
        </a:xfrm>
        <a:prstGeom prst="rect">
          <a:avLst/>
        </a:prstGeom>
        <a:noFill/>
        <a:ln>
          <a:noFill/>
        </a:ln>
      </xdr:spPr>
    </xdr:pic>
    <xdr:clientData/>
  </xdr:oneCellAnchor>
  <xdr:oneCellAnchor>
    <xdr:from>
      <xdr:col>2</xdr:col>
      <xdr:colOff>158750</xdr:colOff>
      <xdr:row>0</xdr:row>
      <xdr:rowOff>2</xdr:rowOff>
    </xdr:from>
    <xdr:ext cx="0" cy="603250"/>
    <xdr:pic>
      <xdr:nvPicPr>
        <xdr:cNvPr id="4" name="Picture 3">
          <a:extLst>
            <a:ext uri="{FF2B5EF4-FFF2-40B4-BE49-F238E27FC236}">
              <a16:creationId xmlns:a16="http://schemas.microsoft.com/office/drawing/2014/main" id="{00000000-0008-0000-1500-000004000000}"/>
            </a:ext>
          </a:extLst>
        </xdr:cNvPr>
        <xdr:cNvPicPr/>
      </xdr:nvPicPr>
      <xdr:blipFill>
        <a:blip xmlns:r="http://schemas.openxmlformats.org/officeDocument/2006/relationships" r:embed="rId1">
          <a:clrChange>
            <a:clrFrom>
              <a:srgbClr val="FFFFFE"/>
            </a:clrFrom>
            <a:clrTo>
              <a:srgbClr val="FFFFFE">
                <a:alpha val="0"/>
              </a:srgbClr>
            </a:clrTo>
          </a:clrChange>
          <a:extLst>
            <a:ext uri="{28A0092B-C50C-407E-A947-70E740481C1C}">
              <a14:useLocalDpi xmlns:a14="http://schemas.microsoft.com/office/drawing/2010/main" val="0"/>
            </a:ext>
          </a:extLst>
        </a:blip>
        <a:srcRect/>
        <a:stretch>
          <a:fillRect/>
        </a:stretch>
      </xdr:blipFill>
      <xdr:spPr bwMode="auto">
        <a:xfrm>
          <a:off x="1408430" y="2"/>
          <a:ext cx="0" cy="603250"/>
        </a:xfrm>
        <a:prstGeom prst="rect">
          <a:avLst/>
        </a:prstGeom>
        <a:noFill/>
        <a:ln>
          <a:noFill/>
        </a:ln>
      </xdr:spPr>
    </xdr:pic>
    <xdr:clientData/>
  </xdr:oneCellAnchor>
  <xdr:twoCellAnchor editAs="oneCell">
    <xdr:from>
      <xdr:col>1</xdr:col>
      <xdr:colOff>0</xdr:colOff>
      <xdr:row>0</xdr:row>
      <xdr:rowOff>0</xdr:rowOff>
    </xdr:from>
    <xdr:to>
      <xdr:col>5</xdr:col>
      <xdr:colOff>50837</xdr:colOff>
      <xdr:row>2</xdr:row>
      <xdr:rowOff>94077</xdr:rowOff>
    </xdr:to>
    <xdr:pic>
      <xdr:nvPicPr>
        <xdr:cNvPr id="5" name="Picture 4">
          <a:extLst>
            <a:ext uri="{FF2B5EF4-FFF2-40B4-BE49-F238E27FC236}">
              <a16:creationId xmlns:a16="http://schemas.microsoft.com/office/drawing/2014/main" id="{00000000-0008-0000-1500-000005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718457" y="0"/>
          <a:ext cx="2064694" cy="1258848"/>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oneCellAnchor>
    <xdr:from>
      <xdr:col>2</xdr:col>
      <xdr:colOff>158750</xdr:colOff>
      <xdr:row>0</xdr:row>
      <xdr:rowOff>2</xdr:rowOff>
    </xdr:from>
    <xdr:ext cx="0" cy="603250"/>
    <xdr:pic>
      <xdr:nvPicPr>
        <xdr:cNvPr id="2" name="Picture 1">
          <a:extLst>
            <a:ext uri="{FF2B5EF4-FFF2-40B4-BE49-F238E27FC236}">
              <a16:creationId xmlns:a16="http://schemas.microsoft.com/office/drawing/2014/main" id="{00000000-0008-0000-1600-000002000000}"/>
            </a:ext>
          </a:extLst>
        </xdr:cNvPr>
        <xdr:cNvPicPr/>
      </xdr:nvPicPr>
      <xdr:blipFill>
        <a:blip xmlns:r="http://schemas.openxmlformats.org/officeDocument/2006/relationships" r:embed="rId1">
          <a:clrChange>
            <a:clrFrom>
              <a:srgbClr val="FFFFFE"/>
            </a:clrFrom>
            <a:clrTo>
              <a:srgbClr val="FFFFFE">
                <a:alpha val="0"/>
              </a:srgbClr>
            </a:clrTo>
          </a:clrChange>
          <a:extLst>
            <a:ext uri="{28A0092B-C50C-407E-A947-70E740481C1C}">
              <a14:useLocalDpi xmlns:a14="http://schemas.microsoft.com/office/drawing/2010/main" val="0"/>
            </a:ext>
          </a:extLst>
        </a:blip>
        <a:srcRect/>
        <a:stretch>
          <a:fillRect/>
        </a:stretch>
      </xdr:blipFill>
      <xdr:spPr bwMode="auto">
        <a:xfrm>
          <a:off x="1408430" y="2"/>
          <a:ext cx="0" cy="603250"/>
        </a:xfrm>
        <a:prstGeom prst="rect">
          <a:avLst/>
        </a:prstGeom>
        <a:noFill/>
        <a:ln>
          <a:noFill/>
        </a:ln>
      </xdr:spPr>
    </xdr:pic>
    <xdr:clientData/>
  </xdr:oneCellAnchor>
  <xdr:oneCellAnchor>
    <xdr:from>
      <xdr:col>2</xdr:col>
      <xdr:colOff>158750</xdr:colOff>
      <xdr:row>0</xdr:row>
      <xdr:rowOff>2</xdr:rowOff>
    </xdr:from>
    <xdr:ext cx="0" cy="603250"/>
    <xdr:pic>
      <xdr:nvPicPr>
        <xdr:cNvPr id="4" name="Picture 3">
          <a:extLst>
            <a:ext uri="{FF2B5EF4-FFF2-40B4-BE49-F238E27FC236}">
              <a16:creationId xmlns:a16="http://schemas.microsoft.com/office/drawing/2014/main" id="{00000000-0008-0000-1600-000004000000}"/>
            </a:ext>
          </a:extLst>
        </xdr:cNvPr>
        <xdr:cNvPicPr/>
      </xdr:nvPicPr>
      <xdr:blipFill>
        <a:blip xmlns:r="http://schemas.openxmlformats.org/officeDocument/2006/relationships" r:embed="rId1">
          <a:clrChange>
            <a:clrFrom>
              <a:srgbClr val="FFFFFE"/>
            </a:clrFrom>
            <a:clrTo>
              <a:srgbClr val="FFFFFE">
                <a:alpha val="0"/>
              </a:srgbClr>
            </a:clrTo>
          </a:clrChange>
          <a:extLst>
            <a:ext uri="{28A0092B-C50C-407E-A947-70E740481C1C}">
              <a14:useLocalDpi xmlns:a14="http://schemas.microsoft.com/office/drawing/2010/main" val="0"/>
            </a:ext>
          </a:extLst>
        </a:blip>
        <a:srcRect/>
        <a:stretch>
          <a:fillRect/>
        </a:stretch>
      </xdr:blipFill>
      <xdr:spPr bwMode="auto">
        <a:xfrm>
          <a:off x="1408430" y="2"/>
          <a:ext cx="0" cy="603250"/>
        </a:xfrm>
        <a:prstGeom prst="rect">
          <a:avLst/>
        </a:prstGeom>
        <a:noFill/>
        <a:ln>
          <a:noFill/>
        </a:ln>
      </xdr:spPr>
    </xdr:pic>
    <xdr:clientData/>
  </xdr:oneCellAnchor>
  <xdr:twoCellAnchor editAs="oneCell">
    <xdr:from>
      <xdr:col>1</xdr:col>
      <xdr:colOff>0</xdr:colOff>
      <xdr:row>0</xdr:row>
      <xdr:rowOff>0</xdr:rowOff>
    </xdr:from>
    <xdr:to>
      <xdr:col>5</xdr:col>
      <xdr:colOff>50837</xdr:colOff>
      <xdr:row>2</xdr:row>
      <xdr:rowOff>94077</xdr:rowOff>
    </xdr:to>
    <xdr:pic>
      <xdr:nvPicPr>
        <xdr:cNvPr id="5" name="Picture 4">
          <a:extLst>
            <a:ext uri="{FF2B5EF4-FFF2-40B4-BE49-F238E27FC236}">
              <a16:creationId xmlns:a16="http://schemas.microsoft.com/office/drawing/2014/main" id="{00000000-0008-0000-1600-000005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718457" y="0"/>
          <a:ext cx="2064694" cy="1258848"/>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oneCellAnchor>
    <xdr:from>
      <xdr:col>2</xdr:col>
      <xdr:colOff>158750</xdr:colOff>
      <xdr:row>0</xdr:row>
      <xdr:rowOff>2</xdr:rowOff>
    </xdr:from>
    <xdr:ext cx="0" cy="603250"/>
    <xdr:pic>
      <xdr:nvPicPr>
        <xdr:cNvPr id="2" name="Picture 1">
          <a:extLst>
            <a:ext uri="{FF2B5EF4-FFF2-40B4-BE49-F238E27FC236}">
              <a16:creationId xmlns:a16="http://schemas.microsoft.com/office/drawing/2014/main" id="{00000000-0008-0000-1700-000002000000}"/>
            </a:ext>
          </a:extLst>
        </xdr:cNvPr>
        <xdr:cNvPicPr/>
      </xdr:nvPicPr>
      <xdr:blipFill>
        <a:blip xmlns:r="http://schemas.openxmlformats.org/officeDocument/2006/relationships" r:embed="rId1">
          <a:clrChange>
            <a:clrFrom>
              <a:srgbClr val="FFFFFE"/>
            </a:clrFrom>
            <a:clrTo>
              <a:srgbClr val="FFFFFE">
                <a:alpha val="0"/>
              </a:srgbClr>
            </a:clrTo>
          </a:clrChange>
          <a:extLst>
            <a:ext uri="{28A0092B-C50C-407E-A947-70E740481C1C}">
              <a14:useLocalDpi xmlns:a14="http://schemas.microsoft.com/office/drawing/2010/main" val="0"/>
            </a:ext>
          </a:extLst>
        </a:blip>
        <a:srcRect/>
        <a:stretch>
          <a:fillRect/>
        </a:stretch>
      </xdr:blipFill>
      <xdr:spPr bwMode="auto">
        <a:xfrm>
          <a:off x="1408430" y="2"/>
          <a:ext cx="0" cy="603250"/>
        </a:xfrm>
        <a:prstGeom prst="rect">
          <a:avLst/>
        </a:prstGeom>
        <a:noFill/>
        <a:ln>
          <a:noFill/>
        </a:ln>
      </xdr:spPr>
    </xdr:pic>
    <xdr:clientData/>
  </xdr:oneCellAnchor>
  <xdr:oneCellAnchor>
    <xdr:from>
      <xdr:col>2</xdr:col>
      <xdr:colOff>158750</xdr:colOff>
      <xdr:row>0</xdr:row>
      <xdr:rowOff>2</xdr:rowOff>
    </xdr:from>
    <xdr:ext cx="0" cy="603250"/>
    <xdr:pic>
      <xdr:nvPicPr>
        <xdr:cNvPr id="4" name="Picture 3">
          <a:extLst>
            <a:ext uri="{FF2B5EF4-FFF2-40B4-BE49-F238E27FC236}">
              <a16:creationId xmlns:a16="http://schemas.microsoft.com/office/drawing/2014/main" id="{00000000-0008-0000-1700-000004000000}"/>
            </a:ext>
          </a:extLst>
        </xdr:cNvPr>
        <xdr:cNvPicPr/>
      </xdr:nvPicPr>
      <xdr:blipFill>
        <a:blip xmlns:r="http://schemas.openxmlformats.org/officeDocument/2006/relationships" r:embed="rId1">
          <a:clrChange>
            <a:clrFrom>
              <a:srgbClr val="FFFFFE"/>
            </a:clrFrom>
            <a:clrTo>
              <a:srgbClr val="FFFFFE">
                <a:alpha val="0"/>
              </a:srgbClr>
            </a:clrTo>
          </a:clrChange>
          <a:extLst>
            <a:ext uri="{28A0092B-C50C-407E-A947-70E740481C1C}">
              <a14:useLocalDpi xmlns:a14="http://schemas.microsoft.com/office/drawing/2010/main" val="0"/>
            </a:ext>
          </a:extLst>
        </a:blip>
        <a:srcRect/>
        <a:stretch>
          <a:fillRect/>
        </a:stretch>
      </xdr:blipFill>
      <xdr:spPr bwMode="auto">
        <a:xfrm>
          <a:off x="1408430" y="2"/>
          <a:ext cx="0" cy="603250"/>
        </a:xfrm>
        <a:prstGeom prst="rect">
          <a:avLst/>
        </a:prstGeom>
        <a:noFill/>
        <a:ln>
          <a:noFill/>
        </a:ln>
      </xdr:spPr>
    </xdr:pic>
    <xdr:clientData/>
  </xdr:oneCellAnchor>
  <xdr:twoCellAnchor editAs="oneCell">
    <xdr:from>
      <xdr:col>1</xdr:col>
      <xdr:colOff>0</xdr:colOff>
      <xdr:row>0</xdr:row>
      <xdr:rowOff>0</xdr:rowOff>
    </xdr:from>
    <xdr:to>
      <xdr:col>5</xdr:col>
      <xdr:colOff>50837</xdr:colOff>
      <xdr:row>2</xdr:row>
      <xdr:rowOff>94077</xdr:rowOff>
    </xdr:to>
    <xdr:pic>
      <xdr:nvPicPr>
        <xdr:cNvPr id="5" name="Picture 4">
          <a:extLst>
            <a:ext uri="{FF2B5EF4-FFF2-40B4-BE49-F238E27FC236}">
              <a16:creationId xmlns:a16="http://schemas.microsoft.com/office/drawing/2014/main" id="{00000000-0008-0000-1700-000005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718457" y="0"/>
          <a:ext cx="2064694" cy="1258848"/>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oneCellAnchor>
    <xdr:from>
      <xdr:col>2</xdr:col>
      <xdr:colOff>158750</xdr:colOff>
      <xdr:row>0</xdr:row>
      <xdr:rowOff>2</xdr:rowOff>
    </xdr:from>
    <xdr:ext cx="0" cy="603250"/>
    <xdr:pic>
      <xdr:nvPicPr>
        <xdr:cNvPr id="2" name="Picture 1">
          <a:extLst>
            <a:ext uri="{FF2B5EF4-FFF2-40B4-BE49-F238E27FC236}">
              <a16:creationId xmlns:a16="http://schemas.microsoft.com/office/drawing/2014/main" id="{00000000-0008-0000-1800-000002000000}"/>
            </a:ext>
          </a:extLst>
        </xdr:cNvPr>
        <xdr:cNvPicPr/>
      </xdr:nvPicPr>
      <xdr:blipFill>
        <a:blip xmlns:r="http://schemas.openxmlformats.org/officeDocument/2006/relationships" r:embed="rId1">
          <a:clrChange>
            <a:clrFrom>
              <a:srgbClr val="FFFFFE"/>
            </a:clrFrom>
            <a:clrTo>
              <a:srgbClr val="FFFFFE">
                <a:alpha val="0"/>
              </a:srgbClr>
            </a:clrTo>
          </a:clrChange>
          <a:extLst>
            <a:ext uri="{28A0092B-C50C-407E-A947-70E740481C1C}">
              <a14:useLocalDpi xmlns:a14="http://schemas.microsoft.com/office/drawing/2010/main" val="0"/>
            </a:ext>
          </a:extLst>
        </a:blip>
        <a:srcRect/>
        <a:stretch>
          <a:fillRect/>
        </a:stretch>
      </xdr:blipFill>
      <xdr:spPr bwMode="auto">
        <a:xfrm>
          <a:off x="1408430" y="2"/>
          <a:ext cx="0" cy="603250"/>
        </a:xfrm>
        <a:prstGeom prst="rect">
          <a:avLst/>
        </a:prstGeom>
        <a:noFill/>
        <a:ln>
          <a:noFill/>
        </a:ln>
      </xdr:spPr>
    </xdr:pic>
    <xdr:clientData/>
  </xdr:oneCellAnchor>
  <xdr:oneCellAnchor>
    <xdr:from>
      <xdr:col>2</xdr:col>
      <xdr:colOff>158750</xdr:colOff>
      <xdr:row>0</xdr:row>
      <xdr:rowOff>2</xdr:rowOff>
    </xdr:from>
    <xdr:ext cx="0" cy="603250"/>
    <xdr:pic>
      <xdr:nvPicPr>
        <xdr:cNvPr id="4" name="Picture 3">
          <a:extLst>
            <a:ext uri="{FF2B5EF4-FFF2-40B4-BE49-F238E27FC236}">
              <a16:creationId xmlns:a16="http://schemas.microsoft.com/office/drawing/2014/main" id="{00000000-0008-0000-1800-000004000000}"/>
            </a:ext>
          </a:extLst>
        </xdr:cNvPr>
        <xdr:cNvPicPr/>
      </xdr:nvPicPr>
      <xdr:blipFill>
        <a:blip xmlns:r="http://schemas.openxmlformats.org/officeDocument/2006/relationships" r:embed="rId1">
          <a:clrChange>
            <a:clrFrom>
              <a:srgbClr val="FFFFFE"/>
            </a:clrFrom>
            <a:clrTo>
              <a:srgbClr val="FFFFFE">
                <a:alpha val="0"/>
              </a:srgbClr>
            </a:clrTo>
          </a:clrChange>
          <a:extLst>
            <a:ext uri="{28A0092B-C50C-407E-A947-70E740481C1C}">
              <a14:useLocalDpi xmlns:a14="http://schemas.microsoft.com/office/drawing/2010/main" val="0"/>
            </a:ext>
          </a:extLst>
        </a:blip>
        <a:srcRect/>
        <a:stretch>
          <a:fillRect/>
        </a:stretch>
      </xdr:blipFill>
      <xdr:spPr bwMode="auto">
        <a:xfrm>
          <a:off x="1408430" y="2"/>
          <a:ext cx="0" cy="603250"/>
        </a:xfrm>
        <a:prstGeom prst="rect">
          <a:avLst/>
        </a:prstGeom>
        <a:noFill/>
        <a:ln>
          <a:noFill/>
        </a:ln>
      </xdr:spPr>
    </xdr:pic>
    <xdr:clientData/>
  </xdr:oneCellAnchor>
  <xdr:twoCellAnchor editAs="oneCell">
    <xdr:from>
      <xdr:col>1</xdr:col>
      <xdr:colOff>0</xdr:colOff>
      <xdr:row>0</xdr:row>
      <xdr:rowOff>0</xdr:rowOff>
    </xdr:from>
    <xdr:to>
      <xdr:col>5</xdr:col>
      <xdr:colOff>50837</xdr:colOff>
      <xdr:row>2</xdr:row>
      <xdr:rowOff>94077</xdr:rowOff>
    </xdr:to>
    <xdr:pic>
      <xdr:nvPicPr>
        <xdr:cNvPr id="5" name="Picture 4">
          <a:extLst>
            <a:ext uri="{FF2B5EF4-FFF2-40B4-BE49-F238E27FC236}">
              <a16:creationId xmlns:a16="http://schemas.microsoft.com/office/drawing/2014/main" id="{00000000-0008-0000-1800-000005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718457" y="0"/>
          <a:ext cx="2064694" cy="1258848"/>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3</xdr:col>
          <xdr:colOff>1228725</xdr:colOff>
          <xdr:row>35</xdr:row>
          <xdr:rowOff>552450</xdr:rowOff>
        </xdr:from>
        <xdr:to>
          <xdr:col>3</xdr:col>
          <xdr:colOff>4610100</xdr:colOff>
          <xdr:row>36</xdr:row>
          <xdr:rowOff>0</xdr:rowOff>
        </xdr:to>
        <xdr:pic>
          <xdr:nvPicPr>
            <xdr:cNvPr id="4" name="Picture 3">
              <a:extLst>
                <a:ext uri="{FF2B5EF4-FFF2-40B4-BE49-F238E27FC236}">
                  <a16:creationId xmlns:a16="http://schemas.microsoft.com/office/drawing/2014/main" id="{00000000-0008-0000-1D00-000004000000}"/>
                </a:ext>
              </a:extLst>
            </xdr:cNvPr>
            <xdr:cNvPicPr>
              <a:picLocks noChangeAspect="1" noChangeArrowheads="1"/>
              <a:extLst>
                <a:ext uri="{84589F7E-364E-4C9E-8A38-B11213B215E9}">
                  <a14:cameraTool cellRange="List!$AC$14:$AG$18" spid="_x0000_s36496"/>
                </a:ext>
              </a:extLst>
            </xdr:cNvPicPr>
          </xdr:nvPicPr>
          <xdr:blipFill>
            <a:blip xmlns:r="http://schemas.openxmlformats.org/officeDocument/2006/relationships" r:embed="rId1"/>
            <a:srcRect/>
            <a:stretch>
              <a:fillRect/>
            </a:stretch>
          </xdr:blipFill>
          <xdr:spPr bwMode="auto">
            <a:xfrm>
              <a:off x="4000500" y="6886575"/>
              <a:ext cx="3381375" cy="857250"/>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editAs="oneCell">
    <xdr:from>
      <xdr:col>3</xdr:col>
      <xdr:colOff>1226820</xdr:colOff>
      <xdr:row>35</xdr:row>
      <xdr:rowOff>548640</xdr:rowOff>
    </xdr:from>
    <xdr:to>
      <xdr:col>3</xdr:col>
      <xdr:colOff>4610100</xdr:colOff>
      <xdr:row>36</xdr:row>
      <xdr:rowOff>2540</xdr:rowOff>
    </xdr:to>
    <xdr:pic>
      <xdr:nvPicPr>
        <xdr:cNvPr id="5" name="Picture 4">
          <a:extLst>
            <a:ext uri="{FF2B5EF4-FFF2-40B4-BE49-F238E27FC236}">
              <a16:creationId xmlns:a16="http://schemas.microsoft.com/office/drawing/2014/main" id="{00000000-0008-0000-1D00-000005000000}"/>
            </a:ext>
          </a:extLst>
        </xdr:cNvPr>
        <xdr:cNvPicPr>
          <a:picLocks noChangeAspect="1" noChangeArrowheads="1"/>
        </xdr:cNvPicPr>
      </xdr:nvPicPr>
      <xdr:blipFill>
        <a:blip xmlns:r="http://schemas.openxmlformats.org/officeDocument/2006/relationships" r:embed="rId2"/>
        <a:srcRect/>
        <a:stretch>
          <a:fillRect/>
        </a:stretch>
      </xdr:blipFill>
      <xdr:spPr bwMode="auto">
        <a:xfrm>
          <a:off x="4000500" y="6583680"/>
          <a:ext cx="3383280" cy="838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3</xdr:col>
          <xdr:colOff>1228725</xdr:colOff>
          <xdr:row>35</xdr:row>
          <xdr:rowOff>552450</xdr:rowOff>
        </xdr:from>
        <xdr:to>
          <xdr:col>3</xdr:col>
          <xdr:colOff>4670425</xdr:colOff>
          <xdr:row>37</xdr:row>
          <xdr:rowOff>298450</xdr:rowOff>
        </xdr:to>
        <xdr:pic>
          <xdr:nvPicPr>
            <xdr:cNvPr id="2" name="Picture 1">
              <a:extLst>
                <a:ext uri="{FF2B5EF4-FFF2-40B4-BE49-F238E27FC236}">
                  <a16:creationId xmlns:a16="http://schemas.microsoft.com/office/drawing/2014/main" id="{0FA11F21-C0B5-4158-883F-646098C10DEB}"/>
                </a:ext>
              </a:extLst>
            </xdr:cNvPr>
            <xdr:cNvPicPr>
              <a:picLocks noChangeAspect="1" noChangeArrowheads="1"/>
              <a:extLst>
                <a:ext uri="{84589F7E-364E-4C9E-8A38-B11213B215E9}">
                  <a14:cameraTool cellRange="[1]List!$AC$14:$AG$18" spid="_x0000_s36497"/>
                </a:ext>
              </a:extLst>
            </xdr:cNvPicPr>
          </xdr:nvPicPr>
          <xdr:blipFill>
            <a:blip xmlns:r="http://schemas.openxmlformats.org/officeDocument/2006/relationships" r:embed="rId3"/>
            <a:srcRect/>
            <a:stretch>
              <a:fillRect/>
            </a:stretch>
          </xdr:blipFill>
          <xdr:spPr bwMode="auto">
            <a:xfrm>
              <a:off x="4054475" y="8743950"/>
              <a:ext cx="3441700" cy="825500"/>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editAs="oneCell">
    <xdr:from>
      <xdr:col>3</xdr:col>
      <xdr:colOff>1226820</xdr:colOff>
      <xdr:row>35</xdr:row>
      <xdr:rowOff>548640</xdr:rowOff>
    </xdr:from>
    <xdr:to>
      <xdr:col>3</xdr:col>
      <xdr:colOff>4610100</xdr:colOff>
      <xdr:row>36</xdr:row>
      <xdr:rowOff>2540</xdr:rowOff>
    </xdr:to>
    <xdr:pic>
      <xdr:nvPicPr>
        <xdr:cNvPr id="3" name="Picture 2">
          <a:extLst>
            <a:ext uri="{FF2B5EF4-FFF2-40B4-BE49-F238E27FC236}">
              <a16:creationId xmlns:a16="http://schemas.microsoft.com/office/drawing/2014/main" id="{631ED45E-7A64-43C7-A2DA-E38ADFBAE795}"/>
            </a:ext>
          </a:extLst>
        </xdr:cNvPr>
        <xdr:cNvPicPr>
          <a:picLocks noChangeAspect="1" noChangeArrowheads="1"/>
        </xdr:cNvPicPr>
      </xdr:nvPicPr>
      <xdr:blipFill>
        <a:blip xmlns:r="http://schemas.openxmlformats.org/officeDocument/2006/relationships" r:embed="rId2"/>
        <a:srcRect/>
        <a:stretch>
          <a:fillRect/>
        </a:stretch>
      </xdr:blipFill>
      <xdr:spPr bwMode="auto">
        <a:xfrm>
          <a:off x="4052570" y="8543290"/>
          <a:ext cx="3383280" cy="3429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3</xdr:col>
          <xdr:colOff>1226820</xdr:colOff>
          <xdr:row>35</xdr:row>
          <xdr:rowOff>548640</xdr:rowOff>
        </xdr:from>
        <xdr:to>
          <xdr:col>3</xdr:col>
          <xdr:colOff>4655820</xdr:colOff>
          <xdr:row>36</xdr:row>
          <xdr:rowOff>1962</xdr:rowOff>
        </xdr:to>
        <xdr:pic>
          <xdr:nvPicPr>
            <xdr:cNvPr id="6" name="Picture 5">
              <a:extLst>
                <a:ext uri="{FF2B5EF4-FFF2-40B4-BE49-F238E27FC236}">
                  <a16:creationId xmlns:a16="http://schemas.microsoft.com/office/drawing/2014/main" id="{E0782E88-C004-4E98-B057-A43FB4444A5A}"/>
                </a:ext>
              </a:extLst>
            </xdr:cNvPr>
            <xdr:cNvPicPr>
              <a:picLocks noChangeAspect="1" noChangeArrowheads="1"/>
              <a:extLst>
                <a:ext uri="{84589F7E-364E-4C9E-8A38-B11213B215E9}">
                  <a14:cameraTool cellRange="[2]List!$AC$14:$AG$18" spid="_x0000_s36498"/>
                </a:ext>
              </a:extLst>
            </xdr:cNvPicPr>
          </xdr:nvPicPr>
          <xdr:blipFill>
            <a:blip xmlns:r="http://schemas.openxmlformats.org/officeDocument/2006/relationships" r:embed="rId4"/>
            <a:srcRect/>
            <a:stretch>
              <a:fillRect/>
            </a:stretch>
          </xdr:blipFill>
          <xdr:spPr bwMode="auto">
            <a:xfrm>
              <a:off x="4052570" y="8543290"/>
              <a:ext cx="3429000" cy="824922"/>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1226820</xdr:colOff>
          <xdr:row>34</xdr:row>
          <xdr:rowOff>7159</xdr:rowOff>
        </xdr:from>
        <xdr:to>
          <xdr:col>3</xdr:col>
          <xdr:colOff>4655820</xdr:colOff>
          <xdr:row>35</xdr:row>
          <xdr:rowOff>646200</xdr:rowOff>
        </xdr:to>
        <xdr:pic>
          <xdr:nvPicPr>
            <xdr:cNvPr id="10" name="Picture 9">
              <a:extLst>
                <a:ext uri="{FF2B5EF4-FFF2-40B4-BE49-F238E27FC236}">
                  <a16:creationId xmlns:a16="http://schemas.microsoft.com/office/drawing/2014/main" id="{4D405754-DF92-4EC3-92CD-1AB4D93A6C4A}"/>
                </a:ext>
              </a:extLst>
            </xdr:cNvPr>
            <xdr:cNvPicPr>
              <a:picLocks noChangeAspect="1" noChangeArrowheads="1"/>
              <a:extLst>
                <a:ext uri="{84589F7E-364E-4C9E-8A38-B11213B215E9}">
                  <a14:cameraTool cellRange="[2]List!$AC$14:$AG$18" spid="_x0000_s36499"/>
                </a:ext>
              </a:extLst>
            </xdr:cNvPicPr>
          </xdr:nvPicPr>
          <xdr:blipFill>
            <a:blip xmlns:r="http://schemas.openxmlformats.org/officeDocument/2006/relationships" r:embed="rId4"/>
            <a:srcRect/>
            <a:stretch>
              <a:fillRect/>
            </a:stretch>
          </xdr:blipFill>
          <xdr:spPr bwMode="auto">
            <a:xfrm>
              <a:off x="4052570" y="7646209"/>
              <a:ext cx="3429000" cy="823191"/>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1226820</xdr:colOff>
          <xdr:row>35</xdr:row>
          <xdr:rowOff>548640</xdr:rowOff>
        </xdr:from>
        <xdr:to>
          <xdr:col>3</xdr:col>
          <xdr:colOff>4655820</xdr:colOff>
          <xdr:row>36</xdr:row>
          <xdr:rowOff>2540</xdr:rowOff>
        </xdr:to>
        <xdr:pic>
          <xdr:nvPicPr>
            <xdr:cNvPr id="11" name="Picture 10">
              <a:extLst>
                <a:ext uri="{FF2B5EF4-FFF2-40B4-BE49-F238E27FC236}">
                  <a16:creationId xmlns:a16="http://schemas.microsoft.com/office/drawing/2014/main" id="{C74BEAF4-3336-49DE-9C5D-C7E22294A0B0}"/>
                </a:ext>
              </a:extLst>
            </xdr:cNvPr>
            <xdr:cNvPicPr>
              <a:picLocks noChangeAspect="1" noChangeArrowheads="1"/>
              <a:extLst>
                <a:ext uri="{84589F7E-364E-4C9E-8A38-B11213B215E9}">
                  <a14:cameraTool cellRange="[2]List!$AC$14:$AG$18" spid="_x0000_s36500"/>
                </a:ext>
              </a:extLst>
            </xdr:cNvPicPr>
          </xdr:nvPicPr>
          <xdr:blipFill>
            <a:blip xmlns:r="http://schemas.openxmlformats.org/officeDocument/2006/relationships" r:embed="rId4"/>
            <a:srcRect/>
            <a:stretch>
              <a:fillRect/>
            </a:stretch>
          </xdr:blipFill>
          <xdr:spPr bwMode="auto">
            <a:xfrm>
              <a:off x="4052570" y="8543290"/>
              <a:ext cx="3429000" cy="819150"/>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1226820</xdr:colOff>
          <xdr:row>33</xdr:row>
          <xdr:rowOff>548640</xdr:rowOff>
        </xdr:from>
        <xdr:to>
          <xdr:col>3</xdr:col>
          <xdr:colOff>4655820</xdr:colOff>
          <xdr:row>35</xdr:row>
          <xdr:rowOff>643890</xdr:rowOff>
        </xdr:to>
        <xdr:pic>
          <xdr:nvPicPr>
            <xdr:cNvPr id="12" name="Picture 11">
              <a:extLst>
                <a:ext uri="{FF2B5EF4-FFF2-40B4-BE49-F238E27FC236}">
                  <a16:creationId xmlns:a16="http://schemas.microsoft.com/office/drawing/2014/main" id="{A975FDEA-ACDF-4A5E-9E85-D6C355CFA61B}"/>
                </a:ext>
              </a:extLst>
            </xdr:cNvPr>
            <xdr:cNvPicPr>
              <a:picLocks noChangeAspect="1" noChangeArrowheads="1"/>
              <a:extLst>
                <a:ext uri="{84589F7E-364E-4C9E-8A38-B11213B215E9}">
                  <a14:cameraTool cellRange="[2]List!$AC$14:$AG$18" spid="_x0000_s36501"/>
                </a:ext>
              </a:extLst>
            </xdr:cNvPicPr>
          </xdr:nvPicPr>
          <xdr:blipFill>
            <a:blip xmlns:r="http://schemas.openxmlformats.org/officeDocument/2006/relationships" r:embed="rId4"/>
            <a:srcRect/>
            <a:stretch>
              <a:fillRect/>
            </a:stretch>
          </xdr:blipFill>
          <xdr:spPr bwMode="auto">
            <a:xfrm>
              <a:off x="4052570" y="6625590"/>
              <a:ext cx="3429000" cy="825500"/>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1228725</xdr:colOff>
          <xdr:row>35</xdr:row>
          <xdr:rowOff>552450</xdr:rowOff>
        </xdr:from>
        <xdr:to>
          <xdr:col>3</xdr:col>
          <xdr:colOff>4670425</xdr:colOff>
          <xdr:row>37</xdr:row>
          <xdr:rowOff>298450</xdr:rowOff>
        </xdr:to>
        <xdr:pic>
          <xdr:nvPicPr>
            <xdr:cNvPr id="14" name="Picture 13">
              <a:extLst>
                <a:ext uri="{FF2B5EF4-FFF2-40B4-BE49-F238E27FC236}">
                  <a16:creationId xmlns:a16="http://schemas.microsoft.com/office/drawing/2014/main" id="{F848623D-E3BA-45B5-827C-747E55B4FCDD}"/>
                </a:ext>
              </a:extLst>
            </xdr:cNvPr>
            <xdr:cNvPicPr>
              <a:picLocks noChangeAspect="1" noChangeArrowheads="1"/>
              <a:extLst>
                <a:ext uri="{84589F7E-364E-4C9E-8A38-B11213B215E9}">
                  <a14:cameraTool cellRange="[1]List!$AC$14:$AG$18" spid="_x0000_s36502"/>
                </a:ext>
              </a:extLst>
            </xdr:cNvPicPr>
          </xdr:nvPicPr>
          <xdr:blipFill>
            <a:blip xmlns:r="http://schemas.openxmlformats.org/officeDocument/2006/relationships" r:embed="rId3"/>
            <a:srcRect/>
            <a:stretch>
              <a:fillRect/>
            </a:stretch>
          </xdr:blipFill>
          <xdr:spPr bwMode="auto">
            <a:xfrm>
              <a:off x="4054475" y="8743950"/>
              <a:ext cx="3441700" cy="825500"/>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editAs="oneCell">
    <xdr:from>
      <xdr:col>3</xdr:col>
      <xdr:colOff>1226820</xdr:colOff>
      <xdr:row>35</xdr:row>
      <xdr:rowOff>548640</xdr:rowOff>
    </xdr:from>
    <xdr:to>
      <xdr:col>3</xdr:col>
      <xdr:colOff>4610100</xdr:colOff>
      <xdr:row>36</xdr:row>
      <xdr:rowOff>2540</xdr:rowOff>
    </xdr:to>
    <xdr:pic>
      <xdr:nvPicPr>
        <xdr:cNvPr id="15" name="Picture 14">
          <a:extLst>
            <a:ext uri="{FF2B5EF4-FFF2-40B4-BE49-F238E27FC236}">
              <a16:creationId xmlns:a16="http://schemas.microsoft.com/office/drawing/2014/main" id="{45733E14-CDC2-4283-A8C9-C3888EA80A5A}"/>
            </a:ext>
          </a:extLst>
        </xdr:cNvPr>
        <xdr:cNvPicPr>
          <a:picLocks noChangeAspect="1" noChangeArrowheads="1"/>
        </xdr:cNvPicPr>
      </xdr:nvPicPr>
      <xdr:blipFill>
        <a:blip xmlns:r="http://schemas.openxmlformats.org/officeDocument/2006/relationships" r:embed="rId2"/>
        <a:srcRect/>
        <a:stretch>
          <a:fillRect/>
        </a:stretch>
      </xdr:blipFill>
      <xdr:spPr bwMode="auto">
        <a:xfrm>
          <a:off x="4052570" y="8543290"/>
          <a:ext cx="3383280" cy="3429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3</xdr:col>
          <xdr:colOff>1226820</xdr:colOff>
          <xdr:row>35</xdr:row>
          <xdr:rowOff>548640</xdr:rowOff>
        </xdr:from>
        <xdr:to>
          <xdr:col>3</xdr:col>
          <xdr:colOff>4655820</xdr:colOff>
          <xdr:row>37</xdr:row>
          <xdr:rowOff>300412</xdr:rowOff>
        </xdr:to>
        <xdr:pic>
          <xdr:nvPicPr>
            <xdr:cNvPr id="16" name="Picture 15">
              <a:extLst>
                <a:ext uri="{FF2B5EF4-FFF2-40B4-BE49-F238E27FC236}">
                  <a16:creationId xmlns:a16="http://schemas.microsoft.com/office/drawing/2014/main" id="{3BE1D87D-73EB-442D-A10E-8B7F60A0AFBD}"/>
                </a:ext>
              </a:extLst>
            </xdr:cNvPr>
            <xdr:cNvPicPr>
              <a:picLocks noChangeAspect="1" noChangeArrowheads="1"/>
              <a:extLst>
                <a:ext uri="{84589F7E-364E-4C9E-8A38-B11213B215E9}">
                  <a14:cameraTool cellRange="[2]List!$AC$14:$AG$18" spid="_x0000_s36503"/>
                </a:ext>
              </a:extLst>
            </xdr:cNvPicPr>
          </xdr:nvPicPr>
          <xdr:blipFill>
            <a:blip xmlns:r="http://schemas.openxmlformats.org/officeDocument/2006/relationships" r:embed="rId4"/>
            <a:srcRect/>
            <a:stretch>
              <a:fillRect/>
            </a:stretch>
          </xdr:blipFill>
          <xdr:spPr bwMode="auto">
            <a:xfrm>
              <a:off x="4052570" y="8543290"/>
              <a:ext cx="3429000" cy="824922"/>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1226820</xdr:colOff>
          <xdr:row>34</xdr:row>
          <xdr:rowOff>7159</xdr:rowOff>
        </xdr:from>
        <xdr:to>
          <xdr:col>3</xdr:col>
          <xdr:colOff>4655820</xdr:colOff>
          <xdr:row>35</xdr:row>
          <xdr:rowOff>474750</xdr:rowOff>
        </xdr:to>
        <xdr:pic>
          <xdr:nvPicPr>
            <xdr:cNvPr id="17" name="Picture 16">
              <a:extLst>
                <a:ext uri="{FF2B5EF4-FFF2-40B4-BE49-F238E27FC236}">
                  <a16:creationId xmlns:a16="http://schemas.microsoft.com/office/drawing/2014/main" id="{3D838C60-DBF4-4AAC-98C4-FCCE4F12FA6D}"/>
                </a:ext>
              </a:extLst>
            </xdr:cNvPr>
            <xdr:cNvPicPr>
              <a:picLocks noChangeAspect="1" noChangeArrowheads="1"/>
              <a:extLst>
                <a:ext uri="{84589F7E-364E-4C9E-8A38-B11213B215E9}">
                  <a14:cameraTool cellRange="[2]List!$AC$14:$AG$18" spid="_x0000_s36504"/>
                </a:ext>
              </a:extLst>
            </xdr:cNvPicPr>
          </xdr:nvPicPr>
          <xdr:blipFill>
            <a:blip xmlns:r="http://schemas.openxmlformats.org/officeDocument/2006/relationships" r:embed="rId4"/>
            <a:srcRect/>
            <a:stretch>
              <a:fillRect/>
            </a:stretch>
          </xdr:blipFill>
          <xdr:spPr bwMode="auto">
            <a:xfrm>
              <a:off x="4052570" y="7646209"/>
              <a:ext cx="3429000" cy="823191"/>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1226820</xdr:colOff>
          <xdr:row>35</xdr:row>
          <xdr:rowOff>548640</xdr:rowOff>
        </xdr:from>
        <xdr:to>
          <xdr:col>3</xdr:col>
          <xdr:colOff>4655820</xdr:colOff>
          <xdr:row>37</xdr:row>
          <xdr:rowOff>294640</xdr:rowOff>
        </xdr:to>
        <xdr:pic>
          <xdr:nvPicPr>
            <xdr:cNvPr id="18" name="Picture 17">
              <a:extLst>
                <a:ext uri="{FF2B5EF4-FFF2-40B4-BE49-F238E27FC236}">
                  <a16:creationId xmlns:a16="http://schemas.microsoft.com/office/drawing/2014/main" id="{3F9F4A6A-9CF2-4783-8EBC-5181BC7504B3}"/>
                </a:ext>
              </a:extLst>
            </xdr:cNvPr>
            <xdr:cNvPicPr>
              <a:picLocks noChangeAspect="1" noChangeArrowheads="1"/>
              <a:extLst>
                <a:ext uri="{84589F7E-364E-4C9E-8A38-B11213B215E9}">
                  <a14:cameraTool cellRange="[2]List!$AC$14:$AG$18" spid="_x0000_s36505"/>
                </a:ext>
              </a:extLst>
            </xdr:cNvPicPr>
          </xdr:nvPicPr>
          <xdr:blipFill>
            <a:blip xmlns:r="http://schemas.openxmlformats.org/officeDocument/2006/relationships" r:embed="rId4"/>
            <a:srcRect/>
            <a:stretch>
              <a:fillRect/>
            </a:stretch>
          </xdr:blipFill>
          <xdr:spPr bwMode="auto">
            <a:xfrm>
              <a:off x="4052570" y="8543290"/>
              <a:ext cx="3429000" cy="819150"/>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1226820</xdr:colOff>
          <xdr:row>33</xdr:row>
          <xdr:rowOff>548640</xdr:rowOff>
        </xdr:from>
        <xdr:to>
          <xdr:col>3</xdr:col>
          <xdr:colOff>4655820</xdr:colOff>
          <xdr:row>33</xdr:row>
          <xdr:rowOff>1374140</xdr:rowOff>
        </xdr:to>
        <xdr:pic>
          <xdr:nvPicPr>
            <xdr:cNvPr id="19" name="Picture 18">
              <a:extLst>
                <a:ext uri="{FF2B5EF4-FFF2-40B4-BE49-F238E27FC236}">
                  <a16:creationId xmlns:a16="http://schemas.microsoft.com/office/drawing/2014/main" id="{9AA9F0A6-11F5-41B3-8B90-F5D6D5619713}"/>
                </a:ext>
              </a:extLst>
            </xdr:cNvPr>
            <xdr:cNvPicPr>
              <a:picLocks noChangeAspect="1" noChangeArrowheads="1"/>
              <a:extLst>
                <a:ext uri="{84589F7E-364E-4C9E-8A38-B11213B215E9}">
                  <a14:cameraTool cellRange="[2]List!$AC$14:$AG$18" spid="_x0000_s36506"/>
                </a:ext>
              </a:extLst>
            </xdr:cNvPicPr>
          </xdr:nvPicPr>
          <xdr:blipFill>
            <a:blip xmlns:r="http://schemas.openxmlformats.org/officeDocument/2006/relationships" r:embed="rId4"/>
            <a:srcRect/>
            <a:stretch>
              <a:fillRect/>
            </a:stretch>
          </xdr:blipFill>
          <xdr:spPr bwMode="auto">
            <a:xfrm>
              <a:off x="4052570" y="6625590"/>
              <a:ext cx="3429000" cy="825500"/>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editAs="oneCell">
    <xdr:from>
      <xdr:col>3</xdr:col>
      <xdr:colOff>0</xdr:colOff>
      <xdr:row>33</xdr:row>
      <xdr:rowOff>441960</xdr:rowOff>
    </xdr:from>
    <xdr:to>
      <xdr:col>3</xdr:col>
      <xdr:colOff>3055620</xdr:colOff>
      <xdr:row>33</xdr:row>
      <xdr:rowOff>1356360</xdr:rowOff>
    </xdr:to>
    <xdr:pic>
      <xdr:nvPicPr>
        <xdr:cNvPr id="20" name="Picture 19">
          <a:extLst>
            <a:ext uri="{FF2B5EF4-FFF2-40B4-BE49-F238E27FC236}">
              <a16:creationId xmlns:a16="http://schemas.microsoft.com/office/drawing/2014/main" id="{F1F61BAB-E5CC-40EC-99D8-09C010C7E9C4}"/>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2825750" y="6518910"/>
          <a:ext cx="3055620" cy="914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17</xdr:col>
          <xdr:colOff>66675</xdr:colOff>
          <xdr:row>2</xdr:row>
          <xdr:rowOff>28575</xdr:rowOff>
        </xdr:from>
        <xdr:to>
          <xdr:col>17</xdr:col>
          <xdr:colOff>209550</xdr:colOff>
          <xdr:row>3</xdr:row>
          <xdr:rowOff>19050</xdr:rowOff>
        </xdr:to>
        <xdr:sp macro="" textlink="">
          <xdr:nvSpPr>
            <xdr:cNvPr id="17409" name="Spinner 1" descr="Period Highlight Spin Control" hidden="1">
              <a:extLst>
                <a:ext uri="{63B3BB69-23CF-44E3-9099-C40C66FF867C}">
                  <a14:compatExt spid="_x0000_s17409"/>
                </a:ext>
                <a:ext uri="{FF2B5EF4-FFF2-40B4-BE49-F238E27FC236}">
                  <a16:creationId xmlns:a16="http://schemas.microsoft.com/office/drawing/2014/main" id="{00000000-0008-0000-0E00-000001440000}"/>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Users/bruna.rodrigues/Desktop/DR_RC01498_2026_01_MAKRO%20(PT)%20Makro%20Atacadista%20CMS%202023%20-%20V2_NEW.xlsx" TargetMode="External"/><Relationship Id="rId2" Type="http://schemas.openxmlformats.org/officeDocument/2006/relationships/externalLinkPath" Target="file:///C:\Users\bruna.rodrigues\Desktop\DR_RC01498_2026_01_MAKRO%20(PT)%20Makro%20Atacadista%20CMS%202023%20-%20V2_NEW.xlsx" TargetMode="External"/><Relationship Id="rId1" Type="http://schemas.openxmlformats.org/officeDocument/2006/relationships/externalLinkPath" Target="/Users/bruna.rodrigues/Desktop/DR_RC01498_2026_01_MAKRO%20(PT)%20Makro%20Atacadista%20CMS%202023%20-%20V2_NEW.xlsx" TargetMode="External"/></Relationships>
</file>

<file path=xl/externalLinks/_rels/externalLink2.xml.rels><?xml version="1.0" encoding="UTF-8" standalone="yes"?>
<Relationships xmlns="http://schemas.openxmlformats.org/package/2006/relationships"><Relationship Id="rId3" Type="http://schemas.openxmlformats.org/officeDocument/2006/relationships/externalLinkPath" Target="../../../../../../RCFinanceManagement/Shared%20Documents/01.RETAIL%20CONSULT/09.ALL/3.Delivery%20Reports/DR_RC0XXXX_20YY_MM_Time%20and%20Material%20Template.xlsx" TargetMode="External"/><Relationship Id="rId2" Type="http://schemas.openxmlformats.org/officeDocument/2006/relationships/externalLinkPath" Target="https://ksrsa.sharepoint.com/sites/RCFinanceManagement/Shared%20Documents/01.RETAIL%20CONSULT/09.ALL/3.Delivery%20Reports/DR_RC0XXXX_20YY_MM_Time%20and%20Material%20Template.xlsx" TargetMode="External"/><Relationship Id="rId1" Type="http://schemas.openxmlformats.org/officeDocument/2006/relationships/externalLinkPath" Target="/sites/RCFinanceManagement/Shared%20Documents/01.RETAIL%20CONSULT/09.ALL/3.Delivery%20Reports/DR_RC0XXXX_20YY_MM_Time%20and%20Material%20Template.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Checklist"/>
      <sheetName val="List"/>
      <sheetName val="Summary"/>
      <sheetName val="MT"/>
      <sheetName val="CN"/>
      <sheetName val="MX"/>
      <sheetName val="BR"/>
      <sheetName val="US"/>
      <sheetName val="DE"/>
      <sheetName val="CL"/>
      <sheetName val="Check"/>
      <sheetName val="PT"/>
      <sheetName val="Guidelines"/>
      <sheetName val="Base_Plan"/>
      <sheetName val="Actual_Pla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Checklist"/>
      <sheetName val="List"/>
      <sheetName val="Summary"/>
      <sheetName val="Check"/>
      <sheetName val="CN"/>
      <sheetName val="MT"/>
      <sheetName val="PT"/>
      <sheetName val="MX"/>
      <sheetName val="BR"/>
      <sheetName val="US"/>
      <sheetName val="DE"/>
      <sheetName val="CL"/>
      <sheetName val="Guidelines"/>
      <sheetName val="Base_Plan"/>
      <sheetName val="Actual_Pla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0.bin"/></Relationships>
</file>

<file path=xl/worksheets/_rels/sheet1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0.xml"/><Relationship Id="rId1" Type="http://schemas.openxmlformats.org/officeDocument/2006/relationships/printerSettings" Target="../printerSettings/printerSettings11.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5.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11.xml"/><Relationship Id="rId1" Type="http://schemas.openxmlformats.org/officeDocument/2006/relationships/printerSettings" Target="../printerSettings/printerSettings13.bin"/><Relationship Id="rId4" Type="http://schemas.openxmlformats.org/officeDocument/2006/relationships/ctrlProp" Target="../ctrlProps/ctrlProp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9"/>
  <sheetViews>
    <sheetView showGridLines="0" workbookViewId="0"/>
  </sheetViews>
  <sheetFormatPr defaultColWidth="8.7109375" defaultRowHeight="12" x14ac:dyDescent="0.2"/>
  <cols>
    <col min="1" max="1" width="6.42578125" style="77" bestFit="1" customWidth="1"/>
    <col min="2" max="2" width="3.42578125" style="77" bestFit="1" customWidth="1"/>
    <col min="3" max="3" width="31.7109375" style="77" bestFit="1" customWidth="1"/>
    <col min="4" max="4" width="85" style="77" bestFit="1" customWidth="1"/>
    <col min="5" max="6" width="8.7109375" style="77"/>
    <col min="7" max="7" width="9.7109375" style="77" bestFit="1" customWidth="1"/>
    <col min="8" max="8" width="5.7109375" style="77" bestFit="1" customWidth="1"/>
    <col min="9" max="9" width="10.28515625" style="77" bestFit="1" customWidth="1"/>
    <col min="10" max="10" width="15.5703125" style="77" bestFit="1" customWidth="1"/>
    <col min="11" max="11" width="10.5703125" style="77" bestFit="1" customWidth="1"/>
    <col min="12" max="16384" width="8.7109375" style="77"/>
  </cols>
  <sheetData>
    <row r="1" spans="1:11" ht="14.25" x14ac:dyDescent="0.2">
      <c r="A1" s="80" t="s">
        <v>122</v>
      </c>
      <c r="B1" s="81" t="s">
        <v>123</v>
      </c>
      <c r="C1" s="82" t="s">
        <v>40</v>
      </c>
      <c r="D1" s="82" t="s">
        <v>124</v>
      </c>
      <c r="G1" s="33" t="s">
        <v>29</v>
      </c>
      <c r="H1" s="33" t="s">
        <v>30</v>
      </c>
      <c r="I1" s="32" t="s">
        <v>31</v>
      </c>
      <c r="J1" s="32" t="s">
        <v>104</v>
      </c>
      <c r="K1" s="32" t="s">
        <v>32</v>
      </c>
    </row>
    <row r="2" spans="1:11" ht="12.75" x14ac:dyDescent="0.2">
      <c r="A2" s="83" t="s">
        <v>16</v>
      </c>
      <c r="B2" s="84">
        <v>1</v>
      </c>
      <c r="C2" s="85" t="s">
        <v>133</v>
      </c>
      <c r="D2" s="85" t="s">
        <v>153</v>
      </c>
    </row>
    <row r="3" spans="1:11" ht="12.75" x14ac:dyDescent="0.2">
      <c r="A3" s="83" t="s">
        <v>16</v>
      </c>
      <c r="B3" s="84">
        <f t="shared" ref="B3:B8" si="0">+B2+1</f>
        <v>2</v>
      </c>
      <c r="C3" s="85" t="s">
        <v>132</v>
      </c>
      <c r="D3" s="85" t="s">
        <v>155</v>
      </c>
    </row>
    <row r="4" spans="1:11" ht="12.75" x14ac:dyDescent="0.2">
      <c r="A4" s="83" t="s">
        <v>125</v>
      </c>
      <c r="B4" s="84">
        <f t="shared" si="0"/>
        <v>3</v>
      </c>
      <c r="C4" s="85" t="s">
        <v>128</v>
      </c>
      <c r="D4" s="85" t="s">
        <v>151</v>
      </c>
    </row>
    <row r="5" spans="1:11" ht="12.75" x14ac:dyDescent="0.2">
      <c r="A5" s="83" t="s">
        <v>16</v>
      </c>
      <c r="B5" s="84">
        <f t="shared" si="0"/>
        <v>4</v>
      </c>
      <c r="C5" s="85" t="s">
        <v>140</v>
      </c>
      <c r="D5" s="85" t="s">
        <v>154</v>
      </c>
    </row>
    <row r="6" spans="1:11" ht="12.75" x14ac:dyDescent="0.2">
      <c r="A6" s="83" t="s">
        <v>20</v>
      </c>
      <c r="B6" s="84">
        <f>+B5+1</f>
        <v>5</v>
      </c>
      <c r="C6" s="85" t="s">
        <v>29</v>
      </c>
      <c r="D6" s="85" t="s">
        <v>141</v>
      </c>
    </row>
    <row r="7" spans="1:11" ht="12.75" x14ac:dyDescent="0.2">
      <c r="A7" s="83" t="s">
        <v>20</v>
      </c>
      <c r="B7" s="84">
        <f t="shared" si="0"/>
        <v>6</v>
      </c>
      <c r="C7" s="85" t="s">
        <v>29</v>
      </c>
      <c r="D7" s="85" t="s">
        <v>129</v>
      </c>
    </row>
    <row r="8" spans="1:11" ht="12.75" x14ac:dyDescent="0.2">
      <c r="A8" s="86" t="s">
        <v>30</v>
      </c>
      <c r="B8" s="84">
        <f t="shared" si="0"/>
        <v>7</v>
      </c>
      <c r="C8" s="85" t="s">
        <v>143</v>
      </c>
      <c r="D8" s="85" t="s">
        <v>144</v>
      </c>
    </row>
    <row r="9" spans="1:11" ht="12.75" x14ac:dyDescent="0.2">
      <c r="A9" s="83" t="s">
        <v>126</v>
      </c>
      <c r="B9" s="84">
        <f>+B8+1</f>
        <v>8</v>
      </c>
      <c r="C9" s="85" t="s">
        <v>126</v>
      </c>
      <c r="D9" s="85" t="s">
        <v>127</v>
      </c>
    </row>
  </sheetData>
  <sheetProtection algorithmName="SHA-512" hashValue="+Na75gDq0gA/NxsLCwRLKf+JWo8hG883JyrNFoimBi3a7KPZKZxs/E6o+EDSeICZSWNGuxekJ5+RQbwunK/C+w==" saltValue="6vQqv/vjztO2uXriszSNrA==" spinCount="100000" sheet="1" objects="1" scenarios="1"/>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M4749"/>
  <sheetViews>
    <sheetView showGridLines="0" topLeftCell="A351" workbookViewId="0">
      <selection activeCell="A351" sqref="A1:XFD1048576"/>
    </sheetView>
  </sheetViews>
  <sheetFormatPr defaultColWidth="8.7109375" defaultRowHeight="12" x14ac:dyDescent="0.2"/>
  <cols>
    <col min="1" max="1" width="8.7109375" style="77"/>
    <col min="2" max="2" width="18.5703125" style="77" bestFit="1" customWidth="1"/>
    <col min="3" max="3" width="6.7109375" style="77" bestFit="1" customWidth="1"/>
    <col min="4" max="23" width="8.7109375" style="77"/>
    <col min="24" max="24" width="11" style="77" bestFit="1" customWidth="1"/>
    <col min="25" max="28" width="8.7109375" style="77"/>
    <col min="29" max="29" width="13.7109375" style="77" customWidth="1"/>
    <col min="30" max="16384" width="8.7109375" style="77"/>
  </cols>
  <sheetData>
    <row r="1" spans="1:39" ht="15" x14ac:dyDescent="0.2">
      <c r="A1" s="79" t="s">
        <v>121</v>
      </c>
      <c r="B1" s="87" t="s">
        <v>87</v>
      </c>
      <c r="C1" s="79" t="s">
        <v>134</v>
      </c>
      <c r="H1" s="96" t="s">
        <v>159</v>
      </c>
      <c r="I1" s="96" t="s">
        <v>160</v>
      </c>
      <c r="J1" s="96" t="s">
        <v>161</v>
      </c>
      <c r="K1" s="96" t="s">
        <v>162</v>
      </c>
      <c r="L1" s="96" t="s">
        <v>9</v>
      </c>
      <c r="M1" s="96" t="s">
        <v>163</v>
      </c>
      <c r="N1" s="96" t="s">
        <v>164</v>
      </c>
      <c r="O1" s="96" t="s">
        <v>165</v>
      </c>
    </row>
    <row r="2" spans="1:39" ht="26.25" thickBot="1" x14ac:dyDescent="0.25">
      <c r="A2" s="78">
        <v>45658</v>
      </c>
      <c r="B2" s="77" t="str">
        <f>+PT!A4</f>
        <v>2025-9</v>
      </c>
      <c r="C2" s="77">
        <v>1</v>
      </c>
      <c r="E2" s="77" t="s">
        <v>1</v>
      </c>
      <c r="F2" s="77" t="s">
        <v>166</v>
      </c>
      <c r="H2" s="97" t="s">
        <v>167</v>
      </c>
      <c r="I2" s="97" t="s">
        <v>167</v>
      </c>
      <c r="J2" s="97" t="s">
        <v>168</v>
      </c>
      <c r="K2" s="97"/>
      <c r="L2" s="97" t="s">
        <v>0</v>
      </c>
      <c r="M2" s="97">
        <v>0</v>
      </c>
      <c r="N2" s="77">
        <v>4</v>
      </c>
      <c r="O2" s="77">
        <v>30</v>
      </c>
      <c r="P2" s="77">
        <v>1</v>
      </c>
      <c r="Q2" s="77" t="s">
        <v>169</v>
      </c>
      <c r="R2" s="77" t="s">
        <v>170</v>
      </c>
      <c r="S2" s="77" t="s">
        <v>171</v>
      </c>
      <c r="U2" s="77" t="s">
        <v>172</v>
      </c>
      <c r="V2" s="77" t="s">
        <v>173</v>
      </c>
      <c r="W2" s="77" t="s">
        <v>174</v>
      </c>
      <c r="X2" s="77" t="s">
        <v>301</v>
      </c>
      <c r="Y2" s="117" t="s">
        <v>302</v>
      </c>
      <c r="Z2" s="104">
        <v>0</v>
      </c>
      <c r="AA2" s="105" t="s">
        <v>304</v>
      </c>
      <c r="AC2" s="106" t="s">
        <v>321</v>
      </c>
      <c r="AD2" s="106"/>
      <c r="AE2" s="106"/>
      <c r="AF2"/>
      <c r="AG2"/>
      <c r="AH2"/>
    </row>
    <row r="3" spans="1:39" ht="13.5" thickBot="1" x14ac:dyDescent="0.25">
      <c r="A3" s="78">
        <v>45659</v>
      </c>
      <c r="B3" s="77" t="str">
        <f>+PT!A5</f>
        <v>2025-10</v>
      </c>
      <c r="C3" s="77">
        <f t="shared" ref="C3:C34" si="0">+C2+1</f>
        <v>2</v>
      </c>
      <c r="E3" s="77" t="s">
        <v>23</v>
      </c>
      <c r="F3" s="77" t="s">
        <v>175</v>
      </c>
      <c r="H3" s="97" t="s">
        <v>176</v>
      </c>
      <c r="I3" s="97" t="s">
        <v>177</v>
      </c>
      <c r="J3" s="97" t="s">
        <v>178</v>
      </c>
      <c r="K3" s="97"/>
      <c r="L3" s="97" t="s">
        <v>0</v>
      </c>
      <c r="M3" s="97">
        <v>0</v>
      </c>
      <c r="N3" s="77">
        <v>4</v>
      </c>
      <c r="O3" s="77">
        <v>30</v>
      </c>
      <c r="P3" s="77">
        <f t="shared" ref="P3:P13" si="1">+P2+1</f>
        <v>2</v>
      </c>
      <c r="Q3" s="77" t="s">
        <v>179</v>
      </c>
      <c r="R3" s="77" t="s">
        <v>180</v>
      </c>
      <c r="S3" s="77" t="s">
        <v>181</v>
      </c>
      <c r="U3" s="77" t="s">
        <v>182</v>
      </c>
      <c r="V3" s="77" t="s">
        <v>183</v>
      </c>
      <c r="W3" s="77" t="s">
        <v>184</v>
      </c>
      <c r="X3" s="77" t="s">
        <v>296</v>
      </c>
      <c r="Y3" s="117" t="s">
        <v>303</v>
      </c>
      <c r="Z3" s="104">
        <v>0.25</v>
      </c>
      <c r="AA3" s="105" t="s">
        <v>305</v>
      </c>
      <c r="AC3" s="107" t="s">
        <v>322</v>
      </c>
      <c r="AD3" s="108"/>
      <c r="AE3" s="108"/>
      <c r="AF3" s="108"/>
      <c r="AG3" s="108"/>
      <c r="AH3" s="108"/>
    </row>
    <row r="4" spans="1:39" ht="15.75" thickBot="1" x14ac:dyDescent="0.25">
      <c r="A4" s="78">
        <v>45660</v>
      </c>
      <c r="B4" s="77" t="str">
        <f>+PT!A6</f>
        <v>2025-11</v>
      </c>
      <c r="C4" s="77">
        <f t="shared" si="0"/>
        <v>3</v>
      </c>
      <c r="E4" s="77" t="s">
        <v>118</v>
      </c>
      <c r="F4" s="77" t="s">
        <v>185</v>
      </c>
      <c r="H4" s="98" t="s">
        <v>186</v>
      </c>
      <c r="I4" s="98" t="s">
        <v>187</v>
      </c>
      <c r="J4" s="97" t="s">
        <v>188</v>
      </c>
      <c r="K4" s="97" t="s">
        <v>178</v>
      </c>
      <c r="L4" s="97"/>
      <c r="M4" s="97">
        <v>0</v>
      </c>
      <c r="N4" s="77">
        <v>3</v>
      </c>
      <c r="O4" s="77">
        <v>30</v>
      </c>
      <c r="P4" s="77">
        <f t="shared" si="1"/>
        <v>3</v>
      </c>
      <c r="Q4" s="77" t="s">
        <v>189</v>
      </c>
      <c r="R4" s="77" t="s">
        <v>190</v>
      </c>
      <c r="S4" s="77" t="s">
        <v>191</v>
      </c>
      <c r="V4" s="77" t="s">
        <v>157</v>
      </c>
      <c r="W4" s="77" t="s">
        <v>157</v>
      </c>
      <c r="X4" s="77" t="s">
        <v>297</v>
      </c>
      <c r="Y4" s="117" t="s">
        <v>158</v>
      </c>
      <c r="Z4" s="104">
        <v>0.5</v>
      </c>
      <c r="AC4" s="116" t="s">
        <v>302</v>
      </c>
      <c r="AD4" s="111">
        <v>25</v>
      </c>
      <c r="AE4" s="111">
        <v>20</v>
      </c>
      <c r="AF4" s="111">
        <v>15</v>
      </c>
      <c r="AG4" s="110">
        <v>10</v>
      </c>
      <c r="AH4" s="109">
        <v>5</v>
      </c>
      <c r="AI4" s="113" t="s">
        <v>30</v>
      </c>
      <c r="AJ4" t="s">
        <v>306</v>
      </c>
      <c r="AK4" s="111" t="s">
        <v>329</v>
      </c>
      <c r="AL4" s="111" t="s">
        <v>329</v>
      </c>
      <c r="AM4" s="111" t="s">
        <v>329</v>
      </c>
    </row>
    <row r="5" spans="1:39" ht="13.5" thickBot="1" x14ac:dyDescent="0.25">
      <c r="A5" s="78">
        <v>45661</v>
      </c>
      <c r="B5" s="77" t="str">
        <f>+PT!A7</f>
        <v>2025-12</v>
      </c>
      <c r="C5" s="77">
        <f t="shared" si="0"/>
        <v>4</v>
      </c>
      <c r="E5" s="77" t="s">
        <v>22</v>
      </c>
      <c r="F5" s="77" t="s">
        <v>192</v>
      </c>
      <c r="H5" s="97" t="s">
        <v>193</v>
      </c>
      <c r="I5" s="97" t="s">
        <v>187</v>
      </c>
      <c r="J5" s="97" t="s">
        <v>188</v>
      </c>
      <c r="K5" s="97" t="s">
        <v>178</v>
      </c>
      <c r="L5" s="97"/>
      <c r="M5" s="97">
        <v>0</v>
      </c>
      <c r="N5" s="77">
        <v>3</v>
      </c>
      <c r="O5" s="77">
        <v>30</v>
      </c>
      <c r="P5" s="77">
        <f t="shared" si="1"/>
        <v>4</v>
      </c>
      <c r="Q5" s="77" t="s">
        <v>194</v>
      </c>
      <c r="R5" s="77" t="s">
        <v>194</v>
      </c>
      <c r="S5" s="77" t="s">
        <v>195</v>
      </c>
      <c r="X5" s="77" t="s">
        <v>298</v>
      </c>
      <c r="Y5" s="117" t="s">
        <v>319</v>
      </c>
      <c r="Z5" s="104">
        <v>0.75</v>
      </c>
      <c r="AC5" s="116" t="s">
        <v>303</v>
      </c>
      <c r="AD5" s="111">
        <v>20</v>
      </c>
      <c r="AE5" s="111">
        <v>16</v>
      </c>
      <c r="AF5" s="110">
        <v>12</v>
      </c>
      <c r="AG5" s="110">
        <v>8</v>
      </c>
      <c r="AH5" s="109">
        <v>4</v>
      </c>
      <c r="AJ5" t="s">
        <v>307</v>
      </c>
      <c r="AK5" s="111" t="s">
        <v>329</v>
      </c>
      <c r="AL5" s="114" t="s">
        <v>330</v>
      </c>
      <c r="AM5" s="119" t="s">
        <v>331</v>
      </c>
    </row>
    <row r="6" spans="1:39" ht="13.5" thickBot="1" x14ac:dyDescent="0.25">
      <c r="A6" s="78">
        <v>45662</v>
      </c>
      <c r="B6" s="77" t="str">
        <f>+PT!A8</f>
        <v>2026-1</v>
      </c>
      <c r="C6" s="77">
        <f t="shared" si="0"/>
        <v>5</v>
      </c>
      <c r="E6" s="77" t="s">
        <v>108</v>
      </c>
      <c r="F6" s="77" t="s">
        <v>196</v>
      </c>
      <c r="H6" s="97" t="s">
        <v>197</v>
      </c>
      <c r="I6" s="97" t="s">
        <v>197</v>
      </c>
      <c r="J6" s="97" t="s">
        <v>178</v>
      </c>
      <c r="K6" s="97"/>
      <c r="L6" s="97" t="s">
        <v>198</v>
      </c>
      <c r="M6" s="97">
        <v>0</v>
      </c>
      <c r="N6" s="77">
        <v>4</v>
      </c>
      <c r="O6" s="77">
        <v>30</v>
      </c>
      <c r="P6" s="77">
        <f t="shared" si="1"/>
        <v>5</v>
      </c>
      <c r="Q6" s="77" t="s">
        <v>199</v>
      </c>
      <c r="R6" s="77" t="s">
        <v>200</v>
      </c>
      <c r="S6" s="77" t="s">
        <v>201</v>
      </c>
      <c r="X6" s="77" t="s">
        <v>299</v>
      </c>
      <c r="Y6" s="117" t="s">
        <v>320</v>
      </c>
      <c r="Z6" s="104">
        <v>1</v>
      </c>
      <c r="AC6" s="116" t="s">
        <v>158</v>
      </c>
      <c r="AD6" s="111">
        <v>15</v>
      </c>
      <c r="AE6" s="110">
        <v>12</v>
      </c>
      <c r="AF6" s="110">
        <v>9</v>
      </c>
      <c r="AG6" s="110">
        <v>12</v>
      </c>
      <c r="AH6" s="109">
        <v>3</v>
      </c>
      <c r="AJ6" s="118" t="s">
        <v>18</v>
      </c>
      <c r="AK6" s="111" t="s">
        <v>329</v>
      </c>
      <c r="AL6" s="119" t="s">
        <v>331</v>
      </c>
      <c r="AM6" s="119" t="s">
        <v>331</v>
      </c>
    </row>
    <row r="7" spans="1:39" ht="13.5" thickBot="1" x14ac:dyDescent="0.25">
      <c r="A7" s="78">
        <v>45663</v>
      </c>
      <c r="B7" s="77" t="str">
        <f>+PT!A9</f>
        <v>2026-2</v>
      </c>
      <c r="C7" s="77">
        <f t="shared" si="0"/>
        <v>6</v>
      </c>
      <c r="E7" s="77" t="s">
        <v>2</v>
      </c>
      <c r="F7" s="77" t="s">
        <v>202</v>
      </c>
      <c r="H7" s="97" t="s">
        <v>203</v>
      </c>
      <c r="I7" s="97" t="s">
        <v>204</v>
      </c>
      <c r="J7" s="97" t="s">
        <v>178</v>
      </c>
      <c r="K7" s="97"/>
      <c r="L7" s="97" t="s">
        <v>198</v>
      </c>
      <c r="M7" s="97">
        <v>0</v>
      </c>
      <c r="N7" s="77">
        <v>3</v>
      </c>
      <c r="O7" s="77">
        <v>30</v>
      </c>
      <c r="P7" s="77">
        <f t="shared" si="1"/>
        <v>6</v>
      </c>
      <c r="Q7" s="77" t="s">
        <v>205</v>
      </c>
      <c r="R7" s="77" t="s">
        <v>206</v>
      </c>
      <c r="S7" s="77" t="s">
        <v>207</v>
      </c>
      <c r="X7" s="77" t="s">
        <v>300</v>
      </c>
      <c r="AC7" s="116" t="s">
        <v>319</v>
      </c>
      <c r="AD7" s="110">
        <v>10</v>
      </c>
      <c r="AE7" s="110">
        <v>8</v>
      </c>
      <c r="AF7" s="110">
        <v>6</v>
      </c>
      <c r="AG7" s="109">
        <v>4</v>
      </c>
      <c r="AH7" s="109">
        <v>2</v>
      </c>
      <c r="AJ7"/>
      <c r="AK7" s="118" t="s">
        <v>306</v>
      </c>
      <c r="AL7" t="s">
        <v>307</v>
      </c>
      <c r="AM7" s="118" t="s">
        <v>18</v>
      </c>
    </row>
    <row r="8" spans="1:39" ht="15.75" thickBot="1" x14ac:dyDescent="0.25">
      <c r="A8" s="78">
        <v>45664</v>
      </c>
      <c r="B8" s="77" t="str">
        <f>+PT!A10</f>
        <v>2026-3</v>
      </c>
      <c r="C8" s="77">
        <f t="shared" si="0"/>
        <v>7</v>
      </c>
      <c r="E8" s="77" t="s">
        <v>21</v>
      </c>
      <c r="F8" s="77" t="s">
        <v>255</v>
      </c>
      <c r="H8" s="98" t="s">
        <v>208</v>
      </c>
      <c r="I8" s="98" t="s">
        <v>208</v>
      </c>
      <c r="J8" s="97" t="s">
        <v>178</v>
      </c>
      <c r="K8" s="97"/>
      <c r="L8" s="97" t="s">
        <v>0</v>
      </c>
      <c r="M8" s="97">
        <v>0</v>
      </c>
      <c r="N8" s="77">
        <v>3</v>
      </c>
      <c r="O8" s="77">
        <v>90</v>
      </c>
      <c r="P8" s="77">
        <f t="shared" si="1"/>
        <v>7</v>
      </c>
      <c r="Q8" s="77" t="s">
        <v>209</v>
      </c>
      <c r="R8" s="77" t="s">
        <v>210</v>
      </c>
      <c r="S8" s="77" t="s">
        <v>211</v>
      </c>
      <c r="AC8" s="116" t="s">
        <v>320</v>
      </c>
      <c r="AD8" s="109">
        <v>5</v>
      </c>
      <c r="AE8" s="109">
        <v>4</v>
      </c>
      <c r="AF8" s="109">
        <v>3</v>
      </c>
      <c r="AG8" s="109">
        <v>2</v>
      </c>
      <c r="AH8" s="109">
        <v>1</v>
      </c>
      <c r="AJ8" s="113" t="s">
        <v>295</v>
      </c>
    </row>
    <row r="9" spans="1:39" ht="26.25" thickBot="1" x14ac:dyDescent="0.25">
      <c r="A9" s="78">
        <v>45665</v>
      </c>
      <c r="B9" s="77" t="str">
        <f>+PT!A11</f>
        <v>2026-4</v>
      </c>
      <c r="C9" s="77">
        <f t="shared" si="0"/>
        <v>8</v>
      </c>
      <c r="E9" s="77" t="s">
        <v>406</v>
      </c>
      <c r="F9" s="77" t="s">
        <v>409</v>
      </c>
      <c r="H9" s="97" t="s">
        <v>212</v>
      </c>
      <c r="I9" s="97" t="s">
        <v>208</v>
      </c>
      <c r="J9" s="97" t="s">
        <v>178</v>
      </c>
      <c r="K9" s="97"/>
      <c r="L9" s="97" t="s">
        <v>0</v>
      </c>
      <c r="M9" s="97">
        <v>0</v>
      </c>
      <c r="N9" s="77">
        <v>3</v>
      </c>
      <c r="O9" s="77">
        <v>90</v>
      </c>
      <c r="P9" s="77">
        <f t="shared" si="1"/>
        <v>8</v>
      </c>
      <c r="Q9" s="77" t="s">
        <v>213</v>
      </c>
      <c r="R9" s="77" t="s">
        <v>213</v>
      </c>
      <c r="S9" s="77" t="s">
        <v>214</v>
      </c>
      <c r="AC9" s="112" t="s">
        <v>323</v>
      </c>
      <c r="AD9" s="116" t="s">
        <v>302</v>
      </c>
      <c r="AE9" s="116" t="s">
        <v>303</v>
      </c>
      <c r="AF9" s="116" t="s">
        <v>158</v>
      </c>
      <c r="AG9" s="116" t="s">
        <v>319</v>
      </c>
      <c r="AH9" s="116" t="s">
        <v>320</v>
      </c>
    </row>
    <row r="10" spans="1:39" x14ac:dyDescent="0.2">
      <c r="A10" s="78">
        <v>45666</v>
      </c>
      <c r="B10" s="77" t="str">
        <f>+PT!A12</f>
        <v>2026-5</v>
      </c>
      <c r="C10" s="77">
        <f t="shared" si="0"/>
        <v>9</v>
      </c>
      <c r="H10" s="97" t="s">
        <v>215</v>
      </c>
      <c r="I10" s="97" t="s">
        <v>215</v>
      </c>
      <c r="J10" s="97" t="s">
        <v>216</v>
      </c>
      <c r="K10" s="97"/>
      <c r="L10" s="97"/>
      <c r="M10" s="97">
        <v>0</v>
      </c>
      <c r="N10" s="77">
        <v>3</v>
      </c>
      <c r="O10" s="77">
        <v>30</v>
      </c>
      <c r="P10" s="77">
        <f t="shared" si="1"/>
        <v>9</v>
      </c>
      <c r="Q10" s="77" t="s">
        <v>217</v>
      </c>
      <c r="R10" s="77" t="s">
        <v>218</v>
      </c>
      <c r="S10" s="77" t="s">
        <v>219</v>
      </c>
    </row>
    <row r="11" spans="1:39" x14ac:dyDescent="0.2">
      <c r="A11" s="78">
        <v>45667</v>
      </c>
      <c r="B11" s="77" t="str">
        <f>+PT!A13</f>
        <v>2026-6</v>
      </c>
      <c r="C11" s="77">
        <f t="shared" si="0"/>
        <v>10</v>
      </c>
      <c r="H11" s="98" t="s">
        <v>220</v>
      </c>
      <c r="I11" s="98" t="s">
        <v>220</v>
      </c>
      <c r="J11" s="97" t="s">
        <v>178</v>
      </c>
      <c r="K11" s="97" t="s">
        <v>221</v>
      </c>
      <c r="L11" s="97" t="s">
        <v>0</v>
      </c>
      <c r="M11" s="97">
        <v>0</v>
      </c>
      <c r="N11" s="77">
        <v>3</v>
      </c>
      <c r="O11" s="77">
        <v>30</v>
      </c>
      <c r="P11" s="77">
        <f t="shared" si="1"/>
        <v>10</v>
      </c>
      <c r="Q11" s="77" t="s">
        <v>222</v>
      </c>
      <c r="R11" s="77" t="s">
        <v>223</v>
      </c>
      <c r="S11" s="77" t="s">
        <v>224</v>
      </c>
    </row>
    <row r="12" spans="1:39" ht="12.75" x14ac:dyDescent="0.2">
      <c r="A12" s="78">
        <v>45668</v>
      </c>
      <c r="B12" s="77" t="str">
        <f>+PT!A14</f>
        <v>2026-7</v>
      </c>
      <c r="C12" s="77">
        <f t="shared" si="0"/>
        <v>11</v>
      </c>
      <c r="H12" s="97" t="s">
        <v>225</v>
      </c>
      <c r="I12" s="97" t="s">
        <v>220</v>
      </c>
      <c r="J12" s="97" t="s">
        <v>178</v>
      </c>
      <c r="K12" s="97" t="s">
        <v>221</v>
      </c>
      <c r="L12" s="97" t="s">
        <v>0</v>
      </c>
      <c r="M12" s="97">
        <v>0</v>
      </c>
      <c r="N12" s="77">
        <v>3</v>
      </c>
      <c r="O12" s="77">
        <v>30</v>
      </c>
      <c r="P12" s="77">
        <f t="shared" si="1"/>
        <v>11</v>
      </c>
      <c r="Q12" s="77" t="s">
        <v>226</v>
      </c>
      <c r="R12" s="77" t="s">
        <v>227</v>
      </c>
      <c r="S12" s="77" t="s">
        <v>228</v>
      </c>
      <c r="X12" s="77" t="s">
        <v>308</v>
      </c>
      <c r="AJ12" t="s">
        <v>306</v>
      </c>
    </row>
    <row r="13" spans="1:39" ht="12.75" x14ac:dyDescent="0.2">
      <c r="A13" s="78">
        <v>45669</v>
      </c>
      <c r="B13" s="77" t="str">
        <f>+PT!A15</f>
        <v>2026-8</v>
      </c>
      <c r="C13" s="77">
        <f t="shared" si="0"/>
        <v>12</v>
      </c>
      <c r="H13" s="97" t="s">
        <v>229</v>
      </c>
      <c r="I13" s="97" t="s">
        <v>230</v>
      </c>
      <c r="J13" s="97" t="s">
        <v>188</v>
      </c>
      <c r="K13" s="97"/>
      <c r="L13" s="97"/>
      <c r="M13" s="97">
        <v>0</v>
      </c>
      <c r="N13" s="77">
        <v>3</v>
      </c>
      <c r="O13" s="77">
        <v>30</v>
      </c>
      <c r="P13" s="77">
        <f t="shared" si="1"/>
        <v>12</v>
      </c>
      <c r="Q13" s="77" t="s">
        <v>231</v>
      </c>
      <c r="R13" s="77" t="s">
        <v>232</v>
      </c>
      <c r="S13" s="77" t="s">
        <v>408</v>
      </c>
      <c r="X13" s="77" t="s">
        <v>324</v>
      </c>
      <c r="Y13" s="103"/>
      <c r="AJ13" t="s">
        <v>307</v>
      </c>
    </row>
    <row r="14" spans="1:39" ht="12.75" x14ac:dyDescent="0.2">
      <c r="A14" s="78">
        <v>45670</v>
      </c>
      <c r="B14" s="77" t="str">
        <f>+PT!A16</f>
        <v>2026-9</v>
      </c>
      <c r="C14" s="77">
        <f t="shared" si="0"/>
        <v>13</v>
      </c>
      <c r="H14" s="97" t="s">
        <v>233</v>
      </c>
      <c r="I14" s="97" t="s">
        <v>233</v>
      </c>
      <c r="J14" s="97" t="s">
        <v>234</v>
      </c>
      <c r="K14" s="97"/>
      <c r="L14" s="97"/>
      <c r="M14" s="97">
        <v>0</v>
      </c>
      <c r="N14" s="77">
        <v>3</v>
      </c>
      <c r="O14" s="77">
        <v>30</v>
      </c>
      <c r="X14" s="77" t="s">
        <v>325</v>
      </c>
      <c r="Y14" s="103"/>
      <c r="AJ14" t="s">
        <v>18</v>
      </c>
    </row>
    <row r="15" spans="1:39" ht="12.75" x14ac:dyDescent="0.2">
      <c r="A15" s="78">
        <v>45671</v>
      </c>
      <c r="B15" s="77" t="str">
        <f>+PT!A17</f>
        <v>2026-10</v>
      </c>
      <c r="C15" s="77">
        <f t="shared" si="0"/>
        <v>14</v>
      </c>
      <c r="H15" s="97" t="s">
        <v>235</v>
      </c>
      <c r="I15" s="97" t="s">
        <v>235</v>
      </c>
      <c r="J15" s="97" t="s">
        <v>216</v>
      </c>
      <c r="K15" s="97"/>
      <c r="L15" s="97"/>
      <c r="M15" s="97">
        <v>0</v>
      </c>
      <c r="N15" s="77">
        <v>3</v>
      </c>
      <c r="O15" s="77">
        <v>30</v>
      </c>
      <c r="X15" s="77" t="s">
        <v>326</v>
      </c>
      <c r="Y15" s="103"/>
      <c r="AC15"/>
    </row>
    <row r="16" spans="1:39" ht="12.75" x14ac:dyDescent="0.2">
      <c r="A16" s="78">
        <v>45672</v>
      </c>
      <c r="B16" s="77" t="str">
        <f>+PT!A18</f>
        <v>2026-11</v>
      </c>
      <c r="C16" s="77">
        <f t="shared" si="0"/>
        <v>15</v>
      </c>
      <c r="H16" s="97" t="s">
        <v>236</v>
      </c>
      <c r="I16" s="97" t="s">
        <v>236</v>
      </c>
      <c r="J16" s="97" t="s">
        <v>234</v>
      </c>
      <c r="K16" s="97"/>
      <c r="L16" s="97"/>
      <c r="M16" s="97">
        <v>0</v>
      </c>
      <c r="N16" s="77">
        <v>4</v>
      </c>
      <c r="O16" s="77">
        <v>30</v>
      </c>
      <c r="X16" s="77" t="s">
        <v>327</v>
      </c>
      <c r="Y16" s="103"/>
      <c r="AC16"/>
    </row>
    <row r="17" spans="1:33" ht="12.75" x14ac:dyDescent="0.2">
      <c r="A17" s="78">
        <v>45673</v>
      </c>
      <c r="B17" s="77" t="str">
        <f>+PT!A19</f>
        <v>2026-12</v>
      </c>
      <c r="C17" s="77">
        <f t="shared" si="0"/>
        <v>16</v>
      </c>
      <c r="H17" s="97" t="s">
        <v>156</v>
      </c>
      <c r="I17" s="97" t="s">
        <v>156</v>
      </c>
      <c r="J17" s="97" t="s">
        <v>216</v>
      </c>
      <c r="K17" s="97" t="s">
        <v>168</v>
      </c>
      <c r="L17" s="97"/>
      <c r="M17" s="97">
        <v>0</v>
      </c>
      <c r="N17" s="77">
        <v>3</v>
      </c>
      <c r="O17" s="77">
        <v>30</v>
      </c>
      <c r="X17" s="77" t="s">
        <v>328</v>
      </c>
      <c r="Y17" s="103"/>
      <c r="AC17"/>
    </row>
    <row r="18" spans="1:33" ht="12.75" x14ac:dyDescent="0.2">
      <c r="A18" s="78">
        <v>45674</v>
      </c>
      <c r="B18" s="77" t="str">
        <f>+PT!A20</f>
        <v>2027-1</v>
      </c>
      <c r="C18" s="77">
        <f t="shared" si="0"/>
        <v>17</v>
      </c>
      <c r="H18" s="97" t="s">
        <v>237</v>
      </c>
      <c r="I18" s="97" t="s">
        <v>237</v>
      </c>
      <c r="J18" s="97" t="s">
        <v>238</v>
      </c>
      <c r="K18" s="97"/>
      <c r="L18" s="97"/>
      <c r="M18" s="97">
        <v>0</v>
      </c>
      <c r="N18" s="77">
        <v>2</v>
      </c>
      <c r="O18" s="77">
        <v>30</v>
      </c>
      <c r="AC18"/>
      <c r="AE18"/>
      <c r="AF18"/>
      <c r="AG18"/>
    </row>
    <row r="19" spans="1:33" x14ac:dyDescent="0.2">
      <c r="A19" s="78">
        <v>45675</v>
      </c>
      <c r="B19" s="77" t="str">
        <f>+PT!A21</f>
        <v>2027-2</v>
      </c>
      <c r="C19" s="77">
        <f t="shared" si="0"/>
        <v>18</v>
      </c>
      <c r="H19" s="97" t="s">
        <v>239</v>
      </c>
      <c r="I19" s="97" t="s">
        <v>239</v>
      </c>
      <c r="J19" s="97" t="s">
        <v>216</v>
      </c>
      <c r="K19" s="97"/>
      <c r="L19" s="97"/>
      <c r="M19" s="97">
        <v>0</v>
      </c>
      <c r="N19" s="77">
        <v>3</v>
      </c>
      <c r="O19" s="77">
        <v>30</v>
      </c>
    </row>
    <row r="20" spans="1:33" x14ac:dyDescent="0.2">
      <c r="A20" s="78">
        <v>45676</v>
      </c>
      <c r="B20" s="77" t="str">
        <f>+PT!A22</f>
        <v>2027-3</v>
      </c>
      <c r="C20" s="77">
        <f t="shared" si="0"/>
        <v>19</v>
      </c>
      <c r="H20" s="97" t="s">
        <v>240</v>
      </c>
      <c r="I20" s="97" t="s">
        <v>240</v>
      </c>
      <c r="J20" s="97" t="s">
        <v>234</v>
      </c>
      <c r="K20" s="97"/>
      <c r="L20" s="97"/>
      <c r="M20" s="97">
        <v>0</v>
      </c>
      <c r="N20" s="77">
        <v>3</v>
      </c>
      <c r="O20" s="77">
        <v>30</v>
      </c>
    </row>
    <row r="21" spans="1:33" x14ac:dyDescent="0.2">
      <c r="A21" s="78">
        <v>45677</v>
      </c>
      <c r="B21" s="77" t="str">
        <f>+PT!A23</f>
        <v>2027-4</v>
      </c>
      <c r="C21" s="77">
        <f t="shared" si="0"/>
        <v>20</v>
      </c>
      <c r="H21" s="97" t="s">
        <v>241</v>
      </c>
      <c r="I21" s="97" t="s">
        <v>241</v>
      </c>
      <c r="J21" s="97" t="s">
        <v>216</v>
      </c>
      <c r="K21" s="97"/>
      <c r="L21" s="97" t="s">
        <v>0</v>
      </c>
      <c r="M21" s="97">
        <v>0</v>
      </c>
      <c r="N21" s="77">
        <v>4</v>
      </c>
      <c r="O21" s="77">
        <v>30</v>
      </c>
    </row>
    <row r="22" spans="1:33" x14ac:dyDescent="0.2">
      <c r="A22" s="78">
        <v>45678</v>
      </c>
      <c r="B22" s="77" t="str">
        <f>+PT!A24</f>
        <v>2027-5</v>
      </c>
      <c r="C22" s="77">
        <f t="shared" si="0"/>
        <v>21</v>
      </c>
      <c r="H22" s="98" t="s">
        <v>242</v>
      </c>
      <c r="I22" s="98" t="s">
        <v>242</v>
      </c>
      <c r="J22" s="97" t="s">
        <v>178</v>
      </c>
      <c r="K22" s="97"/>
      <c r="L22" s="97" t="s">
        <v>0</v>
      </c>
      <c r="M22" s="97">
        <v>0</v>
      </c>
      <c r="N22" s="77">
        <v>4</v>
      </c>
      <c r="O22" s="77">
        <v>45</v>
      </c>
    </row>
    <row r="23" spans="1:33" x14ac:dyDescent="0.2">
      <c r="A23" s="78">
        <v>45679</v>
      </c>
      <c r="B23" s="77" t="str">
        <f>+PT!A25</f>
        <v>2027-6</v>
      </c>
      <c r="C23" s="77">
        <f t="shared" si="0"/>
        <v>22</v>
      </c>
      <c r="H23" s="97" t="s">
        <v>243</v>
      </c>
      <c r="I23" s="97" t="s">
        <v>242</v>
      </c>
      <c r="J23" s="97" t="s">
        <v>178</v>
      </c>
      <c r="K23" s="97"/>
      <c r="L23" s="97" t="s">
        <v>198</v>
      </c>
      <c r="M23" s="97">
        <v>0</v>
      </c>
      <c r="N23" s="77">
        <v>4</v>
      </c>
      <c r="O23" s="77">
        <v>45</v>
      </c>
    </row>
    <row r="24" spans="1:33" x14ac:dyDescent="0.2">
      <c r="A24" s="78">
        <v>45680</v>
      </c>
      <c r="B24" s="77" t="str">
        <f>+PT!A26</f>
        <v>2027-7</v>
      </c>
      <c r="C24" s="77">
        <f t="shared" si="0"/>
        <v>23</v>
      </c>
      <c r="H24" s="97" t="s">
        <v>244</v>
      </c>
      <c r="I24" s="97" t="s">
        <v>242</v>
      </c>
      <c r="J24" s="97" t="s">
        <v>178</v>
      </c>
      <c r="K24" s="97"/>
      <c r="L24" s="97" t="s">
        <v>198</v>
      </c>
      <c r="M24" s="97">
        <v>0</v>
      </c>
      <c r="N24" s="77">
        <v>4</v>
      </c>
      <c r="O24" s="77">
        <v>45</v>
      </c>
    </row>
    <row r="25" spans="1:33" x14ac:dyDescent="0.2">
      <c r="A25" s="78">
        <v>45681</v>
      </c>
      <c r="B25" s="77" t="str">
        <f>+PT!A27</f>
        <v>2027-8</v>
      </c>
      <c r="C25" s="77">
        <f t="shared" si="0"/>
        <v>24</v>
      </c>
      <c r="H25" s="97" t="s">
        <v>245</v>
      </c>
      <c r="I25" s="97" t="s">
        <v>245</v>
      </c>
      <c r="J25" s="97" t="s">
        <v>216</v>
      </c>
      <c r="K25" s="97"/>
      <c r="L25" s="97"/>
      <c r="M25" s="97">
        <v>0</v>
      </c>
      <c r="N25" s="77">
        <v>3</v>
      </c>
      <c r="O25" s="77">
        <v>30</v>
      </c>
    </row>
    <row r="26" spans="1:33" x14ac:dyDescent="0.2">
      <c r="A26" s="78">
        <v>45682</v>
      </c>
      <c r="B26" s="77" t="str">
        <f>+PT!A28</f>
        <v>2027-9</v>
      </c>
      <c r="C26" s="77">
        <f t="shared" si="0"/>
        <v>25</v>
      </c>
      <c r="H26" s="97" t="s">
        <v>246</v>
      </c>
      <c r="I26" s="97" t="s">
        <v>247</v>
      </c>
      <c r="J26" s="97" t="s">
        <v>178</v>
      </c>
      <c r="K26" s="97"/>
      <c r="L26" s="97" t="s">
        <v>198</v>
      </c>
      <c r="M26" s="99">
        <v>0.23</v>
      </c>
      <c r="N26" s="77">
        <v>2</v>
      </c>
      <c r="O26" s="77">
        <v>30</v>
      </c>
    </row>
    <row r="27" spans="1:33" x14ac:dyDescent="0.2">
      <c r="A27" s="78">
        <v>45683</v>
      </c>
      <c r="B27" s="77" t="str">
        <f>+PT!A29</f>
        <v>-</v>
      </c>
      <c r="C27" s="77">
        <f t="shared" si="0"/>
        <v>26</v>
      </c>
      <c r="H27" s="98" t="s">
        <v>247</v>
      </c>
      <c r="I27" s="98" t="s">
        <v>247</v>
      </c>
      <c r="J27" s="97" t="s">
        <v>178</v>
      </c>
      <c r="K27" s="97"/>
      <c r="L27" s="97" t="s">
        <v>198</v>
      </c>
      <c r="M27" s="99">
        <v>0.23</v>
      </c>
      <c r="N27" s="77">
        <v>2</v>
      </c>
      <c r="O27" s="77">
        <v>30</v>
      </c>
    </row>
    <row r="28" spans="1:33" x14ac:dyDescent="0.2">
      <c r="A28" s="78">
        <v>45684</v>
      </c>
      <c r="B28" s="77" t="str">
        <f>+PT!A30</f>
        <v>-</v>
      </c>
      <c r="C28" s="77">
        <f t="shared" si="0"/>
        <v>27</v>
      </c>
      <c r="H28" s="97" t="s">
        <v>192</v>
      </c>
      <c r="I28" s="97" t="s">
        <v>192</v>
      </c>
      <c r="J28" s="97"/>
      <c r="K28" s="97"/>
      <c r="L28" s="97"/>
      <c r="M28" s="97">
        <v>0</v>
      </c>
      <c r="N28" s="77">
        <v>4</v>
      </c>
      <c r="O28" s="77">
        <v>30</v>
      </c>
    </row>
    <row r="29" spans="1:33" x14ac:dyDescent="0.2">
      <c r="A29" s="78">
        <v>45685</v>
      </c>
      <c r="B29" s="77" t="str">
        <f>+PT!A31</f>
        <v>-</v>
      </c>
      <c r="C29" s="77">
        <f t="shared" si="0"/>
        <v>28</v>
      </c>
      <c r="H29" s="97" t="s">
        <v>248</v>
      </c>
      <c r="I29" s="97" t="s">
        <v>175</v>
      </c>
      <c r="J29" s="97"/>
      <c r="K29" s="97"/>
      <c r="L29" s="97"/>
      <c r="M29" s="97">
        <v>0</v>
      </c>
      <c r="N29" s="77">
        <v>3</v>
      </c>
      <c r="O29" s="77">
        <v>30</v>
      </c>
    </row>
    <row r="30" spans="1:33" x14ac:dyDescent="0.2">
      <c r="A30" s="78">
        <v>45686</v>
      </c>
      <c r="B30" s="77" t="str">
        <f>+PT!A32</f>
        <v>-</v>
      </c>
      <c r="C30" s="77">
        <f t="shared" si="0"/>
        <v>29</v>
      </c>
      <c r="H30" s="97" t="s">
        <v>249</v>
      </c>
      <c r="I30" s="97" t="s">
        <v>250</v>
      </c>
      <c r="J30" s="97" t="s">
        <v>178</v>
      </c>
      <c r="K30" s="97"/>
      <c r="L30" s="97" t="s">
        <v>198</v>
      </c>
      <c r="M30" s="99">
        <v>0.23</v>
      </c>
      <c r="N30" s="77">
        <v>2</v>
      </c>
      <c r="O30" s="77">
        <v>30</v>
      </c>
    </row>
    <row r="31" spans="1:33" x14ac:dyDescent="0.2">
      <c r="A31" s="78">
        <v>45687</v>
      </c>
      <c r="B31" s="77" t="str">
        <f>+PT!A33</f>
        <v>-</v>
      </c>
      <c r="C31" s="77">
        <f t="shared" si="0"/>
        <v>30</v>
      </c>
      <c r="H31" s="97" t="s">
        <v>251</v>
      </c>
      <c r="I31" s="97" t="s">
        <v>251</v>
      </c>
      <c r="J31" s="97" t="s">
        <v>234</v>
      </c>
      <c r="K31" s="97"/>
      <c r="L31" s="97"/>
      <c r="M31" s="97">
        <v>0</v>
      </c>
      <c r="N31" s="77">
        <v>4</v>
      </c>
      <c r="O31" s="77">
        <v>30</v>
      </c>
    </row>
    <row r="32" spans="1:33" x14ac:dyDescent="0.2">
      <c r="A32" s="78">
        <v>45688</v>
      </c>
      <c r="B32" s="77" t="str">
        <f>+PT!A34</f>
        <v>-</v>
      </c>
      <c r="C32" s="77">
        <f t="shared" si="0"/>
        <v>31</v>
      </c>
      <c r="H32" s="98" t="s">
        <v>250</v>
      </c>
      <c r="I32" s="98" t="s">
        <v>250</v>
      </c>
      <c r="J32" s="97" t="s">
        <v>178</v>
      </c>
      <c r="K32" s="97"/>
      <c r="L32" s="97" t="s">
        <v>198</v>
      </c>
      <c r="M32" s="99">
        <v>0.23</v>
      </c>
      <c r="N32" s="77">
        <v>2</v>
      </c>
      <c r="O32" s="77">
        <v>30</v>
      </c>
    </row>
    <row r="33" spans="1:15" x14ac:dyDescent="0.2">
      <c r="A33" s="78">
        <v>45689</v>
      </c>
      <c r="B33" s="77" t="str">
        <f>+PT!A35</f>
        <v>-</v>
      </c>
      <c r="C33" s="77">
        <f t="shared" si="0"/>
        <v>32</v>
      </c>
      <c r="H33" s="98" t="s">
        <v>252</v>
      </c>
      <c r="I33" s="97" t="s">
        <v>204</v>
      </c>
      <c r="J33" s="97" t="s">
        <v>178</v>
      </c>
      <c r="K33" s="97"/>
      <c r="L33" s="97" t="s">
        <v>198</v>
      </c>
      <c r="M33" s="97">
        <v>0</v>
      </c>
      <c r="N33" s="77">
        <v>3</v>
      </c>
      <c r="O33" s="77">
        <v>30</v>
      </c>
    </row>
    <row r="34" spans="1:15" x14ac:dyDescent="0.2">
      <c r="A34" s="78">
        <v>45690</v>
      </c>
      <c r="B34" s="77" t="str">
        <f>+PT!A36</f>
        <v>-</v>
      </c>
      <c r="C34" s="77">
        <f t="shared" si="0"/>
        <v>33</v>
      </c>
      <c r="H34" s="98" t="s">
        <v>177</v>
      </c>
      <c r="I34" s="98" t="s">
        <v>177</v>
      </c>
      <c r="J34" s="97" t="s">
        <v>178</v>
      </c>
      <c r="K34" s="97"/>
      <c r="L34" s="97" t="s">
        <v>0</v>
      </c>
      <c r="M34" s="97">
        <v>0</v>
      </c>
      <c r="N34" s="77">
        <v>4</v>
      </c>
      <c r="O34" s="77">
        <v>30</v>
      </c>
    </row>
    <row r="35" spans="1:15" x14ac:dyDescent="0.2">
      <c r="A35" s="78">
        <v>45691</v>
      </c>
      <c r="B35" s="77" t="str">
        <f>+PT!A37</f>
        <v>-</v>
      </c>
      <c r="C35" s="77">
        <f t="shared" ref="C35:C66" si="2">+C34+1</f>
        <v>34</v>
      </c>
      <c r="H35" s="98" t="s">
        <v>253</v>
      </c>
      <c r="I35" s="98" t="s">
        <v>253</v>
      </c>
      <c r="J35" s="97" t="s">
        <v>221</v>
      </c>
      <c r="K35" s="97"/>
      <c r="L35" s="97"/>
      <c r="M35" s="97">
        <v>0</v>
      </c>
      <c r="N35" s="77">
        <v>3</v>
      </c>
      <c r="O35" s="77">
        <v>30</v>
      </c>
    </row>
    <row r="36" spans="1:15" x14ac:dyDescent="0.2">
      <c r="A36" s="78">
        <v>45692</v>
      </c>
      <c r="B36" s="77" t="str">
        <f>+PT!A38</f>
        <v>-</v>
      </c>
      <c r="C36" s="77">
        <f t="shared" si="2"/>
        <v>35</v>
      </c>
      <c r="H36" s="98" t="s">
        <v>254</v>
      </c>
      <c r="I36" s="98" t="s">
        <v>254</v>
      </c>
      <c r="J36" s="97"/>
      <c r="K36" s="97"/>
      <c r="L36" s="97"/>
      <c r="M36" s="97">
        <v>0</v>
      </c>
      <c r="N36" s="77">
        <v>2</v>
      </c>
      <c r="O36" s="77">
        <v>30</v>
      </c>
    </row>
    <row r="37" spans="1:15" x14ac:dyDescent="0.2">
      <c r="A37" s="78">
        <v>45693</v>
      </c>
      <c r="B37" s="77" t="str">
        <f>+PT!A39</f>
        <v>-</v>
      </c>
      <c r="C37" s="77">
        <f t="shared" si="2"/>
        <v>36</v>
      </c>
      <c r="H37" s="98" t="s">
        <v>255</v>
      </c>
      <c r="I37" s="98" t="s">
        <v>255</v>
      </c>
      <c r="J37" s="97"/>
      <c r="K37" s="97"/>
      <c r="L37" s="97"/>
      <c r="M37" s="97">
        <v>0</v>
      </c>
      <c r="N37" s="77">
        <v>4</v>
      </c>
      <c r="O37" s="77">
        <v>30</v>
      </c>
    </row>
    <row r="38" spans="1:15" x14ac:dyDescent="0.2">
      <c r="A38" s="78">
        <v>45694</v>
      </c>
      <c r="B38" s="77" t="str">
        <f>+PT!A40</f>
        <v>-</v>
      </c>
      <c r="C38" s="77">
        <f t="shared" si="2"/>
        <v>37</v>
      </c>
      <c r="H38" s="98" t="s">
        <v>256</v>
      </c>
      <c r="I38" s="98" t="s">
        <v>256</v>
      </c>
      <c r="J38" s="97"/>
      <c r="K38" s="97"/>
      <c r="L38" s="97"/>
      <c r="M38" s="97">
        <v>0</v>
      </c>
      <c r="N38" s="77">
        <v>4</v>
      </c>
      <c r="O38" s="77">
        <v>30</v>
      </c>
    </row>
    <row r="39" spans="1:15" x14ac:dyDescent="0.2">
      <c r="A39" s="78">
        <v>45695</v>
      </c>
      <c r="B39" s="77" t="str">
        <f>+PT!A41</f>
        <v>-</v>
      </c>
      <c r="C39" s="77">
        <f t="shared" si="2"/>
        <v>38</v>
      </c>
      <c r="H39" s="98" t="s">
        <v>257</v>
      </c>
      <c r="I39" s="98" t="s">
        <v>187</v>
      </c>
      <c r="J39" s="97" t="s">
        <v>188</v>
      </c>
      <c r="K39" s="98"/>
      <c r="L39" s="97"/>
      <c r="M39" s="100">
        <v>0.125</v>
      </c>
      <c r="N39" s="77">
        <v>3</v>
      </c>
      <c r="O39" s="77">
        <v>30</v>
      </c>
    </row>
    <row r="40" spans="1:15" x14ac:dyDescent="0.2">
      <c r="A40" s="78">
        <v>45696</v>
      </c>
      <c r="B40" s="77" t="str">
        <f>+PT!A42</f>
        <v>-</v>
      </c>
      <c r="C40" s="77">
        <f t="shared" si="2"/>
        <v>39</v>
      </c>
      <c r="H40" s="98" t="s">
        <v>258</v>
      </c>
      <c r="I40" s="98" t="s">
        <v>187</v>
      </c>
      <c r="J40" s="97" t="s">
        <v>188</v>
      </c>
      <c r="K40" s="98"/>
      <c r="L40" s="97"/>
      <c r="M40" s="99">
        <v>0.25</v>
      </c>
      <c r="N40" s="77">
        <v>3</v>
      </c>
      <c r="O40" s="77">
        <v>30</v>
      </c>
    </row>
    <row r="41" spans="1:15" x14ac:dyDescent="0.2">
      <c r="A41" s="78">
        <v>45697</v>
      </c>
      <c r="B41" s="77" t="str">
        <f>+PT!A43</f>
        <v>-</v>
      </c>
      <c r="C41" s="77">
        <f t="shared" si="2"/>
        <v>40</v>
      </c>
      <c r="H41" s="98" t="s">
        <v>259</v>
      </c>
      <c r="I41" s="98" t="s">
        <v>187</v>
      </c>
      <c r="J41" s="97" t="s">
        <v>188</v>
      </c>
      <c r="K41" s="98"/>
      <c r="L41" s="97"/>
      <c r="M41" s="99">
        <v>0.1</v>
      </c>
      <c r="N41" s="77">
        <v>3</v>
      </c>
      <c r="O41" s="77">
        <v>30</v>
      </c>
    </row>
    <row r="42" spans="1:15" x14ac:dyDescent="0.2">
      <c r="A42" s="78">
        <v>45698</v>
      </c>
      <c r="B42" s="77" t="str">
        <f>+PT!A44</f>
        <v>-</v>
      </c>
      <c r="C42" s="77">
        <f t="shared" si="2"/>
        <v>41</v>
      </c>
      <c r="H42" s="98" t="s">
        <v>230</v>
      </c>
      <c r="I42" s="97" t="s">
        <v>230</v>
      </c>
      <c r="J42" s="97" t="s">
        <v>188</v>
      </c>
      <c r="K42" s="98"/>
      <c r="L42" s="97"/>
      <c r="M42" s="97">
        <v>0</v>
      </c>
      <c r="N42" s="77">
        <v>3</v>
      </c>
      <c r="O42" s="77">
        <v>30</v>
      </c>
    </row>
    <row r="43" spans="1:15" x14ac:dyDescent="0.2">
      <c r="A43" s="78">
        <v>45699</v>
      </c>
      <c r="B43" s="77" t="str">
        <f>+PT!A45</f>
        <v>-</v>
      </c>
      <c r="C43" s="77">
        <f t="shared" si="2"/>
        <v>42</v>
      </c>
      <c r="H43" s="98" t="s">
        <v>260</v>
      </c>
      <c r="I43" s="98" t="s">
        <v>187</v>
      </c>
      <c r="J43" s="98"/>
      <c r="K43" s="98"/>
      <c r="L43" s="97"/>
      <c r="M43" s="97">
        <v>0</v>
      </c>
      <c r="N43" s="77">
        <v>3</v>
      </c>
      <c r="O43" s="77">
        <v>30</v>
      </c>
    </row>
    <row r="44" spans="1:15" x14ac:dyDescent="0.2">
      <c r="A44" s="78">
        <v>45700</v>
      </c>
      <c r="B44" s="77" t="str">
        <f>+PT!A46</f>
        <v>-</v>
      </c>
      <c r="C44" s="77">
        <f t="shared" si="2"/>
        <v>43</v>
      </c>
      <c r="H44" s="98" t="s">
        <v>261</v>
      </c>
      <c r="I44" s="97" t="s">
        <v>230</v>
      </c>
      <c r="J44" s="98"/>
      <c r="K44" s="98"/>
      <c r="L44" s="97"/>
      <c r="M44" s="97">
        <v>0</v>
      </c>
      <c r="N44" s="77">
        <v>3</v>
      </c>
      <c r="O44" s="77">
        <v>30</v>
      </c>
    </row>
    <row r="45" spans="1:15" x14ac:dyDescent="0.2">
      <c r="A45" s="78">
        <v>45701</v>
      </c>
      <c r="B45" s="77" t="str">
        <f>+PT!A47</f>
        <v>-</v>
      </c>
      <c r="C45" s="77">
        <f t="shared" si="2"/>
        <v>44</v>
      </c>
      <c r="H45" s="98" t="s">
        <v>262</v>
      </c>
      <c r="I45" s="98" t="s">
        <v>167</v>
      </c>
      <c r="J45" s="97" t="s">
        <v>168</v>
      </c>
      <c r="K45" s="98"/>
      <c r="L45" s="97" t="s">
        <v>0</v>
      </c>
      <c r="M45" s="97">
        <v>0</v>
      </c>
      <c r="N45" s="77">
        <v>4</v>
      </c>
      <c r="O45" s="77">
        <v>30</v>
      </c>
    </row>
    <row r="46" spans="1:15" x14ac:dyDescent="0.2">
      <c r="A46" s="78">
        <v>45702</v>
      </c>
      <c r="B46" s="77" t="str">
        <f>+PT!A48</f>
        <v>-</v>
      </c>
      <c r="C46" s="77">
        <f t="shared" si="2"/>
        <v>45</v>
      </c>
      <c r="H46" s="98" t="s">
        <v>263</v>
      </c>
      <c r="I46" s="98" t="s">
        <v>156</v>
      </c>
      <c r="J46" s="98"/>
      <c r="K46" s="98"/>
      <c r="L46" s="97"/>
      <c r="M46" s="97">
        <v>0</v>
      </c>
      <c r="N46" s="77">
        <v>3</v>
      </c>
      <c r="O46" s="77">
        <v>30</v>
      </c>
    </row>
    <row r="47" spans="1:15" x14ac:dyDescent="0.2">
      <c r="A47" s="78">
        <v>45703</v>
      </c>
      <c r="B47" s="77" t="str">
        <f>+PT!A49</f>
        <v>-</v>
      </c>
      <c r="C47" s="77">
        <f t="shared" si="2"/>
        <v>46</v>
      </c>
      <c r="H47" s="98" t="s">
        <v>264</v>
      </c>
      <c r="I47" s="98" t="s">
        <v>175</v>
      </c>
      <c r="J47" s="98"/>
      <c r="K47" s="98"/>
      <c r="L47" s="97"/>
      <c r="M47" s="97">
        <v>0</v>
      </c>
      <c r="N47" s="77">
        <v>3</v>
      </c>
      <c r="O47" s="77">
        <v>30</v>
      </c>
    </row>
    <row r="48" spans="1:15" x14ac:dyDescent="0.2">
      <c r="A48" s="78">
        <v>45704</v>
      </c>
      <c r="B48" s="77" t="str">
        <f>+PT!A50</f>
        <v>-</v>
      </c>
      <c r="C48" s="77">
        <f t="shared" si="2"/>
        <v>47</v>
      </c>
      <c r="H48" s="98" t="s">
        <v>265</v>
      </c>
      <c r="I48" s="98" t="s">
        <v>187</v>
      </c>
      <c r="J48" s="98"/>
      <c r="K48" s="98"/>
      <c r="L48" s="97"/>
      <c r="M48" s="100">
        <v>0.125</v>
      </c>
      <c r="N48" s="77">
        <v>3</v>
      </c>
      <c r="O48" s="77">
        <v>30</v>
      </c>
    </row>
    <row r="49" spans="1:15" x14ac:dyDescent="0.2">
      <c r="A49" s="78">
        <v>45705</v>
      </c>
      <c r="B49" s="77" t="str">
        <f>+PT!A51</f>
        <v>-</v>
      </c>
      <c r="C49" s="77">
        <f t="shared" si="2"/>
        <v>48</v>
      </c>
      <c r="H49" s="98" t="s">
        <v>266</v>
      </c>
      <c r="I49" s="98" t="s">
        <v>187</v>
      </c>
      <c r="J49" s="98"/>
      <c r="K49" s="98"/>
      <c r="L49" s="97"/>
      <c r="M49" s="99">
        <v>0.25</v>
      </c>
      <c r="N49" s="77">
        <v>3</v>
      </c>
      <c r="O49" s="77">
        <v>30</v>
      </c>
    </row>
    <row r="50" spans="1:15" x14ac:dyDescent="0.2">
      <c r="A50" s="78">
        <v>45706</v>
      </c>
      <c r="B50" s="77" t="str">
        <f>+PT!A52</f>
        <v>-</v>
      </c>
      <c r="C50" s="77">
        <f t="shared" si="2"/>
        <v>49</v>
      </c>
      <c r="H50" s="98" t="s">
        <v>267</v>
      </c>
      <c r="I50" s="98" t="s">
        <v>197</v>
      </c>
      <c r="J50" s="97" t="s">
        <v>178</v>
      </c>
      <c r="K50" s="97"/>
      <c r="L50" s="97" t="s">
        <v>198</v>
      </c>
      <c r="M50" s="97">
        <v>0</v>
      </c>
      <c r="N50" s="77">
        <v>4</v>
      </c>
      <c r="O50" s="77">
        <v>30</v>
      </c>
    </row>
    <row r="51" spans="1:15" x14ac:dyDescent="0.2">
      <c r="A51" s="78">
        <v>45707</v>
      </c>
      <c r="B51" s="77" t="str">
        <f>+PT!A53</f>
        <v>-</v>
      </c>
      <c r="C51" s="77">
        <f t="shared" si="2"/>
        <v>50</v>
      </c>
      <c r="H51" s="98" t="s">
        <v>268</v>
      </c>
      <c r="I51" s="98" t="s">
        <v>187</v>
      </c>
      <c r="J51" s="98"/>
      <c r="K51" s="98"/>
      <c r="L51" s="97"/>
      <c r="M51" s="97">
        <v>0</v>
      </c>
      <c r="N51" s="77">
        <v>3</v>
      </c>
      <c r="O51" s="77">
        <v>30</v>
      </c>
    </row>
    <row r="52" spans="1:15" x14ac:dyDescent="0.2">
      <c r="A52" s="78">
        <v>45708</v>
      </c>
      <c r="B52" s="77" t="str">
        <f>+PT!A54</f>
        <v>-</v>
      </c>
      <c r="C52" s="77">
        <f t="shared" si="2"/>
        <v>51</v>
      </c>
      <c r="H52" s="98" t="s">
        <v>269</v>
      </c>
      <c r="I52" s="98" t="s">
        <v>187</v>
      </c>
      <c r="J52" s="97" t="s">
        <v>188</v>
      </c>
      <c r="K52" s="98" t="s">
        <v>178</v>
      </c>
      <c r="L52" s="98"/>
      <c r="M52" s="99">
        <v>0.1</v>
      </c>
      <c r="N52" s="77">
        <v>3</v>
      </c>
      <c r="O52" s="77">
        <v>30</v>
      </c>
    </row>
    <row r="53" spans="1:15" x14ac:dyDescent="0.2">
      <c r="A53" s="78">
        <v>45709</v>
      </c>
      <c r="B53" s="77" t="str">
        <f>+PT!A55</f>
        <v>-</v>
      </c>
      <c r="C53" s="77">
        <f t="shared" si="2"/>
        <v>52</v>
      </c>
      <c r="H53" s="98" t="s">
        <v>270</v>
      </c>
      <c r="I53" s="98" t="s">
        <v>250</v>
      </c>
      <c r="J53" s="97" t="s">
        <v>178</v>
      </c>
      <c r="K53" s="97"/>
      <c r="L53" s="97" t="s">
        <v>198</v>
      </c>
      <c r="M53" s="101">
        <v>0.23</v>
      </c>
      <c r="N53" s="77">
        <v>2</v>
      </c>
      <c r="O53" s="77">
        <v>30</v>
      </c>
    </row>
    <row r="54" spans="1:15" x14ac:dyDescent="0.2">
      <c r="A54" s="78">
        <v>45710</v>
      </c>
      <c r="B54" s="77" t="str">
        <f>+PT!A56</f>
        <v>-</v>
      </c>
      <c r="C54" s="77">
        <f t="shared" si="2"/>
        <v>53</v>
      </c>
      <c r="H54" s="98" t="s">
        <v>271</v>
      </c>
      <c r="I54" s="97" t="s">
        <v>215</v>
      </c>
      <c r="J54" s="98"/>
      <c r="K54" s="98"/>
      <c r="L54" s="98"/>
      <c r="M54" s="102">
        <v>0.16</v>
      </c>
      <c r="N54" s="77">
        <v>3</v>
      </c>
      <c r="O54" s="77">
        <v>30</v>
      </c>
    </row>
    <row r="55" spans="1:15" x14ac:dyDescent="0.2">
      <c r="A55" s="78">
        <v>45711</v>
      </c>
      <c r="B55" s="77" t="str">
        <f>+PT!A57</f>
        <v>-</v>
      </c>
      <c r="C55" s="77">
        <f t="shared" si="2"/>
        <v>54</v>
      </c>
      <c r="H55" s="98" t="s">
        <v>272</v>
      </c>
      <c r="I55" s="98" t="s">
        <v>239</v>
      </c>
      <c r="J55" s="98"/>
      <c r="K55" s="98"/>
      <c r="L55" s="98"/>
      <c r="M55" s="102">
        <v>0.16</v>
      </c>
      <c r="N55" s="77">
        <v>3</v>
      </c>
      <c r="O55" s="77">
        <v>30</v>
      </c>
    </row>
    <row r="56" spans="1:15" x14ac:dyDescent="0.2">
      <c r="A56" s="78">
        <v>45712</v>
      </c>
      <c r="B56" s="77" t="str">
        <f>+PT!A58</f>
        <v>-</v>
      </c>
      <c r="C56" s="77">
        <f t="shared" si="2"/>
        <v>55</v>
      </c>
      <c r="H56" s="98" t="s">
        <v>273</v>
      </c>
      <c r="I56" s="98" t="s">
        <v>241</v>
      </c>
      <c r="J56" s="97" t="s">
        <v>216</v>
      </c>
      <c r="K56" s="98"/>
      <c r="L56" s="97" t="s">
        <v>0</v>
      </c>
      <c r="M56" s="102">
        <v>0.16</v>
      </c>
      <c r="N56" s="77">
        <v>4</v>
      </c>
      <c r="O56" s="77">
        <v>30</v>
      </c>
    </row>
    <row r="57" spans="1:15" x14ac:dyDescent="0.2">
      <c r="A57" s="78">
        <v>45713</v>
      </c>
      <c r="B57" s="77" t="str">
        <f>+PT!A59</f>
        <v>-</v>
      </c>
      <c r="C57" s="77">
        <f t="shared" si="2"/>
        <v>56</v>
      </c>
      <c r="H57" s="98" t="s">
        <v>274</v>
      </c>
      <c r="I57" s="98" t="s">
        <v>156</v>
      </c>
      <c r="J57" s="98"/>
      <c r="K57" s="98"/>
      <c r="L57" s="98"/>
      <c r="M57" s="102">
        <v>0.16</v>
      </c>
      <c r="N57" s="77">
        <v>3</v>
      </c>
      <c r="O57" s="77">
        <v>30</v>
      </c>
    </row>
    <row r="58" spans="1:15" x14ac:dyDescent="0.2">
      <c r="A58" s="78">
        <v>45714</v>
      </c>
      <c r="B58" s="77" t="str">
        <f>+PT!A60</f>
        <v>-</v>
      </c>
      <c r="C58" s="77">
        <f t="shared" si="2"/>
        <v>57</v>
      </c>
      <c r="H58" s="98" t="s">
        <v>275</v>
      </c>
      <c r="I58" s="98" t="s">
        <v>235</v>
      </c>
      <c r="J58" s="98"/>
      <c r="K58" s="98"/>
      <c r="L58" s="98"/>
      <c r="M58" s="102">
        <v>0.16</v>
      </c>
      <c r="N58" s="77">
        <v>3</v>
      </c>
      <c r="O58" s="77">
        <v>30</v>
      </c>
    </row>
    <row r="59" spans="1:15" x14ac:dyDescent="0.2">
      <c r="A59" s="78">
        <v>45715</v>
      </c>
      <c r="B59" s="77" t="str">
        <f>+PT!A61</f>
        <v>-</v>
      </c>
      <c r="C59" s="77">
        <f t="shared" si="2"/>
        <v>58</v>
      </c>
      <c r="H59" s="98" t="s">
        <v>276</v>
      </c>
      <c r="I59" s="98" t="s">
        <v>245</v>
      </c>
      <c r="J59" s="98"/>
      <c r="K59" s="98"/>
      <c r="L59" s="98"/>
      <c r="M59" s="102">
        <v>0.16</v>
      </c>
      <c r="N59" s="77">
        <v>3</v>
      </c>
      <c r="O59" s="77">
        <v>30</v>
      </c>
    </row>
    <row r="60" spans="1:15" x14ac:dyDescent="0.2">
      <c r="A60" s="78">
        <v>45716</v>
      </c>
      <c r="B60" s="77" t="str">
        <f>+PT!A62</f>
        <v>-</v>
      </c>
      <c r="C60" s="77">
        <f t="shared" si="2"/>
        <v>59</v>
      </c>
      <c r="H60" s="98" t="s">
        <v>277</v>
      </c>
      <c r="I60" s="98" t="s">
        <v>235</v>
      </c>
      <c r="J60" s="98"/>
      <c r="K60" s="98"/>
      <c r="L60" s="98"/>
      <c r="M60" s="102">
        <v>0.16</v>
      </c>
      <c r="N60" s="77">
        <v>3</v>
      </c>
      <c r="O60" s="77">
        <v>30</v>
      </c>
    </row>
    <row r="61" spans="1:15" x14ac:dyDescent="0.2">
      <c r="A61" s="78">
        <v>45717</v>
      </c>
      <c r="B61" s="77" t="str">
        <f>+PT!A63</f>
        <v>-</v>
      </c>
      <c r="C61" s="77">
        <f t="shared" si="2"/>
        <v>60</v>
      </c>
      <c r="H61" s="98" t="s">
        <v>278</v>
      </c>
      <c r="I61" s="98" t="s">
        <v>156</v>
      </c>
      <c r="J61" s="98"/>
      <c r="K61" s="98"/>
      <c r="L61" s="98"/>
      <c r="M61" s="102">
        <v>0.16</v>
      </c>
      <c r="N61" s="77">
        <v>3</v>
      </c>
      <c r="O61" s="77">
        <v>30</v>
      </c>
    </row>
    <row r="62" spans="1:15" x14ac:dyDescent="0.2">
      <c r="A62" s="78">
        <v>45718</v>
      </c>
      <c r="B62" s="77">
        <f>+PT!A64</f>
        <v>0</v>
      </c>
      <c r="C62" s="77">
        <f t="shared" si="2"/>
        <v>61</v>
      </c>
      <c r="H62" s="98" t="s">
        <v>279</v>
      </c>
      <c r="I62" s="98" t="s">
        <v>245</v>
      </c>
      <c r="J62" s="98"/>
      <c r="K62" s="98"/>
      <c r="L62" s="98"/>
      <c r="M62" s="102">
        <v>0.16</v>
      </c>
      <c r="N62" s="77">
        <v>3</v>
      </c>
      <c r="O62" s="77">
        <v>30</v>
      </c>
    </row>
    <row r="63" spans="1:15" x14ac:dyDescent="0.2">
      <c r="A63" s="78">
        <v>45719</v>
      </c>
      <c r="B63" s="77">
        <f>+PT!A65</f>
        <v>0</v>
      </c>
      <c r="C63" s="77">
        <f t="shared" si="2"/>
        <v>62</v>
      </c>
      <c r="H63" s="98" t="s">
        <v>280</v>
      </c>
      <c r="I63" s="98" t="s">
        <v>185</v>
      </c>
      <c r="J63" s="98"/>
      <c r="K63" s="98"/>
      <c r="L63" s="98"/>
      <c r="M63" s="98">
        <v>0</v>
      </c>
      <c r="N63" s="77">
        <v>3</v>
      </c>
      <c r="O63" s="77">
        <v>30</v>
      </c>
    </row>
    <row r="64" spans="1:15" x14ac:dyDescent="0.2">
      <c r="A64" s="78">
        <v>45720</v>
      </c>
      <c r="B64" s="77">
        <f>+PT!A66</f>
        <v>0</v>
      </c>
      <c r="C64" s="77">
        <f t="shared" si="2"/>
        <v>63</v>
      </c>
      <c r="H64" s="98" t="s">
        <v>281</v>
      </c>
      <c r="I64" s="98" t="s">
        <v>240</v>
      </c>
      <c r="J64" s="98"/>
      <c r="K64" s="98"/>
      <c r="L64" s="98"/>
      <c r="M64" s="98"/>
      <c r="N64" s="77">
        <v>3</v>
      </c>
      <c r="O64" s="77">
        <v>30</v>
      </c>
    </row>
    <row r="65" spans="1:15" x14ac:dyDescent="0.2">
      <c r="A65" s="78">
        <v>45721</v>
      </c>
      <c r="B65" s="77">
        <f>+PT!A67</f>
        <v>0</v>
      </c>
      <c r="C65" s="77">
        <f t="shared" si="2"/>
        <v>64</v>
      </c>
      <c r="H65" s="98" t="s">
        <v>282</v>
      </c>
      <c r="I65" s="98" t="s">
        <v>236</v>
      </c>
      <c r="J65" s="98"/>
      <c r="K65" s="98"/>
      <c r="L65" s="98"/>
      <c r="M65" s="98"/>
      <c r="N65" s="77">
        <v>4</v>
      </c>
      <c r="O65" s="77">
        <v>30</v>
      </c>
    </row>
    <row r="66" spans="1:15" x14ac:dyDescent="0.2">
      <c r="A66" s="78">
        <v>45722</v>
      </c>
      <c r="B66" s="77">
        <f>+PT!A68</f>
        <v>0</v>
      </c>
      <c r="C66" s="77">
        <f t="shared" si="2"/>
        <v>65</v>
      </c>
      <c r="H66" s="98" t="s">
        <v>283</v>
      </c>
      <c r="I66" s="98" t="s">
        <v>233</v>
      </c>
      <c r="J66" s="98"/>
      <c r="K66" s="98"/>
      <c r="L66" s="98"/>
      <c r="M66" s="98"/>
      <c r="N66" s="77">
        <v>3</v>
      </c>
      <c r="O66" s="77">
        <v>30</v>
      </c>
    </row>
    <row r="67" spans="1:15" x14ac:dyDescent="0.2">
      <c r="A67" s="78">
        <v>45723</v>
      </c>
      <c r="B67" s="77">
        <f>+PT!A69</f>
        <v>0</v>
      </c>
      <c r="C67" s="77">
        <f t="shared" ref="C67:C98" si="3">+C66+1</f>
        <v>66</v>
      </c>
      <c r="H67" s="98" t="s">
        <v>284</v>
      </c>
      <c r="I67" s="98" t="s">
        <v>251</v>
      </c>
      <c r="J67" s="98"/>
      <c r="K67" s="98"/>
      <c r="L67" s="98"/>
      <c r="M67" s="98"/>
      <c r="N67" s="77">
        <v>4</v>
      </c>
      <c r="O67" s="77">
        <v>30</v>
      </c>
    </row>
    <row r="68" spans="1:15" x14ac:dyDescent="0.2">
      <c r="A68" s="78">
        <v>45724</v>
      </c>
      <c r="B68" s="77">
        <f>+PT!A70</f>
        <v>0</v>
      </c>
      <c r="C68" s="77">
        <f t="shared" si="3"/>
        <v>67</v>
      </c>
      <c r="H68" s="98" t="s">
        <v>285</v>
      </c>
      <c r="I68" s="98" t="s">
        <v>230</v>
      </c>
      <c r="J68" s="98"/>
      <c r="K68" s="98"/>
      <c r="L68" s="98"/>
      <c r="M68" s="98"/>
      <c r="N68" s="77">
        <v>3</v>
      </c>
      <c r="O68" s="77">
        <v>30</v>
      </c>
    </row>
    <row r="69" spans="1:15" x14ac:dyDescent="0.2">
      <c r="A69" s="78">
        <v>45725</v>
      </c>
      <c r="B69" s="77">
        <f>+PT!A71</f>
        <v>0</v>
      </c>
      <c r="C69" s="77">
        <f t="shared" si="3"/>
        <v>68</v>
      </c>
      <c r="H69" s="98" t="s">
        <v>286</v>
      </c>
      <c r="I69" s="98" t="s">
        <v>187</v>
      </c>
      <c r="J69" s="98"/>
      <c r="K69" s="98"/>
      <c r="L69" s="98"/>
      <c r="M69" s="98"/>
      <c r="N69" s="77">
        <v>3</v>
      </c>
      <c r="O69" s="77">
        <v>30</v>
      </c>
    </row>
    <row r="70" spans="1:15" x14ac:dyDescent="0.2">
      <c r="A70" s="78">
        <v>45726</v>
      </c>
      <c r="B70" s="77">
        <f>+PT!A72</f>
        <v>0</v>
      </c>
      <c r="C70" s="77">
        <f t="shared" si="3"/>
        <v>69</v>
      </c>
      <c r="H70" s="98" t="s">
        <v>287</v>
      </c>
      <c r="I70" s="98" t="s">
        <v>220</v>
      </c>
      <c r="J70" s="98"/>
      <c r="K70" s="98"/>
      <c r="L70" s="98"/>
      <c r="M70" s="98"/>
      <c r="N70" s="77">
        <v>3</v>
      </c>
      <c r="O70" s="77">
        <v>30</v>
      </c>
    </row>
    <row r="71" spans="1:15" x14ac:dyDescent="0.2">
      <c r="A71" s="78">
        <v>45727</v>
      </c>
      <c r="B71" s="77">
        <f>+PT!A73</f>
        <v>0</v>
      </c>
      <c r="C71" s="77">
        <f t="shared" si="3"/>
        <v>70</v>
      </c>
      <c r="H71" s="98" t="s">
        <v>288</v>
      </c>
      <c r="I71" s="98" t="s">
        <v>253</v>
      </c>
      <c r="J71" s="98"/>
      <c r="K71" s="98"/>
      <c r="L71" s="98"/>
      <c r="M71" s="98"/>
      <c r="N71" s="77">
        <v>3</v>
      </c>
      <c r="O71" s="77">
        <v>30</v>
      </c>
    </row>
    <row r="72" spans="1:15" x14ac:dyDescent="0.2">
      <c r="A72" s="78">
        <v>45728</v>
      </c>
      <c r="B72" s="77">
        <f>+PT!A74</f>
        <v>0</v>
      </c>
      <c r="C72" s="77">
        <f t="shared" si="3"/>
        <v>71</v>
      </c>
      <c r="H72" s="98" t="s">
        <v>289</v>
      </c>
      <c r="I72" s="97" t="s">
        <v>192</v>
      </c>
      <c r="J72" s="98"/>
      <c r="K72" s="98"/>
      <c r="L72" s="98"/>
      <c r="M72" s="98"/>
      <c r="N72" s="77">
        <v>4</v>
      </c>
      <c r="O72" s="77">
        <v>30</v>
      </c>
    </row>
    <row r="73" spans="1:15" x14ac:dyDescent="0.2">
      <c r="A73" s="78">
        <v>45729</v>
      </c>
      <c r="B73" s="77">
        <f>+PT!A75</f>
        <v>0</v>
      </c>
      <c r="C73" s="77">
        <f t="shared" si="3"/>
        <v>72</v>
      </c>
      <c r="H73" s="98" t="s">
        <v>290</v>
      </c>
      <c r="I73" s="98" t="s">
        <v>254</v>
      </c>
      <c r="J73" s="98"/>
      <c r="K73" s="98"/>
      <c r="L73" s="98"/>
      <c r="M73" s="98"/>
      <c r="N73" s="77">
        <v>2</v>
      </c>
      <c r="O73" s="77">
        <v>30</v>
      </c>
    </row>
    <row r="74" spans="1:15" x14ac:dyDescent="0.2">
      <c r="A74" s="78">
        <v>45730</v>
      </c>
      <c r="B74" s="77">
        <f>+PT!A76</f>
        <v>0</v>
      </c>
      <c r="C74" s="77">
        <f t="shared" si="3"/>
        <v>73</v>
      </c>
      <c r="H74" s="98" t="s">
        <v>291</v>
      </c>
      <c r="I74" s="98" t="s">
        <v>256</v>
      </c>
      <c r="J74" s="98"/>
      <c r="K74" s="98"/>
      <c r="L74" s="98"/>
      <c r="M74" s="98"/>
      <c r="N74" s="77">
        <v>4</v>
      </c>
      <c r="O74" s="77">
        <v>30</v>
      </c>
    </row>
    <row r="75" spans="1:15" x14ac:dyDescent="0.2">
      <c r="A75" s="78">
        <v>45731</v>
      </c>
      <c r="B75" s="77">
        <f>+PT!A77</f>
        <v>0</v>
      </c>
      <c r="C75" s="77">
        <f t="shared" si="3"/>
        <v>74</v>
      </c>
      <c r="H75" s="98" t="s">
        <v>292</v>
      </c>
      <c r="I75" s="98" t="s">
        <v>255</v>
      </c>
      <c r="J75" s="98"/>
      <c r="K75" s="98"/>
      <c r="L75" s="98"/>
      <c r="M75" s="98"/>
      <c r="N75" s="77">
        <v>4</v>
      </c>
      <c r="O75" s="77">
        <v>30</v>
      </c>
    </row>
    <row r="76" spans="1:15" x14ac:dyDescent="0.2">
      <c r="A76" s="78">
        <v>45732</v>
      </c>
      <c r="B76" s="77">
        <f>+PT!A78</f>
        <v>0</v>
      </c>
      <c r="C76" s="77">
        <f t="shared" si="3"/>
        <v>75</v>
      </c>
      <c r="H76" s="98" t="s">
        <v>287</v>
      </c>
      <c r="I76" s="98" t="s">
        <v>220</v>
      </c>
      <c r="J76" s="98"/>
      <c r="K76" s="98"/>
      <c r="L76" s="98"/>
      <c r="M76" s="98"/>
      <c r="N76" s="77">
        <v>3</v>
      </c>
      <c r="O76" s="77">
        <v>30</v>
      </c>
    </row>
    <row r="77" spans="1:15" x14ac:dyDescent="0.2">
      <c r="A77" s="78">
        <v>45733</v>
      </c>
      <c r="B77" s="77">
        <f>+PT!A79</f>
        <v>0</v>
      </c>
      <c r="C77" s="77">
        <f t="shared" si="3"/>
        <v>76</v>
      </c>
      <c r="H77" s="98" t="s">
        <v>288</v>
      </c>
      <c r="I77" s="98" t="s">
        <v>253</v>
      </c>
      <c r="J77" s="98"/>
      <c r="K77" s="98"/>
      <c r="L77" s="98"/>
      <c r="M77" s="98"/>
      <c r="N77" s="77">
        <v>3</v>
      </c>
      <c r="O77" s="77">
        <v>30</v>
      </c>
    </row>
    <row r="78" spans="1:15" x14ac:dyDescent="0.2">
      <c r="A78" s="78">
        <v>45734</v>
      </c>
      <c r="B78" s="77">
        <f>+PT!A80</f>
        <v>0</v>
      </c>
      <c r="C78" s="77">
        <f t="shared" si="3"/>
        <v>77</v>
      </c>
      <c r="H78" s="98" t="s">
        <v>293</v>
      </c>
      <c r="I78" s="98" t="s">
        <v>254</v>
      </c>
      <c r="J78" s="98"/>
      <c r="K78" s="98"/>
      <c r="L78" s="98"/>
      <c r="M78" s="98"/>
      <c r="N78" s="77">
        <v>2</v>
      </c>
      <c r="O78" s="77">
        <v>30</v>
      </c>
    </row>
    <row r="79" spans="1:15" x14ac:dyDescent="0.2">
      <c r="A79" s="78">
        <v>45735</v>
      </c>
      <c r="B79" s="77">
        <f>+PT!A81</f>
        <v>0</v>
      </c>
      <c r="C79" s="77">
        <f t="shared" si="3"/>
        <v>78</v>
      </c>
      <c r="H79" s="98" t="s">
        <v>270</v>
      </c>
      <c r="I79" s="98" t="s">
        <v>250</v>
      </c>
      <c r="J79" s="97" t="s">
        <v>178</v>
      </c>
      <c r="K79" s="97"/>
      <c r="L79" s="97" t="s">
        <v>198</v>
      </c>
      <c r="M79" s="101">
        <v>0.23</v>
      </c>
      <c r="N79" s="77">
        <v>2</v>
      </c>
      <c r="O79" s="77">
        <v>30</v>
      </c>
    </row>
    <row r="80" spans="1:15" x14ac:dyDescent="0.2">
      <c r="A80" s="78">
        <v>45736</v>
      </c>
      <c r="B80" s="77">
        <f>+PT!A82</f>
        <v>0</v>
      </c>
      <c r="C80" s="77">
        <f t="shared" si="3"/>
        <v>79</v>
      </c>
      <c r="H80" s="77" t="s">
        <v>187</v>
      </c>
      <c r="I80" s="77" t="s">
        <v>187</v>
      </c>
      <c r="N80" s="77">
        <v>3</v>
      </c>
      <c r="O80" s="77">
        <v>30</v>
      </c>
    </row>
    <row r="81" spans="1:3" x14ac:dyDescent="0.2">
      <c r="A81" s="78">
        <v>45737</v>
      </c>
      <c r="B81" s="77">
        <f>+PT!A83</f>
        <v>0</v>
      </c>
      <c r="C81" s="77">
        <f t="shared" si="3"/>
        <v>80</v>
      </c>
    </row>
    <row r="82" spans="1:3" x14ac:dyDescent="0.2">
      <c r="A82" s="78">
        <v>45738</v>
      </c>
      <c r="B82" s="77">
        <f>+PT!A84</f>
        <v>0</v>
      </c>
      <c r="C82" s="77">
        <f t="shared" si="3"/>
        <v>81</v>
      </c>
    </row>
    <row r="83" spans="1:3" x14ac:dyDescent="0.2">
      <c r="A83" s="78">
        <v>45739</v>
      </c>
      <c r="B83" s="77">
        <f>+PT!A85</f>
        <v>0</v>
      </c>
      <c r="C83" s="77">
        <f t="shared" si="3"/>
        <v>82</v>
      </c>
    </row>
    <row r="84" spans="1:3" x14ac:dyDescent="0.2">
      <c r="A84" s="78">
        <v>45740</v>
      </c>
      <c r="B84" s="77">
        <f>+PT!A86</f>
        <v>0</v>
      </c>
      <c r="C84" s="77">
        <f t="shared" si="3"/>
        <v>83</v>
      </c>
    </row>
    <row r="85" spans="1:3" x14ac:dyDescent="0.2">
      <c r="A85" s="78">
        <v>45741</v>
      </c>
      <c r="B85" s="77">
        <f>+PT!A87</f>
        <v>0</v>
      </c>
      <c r="C85" s="77">
        <f t="shared" si="3"/>
        <v>84</v>
      </c>
    </row>
    <row r="86" spans="1:3" x14ac:dyDescent="0.2">
      <c r="A86" s="78">
        <v>45742</v>
      </c>
      <c r="B86" s="77">
        <f>+PT!A88</f>
        <v>0</v>
      </c>
      <c r="C86" s="77">
        <f t="shared" si="3"/>
        <v>85</v>
      </c>
    </row>
    <row r="87" spans="1:3" x14ac:dyDescent="0.2">
      <c r="A87" s="78">
        <v>45743</v>
      </c>
      <c r="B87" s="77">
        <f>+PT!A89</f>
        <v>0</v>
      </c>
      <c r="C87" s="77">
        <f t="shared" si="3"/>
        <v>86</v>
      </c>
    </row>
    <row r="88" spans="1:3" x14ac:dyDescent="0.2">
      <c r="A88" s="78">
        <v>45744</v>
      </c>
      <c r="B88" s="77">
        <f>+PT!A90</f>
        <v>0</v>
      </c>
      <c r="C88" s="77">
        <f t="shared" si="3"/>
        <v>87</v>
      </c>
    </row>
    <row r="89" spans="1:3" x14ac:dyDescent="0.2">
      <c r="A89" s="78">
        <v>45745</v>
      </c>
      <c r="B89" s="77">
        <f>+PT!A91</f>
        <v>0</v>
      </c>
      <c r="C89" s="77">
        <f t="shared" si="3"/>
        <v>88</v>
      </c>
    </row>
    <row r="90" spans="1:3" x14ac:dyDescent="0.2">
      <c r="A90" s="78">
        <v>45746</v>
      </c>
      <c r="B90" s="77">
        <f>+PT!A92</f>
        <v>0</v>
      </c>
      <c r="C90" s="77">
        <f t="shared" si="3"/>
        <v>89</v>
      </c>
    </row>
    <row r="91" spans="1:3" x14ac:dyDescent="0.2">
      <c r="A91" s="78">
        <v>45747</v>
      </c>
      <c r="B91" s="77">
        <f>+PT!A93</f>
        <v>0</v>
      </c>
      <c r="C91" s="77">
        <f t="shared" si="3"/>
        <v>90</v>
      </c>
    </row>
    <row r="92" spans="1:3" x14ac:dyDescent="0.2">
      <c r="A92" s="78">
        <v>45748</v>
      </c>
      <c r="B92" s="77">
        <f>+PT!A94</f>
        <v>0</v>
      </c>
      <c r="C92" s="77">
        <f t="shared" si="3"/>
        <v>91</v>
      </c>
    </row>
    <row r="93" spans="1:3" x14ac:dyDescent="0.2">
      <c r="A93" s="78">
        <v>45749</v>
      </c>
      <c r="B93" s="77">
        <f>+PT!A95</f>
        <v>0</v>
      </c>
      <c r="C93" s="77">
        <f t="shared" si="3"/>
        <v>92</v>
      </c>
    </row>
    <row r="94" spans="1:3" x14ac:dyDescent="0.2">
      <c r="A94" s="78">
        <v>45750</v>
      </c>
      <c r="B94" s="77">
        <f>+PT!A96</f>
        <v>0</v>
      </c>
      <c r="C94" s="77">
        <f t="shared" si="3"/>
        <v>93</v>
      </c>
    </row>
    <row r="95" spans="1:3" x14ac:dyDescent="0.2">
      <c r="A95" s="78">
        <v>45751</v>
      </c>
      <c r="B95" s="77">
        <f>+PT!A97</f>
        <v>0</v>
      </c>
      <c r="C95" s="77">
        <f t="shared" si="3"/>
        <v>94</v>
      </c>
    </row>
    <row r="96" spans="1:3" x14ac:dyDescent="0.2">
      <c r="A96" s="78">
        <v>45752</v>
      </c>
      <c r="B96" s="77">
        <f>+PT!A98</f>
        <v>0</v>
      </c>
      <c r="C96" s="77">
        <f t="shared" si="3"/>
        <v>95</v>
      </c>
    </row>
    <row r="97" spans="1:3" x14ac:dyDescent="0.2">
      <c r="A97" s="78">
        <v>45753</v>
      </c>
      <c r="B97" s="77">
        <f>+PT!A99</f>
        <v>0</v>
      </c>
      <c r="C97" s="77">
        <f t="shared" si="3"/>
        <v>96</v>
      </c>
    </row>
    <row r="98" spans="1:3" x14ac:dyDescent="0.2">
      <c r="A98" s="78">
        <v>45754</v>
      </c>
      <c r="B98" s="77">
        <f>+PT!A100</f>
        <v>0</v>
      </c>
      <c r="C98" s="77">
        <f t="shared" si="3"/>
        <v>97</v>
      </c>
    </row>
    <row r="99" spans="1:3" x14ac:dyDescent="0.2">
      <c r="A99" s="78">
        <v>45755</v>
      </c>
      <c r="B99" s="77">
        <f>+PT!A101</f>
        <v>0</v>
      </c>
      <c r="C99" s="77">
        <f t="shared" ref="C99:C131" si="4">+C98+1</f>
        <v>98</v>
      </c>
    </row>
    <row r="100" spans="1:3" x14ac:dyDescent="0.2">
      <c r="A100" s="78">
        <v>45756</v>
      </c>
      <c r="B100" s="77">
        <f>+PT!A102</f>
        <v>0</v>
      </c>
      <c r="C100" s="77">
        <f t="shared" si="4"/>
        <v>99</v>
      </c>
    </row>
    <row r="101" spans="1:3" x14ac:dyDescent="0.2">
      <c r="A101" s="78">
        <v>45757</v>
      </c>
      <c r="B101" s="77">
        <f>+PT!A103</f>
        <v>0</v>
      </c>
      <c r="C101" s="77">
        <f t="shared" si="4"/>
        <v>100</v>
      </c>
    </row>
    <row r="102" spans="1:3" x14ac:dyDescent="0.2">
      <c r="A102" s="78">
        <v>45758</v>
      </c>
      <c r="B102" s="77">
        <f>+PT!A104</f>
        <v>0</v>
      </c>
      <c r="C102" s="77">
        <f t="shared" si="4"/>
        <v>101</v>
      </c>
    </row>
    <row r="103" spans="1:3" x14ac:dyDescent="0.2">
      <c r="A103" s="78">
        <v>45759</v>
      </c>
      <c r="B103" s="77">
        <f>+PT!A105</f>
        <v>0</v>
      </c>
      <c r="C103" s="77">
        <f t="shared" si="4"/>
        <v>102</v>
      </c>
    </row>
    <row r="104" spans="1:3" x14ac:dyDescent="0.2">
      <c r="A104" s="78">
        <v>45760</v>
      </c>
      <c r="B104" s="77">
        <f>+PT!A106</f>
        <v>0</v>
      </c>
      <c r="C104" s="77">
        <f t="shared" si="4"/>
        <v>103</v>
      </c>
    </row>
    <row r="105" spans="1:3" x14ac:dyDescent="0.2">
      <c r="A105" s="78">
        <v>45761</v>
      </c>
      <c r="B105" s="77">
        <f>+PT!A107</f>
        <v>0</v>
      </c>
      <c r="C105" s="77">
        <f t="shared" si="4"/>
        <v>104</v>
      </c>
    </row>
    <row r="106" spans="1:3" x14ac:dyDescent="0.2">
      <c r="A106" s="78">
        <v>45762</v>
      </c>
      <c r="B106" s="77">
        <f>+PT!A108</f>
        <v>0</v>
      </c>
      <c r="C106" s="77">
        <f t="shared" si="4"/>
        <v>105</v>
      </c>
    </row>
    <row r="107" spans="1:3" x14ac:dyDescent="0.2">
      <c r="A107" s="78">
        <v>45763</v>
      </c>
      <c r="B107" s="77">
        <f>+PT!A109</f>
        <v>0</v>
      </c>
      <c r="C107" s="77">
        <f t="shared" si="4"/>
        <v>106</v>
      </c>
    </row>
    <row r="108" spans="1:3" x14ac:dyDescent="0.2">
      <c r="A108" s="78">
        <v>45764</v>
      </c>
      <c r="B108" s="77">
        <f>+PT!A110</f>
        <v>0</v>
      </c>
      <c r="C108" s="77">
        <f t="shared" si="4"/>
        <v>107</v>
      </c>
    </row>
    <row r="109" spans="1:3" x14ac:dyDescent="0.2">
      <c r="A109" s="78">
        <v>45765</v>
      </c>
      <c r="B109" s="77">
        <f>+PT!A111</f>
        <v>0</v>
      </c>
      <c r="C109" s="77">
        <f t="shared" si="4"/>
        <v>108</v>
      </c>
    </row>
    <row r="110" spans="1:3" x14ac:dyDescent="0.2">
      <c r="A110" s="78">
        <v>45766</v>
      </c>
      <c r="B110" s="77">
        <f>+PT!A112</f>
        <v>0</v>
      </c>
      <c r="C110" s="77">
        <f t="shared" si="4"/>
        <v>109</v>
      </c>
    </row>
    <row r="111" spans="1:3" x14ac:dyDescent="0.2">
      <c r="A111" s="78">
        <v>45767</v>
      </c>
      <c r="B111" s="77">
        <f>+PT!A113</f>
        <v>0</v>
      </c>
      <c r="C111" s="77">
        <f t="shared" si="4"/>
        <v>110</v>
      </c>
    </row>
    <row r="112" spans="1:3" x14ac:dyDescent="0.2">
      <c r="A112" s="78">
        <v>45768</v>
      </c>
      <c r="B112" s="77">
        <f>+PT!A114</f>
        <v>0</v>
      </c>
      <c r="C112" s="77">
        <f t="shared" si="4"/>
        <v>111</v>
      </c>
    </row>
    <row r="113" spans="1:3" x14ac:dyDescent="0.2">
      <c r="A113" s="78">
        <v>45769</v>
      </c>
      <c r="B113" s="77">
        <f>+PT!A115</f>
        <v>0</v>
      </c>
      <c r="C113" s="77">
        <f t="shared" si="4"/>
        <v>112</v>
      </c>
    </row>
    <row r="114" spans="1:3" x14ac:dyDescent="0.2">
      <c r="A114" s="78">
        <v>45770</v>
      </c>
      <c r="B114" s="77">
        <f>+PT!A116</f>
        <v>0</v>
      </c>
      <c r="C114" s="77">
        <f t="shared" si="4"/>
        <v>113</v>
      </c>
    </row>
    <row r="115" spans="1:3" x14ac:dyDescent="0.2">
      <c r="A115" s="78">
        <v>45771</v>
      </c>
      <c r="B115" s="77">
        <f>+PT!A117</f>
        <v>0</v>
      </c>
      <c r="C115" s="77">
        <f t="shared" si="4"/>
        <v>114</v>
      </c>
    </row>
    <row r="116" spans="1:3" x14ac:dyDescent="0.2">
      <c r="A116" s="78">
        <v>45772</v>
      </c>
      <c r="B116" s="77">
        <f>+PT!A118</f>
        <v>0</v>
      </c>
      <c r="C116" s="77">
        <f t="shared" si="4"/>
        <v>115</v>
      </c>
    </row>
    <row r="117" spans="1:3" x14ac:dyDescent="0.2">
      <c r="A117" s="78">
        <v>45773</v>
      </c>
      <c r="B117" s="77">
        <f>+PT!A119</f>
        <v>0</v>
      </c>
      <c r="C117" s="77">
        <f t="shared" si="4"/>
        <v>116</v>
      </c>
    </row>
    <row r="118" spans="1:3" x14ac:dyDescent="0.2">
      <c r="A118" s="78">
        <v>45774</v>
      </c>
      <c r="B118" s="77">
        <f>+PT!A120</f>
        <v>0</v>
      </c>
      <c r="C118" s="77">
        <f t="shared" si="4"/>
        <v>117</v>
      </c>
    </row>
    <row r="119" spans="1:3" x14ac:dyDescent="0.2">
      <c r="A119" s="78">
        <v>45775</v>
      </c>
      <c r="B119" s="77">
        <f>+PT!A121</f>
        <v>0</v>
      </c>
      <c r="C119" s="77">
        <f t="shared" si="4"/>
        <v>118</v>
      </c>
    </row>
    <row r="120" spans="1:3" x14ac:dyDescent="0.2">
      <c r="A120" s="78">
        <v>45776</v>
      </c>
      <c r="B120" s="77">
        <f>+PT!A122</f>
        <v>0</v>
      </c>
      <c r="C120" s="77">
        <f t="shared" si="4"/>
        <v>119</v>
      </c>
    </row>
    <row r="121" spans="1:3" x14ac:dyDescent="0.2">
      <c r="A121" s="78">
        <v>45777</v>
      </c>
      <c r="B121" s="77">
        <f>+PT!A123</f>
        <v>0</v>
      </c>
      <c r="C121" s="77">
        <f t="shared" si="4"/>
        <v>120</v>
      </c>
    </row>
    <row r="122" spans="1:3" x14ac:dyDescent="0.2">
      <c r="A122" s="78">
        <v>45778</v>
      </c>
      <c r="B122" s="77">
        <f>+PT!A124</f>
        <v>0</v>
      </c>
      <c r="C122" s="77">
        <f t="shared" si="4"/>
        <v>121</v>
      </c>
    </row>
    <row r="123" spans="1:3" x14ac:dyDescent="0.2">
      <c r="A123" s="78">
        <v>45779</v>
      </c>
      <c r="B123" s="77">
        <f>+PT!A125</f>
        <v>0</v>
      </c>
      <c r="C123" s="77">
        <f t="shared" si="4"/>
        <v>122</v>
      </c>
    </row>
    <row r="124" spans="1:3" x14ac:dyDescent="0.2">
      <c r="A124" s="78">
        <v>45780</v>
      </c>
      <c r="B124" s="77">
        <f>+PT!A126</f>
        <v>0</v>
      </c>
      <c r="C124" s="77">
        <f t="shared" si="4"/>
        <v>123</v>
      </c>
    </row>
    <row r="125" spans="1:3" x14ac:dyDescent="0.2">
      <c r="A125" s="78">
        <v>45781</v>
      </c>
      <c r="B125" s="77">
        <f>+PT!A127</f>
        <v>0</v>
      </c>
      <c r="C125" s="77">
        <f t="shared" si="4"/>
        <v>124</v>
      </c>
    </row>
    <row r="126" spans="1:3" x14ac:dyDescent="0.2">
      <c r="A126" s="78">
        <v>45782</v>
      </c>
      <c r="B126" s="77">
        <f>+PT!A128</f>
        <v>0</v>
      </c>
      <c r="C126" s="77">
        <f t="shared" si="4"/>
        <v>125</v>
      </c>
    </row>
    <row r="127" spans="1:3" x14ac:dyDescent="0.2">
      <c r="A127" s="78">
        <v>45783</v>
      </c>
      <c r="B127" s="77">
        <f>+PT!A129</f>
        <v>0</v>
      </c>
      <c r="C127" s="77">
        <f t="shared" si="4"/>
        <v>126</v>
      </c>
    </row>
    <row r="128" spans="1:3" x14ac:dyDescent="0.2">
      <c r="A128" s="78">
        <v>45784</v>
      </c>
      <c r="B128" s="77">
        <f>+PT!A130</f>
        <v>0</v>
      </c>
      <c r="C128" s="77">
        <f t="shared" si="4"/>
        <v>127</v>
      </c>
    </row>
    <row r="129" spans="1:3" x14ac:dyDescent="0.2">
      <c r="A129" s="78">
        <v>45785</v>
      </c>
      <c r="B129" s="77">
        <f>+PT!A131</f>
        <v>0</v>
      </c>
      <c r="C129" s="77">
        <f t="shared" si="4"/>
        <v>128</v>
      </c>
    </row>
    <row r="130" spans="1:3" x14ac:dyDescent="0.2">
      <c r="A130" s="78">
        <v>45786</v>
      </c>
      <c r="B130" s="77">
        <f>+PT!A132</f>
        <v>0</v>
      </c>
      <c r="C130" s="77">
        <f t="shared" si="4"/>
        <v>129</v>
      </c>
    </row>
    <row r="131" spans="1:3" x14ac:dyDescent="0.2">
      <c r="A131" s="78">
        <v>45787</v>
      </c>
      <c r="B131" s="77">
        <f>+PT!A133</f>
        <v>0</v>
      </c>
      <c r="C131" s="77">
        <f t="shared" si="4"/>
        <v>130</v>
      </c>
    </row>
    <row r="132" spans="1:3" x14ac:dyDescent="0.2">
      <c r="A132" s="78">
        <v>45788</v>
      </c>
      <c r="B132" s="77">
        <f>+PT!A134</f>
        <v>0</v>
      </c>
      <c r="C132" s="77">
        <f t="shared" ref="C132:C195" si="5">+C131+1</f>
        <v>131</v>
      </c>
    </row>
    <row r="133" spans="1:3" x14ac:dyDescent="0.2">
      <c r="A133" s="78">
        <v>45789</v>
      </c>
      <c r="B133" s="77">
        <f>+PT!A135</f>
        <v>0</v>
      </c>
      <c r="C133" s="77">
        <f t="shared" si="5"/>
        <v>132</v>
      </c>
    </row>
    <row r="134" spans="1:3" x14ac:dyDescent="0.2">
      <c r="A134" s="78">
        <v>45790</v>
      </c>
      <c r="B134" s="77">
        <f>+PT!A136</f>
        <v>0</v>
      </c>
      <c r="C134" s="77">
        <f t="shared" si="5"/>
        <v>133</v>
      </c>
    </row>
    <row r="135" spans="1:3" x14ac:dyDescent="0.2">
      <c r="A135" s="78">
        <v>45791</v>
      </c>
      <c r="B135" s="77">
        <f>+PT!A137</f>
        <v>0</v>
      </c>
      <c r="C135" s="77">
        <f t="shared" si="5"/>
        <v>134</v>
      </c>
    </row>
    <row r="136" spans="1:3" x14ac:dyDescent="0.2">
      <c r="A136" s="78">
        <v>45792</v>
      </c>
      <c r="B136" s="77">
        <f>+PT!A138</f>
        <v>0</v>
      </c>
      <c r="C136" s="77">
        <f t="shared" si="5"/>
        <v>135</v>
      </c>
    </row>
    <row r="137" spans="1:3" x14ac:dyDescent="0.2">
      <c r="A137" s="78">
        <v>45793</v>
      </c>
      <c r="B137" s="77">
        <f>+PT!A139</f>
        <v>0</v>
      </c>
      <c r="C137" s="77">
        <f t="shared" si="5"/>
        <v>136</v>
      </c>
    </row>
    <row r="138" spans="1:3" x14ac:dyDescent="0.2">
      <c r="A138" s="78">
        <v>45794</v>
      </c>
      <c r="B138" s="77">
        <f>+PT!A140</f>
        <v>0</v>
      </c>
      <c r="C138" s="77">
        <f t="shared" si="5"/>
        <v>137</v>
      </c>
    </row>
    <row r="139" spans="1:3" x14ac:dyDescent="0.2">
      <c r="A139" s="78">
        <v>45795</v>
      </c>
      <c r="B139" s="77">
        <f>+PT!A141</f>
        <v>0</v>
      </c>
      <c r="C139" s="77">
        <f t="shared" si="5"/>
        <v>138</v>
      </c>
    </row>
    <row r="140" spans="1:3" x14ac:dyDescent="0.2">
      <c r="A140" s="78">
        <v>45796</v>
      </c>
      <c r="B140" s="77">
        <f>+PT!A142</f>
        <v>0</v>
      </c>
      <c r="C140" s="77">
        <f t="shared" si="5"/>
        <v>139</v>
      </c>
    </row>
    <row r="141" spans="1:3" x14ac:dyDescent="0.2">
      <c r="A141" s="78">
        <v>45797</v>
      </c>
      <c r="B141" s="77">
        <f>+PT!A143</f>
        <v>0</v>
      </c>
      <c r="C141" s="77">
        <f t="shared" si="5"/>
        <v>140</v>
      </c>
    </row>
    <row r="142" spans="1:3" x14ac:dyDescent="0.2">
      <c r="A142" s="78">
        <v>45798</v>
      </c>
      <c r="B142" s="77">
        <f>+PT!A144</f>
        <v>0</v>
      </c>
      <c r="C142" s="77">
        <f t="shared" si="5"/>
        <v>141</v>
      </c>
    </row>
    <row r="143" spans="1:3" x14ac:dyDescent="0.2">
      <c r="A143" s="78">
        <v>45799</v>
      </c>
      <c r="B143" s="77">
        <f>+PT!A145</f>
        <v>0</v>
      </c>
      <c r="C143" s="77">
        <f t="shared" si="5"/>
        <v>142</v>
      </c>
    </row>
    <row r="144" spans="1:3" x14ac:dyDescent="0.2">
      <c r="A144" s="78">
        <v>45800</v>
      </c>
      <c r="B144" s="77">
        <f>+PT!A146</f>
        <v>0</v>
      </c>
      <c r="C144" s="77">
        <f t="shared" si="5"/>
        <v>143</v>
      </c>
    </row>
    <row r="145" spans="1:3" x14ac:dyDescent="0.2">
      <c r="A145" s="78">
        <v>45801</v>
      </c>
      <c r="B145" s="77">
        <f>+PT!A147</f>
        <v>0</v>
      </c>
      <c r="C145" s="77">
        <f t="shared" si="5"/>
        <v>144</v>
      </c>
    </row>
    <row r="146" spans="1:3" x14ac:dyDescent="0.2">
      <c r="A146" s="78">
        <v>45802</v>
      </c>
      <c r="B146" s="77">
        <f>+PT!A148</f>
        <v>0</v>
      </c>
      <c r="C146" s="77">
        <f t="shared" si="5"/>
        <v>145</v>
      </c>
    </row>
    <row r="147" spans="1:3" x14ac:dyDescent="0.2">
      <c r="A147" s="78">
        <v>45803</v>
      </c>
      <c r="B147" s="77">
        <f>+PT!A149</f>
        <v>0</v>
      </c>
      <c r="C147" s="77">
        <f t="shared" si="5"/>
        <v>146</v>
      </c>
    </row>
    <row r="148" spans="1:3" x14ac:dyDescent="0.2">
      <c r="A148" s="78">
        <v>45804</v>
      </c>
      <c r="B148" s="77">
        <f>+PT!A150</f>
        <v>0</v>
      </c>
      <c r="C148" s="77">
        <f t="shared" si="5"/>
        <v>147</v>
      </c>
    </row>
    <row r="149" spans="1:3" x14ac:dyDescent="0.2">
      <c r="A149" s="78">
        <v>45805</v>
      </c>
      <c r="B149" s="77">
        <f>+PT!A151</f>
        <v>0</v>
      </c>
      <c r="C149" s="77">
        <f t="shared" si="5"/>
        <v>148</v>
      </c>
    </row>
    <row r="150" spans="1:3" x14ac:dyDescent="0.2">
      <c r="A150" s="78">
        <v>45806</v>
      </c>
      <c r="B150" s="77">
        <f>+PT!A152</f>
        <v>0</v>
      </c>
      <c r="C150" s="77">
        <f t="shared" si="5"/>
        <v>149</v>
      </c>
    </row>
    <row r="151" spans="1:3" x14ac:dyDescent="0.2">
      <c r="A151" s="78">
        <v>45807</v>
      </c>
      <c r="B151" s="77">
        <f>+PT!A153</f>
        <v>0</v>
      </c>
      <c r="C151" s="77">
        <f t="shared" si="5"/>
        <v>150</v>
      </c>
    </row>
    <row r="152" spans="1:3" x14ac:dyDescent="0.2">
      <c r="A152" s="78">
        <v>45808</v>
      </c>
      <c r="B152" s="77">
        <f>+PT!A154</f>
        <v>0</v>
      </c>
      <c r="C152" s="77">
        <f t="shared" si="5"/>
        <v>151</v>
      </c>
    </row>
    <row r="153" spans="1:3" x14ac:dyDescent="0.2">
      <c r="A153" s="78">
        <v>45809</v>
      </c>
      <c r="B153" s="77">
        <f>+PT!A155</f>
        <v>0</v>
      </c>
      <c r="C153" s="77">
        <f t="shared" si="5"/>
        <v>152</v>
      </c>
    </row>
    <row r="154" spans="1:3" x14ac:dyDescent="0.2">
      <c r="A154" s="78">
        <v>45810</v>
      </c>
      <c r="B154" s="77">
        <f>+PT!A156</f>
        <v>0</v>
      </c>
      <c r="C154" s="77">
        <f t="shared" si="5"/>
        <v>153</v>
      </c>
    </row>
    <row r="155" spans="1:3" x14ac:dyDescent="0.2">
      <c r="A155" s="78">
        <v>45811</v>
      </c>
      <c r="B155" s="77">
        <f>+PT!A157</f>
        <v>0</v>
      </c>
      <c r="C155" s="77">
        <f t="shared" si="5"/>
        <v>154</v>
      </c>
    </row>
    <row r="156" spans="1:3" x14ac:dyDescent="0.2">
      <c r="A156" s="78">
        <v>45812</v>
      </c>
      <c r="B156" s="77">
        <f>+PT!A158</f>
        <v>0</v>
      </c>
      <c r="C156" s="77">
        <f t="shared" si="5"/>
        <v>155</v>
      </c>
    </row>
    <row r="157" spans="1:3" x14ac:dyDescent="0.2">
      <c r="A157" s="78">
        <v>45813</v>
      </c>
      <c r="B157" s="77">
        <f>+PT!A159</f>
        <v>0</v>
      </c>
      <c r="C157" s="77">
        <f t="shared" si="5"/>
        <v>156</v>
      </c>
    </row>
    <row r="158" spans="1:3" x14ac:dyDescent="0.2">
      <c r="A158" s="78">
        <v>45814</v>
      </c>
      <c r="B158" s="77">
        <f>+PT!A160</f>
        <v>0</v>
      </c>
      <c r="C158" s="77">
        <f t="shared" si="5"/>
        <v>157</v>
      </c>
    </row>
    <row r="159" spans="1:3" x14ac:dyDescent="0.2">
      <c r="A159" s="78">
        <v>45815</v>
      </c>
      <c r="B159" s="77">
        <f>+PT!A161</f>
        <v>0</v>
      </c>
      <c r="C159" s="77">
        <f t="shared" si="5"/>
        <v>158</v>
      </c>
    </row>
    <row r="160" spans="1:3" x14ac:dyDescent="0.2">
      <c r="A160" s="78">
        <v>45816</v>
      </c>
      <c r="B160" s="77">
        <f>+PT!A162</f>
        <v>0</v>
      </c>
      <c r="C160" s="77">
        <f t="shared" si="5"/>
        <v>159</v>
      </c>
    </row>
    <row r="161" spans="1:3" x14ac:dyDescent="0.2">
      <c r="A161" s="78">
        <v>45817</v>
      </c>
      <c r="B161" s="77">
        <f>+PT!A163</f>
        <v>0</v>
      </c>
      <c r="C161" s="77">
        <f t="shared" si="5"/>
        <v>160</v>
      </c>
    </row>
    <row r="162" spans="1:3" x14ac:dyDescent="0.2">
      <c r="A162" s="78">
        <v>45818</v>
      </c>
      <c r="B162" s="77">
        <f>+PT!A164</f>
        <v>0</v>
      </c>
      <c r="C162" s="77">
        <f t="shared" si="5"/>
        <v>161</v>
      </c>
    </row>
    <row r="163" spans="1:3" x14ac:dyDescent="0.2">
      <c r="A163" s="78">
        <v>45819</v>
      </c>
      <c r="B163" s="77">
        <f>+PT!A165</f>
        <v>0</v>
      </c>
      <c r="C163" s="77">
        <f t="shared" si="5"/>
        <v>162</v>
      </c>
    </row>
    <row r="164" spans="1:3" x14ac:dyDescent="0.2">
      <c r="A164" s="78">
        <v>45820</v>
      </c>
      <c r="B164" s="77">
        <f>+PT!A166</f>
        <v>0</v>
      </c>
      <c r="C164" s="77">
        <f t="shared" si="5"/>
        <v>163</v>
      </c>
    </row>
    <row r="165" spans="1:3" x14ac:dyDescent="0.2">
      <c r="A165" s="78">
        <v>45821</v>
      </c>
      <c r="B165" s="77">
        <f>+PT!A167</f>
        <v>0</v>
      </c>
      <c r="C165" s="77">
        <f t="shared" si="5"/>
        <v>164</v>
      </c>
    </row>
    <row r="166" spans="1:3" x14ac:dyDescent="0.2">
      <c r="A166" s="78">
        <v>45822</v>
      </c>
      <c r="B166" s="77">
        <f>+PT!A168</f>
        <v>0</v>
      </c>
      <c r="C166" s="77">
        <f t="shared" si="5"/>
        <v>165</v>
      </c>
    </row>
    <row r="167" spans="1:3" x14ac:dyDescent="0.2">
      <c r="A167" s="78">
        <v>45823</v>
      </c>
      <c r="B167" s="77">
        <f>+PT!A169</f>
        <v>0</v>
      </c>
      <c r="C167" s="77">
        <f t="shared" si="5"/>
        <v>166</v>
      </c>
    </row>
    <row r="168" spans="1:3" x14ac:dyDescent="0.2">
      <c r="A168" s="78">
        <v>45824</v>
      </c>
      <c r="B168" s="77">
        <f>+PT!A170</f>
        <v>0</v>
      </c>
      <c r="C168" s="77">
        <f t="shared" si="5"/>
        <v>167</v>
      </c>
    </row>
    <row r="169" spans="1:3" x14ac:dyDescent="0.2">
      <c r="A169" s="78">
        <v>45825</v>
      </c>
      <c r="B169" s="77">
        <f>+PT!A171</f>
        <v>0</v>
      </c>
      <c r="C169" s="77">
        <f t="shared" si="5"/>
        <v>168</v>
      </c>
    </row>
    <row r="170" spans="1:3" x14ac:dyDescent="0.2">
      <c r="A170" s="78">
        <v>45826</v>
      </c>
      <c r="B170" s="77">
        <f>+PT!A172</f>
        <v>0</v>
      </c>
      <c r="C170" s="77">
        <f t="shared" si="5"/>
        <v>169</v>
      </c>
    </row>
    <row r="171" spans="1:3" x14ac:dyDescent="0.2">
      <c r="A171" s="78">
        <v>45827</v>
      </c>
      <c r="B171" s="77">
        <f>+PT!A173</f>
        <v>0</v>
      </c>
      <c r="C171" s="77">
        <f t="shared" si="5"/>
        <v>170</v>
      </c>
    </row>
    <row r="172" spans="1:3" x14ac:dyDescent="0.2">
      <c r="A172" s="78">
        <v>45828</v>
      </c>
      <c r="B172" s="77">
        <f>+PT!A174</f>
        <v>0</v>
      </c>
      <c r="C172" s="77">
        <f t="shared" si="5"/>
        <v>171</v>
      </c>
    </row>
    <row r="173" spans="1:3" x14ac:dyDescent="0.2">
      <c r="A173" s="78">
        <v>45829</v>
      </c>
      <c r="B173" s="77">
        <f>+PT!A175</f>
        <v>0</v>
      </c>
      <c r="C173" s="77">
        <f t="shared" si="5"/>
        <v>172</v>
      </c>
    </row>
    <row r="174" spans="1:3" x14ac:dyDescent="0.2">
      <c r="A174" s="78">
        <v>45830</v>
      </c>
      <c r="B174" s="77">
        <f>+PT!A176</f>
        <v>0</v>
      </c>
      <c r="C174" s="77">
        <f t="shared" si="5"/>
        <v>173</v>
      </c>
    </row>
    <row r="175" spans="1:3" x14ac:dyDescent="0.2">
      <c r="A175" s="78">
        <v>45831</v>
      </c>
      <c r="B175" s="77">
        <f>+PT!A177</f>
        <v>0</v>
      </c>
      <c r="C175" s="77">
        <f t="shared" si="5"/>
        <v>174</v>
      </c>
    </row>
    <row r="176" spans="1:3" x14ac:dyDescent="0.2">
      <c r="A176" s="78">
        <v>45832</v>
      </c>
      <c r="B176" s="77">
        <f>+PT!A178</f>
        <v>0</v>
      </c>
      <c r="C176" s="77">
        <f t="shared" si="5"/>
        <v>175</v>
      </c>
    </row>
    <row r="177" spans="1:3" x14ac:dyDescent="0.2">
      <c r="A177" s="78">
        <v>45833</v>
      </c>
      <c r="B177" s="77">
        <f>+PT!A179</f>
        <v>0</v>
      </c>
      <c r="C177" s="77">
        <f t="shared" si="5"/>
        <v>176</v>
      </c>
    </row>
    <row r="178" spans="1:3" x14ac:dyDescent="0.2">
      <c r="A178" s="78">
        <v>45834</v>
      </c>
      <c r="B178" s="77">
        <f>+PT!A180</f>
        <v>0</v>
      </c>
      <c r="C178" s="77">
        <f t="shared" si="5"/>
        <v>177</v>
      </c>
    </row>
    <row r="179" spans="1:3" x14ac:dyDescent="0.2">
      <c r="A179" s="78">
        <v>45835</v>
      </c>
      <c r="B179" s="77">
        <f>+PT!A181</f>
        <v>0</v>
      </c>
      <c r="C179" s="77">
        <f t="shared" si="5"/>
        <v>178</v>
      </c>
    </row>
    <row r="180" spans="1:3" x14ac:dyDescent="0.2">
      <c r="A180" s="78">
        <v>45836</v>
      </c>
      <c r="B180" s="77">
        <f>+PT!A182</f>
        <v>0</v>
      </c>
      <c r="C180" s="77">
        <f t="shared" si="5"/>
        <v>179</v>
      </c>
    </row>
    <row r="181" spans="1:3" x14ac:dyDescent="0.2">
      <c r="A181" s="78">
        <v>45837</v>
      </c>
      <c r="B181" s="77">
        <f>+PT!A183</f>
        <v>0</v>
      </c>
      <c r="C181" s="77">
        <f t="shared" si="5"/>
        <v>180</v>
      </c>
    </row>
    <row r="182" spans="1:3" x14ac:dyDescent="0.2">
      <c r="A182" s="78">
        <v>45838</v>
      </c>
      <c r="B182" s="77">
        <f>+PT!A184</f>
        <v>0</v>
      </c>
      <c r="C182" s="77">
        <f t="shared" si="5"/>
        <v>181</v>
      </c>
    </row>
    <row r="183" spans="1:3" x14ac:dyDescent="0.2">
      <c r="A183" s="78">
        <v>45839</v>
      </c>
      <c r="B183" s="77">
        <f>+PT!A185</f>
        <v>0</v>
      </c>
      <c r="C183" s="77">
        <f t="shared" si="5"/>
        <v>182</v>
      </c>
    </row>
    <row r="184" spans="1:3" x14ac:dyDescent="0.2">
      <c r="A184" s="78">
        <v>45840</v>
      </c>
      <c r="B184" s="77">
        <f>+PT!A186</f>
        <v>0</v>
      </c>
      <c r="C184" s="77">
        <f t="shared" si="5"/>
        <v>183</v>
      </c>
    </row>
    <row r="185" spans="1:3" x14ac:dyDescent="0.2">
      <c r="A185" s="78">
        <v>45841</v>
      </c>
      <c r="B185" s="77">
        <f>+PT!A187</f>
        <v>0</v>
      </c>
      <c r="C185" s="77">
        <f t="shared" si="5"/>
        <v>184</v>
      </c>
    </row>
    <row r="186" spans="1:3" x14ac:dyDescent="0.2">
      <c r="A186" s="78">
        <v>45842</v>
      </c>
      <c r="B186" s="77">
        <f>+PT!A188</f>
        <v>0</v>
      </c>
      <c r="C186" s="77">
        <f t="shared" si="5"/>
        <v>185</v>
      </c>
    </row>
    <row r="187" spans="1:3" x14ac:dyDescent="0.2">
      <c r="A187" s="78">
        <v>45843</v>
      </c>
      <c r="B187" s="77">
        <f>+PT!A189</f>
        <v>0</v>
      </c>
      <c r="C187" s="77">
        <f t="shared" si="5"/>
        <v>186</v>
      </c>
    </row>
    <row r="188" spans="1:3" x14ac:dyDescent="0.2">
      <c r="A188" s="78">
        <v>45844</v>
      </c>
      <c r="B188" s="77">
        <f>+PT!A190</f>
        <v>0</v>
      </c>
      <c r="C188" s="77">
        <f t="shared" si="5"/>
        <v>187</v>
      </c>
    </row>
    <row r="189" spans="1:3" x14ac:dyDescent="0.2">
      <c r="A189" s="78">
        <v>45845</v>
      </c>
      <c r="B189" s="77">
        <f>+PT!A191</f>
        <v>0</v>
      </c>
      <c r="C189" s="77">
        <f t="shared" si="5"/>
        <v>188</v>
      </c>
    </row>
    <row r="190" spans="1:3" x14ac:dyDescent="0.2">
      <c r="A190" s="78">
        <v>45846</v>
      </c>
      <c r="B190" s="77">
        <f>+PT!A192</f>
        <v>0</v>
      </c>
      <c r="C190" s="77">
        <f t="shared" si="5"/>
        <v>189</v>
      </c>
    </row>
    <row r="191" spans="1:3" x14ac:dyDescent="0.2">
      <c r="A191" s="78">
        <v>45847</v>
      </c>
      <c r="B191" s="77">
        <f>+PT!A193</f>
        <v>0</v>
      </c>
      <c r="C191" s="77">
        <f t="shared" si="5"/>
        <v>190</v>
      </c>
    </row>
    <row r="192" spans="1:3" x14ac:dyDescent="0.2">
      <c r="A192" s="78">
        <v>45848</v>
      </c>
      <c r="B192" s="77">
        <f>+PT!A194</f>
        <v>0</v>
      </c>
      <c r="C192" s="77">
        <f t="shared" si="5"/>
        <v>191</v>
      </c>
    </row>
    <row r="193" spans="1:3" x14ac:dyDescent="0.2">
      <c r="A193" s="78">
        <v>45849</v>
      </c>
      <c r="B193" s="77">
        <f>+PT!A195</f>
        <v>0</v>
      </c>
      <c r="C193" s="77">
        <f t="shared" si="5"/>
        <v>192</v>
      </c>
    </row>
    <row r="194" spans="1:3" x14ac:dyDescent="0.2">
      <c r="A194" s="78">
        <v>45850</v>
      </c>
      <c r="B194" s="77">
        <f>+PT!A196</f>
        <v>0</v>
      </c>
      <c r="C194" s="77">
        <f t="shared" si="5"/>
        <v>193</v>
      </c>
    </row>
    <row r="195" spans="1:3" x14ac:dyDescent="0.2">
      <c r="A195" s="78">
        <v>45851</v>
      </c>
      <c r="B195" s="77">
        <f>+PT!A197</f>
        <v>0</v>
      </c>
      <c r="C195" s="77">
        <f t="shared" si="5"/>
        <v>194</v>
      </c>
    </row>
    <row r="196" spans="1:3" x14ac:dyDescent="0.2">
      <c r="A196" s="78">
        <v>45852</v>
      </c>
      <c r="B196" s="77">
        <f>+PT!A198</f>
        <v>0</v>
      </c>
      <c r="C196" s="77">
        <f t="shared" ref="C196:C259" si="6">+C195+1</f>
        <v>195</v>
      </c>
    </row>
    <row r="197" spans="1:3" x14ac:dyDescent="0.2">
      <c r="A197" s="78">
        <v>45853</v>
      </c>
      <c r="B197" s="77">
        <f>+PT!A199</f>
        <v>0</v>
      </c>
      <c r="C197" s="77">
        <f t="shared" si="6"/>
        <v>196</v>
      </c>
    </row>
    <row r="198" spans="1:3" x14ac:dyDescent="0.2">
      <c r="A198" s="78">
        <v>45854</v>
      </c>
      <c r="B198" s="77">
        <f>+PT!A200</f>
        <v>0</v>
      </c>
      <c r="C198" s="77">
        <f t="shared" si="6"/>
        <v>197</v>
      </c>
    </row>
    <row r="199" spans="1:3" x14ac:dyDescent="0.2">
      <c r="A199" s="78">
        <v>45855</v>
      </c>
      <c r="B199" s="77">
        <f>+PT!A201</f>
        <v>0</v>
      </c>
      <c r="C199" s="77">
        <f t="shared" si="6"/>
        <v>198</v>
      </c>
    </row>
    <row r="200" spans="1:3" x14ac:dyDescent="0.2">
      <c r="A200" s="78">
        <v>45856</v>
      </c>
      <c r="B200" s="77">
        <f>+PT!A202</f>
        <v>0</v>
      </c>
      <c r="C200" s="77">
        <f t="shared" si="6"/>
        <v>199</v>
      </c>
    </row>
    <row r="201" spans="1:3" x14ac:dyDescent="0.2">
      <c r="A201" s="78">
        <v>45857</v>
      </c>
      <c r="B201" s="77">
        <f>+PT!A203</f>
        <v>0</v>
      </c>
      <c r="C201" s="77">
        <f t="shared" si="6"/>
        <v>200</v>
      </c>
    </row>
    <row r="202" spans="1:3" x14ac:dyDescent="0.2">
      <c r="A202" s="78">
        <v>45858</v>
      </c>
      <c r="B202" s="77">
        <f>+PT!A204</f>
        <v>0</v>
      </c>
      <c r="C202" s="77">
        <f t="shared" si="6"/>
        <v>201</v>
      </c>
    </row>
    <row r="203" spans="1:3" x14ac:dyDescent="0.2">
      <c r="A203" s="78">
        <v>45859</v>
      </c>
      <c r="B203" s="77">
        <f>+PT!A205</f>
        <v>0</v>
      </c>
      <c r="C203" s="77">
        <f t="shared" si="6"/>
        <v>202</v>
      </c>
    </row>
    <row r="204" spans="1:3" x14ac:dyDescent="0.2">
      <c r="A204" s="78">
        <v>45860</v>
      </c>
      <c r="B204" s="77">
        <f>+PT!A206</f>
        <v>0</v>
      </c>
      <c r="C204" s="77">
        <f t="shared" si="6"/>
        <v>203</v>
      </c>
    </row>
    <row r="205" spans="1:3" x14ac:dyDescent="0.2">
      <c r="A205" s="78">
        <v>45861</v>
      </c>
      <c r="B205" s="77">
        <f>+PT!A207</f>
        <v>0</v>
      </c>
      <c r="C205" s="77">
        <f t="shared" si="6"/>
        <v>204</v>
      </c>
    </row>
    <row r="206" spans="1:3" x14ac:dyDescent="0.2">
      <c r="A206" s="78">
        <v>45862</v>
      </c>
      <c r="B206" s="77">
        <f>+PT!A208</f>
        <v>0</v>
      </c>
      <c r="C206" s="77">
        <f t="shared" si="6"/>
        <v>205</v>
      </c>
    </row>
    <row r="207" spans="1:3" x14ac:dyDescent="0.2">
      <c r="A207" s="78">
        <v>45863</v>
      </c>
      <c r="B207" s="77">
        <f>+PT!A209</f>
        <v>0</v>
      </c>
      <c r="C207" s="77">
        <f t="shared" si="6"/>
        <v>206</v>
      </c>
    </row>
    <row r="208" spans="1:3" x14ac:dyDescent="0.2">
      <c r="A208" s="78">
        <v>45864</v>
      </c>
      <c r="B208" s="77">
        <f>+PT!A210</f>
        <v>0</v>
      </c>
      <c r="C208" s="77">
        <f t="shared" si="6"/>
        <v>207</v>
      </c>
    </row>
    <row r="209" spans="1:3" x14ac:dyDescent="0.2">
      <c r="A209" s="78">
        <v>45865</v>
      </c>
      <c r="B209" s="77">
        <f>+PT!A211</f>
        <v>0</v>
      </c>
      <c r="C209" s="77">
        <f t="shared" si="6"/>
        <v>208</v>
      </c>
    </row>
    <row r="210" spans="1:3" x14ac:dyDescent="0.2">
      <c r="A210" s="78">
        <v>45866</v>
      </c>
      <c r="B210" s="77">
        <f>+PT!A212</f>
        <v>0</v>
      </c>
      <c r="C210" s="77">
        <f t="shared" si="6"/>
        <v>209</v>
      </c>
    </row>
    <row r="211" spans="1:3" x14ac:dyDescent="0.2">
      <c r="A211" s="78">
        <v>45867</v>
      </c>
      <c r="B211" s="77">
        <f>+PT!A213</f>
        <v>0</v>
      </c>
      <c r="C211" s="77">
        <f t="shared" si="6"/>
        <v>210</v>
      </c>
    </row>
    <row r="212" spans="1:3" x14ac:dyDescent="0.2">
      <c r="A212" s="78">
        <v>45868</v>
      </c>
      <c r="B212" s="77">
        <f>+PT!A214</f>
        <v>0</v>
      </c>
      <c r="C212" s="77">
        <f t="shared" si="6"/>
        <v>211</v>
      </c>
    </row>
    <row r="213" spans="1:3" x14ac:dyDescent="0.2">
      <c r="A213" s="78">
        <v>45869</v>
      </c>
      <c r="B213" s="77">
        <f>+PT!A215</f>
        <v>0</v>
      </c>
      <c r="C213" s="77">
        <f t="shared" si="6"/>
        <v>212</v>
      </c>
    </row>
    <row r="214" spans="1:3" x14ac:dyDescent="0.2">
      <c r="A214" s="78">
        <v>45870</v>
      </c>
      <c r="B214" s="77">
        <f>+PT!A216</f>
        <v>0</v>
      </c>
      <c r="C214" s="77">
        <f t="shared" si="6"/>
        <v>213</v>
      </c>
    </row>
    <row r="215" spans="1:3" x14ac:dyDescent="0.2">
      <c r="A215" s="78">
        <v>45871</v>
      </c>
      <c r="B215" s="77">
        <f>+PT!A217</f>
        <v>0</v>
      </c>
      <c r="C215" s="77">
        <f t="shared" si="6"/>
        <v>214</v>
      </c>
    </row>
    <row r="216" spans="1:3" x14ac:dyDescent="0.2">
      <c r="A216" s="78">
        <v>45872</v>
      </c>
      <c r="B216" s="77">
        <f>+PT!A218</f>
        <v>0</v>
      </c>
      <c r="C216" s="77">
        <f t="shared" si="6"/>
        <v>215</v>
      </c>
    </row>
    <row r="217" spans="1:3" x14ac:dyDescent="0.2">
      <c r="A217" s="78">
        <v>45873</v>
      </c>
      <c r="B217" s="77">
        <f>+PT!A219</f>
        <v>0</v>
      </c>
      <c r="C217" s="77">
        <f t="shared" si="6"/>
        <v>216</v>
      </c>
    </row>
    <row r="218" spans="1:3" x14ac:dyDescent="0.2">
      <c r="A218" s="78">
        <v>45874</v>
      </c>
      <c r="B218" s="77">
        <f>+PT!A220</f>
        <v>0</v>
      </c>
      <c r="C218" s="77">
        <f t="shared" si="6"/>
        <v>217</v>
      </c>
    </row>
    <row r="219" spans="1:3" x14ac:dyDescent="0.2">
      <c r="A219" s="78">
        <v>45875</v>
      </c>
      <c r="B219" s="77">
        <f>+PT!A221</f>
        <v>0</v>
      </c>
      <c r="C219" s="77">
        <f t="shared" si="6"/>
        <v>218</v>
      </c>
    </row>
    <row r="220" spans="1:3" x14ac:dyDescent="0.2">
      <c r="A220" s="78">
        <v>45876</v>
      </c>
      <c r="B220" s="77">
        <f>+PT!A222</f>
        <v>0</v>
      </c>
      <c r="C220" s="77">
        <f t="shared" si="6"/>
        <v>219</v>
      </c>
    </row>
    <row r="221" spans="1:3" x14ac:dyDescent="0.2">
      <c r="A221" s="78">
        <v>45877</v>
      </c>
      <c r="B221" s="77">
        <f>+PT!A223</f>
        <v>0</v>
      </c>
      <c r="C221" s="77">
        <f t="shared" si="6"/>
        <v>220</v>
      </c>
    </row>
    <row r="222" spans="1:3" x14ac:dyDescent="0.2">
      <c r="A222" s="78">
        <v>45878</v>
      </c>
      <c r="B222" s="77">
        <f>+PT!A224</f>
        <v>0</v>
      </c>
      <c r="C222" s="77">
        <f t="shared" si="6"/>
        <v>221</v>
      </c>
    </row>
    <row r="223" spans="1:3" x14ac:dyDescent="0.2">
      <c r="A223" s="78">
        <v>45879</v>
      </c>
      <c r="B223" s="77">
        <f>+PT!A225</f>
        <v>0</v>
      </c>
      <c r="C223" s="77">
        <f t="shared" si="6"/>
        <v>222</v>
      </c>
    </row>
    <row r="224" spans="1:3" x14ac:dyDescent="0.2">
      <c r="A224" s="78">
        <v>45880</v>
      </c>
      <c r="B224" s="77">
        <f>+PT!A226</f>
        <v>0</v>
      </c>
      <c r="C224" s="77">
        <f t="shared" si="6"/>
        <v>223</v>
      </c>
    </row>
    <row r="225" spans="1:3" x14ac:dyDescent="0.2">
      <c r="A225" s="78">
        <v>45881</v>
      </c>
      <c r="B225" s="77">
        <f>+PT!A227</f>
        <v>0</v>
      </c>
      <c r="C225" s="77">
        <f t="shared" si="6"/>
        <v>224</v>
      </c>
    </row>
    <row r="226" spans="1:3" x14ac:dyDescent="0.2">
      <c r="A226" s="78">
        <v>45882</v>
      </c>
      <c r="B226" s="77">
        <f>+PT!A228</f>
        <v>0</v>
      </c>
      <c r="C226" s="77">
        <f t="shared" si="6"/>
        <v>225</v>
      </c>
    </row>
    <row r="227" spans="1:3" x14ac:dyDescent="0.2">
      <c r="A227" s="78">
        <v>45883</v>
      </c>
      <c r="B227" s="77">
        <f>+PT!A229</f>
        <v>0</v>
      </c>
      <c r="C227" s="77">
        <f t="shared" si="6"/>
        <v>226</v>
      </c>
    </row>
    <row r="228" spans="1:3" x14ac:dyDescent="0.2">
      <c r="A228" s="78">
        <v>45884</v>
      </c>
      <c r="B228" s="77">
        <f>+PT!A230</f>
        <v>0</v>
      </c>
      <c r="C228" s="77">
        <f t="shared" si="6"/>
        <v>227</v>
      </c>
    </row>
    <row r="229" spans="1:3" x14ac:dyDescent="0.2">
      <c r="A229" s="78">
        <v>45885</v>
      </c>
      <c r="B229" s="77">
        <f>+PT!A231</f>
        <v>0</v>
      </c>
      <c r="C229" s="77">
        <f t="shared" si="6"/>
        <v>228</v>
      </c>
    </row>
    <row r="230" spans="1:3" x14ac:dyDescent="0.2">
      <c r="A230" s="78">
        <v>45886</v>
      </c>
      <c r="B230" s="77">
        <f>+PT!A232</f>
        <v>0</v>
      </c>
      <c r="C230" s="77">
        <f t="shared" si="6"/>
        <v>229</v>
      </c>
    </row>
    <row r="231" spans="1:3" x14ac:dyDescent="0.2">
      <c r="A231" s="78">
        <v>45887</v>
      </c>
      <c r="B231" s="77">
        <f>+PT!A233</f>
        <v>0</v>
      </c>
      <c r="C231" s="77">
        <f t="shared" si="6"/>
        <v>230</v>
      </c>
    </row>
    <row r="232" spans="1:3" x14ac:dyDescent="0.2">
      <c r="A232" s="78">
        <v>45888</v>
      </c>
      <c r="B232" s="77">
        <f>+PT!A234</f>
        <v>0</v>
      </c>
      <c r="C232" s="77">
        <f t="shared" si="6"/>
        <v>231</v>
      </c>
    </row>
    <row r="233" spans="1:3" x14ac:dyDescent="0.2">
      <c r="A233" s="78">
        <v>45889</v>
      </c>
      <c r="B233" s="77">
        <f>+PT!A235</f>
        <v>0</v>
      </c>
      <c r="C233" s="77">
        <f t="shared" si="6"/>
        <v>232</v>
      </c>
    </row>
    <row r="234" spans="1:3" x14ac:dyDescent="0.2">
      <c r="A234" s="78">
        <v>45890</v>
      </c>
      <c r="B234" s="77">
        <f>+PT!A236</f>
        <v>0</v>
      </c>
      <c r="C234" s="77">
        <f t="shared" si="6"/>
        <v>233</v>
      </c>
    </row>
    <row r="235" spans="1:3" x14ac:dyDescent="0.2">
      <c r="A235" s="78">
        <v>45891</v>
      </c>
      <c r="B235" s="77">
        <f>+PT!A237</f>
        <v>0</v>
      </c>
      <c r="C235" s="77">
        <f t="shared" si="6"/>
        <v>234</v>
      </c>
    </row>
    <row r="236" spans="1:3" x14ac:dyDescent="0.2">
      <c r="A236" s="78">
        <v>45892</v>
      </c>
      <c r="B236" s="77">
        <f>+PT!A238</f>
        <v>0</v>
      </c>
      <c r="C236" s="77">
        <f t="shared" si="6"/>
        <v>235</v>
      </c>
    </row>
    <row r="237" spans="1:3" x14ac:dyDescent="0.2">
      <c r="A237" s="78">
        <v>45893</v>
      </c>
      <c r="B237" s="77">
        <f>+PT!A239</f>
        <v>0</v>
      </c>
      <c r="C237" s="77">
        <f t="shared" si="6"/>
        <v>236</v>
      </c>
    </row>
    <row r="238" spans="1:3" x14ac:dyDescent="0.2">
      <c r="A238" s="78">
        <v>45894</v>
      </c>
      <c r="B238" s="77">
        <f>+PT!A240</f>
        <v>0</v>
      </c>
      <c r="C238" s="77">
        <f t="shared" si="6"/>
        <v>237</v>
      </c>
    </row>
    <row r="239" spans="1:3" x14ac:dyDescent="0.2">
      <c r="A239" s="78">
        <v>45895</v>
      </c>
      <c r="B239" s="77">
        <f>+PT!A241</f>
        <v>0</v>
      </c>
      <c r="C239" s="77">
        <f t="shared" si="6"/>
        <v>238</v>
      </c>
    </row>
    <row r="240" spans="1:3" x14ac:dyDescent="0.2">
      <c r="A240" s="78">
        <v>45896</v>
      </c>
      <c r="B240" s="77">
        <f>+PT!A242</f>
        <v>0</v>
      </c>
      <c r="C240" s="77">
        <f t="shared" si="6"/>
        <v>239</v>
      </c>
    </row>
    <row r="241" spans="1:3" x14ac:dyDescent="0.2">
      <c r="A241" s="78">
        <v>45897</v>
      </c>
      <c r="B241" s="77">
        <f>+PT!A243</f>
        <v>0</v>
      </c>
      <c r="C241" s="77">
        <f t="shared" si="6"/>
        <v>240</v>
      </c>
    </row>
    <row r="242" spans="1:3" x14ac:dyDescent="0.2">
      <c r="A242" s="78">
        <v>45898</v>
      </c>
      <c r="B242" s="77">
        <f>+PT!A244</f>
        <v>0</v>
      </c>
      <c r="C242" s="77">
        <f t="shared" si="6"/>
        <v>241</v>
      </c>
    </row>
    <row r="243" spans="1:3" x14ac:dyDescent="0.2">
      <c r="A243" s="78">
        <v>45899</v>
      </c>
      <c r="B243" s="77">
        <f>+PT!A245</f>
        <v>0</v>
      </c>
      <c r="C243" s="77">
        <f t="shared" si="6"/>
        <v>242</v>
      </c>
    </row>
    <row r="244" spans="1:3" x14ac:dyDescent="0.2">
      <c r="A244" s="78">
        <v>45900</v>
      </c>
      <c r="B244" s="77">
        <f>+PT!A246</f>
        <v>0</v>
      </c>
      <c r="C244" s="77">
        <f t="shared" si="6"/>
        <v>243</v>
      </c>
    </row>
    <row r="245" spans="1:3" x14ac:dyDescent="0.2">
      <c r="A245" s="78">
        <v>45901</v>
      </c>
      <c r="B245" s="77">
        <f>+PT!A247</f>
        <v>0</v>
      </c>
      <c r="C245" s="77">
        <f t="shared" si="6"/>
        <v>244</v>
      </c>
    </row>
    <row r="246" spans="1:3" x14ac:dyDescent="0.2">
      <c r="A246" s="78">
        <v>45902</v>
      </c>
      <c r="B246" s="77">
        <f>+PT!A248</f>
        <v>0</v>
      </c>
      <c r="C246" s="77">
        <f t="shared" si="6"/>
        <v>245</v>
      </c>
    </row>
    <row r="247" spans="1:3" x14ac:dyDescent="0.2">
      <c r="A247" s="78">
        <v>45903</v>
      </c>
      <c r="B247" s="77">
        <f>+PT!A249</f>
        <v>0</v>
      </c>
      <c r="C247" s="77">
        <f t="shared" si="6"/>
        <v>246</v>
      </c>
    </row>
    <row r="248" spans="1:3" x14ac:dyDescent="0.2">
      <c r="A248" s="78">
        <v>45904</v>
      </c>
      <c r="B248" s="77">
        <f>+PT!A250</f>
        <v>0</v>
      </c>
      <c r="C248" s="77">
        <f t="shared" si="6"/>
        <v>247</v>
      </c>
    </row>
    <row r="249" spans="1:3" x14ac:dyDescent="0.2">
      <c r="A249" s="78">
        <v>45905</v>
      </c>
      <c r="B249" s="77">
        <f>+PT!A251</f>
        <v>0</v>
      </c>
      <c r="C249" s="77">
        <f t="shared" si="6"/>
        <v>248</v>
      </c>
    </row>
    <row r="250" spans="1:3" x14ac:dyDescent="0.2">
      <c r="A250" s="78">
        <v>45906</v>
      </c>
      <c r="B250" s="77">
        <f>+PT!A252</f>
        <v>0</v>
      </c>
      <c r="C250" s="77">
        <f t="shared" si="6"/>
        <v>249</v>
      </c>
    </row>
    <row r="251" spans="1:3" x14ac:dyDescent="0.2">
      <c r="A251" s="78">
        <v>45907</v>
      </c>
      <c r="B251" s="77">
        <f>+PT!A253</f>
        <v>0</v>
      </c>
      <c r="C251" s="77">
        <f t="shared" si="6"/>
        <v>250</v>
      </c>
    </row>
    <row r="252" spans="1:3" x14ac:dyDescent="0.2">
      <c r="A252" s="78">
        <v>45908</v>
      </c>
      <c r="B252" s="77">
        <f>+PT!A254</f>
        <v>0</v>
      </c>
      <c r="C252" s="77">
        <f t="shared" si="6"/>
        <v>251</v>
      </c>
    </row>
    <row r="253" spans="1:3" x14ac:dyDescent="0.2">
      <c r="A253" s="78">
        <v>45909</v>
      </c>
      <c r="B253" s="77">
        <f>+PT!A255</f>
        <v>0</v>
      </c>
      <c r="C253" s="77">
        <f t="shared" si="6"/>
        <v>252</v>
      </c>
    </row>
    <row r="254" spans="1:3" x14ac:dyDescent="0.2">
      <c r="A254" s="78">
        <v>45910</v>
      </c>
      <c r="B254" s="77">
        <f>+PT!A256</f>
        <v>0</v>
      </c>
      <c r="C254" s="77">
        <f t="shared" si="6"/>
        <v>253</v>
      </c>
    </row>
    <row r="255" spans="1:3" x14ac:dyDescent="0.2">
      <c r="A255" s="78">
        <v>45911</v>
      </c>
      <c r="B255" s="77">
        <f>+PT!A257</f>
        <v>0</v>
      </c>
      <c r="C255" s="77">
        <f t="shared" si="6"/>
        <v>254</v>
      </c>
    </row>
    <row r="256" spans="1:3" x14ac:dyDescent="0.2">
      <c r="A256" s="78">
        <v>45912</v>
      </c>
      <c r="B256" s="77">
        <f>+PT!A258</f>
        <v>0</v>
      </c>
      <c r="C256" s="77">
        <f t="shared" si="6"/>
        <v>255</v>
      </c>
    </row>
    <row r="257" spans="1:3" x14ac:dyDescent="0.2">
      <c r="A257" s="78">
        <v>45913</v>
      </c>
      <c r="B257" s="77">
        <f>+PT!A259</f>
        <v>0</v>
      </c>
      <c r="C257" s="77">
        <f t="shared" si="6"/>
        <v>256</v>
      </c>
    </row>
    <row r="258" spans="1:3" x14ac:dyDescent="0.2">
      <c r="A258" s="78">
        <v>45914</v>
      </c>
      <c r="B258" s="77">
        <f>+PT!A260</f>
        <v>0</v>
      </c>
      <c r="C258" s="77">
        <f t="shared" si="6"/>
        <v>257</v>
      </c>
    </row>
    <row r="259" spans="1:3" x14ac:dyDescent="0.2">
      <c r="A259" s="78">
        <v>45915</v>
      </c>
      <c r="B259" s="77">
        <f>+PT!A261</f>
        <v>0</v>
      </c>
      <c r="C259" s="77">
        <f t="shared" si="6"/>
        <v>258</v>
      </c>
    </row>
    <row r="260" spans="1:3" x14ac:dyDescent="0.2">
      <c r="A260" s="78">
        <v>45916</v>
      </c>
      <c r="B260" s="77">
        <f>+PT!A262</f>
        <v>0</v>
      </c>
      <c r="C260" s="77">
        <f t="shared" ref="C260:C323" si="7">+C259+1</f>
        <v>259</v>
      </c>
    </row>
    <row r="261" spans="1:3" x14ac:dyDescent="0.2">
      <c r="A261" s="78">
        <v>45917</v>
      </c>
      <c r="B261" s="77">
        <f>+PT!A263</f>
        <v>0</v>
      </c>
      <c r="C261" s="77">
        <f t="shared" si="7"/>
        <v>260</v>
      </c>
    </row>
    <row r="262" spans="1:3" x14ac:dyDescent="0.2">
      <c r="A262" s="78">
        <v>45918</v>
      </c>
      <c r="B262" s="77">
        <f>+PT!A264</f>
        <v>0</v>
      </c>
      <c r="C262" s="77">
        <f t="shared" si="7"/>
        <v>261</v>
      </c>
    </row>
    <row r="263" spans="1:3" x14ac:dyDescent="0.2">
      <c r="A263" s="78">
        <v>45919</v>
      </c>
      <c r="B263" s="77">
        <f>+PT!A265</f>
        <v>0</v>
      </c>
      <c r="C263" s="77">
        <f t="shared" si="7"/>
        <v>262</v>
      </c>
    </row>
    <row r="264" spans="1:3" x14ac:dyDescent="0.2">
      <c r="A264" s="78">
        <v>45920</v>
      </c>
      <c r="B264" s="77">
        <f>+PT!A266</f>
        <v>0</v>
      </c>
      <c r="C264" s="77">
        <f t="shared" si="7"/>
        <v>263</v>
      </c>
    </row>
    <row r="265" spans="1:3" x14ac:dyDescent="0.2">
      <c r="A265" s="78">
        <v>45921</v>
      </c>
      <c r="B265" s="77">
        <f>+PT!A267</f>
        <v>0</v>
      </c>
      <c r="C265" s="77">
        <f t="shared" si="7"/>
        <v>264</v>
      </c>
    </row>
    <row r="266" spans="1:3" x14ac:dyDescent="0.2">
      <c r="A266" s="78">
        <v>45922</v>
      </c>
      <c r="B266" s="77">
        <f>+PT!A268</f>
        <v>0</v>
      </c>
      <c r="C266" s="77">
        <f t="shared" si="7"/>
        <v>265</v>
      </c>
    </row>
    <row r="267" spans="1:3" x14ac:dyDescent="0.2">
      <c r="A267" s="78">
        <v>45923</v>
      </c>
      <c r="B267" s="77">
        <f>+PT!A269</f>
        <v>0</v>
      </c>
      <c r="C267" s="77">
        <f t="shared" si="7"/>
        <v>266</v>
      </c>
    </row>
    <row r="268" spans="1:3" x14ac:dyDescent="0.2">
      <c r="A268" s="78">
        <v>45924</v>
      </c>
      <c r="B268" s="77">
        <f>+PT!A270</f>
        <v>0</v>
      </c>
      <c r="C268" s="77">
        <f t="shared" si="7"/>
        <v>267</v>
      </c>
    </row>
    <row r="269" spans="1:3" x14ac:dyDescent="0.2">
      <c r="A269" s="78">
        <v>45925</v>
      </c>
      <c r="B269" s="77">
        <f>+PT!A271</f>
        <v>0</v>
      </c>
      <c r="C269" s="77">
        <f t="shared" si="7"/>
        <v>268</v>
      </c>
    </row>
    <row r="270" spans="1:3" x14ac:dyDescent="0.2">
      <c r="A270" s="78">
        <v>45926</v>
      </c>
      <c r="B270" s="77">
        <f>+PT!A272</f>
        <v>0</v>
      </c>
      <c r="C270" s="77">
        <f t="shared" si="7"/>
        <v>269</v>
      </c>
    </row>
    <row r="271" spans="1:3" x14ac:dyDescent="0.2">
      <c r="A271" s="78">
        <v>45927</v>
      </c>
      <c r="B271" s="77">
        <f>+PT!A273</f>
        <v>0</v>
      </c>
      <c r="C271" s="77">
        <f t="shared" si="7"/>
        <v>270</v>
      </c>
    </row>
    <row r="272" spans="1:3" x14ac:dyDescent="0.2">
      <c r="A272" s="78">
        <v>45928</v>
      </c>
      <c r="B272" s="77">
        <f>+PT!A274</f>
        <v>0</v>
      </c>
      <c r="C272" s="77">
        <f t="shared" si="7"/>
        <v>271</v>
      </c>
    </row>
    <row r="273" spans="1:3" x14ac:dyDescent="0.2">
      <c r="A273" s="78">
        <v>45929</v>
      </c>
      <c r="B273" s="77">
        <f>+PT!A275</f>
        <v>0</v>
      </c>
      <c r="C273" s="77">
        <f t="shared" si="7"/>
        <v>272</v>
      </c>
    </row>
    <row r="274" spans="1:3" x14ac:dyDescent="0.2">
      <c r="A274" s="78">
        <v>45930</v>
      </c>
      <c r="B274" s="77">
        <f>+PT!A276</f>
        <v>0</v>
      </c>
      <c r="C274" s="77">
        <f t="shared" si="7"/>
        <v>273</v>
      </c>
    </row>
    <row r="275" spans="1:3" x14ac:dyDescent="0.2">
      <c r="A275" s="78">
        <v>45931</v>
      </c>
      <c r="B275" s="77">
        <f>+PT!A277</f>
        <v>0</v>
      </c>
      <c r="C275" s="77">
        <f t="shared" si="7"/>
        <v>274</v>
      </c>
    </row>
    <row r="276" spans="1:3" x14ac:dyDescent="0.2">
      <c r="A276" s="78">
        <v>45932</v>
      </c>
      <c r="B276" s="77">
        <f>+PT!A278</f>
        <v>0</v>
      </c>
      <c r="C276" s="77">
        <f t="shared" si="7"/>
        <v>275</v>
      </c>
    </row>
    <row r="277" spans="1:3" x14ac:dyDescent="0.2">
      <c r="A277" s="78">
        <v>45933</v>
      </c>
      <c r="B277" s="77">
        <f>+PT!A279</f>
        <v>0</v>
      </c>
      <c r="C277" s="77">
        <f t="shared" si="7"/>
        <v>276</v>
      </c>
    </row>
    <row r="278" spans="1:3" x14ac:dyDescent="0.2">
      <c r="A278" s="78">
        <v>45934</v>
      </c>
      <c r="B278" s="77">
        <f>+PT!A280</f>
        <v>0</v>
      </c>
      <c r="C278" s="77">
        <f t="shared" si="7"/>
        <v>277</v>
      </c>
    </row>
    <row r="279" spans="1:3" x14ac:dyDescent="0.2">
      <c r="A279" s="78">
        <v>45935</v>
      </c>
      <c r="B279" s="77">
        <f>+PT!A281</f>
        <v>0</v>
      </c>
      <c r="C279" s="77">
        <f t="shared" si="7"/>
        <v>278</v>
      </c>
    </row>
    <row r="280" spans="1:3" x14ac:dyDescent="0.2">
      <c r="A280" s="78">
        <v>45936</v>
      </c>
      <c r="B280" s="77">
        <f>+PT!A282</f>
        <v>0</v>
      </c>
      <c r="C280" s="77">
        <f t="shared" si="7"/>
        <v>279</v>
      </c>
    </row>
    <row r="281" spans="1:3" x14ac:dyDescent="0.2">
      <c r="A281" s="78">
        <v>45937</v>
      </c>
      <c r="B281" s="77">
        <f>+PT!A283</f>
        <v>0</v>
      </c>
      <c r="C281" s="77">
        <f t="shared" si="7"/>
        <v>280</v>
      </c>
    </row>
    <row r="282" spans="1:3" x14ac:dyDescent="0.2">
      <c r="A282" s="78">
        <v>45938</v>
      </c>
      <c r="B282" s="77">
        <f>+PT!A284</f>
        <v>0</v>
      </c>
      <c r="C282" s="77">
        <f t="shared" si="7"/>
        <v>281</v>
      </c>
    </row>
    <row r="283" spans="1:3" x14ac:dyDescent="0.2">
      <c r="A283" s="78">
        <v>45939</v>
      </c>
      <c r="B283" s="77">
        <f>+PT!A285</f>
        <v>0</v>
      </c>
      <c r="C283" s="77">
        <f t="shared" si="7"/>
        <v>282</v>
      </c>
    </row>
    <row r="284" spans="1:3" x14ac:dyDescent="0.2">
      <c r="A284" s="78">
        <v>45940</v>
      </c>
      <c r="B284" s="77">
        <f>+PT!A286</f>
        <v>0</v>
      </c>
      <c r="C284" s="77">
        <f t="shared" si="7"/>
        <v>283</v>
      </c>
    </row>
    <row r="285" spans="1:3" x14ac:dyDescent="0.2">
      <c r="A285" s="78">
        <v>45941</v>
      </c>
      <c r="B285" s="77">
        <f>+PT!A287</f>
        <v>0</v>
      </c>
      <c r="C285" s="77">
        <f t="shared" si="7"/>
        <v>284</v>
      </c>
    </row>
    <row r="286" spans="1:3" x14ac:dyDescent="0.2">
      <c r="A286" s="78">
        <v>45942</v>
      </c>
      <c r="B286" s="77">
        <f>+PT!A288</f>
        <v>0</v>
      </c>
      <c r="C286" s="77">
        <f t="shared" si="7"/>
        <v>285</v>
      </c>
    </row>
    <row r="287" spans="1:3" x14ac:dyDescent="0.2">
      <c r="A287" s="78">
        <v>45943</v>
      </c>
      <c r="B287" s="77">
        <f>+PT!A289</f>
        <v>0</v>
      </c>
      <c r="C287" s="77">
        <f t="shared" si="7"/>
        <v>286</v>
      </c>
    </row>
    <row r="288" spans="1:3" x14ac:dyDescent="0.2">
      <c r="A288" s="78">
        <v>45944</v>
      </c>
      <c r="B288" s="77">
        <f>+PT!A290</f>
        <v>0</v>
      </c>
      <c r="C288" s="77">
        <f t="shared" si="7"/>
        <v>287</v>
      </c>
    </row>
    <row r="289" spans="1:3" x14ac:dyDescent="0.2">
      <c r="A289" s="78">
        <v>45945</v>
      </c>
      <c r="B289" s="77">
        <f>+PT!A291</f>
        <v>0</v>
      </c>
      <c r="C289" s="77">
        <f t="shared" si="7"/>
        <v>288</v>
      </c>
    </row>
    <row r="290" spans="1:3" x14ac:dyDescent="0.2">
      <c r="A290" s="78">
        <v>45946</v>
      </c>
      <c r="B290" s="77">
        <f>+PT!A292</f>
        <v>0</v>
      </c>
      <c r="C290" s="77">
        <f t="shared" si="7"/>
        <v>289</v>
      </c>
    </row>
    <row r="291" spans="1:3" x14ac:dyDescent="0.2">
      <c r="A291" s="78">
        <v>45947</v>
      </c>
      <c r="B291" s="77">
        <f>+PT!A293</f>
        <v>0</v>
      </c>
      <c r="C291" s="77">
        <f t="shared" si="7"/>
        <v>290</v>
      </c>
    </row>
    <row r="292" spans="1:3" x14ac:dyDescent="0.2">
      <c r="A292" s="78">
        <v>45948</v>
      </c>
      <c r="B292" s="77">
        <f>+PT!A294</f>
        <v>0</v>
      </c>
      <c r="C292" s="77">
        <f t="shared" si="7"/>
        <v>291</v>
      </c>
    </row>
    <row r="293" spans="1:3" x14ac:dyDescent="0.2">
      <c r="A293" s="78">
        <v>45949</v>
      </c>
      <c r="B293" s="77">
        <f>+PT!A295</f>
        <v>0</v>
      </c>
      <c r="C293" s="77">
        <f t="shared" si="7"/>
        <v>292</v>
      </c>
    </row>
    <row r="294" spans="1:3" x14ac:dyDescent="0.2">
      <c r="A294" s="78">
        <v>45950</v>
      </c>
      <c r="B294" s="77">
        <f>+PT!A296</f>
        <v>0</v>
      </c>
      <c r="C294" s="77">
        <f t="shared" si="7"/>
        <v>293</v>
      </c>
    </row>
    <row r="295" spans="1:3" x14ac:dyDescent="0.2">
      <c r="A295" s="78">
        <v>45951</v>
      </c>
      <c r="B295" s="77">
        <f>+PT!A297</f>
        <v>0</v>
      </c>
      <c r="C295" s="77">
        <f t="shared" si="7"/>
        <v>294</v>
      </c>
    </row>
    <row r="296" spans="1:3" x14ac:dyDescent="0.2">
      <c r="A296" s="78">
        <v>45952</v>
      </c>
      <c r="B296" s="77">
        <f>+PT!A298</f>
        <v>0</v>
      </c>
      <c r="C296" s="77">
        <f t="shared" si="7"/>
        <v>295</v>
      </c>
    </row>
    <row r="297" spans="1:3" x14ac:dyDescent="0.2">
      <c r="A297" s="78">
        <v>45953</v>
      </c>
      <c r="B297" s="77">
        <f>+PT!A299</f>
        <v>0</v>
      </c>
      <c r="C297" s="77">
        <f t="shared" si="7"/>
        <v>296</v>
      </c>
    </row>
    <row r="298" spans="1:3" x14ac:dyDescent="0.2">
      <c r="A298" s="78">
        <v>45954</v>
      </c>
      <c r="B298" s="77">
        <f>+PT!A300</f>
        <v>0</v>
      </c>
      <c r="C298" s="77">
        <f t="shared" si="7"/>
        <v>297</v>
      </c>
    </row>
    <row r="299" spans="1:3" x14ac:dyDescent="0.2">
      <c r="A299" s="78">
        <v>45955</v>
      </c>
      <c r="B299" s="77">
        <f>+PT!A301</f>
        <v>0</v>
      </c>
      <c r="C299" s="77">
        <f t="shared" si="7"/>
        <v>298</v>
      </c>
    </row>
    <row r="300" spans="1:3" x14ac:dyDescent="0.2">
      <c r="A300" s="78">
        <v>45956</v>
      </c>
      <c r="B300" s="77">
        <f>+PT!A302</f>
        <v>0</v>
      </c>
      <c r="C300" s="77">
        <f t="shared" si="7"/>
        <v>299</v>
      </c>
    </row>
    <row r="301" spans="1:3" x14ac:dyDescent="0.2">
      <c r="A301" s="78">
        <v>45957</v>
      </c>
      <c r="B301" s="77">
        <f>+PT!A303</f>
        <v>0</v>
      </c>
      <c r="C301" s="77">
        <f t="shared" si="7"/>
        <v>300</v>
      </c>
    </row>
    <row r="302" spans="1:3" x14ac:dyDescent="0.2">
      <c r="A302" s="78">
        <v>45958</v>
      </c>
      <c r="B302" s="77">
        <f>+PT!A304</f>
        <v>0</v>
      </c>
      <c r="C302" s="77">
        <f t="shared" si="7"/>
        <v>301</v>
      </c>
    </row>
    <row r="303" spans="1:3" x14ac:dyDescent="0.2">
      <c r="A303" s="78">
        <v>45959</v>
      </c>
      <c r="B303" s="77">
        <f>+PT!A305</f>
        <v>0</v>
      </c>
      <c r="C303" s="77">
        <f t="shared" si="7"/>
        <v>302</v>
      </c>
    </row>
    <row r="304" spans="1:3" x14ac:dyDescent="0.2">
      <c r="A304" s="78">
        <v>45960</v>
      </c>
      <c r="B304" s="77">
        <f>+PT!A306</f>
        <v>0</v>
      </c>
      <c r="C304" s="77">
        <f t="shared" si="7"/>
        <v>303</v>
      </c>
    </row>
    <row r="305" spans="1:3" x14ac:dyDescent="0.2">
      <c r="A305" s="78">
        <v>45961</v>
      </c>
      <c r="B305" s="77">
        <f>+PT!A307</f>
        <v>0</v>
      </c>
      <c r="C305" s="77">
        <f t="shared" si="7"/>
        <v>304</v>
      </c>
    </row>
    <row r="306" spans="1:3" x14ac:dyDescent="0.2">
      <c r="A306" s="78">
        <v>45962</v>
      </c>
      <c r="B306" s="77">
        <f>+PT!A308</f>
        <v>0</v>
      </c>
      <c r="C306" s="77">
        <f t="shared" si="7"/>
        <v>305</v>
      </c>
    </row>
    <row r="307" spans="1:3" x14ac:dyDescent="0.2">
      <c r="A307" s="78">
        <v>45963</v>
      </c>
      <c r="B307" s="77">
        <f>+PT!A309</f>
        <v>0</v>
      </c>
      <c r="C307" s="77">
        <f t="shared" si="7"/>
        <v>306</v>
      </c>
    </row>
    <row r="308" spans="1:3" x14ac:dyDescent="0.2">
      <c r="A308" s="78">
        <v>45964</v>
      </c>
      <c r="B308" s="77">
        <f>+PT!A310</f>
        <v>0</v>
      </c>
      <c r="C308" s="77">
        <f t="shared" si="7"/>
        <v>307</v>
      </c>
    </row>
    <row r="309" spans="1:3" x14ac:dyDescent="0.2">
      <c r="A309" s="78">
        <v>45965</v>
      </c>
      <c r="B309" s="77">
        <f>+PT!A311</f>
        <v>0</v>
      </c>
      <c r="C309" s="77">
        <f t="shared" si="7"/>
        <v>308</v>
      </c>
    </row>
    <row r="310" spans="1:3" x14ac:dyDescent="0.2">
      <c r="A310" s="78">
        <v>45966</v>
      </c>
      <c r="B310" s="77">
        <f>+PT!A312</f>
        <v>0</v>
      </c>
      <c r="C310" s="77">
        <f t="shared" si="7"/>
        <v>309</v>
      </c>
    </row>
    <row r="311" spans="1:3" x14ac:dyDescent="0.2">
      <c r="A311" s="78">
        <v>45967</v>
      </c>
      <c r="B311" s="77">
        <f>+PT!A313</f>
        <v>0</v>
      </c>
      <c r="C311" s="77">
        <f t="shared" si="7"/>
        <v>310</v>
      </c>
    </row>
    <row r="312" spans="1:3" x14ac:dyDescent="0.2">
      <c r="A312" s="78">
        <v>45968</v>
      </c>
      <c r="B312" s="77">
        <f>+PT!A314</f>
        <v>0</v>
      </c>
      <c r="C312" s="77">
        <f t="shared" si="7"/>
        <v>311</v>
      </c>
    </row>
    <row r="313" spans="1:3" x14ac:dyDescent="0.2">
      <c r="A313" s="78">
        <v>45969</v>
      </c>
      <c r="B313" s="77">
        <f>+PT!A315</f>
        <v>0</v>
      </c>
      <c r="C313" s="77">
        <f t="shared" si="7"/>
        <v>312</v>
      </c>
    </row>
    <row r="314" spans="1:3" x14ac:dyDescent="0.2">
      <c r="A314" s="78">
        <v>45970</v>
      </c>
      <c r="B314" s="77">
        <f>+PT!A316</f>
        <v>0</v>
      </c>
      <c r="C314" s="77">
        <f t="shared" si="7"/>
        <v>313</v>
      </c>
    </row>
    <row r="315" spans="1:3" x14ac:dyDescent="0.2">
      <c r="A315" s="78">
        <v>45971</v>
      </c>
      <c r="B315" s="77">
        <f>+PT!A317</f>
        <v>0</v>
      </c>
      <c r="C315" s="77">
        <f t="shared" si="7"/>
        <v>314</v>
      </c>
    </row>
    <row r="316" spans="1:3" x14ac:dyDescent="0.2">
      <c r="A316" s="78">
        <v>45972</v>
      </c>
      <c r="B316" s="77">
        <f>+PT!A318</f>
        <v>0</v>
      </c>
      <c r="C316" s="77">
        <f t="shared" si="7"/>
        <v>315</v>
      </c>
    </row>
    <row r="317" spans="1:3" x14ac:dyDescent="0.2">
      <c r="A317" s="78">
        <v>45973</v>
      </c>
      <c r="B317" s="77">
        <f>+PT!A319</f>
        <v>0</v>
      </c>
      <c r="C317" s="77">
        <f t="shared" si="7"/>
        <v>316</v>
      </c>
    </row>
    <row r="318" spans="1:3" x14ac:dyDescent="0.2">
      <c r="A318" s="78">
        <v>45974</v>
      </c>
      <c r="B318" s="77">
        <f>+PT!A320</f>
        <v>0</v>
      </c>
      <c r="C318" s="77">
        <f t="shared" si="7"/>
        <v>317</v>
      </c>
    </row>
    <row r="319" spans="1:3" x14ac:dyDescent="0.2">
      <c r="A319" s="78">
        <v>45975</v>
      </c>
      <c r="B319" s="77">
        <f>+PT!A321</f>
        <v>0</v>
      </c>
      <c r="C319" s="77">
        <f t="shared" si="7"/>
        <v>318</v>
      </c>
    </row>
    <row r="320" spans="1:3" x14ac:dyDescent="0.2">
      <c r="A320" s="78">
        <v>45976</v>
      </c>
      <c r="B320" s="77">
        <f>+PT!A322</f>
        <v>0</v>
      </c>
      <c r="C320" s="77">
        <f t="shared" si="7"/>
        <v>319</v>
      </c>
    </row>
    <row r="321" spans="1:3" x14ac:dyDescent="0.2">
      <c r="A321" s="78">
        <v>45977</v>
      </c>
      <c r="B321" s="77">
        <f>+PT!A323</f>
        <v>0</v>
      </c>
      <c r="C321" s="77">
        <f t="shared" si="7"/>
        <v>320</v>
      </c>
    </row>
    <row r="322" spans="1:3" x14ac:dyDescent="0.2">
      <c r="A322" s="78">
        <v>45978</v>
      </c>
      <c r="B322" s="77">
        <f>+PT!A324</f>
        <v>0</v>
      </c>
      <c r="C322" s="77">
        <f t="shared" si="7"/>
        <v>321</v>
      </c>
    </row>
    <row r="323" spans="1:3" x14ac:dyDescent="0.2">
      <c r="A323" s="78">
        <v>45979</v>
      </c>
      <c r="B323" s="77">
        <f>+PT!A325</f>
        <v>0</v>
      </c>
      <c r="C323" s="77">
        <f t="shared" si="7"/>
        <v>322</v>
      </c>
    </row>
    <row r="324" spans="1:3" x14ac:dyDescent="0.2">
      <c r="A324" s="78">
        <v>45980</v>
      </c>
      <c r="B324" s="77">
        <f>+PT!A326</f>
        <v>0</v>
      </c>
      <c r="C324" s="77">
        <f t="shared" ref="C324:C387" si="8">+C323+1</f>
        <v>323</v>
      </c>
    </row>
    <row r="325" spans="1:3" x14ac:dyDescent="0.2">
      <c r="A325" s="78">
        <v>45981</v>
      </c>
      <c r="B325" s="77">
        <f>+PT!A327</f>
        <v>0</v>
      </c>
      <c r="C325" s="77">
        <f t="shared" si="8"/>
        <v>324</v>
      </c>
    </row>
    <row r="326" spans="1:3" x14ac:dyDescent="0.2">
      <c r="A326" s="78">
        <v>45982</v>
      </c>
      <c r="B326" s="77">
        <f>+PT!A328</f>
        <v>0</v>
      </c>
      <c r="C326" s="77">
        <f t="shared" si="8"/>
        <v>325</v>
      </c>
    </row>
    <row r="327" spans="1:3" x14ac:dyDescent="0.2">
      <c r="A327" s="78">
        <v>45983</v>
      </c>
      <c r="B327" s="77">
        <f>+PT!A329</f>
        <v>0</v>
      </c>
      <c r="C327" s="77">
        <f t="shared" si="8"/>
        <v>326</v>
      </c>
    </row>
    <row r="328" spans="1:3" x14ac:dyDescent="0.2">
      <c r="A328" s="78">
        <v>45984</v>
      </c>
      <c r="B328" s="77">
        <f>+PT!A330</f>
        <v>0</v>
      </c>
      <c r="C328" s="77">
        <f t="shared" si="8"/>
        <v>327</v>
      </c>
    </row>
    <row r="329" spans="1:3" x14ac:dyDescent="0.2">
      <c r="A329" s="78">
        <v>45985</v>
      </c>
      <c r="B329" s="77">
        <f>+PT!A331</f>
        <v>0</v>
      </c>
      <c r="C329" s="77">
        <f t="shared" si="8"/>
        <v>328</v>
      </c>
    </row>
    <row r="330" spans="1:3" x14ac:dyDescent="0.2">
      <c r="A330" s="78">
        <v>45986</v>
      </c>
      <c r="B330" s="77">
        <f>+PT!A332</f>
        <v>0</v>
      </c>
      <c r="C330" s="77">
        <f t="shared" si="8"/>
        <v>329</v>
      </c>
    </row>
    <row r="331" spans="1:3" x14ac:dyDescent="0.2">
      <c r="A331" s="78">
        <v>45987</v>
      </c>
      <c r="B331" s="77">
        <f>+PT!A333</f>
        <v>0</v>
      </c>
      <c r="C331" s="77">
        <f t="shared" si="8"/>
        <v>330</v>
      </c>
    </row>
    <row r="332" spans="1:3" x14ac:dyDescent="0.2">
      <c r="A332" s="78">
        <v>45988</v>
      </c>
      <c r="B332" s="77">
        <f>+PT!A334</f>
        <v>0</v>
      </c>
      <c r="C332" s="77">
        <f t="shared" si="8"/>
        <v>331</v>
      </c>
    </row>
    <row r="333" spans="1:3" x14ac:dyDescent="0.2">
      <c r="A333" s="78">
        <v>45989</v>
      </c>
      <c r="B333" s="77">
        <f>+PT!A335</f>
        <v>0</v>
      </c>
      <c r="C333" s="77">
        <f t="shared" si="8"/>
        <v>332</v>
      </c>
    </row>
    <row r="334" spans="1:3" x14ac:dyDescent="0.2">
      <c r="A334" s="78">
        <v>45990</v>
      </c>
      <c r="B334" s="77">
        <f>+PT!A336</f>
        <v>0</v>
      </c>
      <c r="C334" s="77">
        <f t="shared" si="8"/>
        <v>333</v>
      </c>
    </row>
    <row r="335" spans="1:3" x14ac:dyDescent="0.2">
      <c r="A335" s="78">
        <v>45991</v>
      </c>
      <c r="B335" s="77">
        <f>+PT!A337</f>
        <v>0</v>
      </c>
      <c r="C335" s="77">
        <f t="shared" si="8"/>
        <v>334</v>
      </c>
    </row>
    <row r="336" spans="1:3" x14ac:dyDescent="0.2">
      <c r="A336" s="78">
        <v>45992</v>
      </c>
      <c r="B336" s="77">
        <f>+PT!A338</f>
        <v>0</v>
      </c>
      <c r="C336" s="77">
        <f t="shared" si="8"/>
        <v>335</v>
      </c>
    </row>
    <row r="337" spans="1:3" x14ac:dyDescent="0.2">
      <c r="A337" s="78">
        <v>45993</v>
      </c>
      <c r="B337" s="77">
        <f>+PT!A339</f>
        <v>0</v>
      </c>
      <c r="C337" s="77">
        <f t="shared" si="8"/>
        <v>336</v>
      </c>
    </row>
    <row r="338" spans="1:3" x14ac:dyDescent="0.2">
      <c r="A338" s="78">
        <v>45994</v>
      </c>
      <c r="B338" s="77">
        <f>+PT!A340</f>
        <v>0</v>
      </c>
      <c r="C338" s="77">
        <f t="shared" si="8"/>
        <v>337</v>
      </c>
    </row>
    <row r="339" spans="1:3" x14ac:dyDescent="0.2">
      <c r="A339" s="78">
        <v>45995</v>
      </c>
      <c r="B339" s="77">
        <f>+PT!A341</f>
        <v>0</v>
      </c>
      <c r="C339" s="77">
        <f t="shared" si="8"/>
        <v>338</v>
      </c>
    </row>
    <row r="340" spans="1:3" x14ac:dyDescent="0.2">
      <c r="A340" s="78">
        <v>45996</v>
      </c>
      <c r="B340" s="77">
        <f>+PT!A342</f>
        <v>0</v>
      </c>
      <c r="C340" s="77">
        <f t="shared" si="8"/>
        <v>339</v>
      </c>
    </row>
    <row r="341" spans="1:3" x14ac:dyDescent="0.2">
      <c r="A341" s="78">
        <v>45997</v>
      </c>
      <c r="B341" s="77">
        <f>+PT!A343</f>
        <v>0</v>
      </c>
      <c r="C341" s="77">
        <f t="shared" si="8"/>
        <v>340</v>
      </c>
    </row>
    <row r="342" spans="1:3" x14ac:dyDescent="0.2">
      <c r="A342" s="78">
        <v>45998</v>
      </c>
      <c r="B342" s="77">
        <f>+PT!A344</f>
        <v>0</v>
      </c>
      <c r="C342" s="77">
        <f t="shared" si="8"/>
        <v>341</v>
      </c>
    </row>
    <row r="343" spans="1:3" x14ac:dyDescent="0.2">
      <c r="A343" s="78">
        <v>45999</v>
      </c>
      <c r="B343" s="77">
        <f>+PT!A345</f>
        <v>0</v>
      </c>
      <c r="C343" s="77">
        <f t="shared" si="8"/>
        <v>342</v>
      </c>
    </row>
    <row r="344" spans="1:3" x14ac:dyDescent="0.2">
      <c r="A344" s="78">
        <v>46000</v>
      </c>
      <c r="B344" s="77">
        <f>+PT!A346</f>
        <v>0</v>
      </c>
      <c r="C344" s="77">
        <f t="shared" si="8"/>
        <v>343</v>
      </c>
    </row>
    <row r="345" spans="1:3" x14ac:dyDescent="0.2">
      <c r="A345" s="78">
        <v>46001</v>
      </c>
      <c r="B345" s="77">
        <f>+PT!A347</f>
        <v>0</v>
      </c>
      <c r="C345" s="77">
        <f t="shared" si="8"/>
        <v>344</v>
      </c>
    </row>
    <row r="346" spans="1:3" x14ac:dyDescent="0.2">
      <c r="A346" s="78">
        <v>46002</v>
      </c>
      <c r="B346" s="77">
        <f>+PT!A348</f>
        <v>0</v>
      </c>
      <c r="C346" s="77">
        <f t="shared" si="8"/>
        <v>345</v>
      </c>
    </row>
    <row r="347" spans="1:3" x14ac:dyDescent="0.2">
      <c r="A347" s="78">
        <v>46003</v>
      </c>
      <c r="B347" s="77">
        <f>+PT!A349</f>
        <v>0</v>
      </c>
      <c r="C347" s="77">
        <f t="shared" si="8"/>
        <v>346</v>
      </c>
    </row>
    <row r="348" spans="1:3" x14ac:dyDescent="0.2">
      <c r="A348" s="78">
        <v>46004</v>
      </c>
      <c r="B348" s="77">
        <f>+PT!A350</f>
        <v>0</v>
      </c>
      <c r="C348" s="77">
        <f t="shared" si="8"/>
        <v>347</v>
      </c>
    </row>
    <row r="349" spans="1:3" x14ac:dyDescent="0.2">
      <c r="A349" s="78">
        <v>46005</v>
      </c>
      <c r="B349" s="77">
        <f>+PT!A351</f>
        <v>0</v>
      </c>
      <c r="C349" s="77">
        <f t="shared" si="8"/>
        <v>348</v>
      </c>
    </row>
    <row r="350" spans="1:3" x14ac:dyDescent="0.2">
      <c r="A350" s="78">
        <v>46006</v>
      </c>
      <c r="B350" s="77">
        <f>+PT!A352</f>
        <v>0</v>
      </c>
      <c r="C350" s="77">
        <f t="shared" si="8"/>
        <v>349</v>
      </c>
    </row>
    <row r="351" spans="1:3" x14ac:dyDescent="0.2">
      <c r="A351" s="78">
        <v>46007</v>
      </c>
      <c r="B351" s="77">
        <f>+PT!A353</f>
        <v>0</v>
      </c>
      <c r="C351" s="77">
        <f t="shared" si="8"/>
        <v>350</v>
      </c>
    </row>
    <row r="352" spans="1:3" x14ac:dyDescent="0.2">
      <c r="A352" s="78">
        <v>46008</v>
      </c>
      <c r="B352" s="77">
        <f>+PT!A354</f>
        <v>0</v>
      </c>
      <c r="C352" s="77">
        <f t="shared" si="8"/>
        <v>351</v>
      </c>
    </row>
    <row r="353" spans="1:3" x14ac:dyDescent="0.2">
      <c r="A353" s="78">
        <v>46009</v>
      </c>
      <c r="B353" s="77">
        <f>+PT!A355</f>
        <v>0</v>
      </c>
      <c r="C353" s="77">
        <f t="shared" si="8"/>
        <v>352</v>
      </c>
    </row>
    <row r="354" spans="1:3" x14ac:dyDescent="0.2">
      <c r="A354" s="78">
        <v>46010</v>
      </c>
      <c r="B354" s="77">
        <f>+PT!A356</f>
        <v>0</v>
      </c>
      <c r="C354" s="77">
        <f t="shared" si="8"/>
        <v>353</v>
      </c>
    </row>
    <row r="355" spans="1:3" x14ac:dyDescent="0.2">
      <c r="A355" s="78">
        <v>46011</v>
      </c>
      <c r="B355" s="77">
        <f>+PT!A357</f>
        <v>0</v>
      </c>
      <c r="C355" s="77">
        <f t="shared" si="8"/>
        <v>354</v>
      </c>
    </row>
    <row r="356" spans="1:3" x14ac:dyDescent="0.2">
      <c r="A356" s="78">
        <v>46012</v>
      </c>
      <c r="B356" s="77">
        <f>+PT!A358</f>
        <v>0</v>
      </c>
      <c r="C356" s="77">
        <f t="shared" si="8"/>
        <v>355</v>
      </c>
    </row>
    <row r="357" spans="1:3" x14ac:dyDescent="0.2">
      <c r="A357" s="78">
        <v>46013</v>
      </c>
      <c r="B357" s="77">
        <f>+PT!A359</f>
        <v>0</v>
      </c>
      <c r="C357" s="77">
        <f t="shared" si="8"/>
        <v>356</v>
      </c>
    </row>
    <row r="358" spans="1:3" x14ac:dyDescent="0.2">
      <c r="A358" s="78">
        <v>46014</v>
      </c>
      <c r="B358" s="77">
        <f>+PT!A360</f>
        <v>0</v>
      </c>
      <c r="C358" s="77">
        <f t="shared" si="8"/>
        <v>357</v>
      </c>
    </row>
    <row r="359" spans="1:3" x14ac:dyDescent="0.2">
      <c r="A359" s="78">
        <v>46015</v>
      </c>
      <c r="B359" s="77">
        <f>+PT!A361</f>
        <v>0</v>
      </c>
      <c r="C359" s="77">
        <f t="shared" si="8"/>
        <v>358</v>
      </c>
    </row>
    <row r="360" spans="1:3" x14ac:dyDescent="0.2">
      <c r="A360" s="78">
        <v>46016</v>
      </c>
      <c r="B360" s="77">
        <f>+PT!A362</f>
        <v>0</v>
      </c>
      <c r="C360" s="77">
        <f t="shared" si="8"/>
        <v>359</v>
      </c>
    </row>
    <row r="361" spans="1:3" x14ac:dyDescent="0.2">
      <c r="A361" s="78">
        <v>46017</v>
      </c>
      <c r="B361" s="77">
        <f>+PT!A363</f>
        <v>0</v>
      </c>
      <c r="C361" s="77">
        <f t="shared" si="8"/>
        <v>360</v>
      </c>
    </row>
    <row r="362" spans="1:3" x14ac:dyDescent="0.2">
      <c r="A362" s="78">
        <v>46018</v>
      </c>
      <c r="B362" s="77">
        <f>+PT!A364</f>
        <v>0</v>
      </c>
      <c r="C362" s="77">
        <f t="shared" si="8"/>
        <v>361</v>
      </c>
    </row>
    <row r="363" spans="1:3" x14ac:dyDescent="0.2">
      <c r="A363" s="78">
        <v>46019</v>
      </c>
      <c r="B363" s="77">
        <f>+PT!A365</f>
        <v>0</v>
      </c>
      <c r="C363" s="77">
        <f t="shared" si="8"/>
        <v>362</v>
      </c>
    </row>
    <row r="364" spans="1:3" x14ac:dyDescent="0.2">
      <c r="A364" s="78">
        <v>46020</v>
      </c>
      <c r="B364" s="77">
        <f>+PT!A366</f>
        <v>0</v>
      </c>
      <c r="C364" s="77">
        <f t="shared" si="8"/>
        <v>363</v>
      </c>
    </row>
    <row r="365" spans="1:3" x14ac:dyDescent="0.2">
      <c r="A365" s="78">
        <v>46021</v>
      </c>
      <c r="B365" s="77">
        <f>+PT!A367</f>
        <v>0</v>
      </c>
      <c r="C365" s="77">
        <f t="shared" si="8"/>
        <v>364</v>
      </c>
    </row>
    <row r="366" spans="1:3" x14ac:dyDescent="0.2">
      <c r="A366" s="78">
        <v>46022</v>
      </c>
      <c r="B366" s="77">
        <f>+PT!A368</f>
        <v>0</v>
      </c>
      <c r="C366" s="77">
        <f t="shared" si="8"/>
        <v>365</v>
      </c>
    </row>
    <row r="367" spans="1:3" x14ac:dyDescent="0.2">
      <c r="A367" s="78">
        <v>46023</v>
      </c>
      <c r="B367" s="77">
        <f>+PT!A369</f>
        <v>0</v>
      </c>
      <c r="C367" s="77">
        <f t="shared" si="8"/>
        <v>366</v>
      </c>
    </row>
    <row r="368" spans="1:3" x14ac:dyDescent="0.2">
      <c r="A368" s="78">
        <v>46024</v>
      </c>
      <c r="B368" s="77">
        <f>+PT!A370</f>
        <v>0</v>
      </c>
      <c r="C368" s="77">
        <f t="shared" si="8"/>
        <v>367</v>
      </c>
    </row>
    <row r="369" spans="1:3" x14ac:dyDescent="0.2">
      <c r="A369" s="78">
        <v>46025</v>
      </c>
      <c r="B369" s="77">
        <f>+PT!A371</f>
        <v>0</v>
      </c>
      <c r="C369" s="77">
        <f t="shared" si="8"/>
        <v>368</v>
      </c>
    </row>
    <row r="370" spans="1:3" x14ac:dyDescent="0.2">
      <c r="A370" s="78">
        <v>46026</v>
      </c>
      <c r="B370" s="77">
        <f>+PT!A372</f>
        <v>0</v>
      </c>
      <c r="C370" s="77">
        <f t="shared" si="8"/>
        <v>369</v>
      </c>
    </row>
    <row r="371" spans="1:3" x14ac:dyDescent="0.2">
      <c r="A371" s="78">
        <v>46027</v>
      </c>
      <c r="B371" s="77">
        <f>+PT!A373</f>
        <v>0</v>
      </c>
      <c r="C371" s="77">
        <f t="shared" si="8"/>
        <v>370</v>
      </c>
    </row>
    <row r="372" spans="1:3" x14ac:dyDescent="0.2">
      <c r="A372" s="78">
        <v>46028</v>
      </c>
      <c r="B372" s="77">
        <f>+PT!A374</f>
        <v>0</v>
      </c>
      <c r="C372" s="77">
        <f t="shared" si="8"/>
        <v>371</v>
      </c>
    </row>
    <row r="373" spans="1:3" x14ac:dyDescent="0.2">
      <c r="A373" s="78">
        <v>46029</v>
      </c>
      <c r="B373" s="77">
        <f>+PT!A375</f>
        <v>0</v>
      </c>
      <c r="C373" s="77">
        <f t="shared" si="8"/>
        <v>372</v>
      </c>
    </row>
    <row r="374" spans="1:3" x14ac:dyDescent="0.2">
      <c r="A374" s="78">
        <v>46030</v>
      </c>
      <c r="B374" s="77">
        <f>+PT!A376</f>
        <v>0</v>
      </c>
      <c r="C374" s="77">
        <f t="shared" si="8"/>
        <v>373</v>
      </c>
    </row>
    <row r="375" spans="1:3" x14ac:dyDescent="0.2">
      <c r="A375" s="78">
        <v>46031</v>
      </c>
      <c r="B375" s="77">
        <f>+PT!A377</f>
        <v>0</v>
      </c>
      <c r="C375" s="77">
        <f t="shared" si="8"/>
        <v>374</v>
      </c>
    </row>
    <row r="376" spans="1:3" x14ac:dyDescent="0.2">
      <c r="A376" s="78">
        <v>46032</v>
      </c>
      <c r="B376" s="77">
        <f>+PT!A378</f>
        <v>0</v>
      </c>
      <c r="C376" s="77">
        <f t="shared" si="8"/>
        <v>375</v>
      </c>
    </row>
    <row r="377" spans="1:3" x14ac:dyDescent="0.2">
      <c r="A377" s="78">
        <v>46033</v>
      </c>
      <c r="B377" s="77">
        <f>+PT!A379</f>
        <v>0</v>
      </c>
      <c r="C377" s="77">
        <f t="shared" si="8"/>
        <v>376</v>
      </c>
    </row>
    <row r="378" spans="1:3" x14ac:dyDescent="0.2">
      <c r="A378" s="78">
        <v>46034</v>
      </c>
      <c r="B378" s="77">
        <f>+PT!A380</f>
        <v>0</v>
      </c>
      <c r="C378" s="77">
        <f t="shared" si="8"/>
        <v>377</v>
      </c>
    </row>
    <row r="379" spans="1:3" x14ac:dyDescent="0.2">
      <c r="A379" s="78">
        <v>46035</v>
      </c>
      <c r="B379" s="77">
        <f>+PT!A381</f>
        <v>0</v>
      </c>
      <c r="C379" s="77">
        <f t="shared" si="8"/>
        <v>378</v>
      </c>
    </row>
    <row r="380" spans="1:3" x14ac:dyDescent="0.2">
      <c r="A380" s="78">
        <v>46036</v>
      </c>
      <c r="B380" s="77">
        <f>+PT!A382</f>
        <v>0</v>
      </c>
      <c r="C380" s="77">
        <f t="shared" si="8"/>
        <v>379</v>
      </c>
    </row>
    <row r="381" spans="1:3" x14ac:dyDescent="0.2">
      <c r="A381" s="78">
        <v>46037</v>
      </c>
      <c r="B381" s="77">
        <f>+PT!A383</f>
        <v>0</v>
      </c>
      <c r="C381" s="77">
        <f t="shared" si="8"/>
        <v>380</v>
      </c>
    </row>
    <row r="382" spans="1:3" x14ac:dyDescent="0.2">
      <c r="A382" s="78">
        <v>46038</v>
      </c>
      <c r="B382" s="77">
        <f>+PT!A384</f>
        <v>0</v>
      </c>
      <c r="C382" s="77">
        <f t="shared" si="8"/>
        <v>381</v>
      </c>
    </row>
    <row r="383" spans="1:3" x14ac:dyDescent="0.2">
      <c r="A383" s="78">
        <v>46039</v>
      </c>
      <c r="B383" s="77">
        <f>+PT!A385</f>
        <v>0</v>
      </c>
      <c r="C383" s="77">
        <f t="shared" si="8"/>
        <v>382</v>
      </c>
    </row>
    <row r="384" spans="1:3" x14ac:dyDescent="0.2">
      <c r="A384" s="78">
        <v>46040</v>
      </c>
      <c r="B384" s="77">
        <f>+PT!A386</f>
        <v>0</v>
      </c>
      <c r="C384" s="77">
        <f t="shared" si="8"/>
        <v>383</v>
      </c>
    </row>
    <row r="385" spans="1:3" x14ac:dyDescent="0.2">
      <c r="A385" s="78">
        <v>46041</v>
      </c>
      <c r="B385" s="77">
        <f>+PT!A387</f>
        <v>0</v>
      </c>
      <c r="C385" s="77">
        <f t="shared" si="8"/>
        <v>384</v>
      </c>
    </row>
    <row r="386" spans="1:3" x14ac:dyDescent="0.2">
      <c r="A386" s="78">
        <v>46042</v>
      </c>
      <c r="B386" s="77">
        <f>+PT!A388</f>
        <v>0</v>
      </c>
      <c r="C386" s="77">
        <f t="shared" si="8"/>
        <v>385</v>
      </c>
    </row>
    <row r="387" spans="1:3" x14ac:dyDescent="0.2">
      <c r="A387" s="78">
        <v>46043</v>
      </c>
      <c r="B387" s="77">
        <f>+PT!A389</f>
        <v>0</v>
      </c>
      <c r="C387" s="77">
        <f t="shared" si="8"/>
        <v>386</v>
      </c>
    </row>
    <row r="388" spans="1:3" x14ac:dyDescent="0.2">
      <c r="A388" s="78">
        <v>46044</v>
      </c>
      <c r="B388" s="77">
        <f>+PT!A390</f>
        <v>0</v>
      </c>
      <c r="C388" s="77">
        <f t="shared" ref="C388:C451" si="9">+C387+1</f>
        <v>387</v>
      </c>
    </row>
    <row r="389" spans="1:3" x14ac:dyDescent="0.2">
      <c r="A389" s="78">
        <v>46045</v>
      </c>
      <c r="B389" s="77">
        <f>+PT!A391</f>
        <v>0</v>
      </c>
      <c r="C389" s="77">
        <f t="shared" si="9"/>
        <v>388</v>
      </c>
    </row>
    <row r="390" spans="1:3" x14ac:dyDescent="0.2">
      <c r="A390" s="78">
        <v>46046</v>
      </c>
      <c r="B390" s="77">
        <f>+PT!A392</f>
        <v>0</v>
      </c>
      <c r="C390" s="77">
        <f t="shared" si="9"/>
        <v>389</v>
      </c>
    </row>
    <row r="391" spans="1:3" x14ac:dyDescent="0.2">
      <c r="A391" s="78">
        <v>46047</v>
      </c>
      <c r="B391" s="77">
        <f>+PT!A393</f>
        <v>0</v>
      </c>
      <c r="C391" s="77">
        <f t="shared" si="9"/>
        <v>390</v>
      </c>
    </row>
    <row r="392" spans="1:3" x14ac:dyDescent="0.2">
      <c r="A392" s="78">
        <v>46048</v>
      </c>
      <c r="B392" s="77">
        <f>+PT!A394</f>
        <v>0</v>
      </c>
      <c r="C392" s="77">
        <f t="shared" si="9"/>
        <v>391</v>
      </c>
    </row>
    <row r="393" spans="1:3" x14ac:dyDescent="0.2">
      <c r="A393" s="78">
        <v>46049</v>
      </c>
      <c r="B393" s="77">
        <f>+PT!A395</f>
        <v>0</v>
      </c>
      <c r="C393" s="77">
        <f t="shared" si="9"/>
        <v>392</v>
      </c>
    </row>
    <row r="394" spans="1:3" x14ac:dyDescent="0.2">
      <c r="A394" s="78">
        <v>46050</v>
      </c>
      <c r="B394" s="77">
        <f>+PT!A396</f>
        <v>0</v>
      </c>
      <c r="C394" s="77">
        <f t="shared" si="9"/>
        <v>393</v>
      </c>
    </row>
    <row r="395" spans="1:3" x14ac:dyDescent="0.2">
      <c r="A395" s="78">
        <v>46051</v>
      </c>
      <c r="B395" s="77">
        <f>+PT!A397</f>
        <v>0</v>
      </c>
      <c r="C395" s="77">
        <f t="shared" si="9"/>
        <v>394</v>
      </c>
    </row>
    <row r="396" spans="1:3" x14ac:dyDescent="0.2">
      <c r="A396" s="78">
        <v>46052</v>
      </c>
      <c r="B396" s="77">
        <f>+PT!A398</f>
        <v>0</v>
      </c>
      <c r="C396" s="77">
        <f t="shared" si="9"/>
        <v>395</v>
      </c>
    </row>
    <row r="397" spans="1:3" x14ac:dyDescent="0.2">
      <c r="A397" s="78">
        <v>46053</v>
      </c>
      <c r="B397" s="77">
        <f>+PT!A399</f>
        <v>0</v>
      </c>
      <c r="C397" s="77">
        <f t="shared" si="9"/>
        <v>396</v>
      </c>
    </row>
    <row r="398" spans="1:3" x14ac:dyDescent="0.2">
      <c r="A398" s="78">
        <v>46054</v>
      </c>
      <c r="B398" s="77">
        <f>+PT!A400</f>
        <v>0</v>
      </c>
      <c r="C398" s="77">
        <f t="shared" si="9"/>
        <v>397</v>
      </c>
    </row>
    <row r="399" spans="1:3" x14ac:dyDescent="0.2">
      <c r="A399" s="78">
        <v>46055</v>
      </c>
      <c r="B399" s="77">
        <f>+PT!A401</f>
        <v>0</v>
      </c>
      <c r="C399" s="77">
        <f t="shared" si="9"/>
        <v>398</v>
      </c>
    </row>
    <row r="400" spans="1:3" x14ac:dyDescent="0.2">
      <c r="A400" s="78">
        <v>46056</v>
      </c>
      <c r="B400" s="77">
        <f>+PT!A402</f>
        <v>0</v>
      </c>
      <c r="C400" s="77">
        <f t="shared" si="9"/>
        <v>399</v>
      </c>
    </row>
    <row r="401" spans="1:3" x14ac:dyDescent="0.2">
      <c r="A401" s="78">
        <v>46057</v>
      </c>
      <c r="B401" s="77">
        <f>+PT!A403</f>
        <v>0</v>
      </c>
      <c r="C401" s="77">
        <f t="shared" si="9"/>
        <v>400</v>
      </c>
    </row>
    <row r="402" spans="1:3" x14ac:dyDescent="0.2">
      <c r="A402" s="78">
        <v>46058</v>
      </c>
      <c r="B402" s="77">
        <f>+PT!A404</f>
        <v>0</v>
      </c>
      <c r="C402" s="77">
        <f t="shared" si="9"/>
        <v>401</v>
      </c>
    </row>
    <row r="403" spans="1:3" x14ac:dyDescent="0.2">
      <c r="A403" s="78">
        <v>46059</v>
      </c>
      <c r="B403" s="77">
        <f>+PT!A405</f>
        <v>0</v>
      </c>
      <c r="C403" s="77">
        <f t="shared" si="9"/>
        <v>402</v>
      </c>
    </row>
    <row r="404" spans="1:3" x14ac:dyDescent="0.2">
      <c r="A404" s="78">
        <v>46060</v>
      </c>
      <c r="B404" s="77">
        <f>+PT!A406</f>
        <v>0</v>
      </c>
      <c r="C404" s="77">
        <f t="shared" si="9"/>
        <v>403</v>
      </c>
    </row>
    <row r="405" spans="1:3" x14ac:dyDescent="0.2">
      <c r="A405" s="78">
        <v>46061</v>
      </c>
      <c r="B405" s="77">
        <f>+PT!A407</f>
        <v>0</v>
      </c>
      <c r="C405" s="77">
        <f t="shared" si="9"/>
        <v>404</v>
      </c>
    </row>
    <row r="406" spans="1:3" x14ac:dyDescent="0.2">
      <c r="A406" s="78">
        <v>46062</v>
      </c>
      <c r="B406" s="77">
        <f>+PT!A408</f>
        <v>0</v>
      </c>
      <c r="C406" s="77">
        <f t="shared" si="9"/>
        <v>405</v>
      </c>
    </row>
    <row r="407" spans="1:3" x14ac:dyDescent="0.2">
      <c r="A407" s="78">
        <v>46063</v>
      </c>
      <c r="B407" s="77">
        <f>+PT!A409</f>
        <v>0</v>
      </c>
      <c r="C407" s="77">
        <f t="shared" si="9"/>
        <v>406</v>
      </c>
    </row>
    <row r="408" spans="1:3" x14ac:dyDescent="0.2">
      <c r="A408" s="78">
        <v>46064</v>
      </c>
      <c r="B408" s="77">
        <f>+PT!A410</f>
        <v>0</v>
      </c>
      <c r="C408" s="77">
        <f t="shared" si="9"/>
        <v>407</v>
      </c>
    </row>
    <row r="409" spans="1:3" x14ac:dyDescent="0.2">
      <c r="A409" s="78">
        <v>46065</v>
      </c>
      <c r="B409" s="77">
        <f>+PT!A411</f>
        <v>0</v>
      </c>
      <c r="C409" s="77">
        <f t="shared" si="9"/>
        <v>408</v>
      </c>
    </row>
    <row r="410" spans="1:3" x14ac:dyDescent="0.2">
      <c r="A410" s="78">
        <v>46066</v>
      </c>
      <c r="B410" s="77">
        <f>+PT!A412</f>
        <v>0</v>
      </c>
      <c r="C410" s="77">
        <f t="shared" si="9"/>
        <v>409</v>
      </c>
    </row>
    <row r="411" spans="1:3" x14ac:dyDescent="0.2">
      <c r="A411" s="78">
        <v>46067</v>
      </c>
      <c r="B411" s="77">
        <f>+PT!A413</f>
        <v>0</v>
      </c>
      <c r="C411" s="77">
        <f t="shared" si="9"/>
        <v>410</v>
      </c>
    </row>
    <row r="412" spans="1:3" x14ac:dyDescent="0.2">
      <c r="A412" s="78">
        <v>46068</v>
      </c>
      <c r="B412" s="77">
        <f>+PT!A414</f>
        <v>0</v>
      </c>
      <c r="C412" s="77">
        <f t="shared" si="9"/>
        <v>411</v>
      </c>
    </row>
    <row r="413" spans="1:3" x14ac:dyDescent="0.2">
      <c r="A413" s="78">
        <v>46069</v>
      </c>
      <c r="B413" s="77">
        <f>+PT!A415</f>
        <v>0</v>
      </c>
      <c r="C413" s="77">
        <f t="shared" si="9"/>
        <v>412</v>
      </c>
    </row>
    <row r="414" spans="1:3" x14ac:dyDescent="0.2">
      <c r="A414" s="78">
        <v>46070</v>
      </c>
      <c r="B414" s="77">
        <f>+PT!A416</f>
        <v>0</v>
      </c>
      <c r="C414" s="77">
        <f t="shared" si="9"/>
        <v>413</v>
      </c>
    </row>
    <row r="415" spans="1:3" x14ac:dyDescent="0.2">
      <c r="A415" s="78">
        <v>46071</v>
      </c>
      <c r="B415" s="77">
        <f>+PT!A417</f>
        <v>0</v>
      </c>
      <c r="C415" s="77">
        <f t="shared" si="9"/>
        <v>414</v>
      </c>
    </row>
    <row r="416" spans="1:3" x14ac:dyDescent="0.2">
      <c r="A416" s="78">
        <v>46072</v>
      </c>
      <c r="B416" s="77">
        <f>+PT!A418</f>
        <v>0</v>
      </c>
      <c r="C416" s="77">
        <f t="shared" si="9"/>
        <v>415</v>
      </c>
    </row>
    <row r="417" spans="1:3" x14ac:dyDescent="0.2">
      <c r="A417" s="78">
        <v>46073</v>
      </c>
      <c r="B417" s="77">
        <f>+PT!A419</f>
        <v>0</v>
      </c>
      <c r="C417" s="77">
        <f t="shared" si="9"/>
        <v>416</v>
      </c>
    </row>
    <row r="418" spans="1:3" x14ac:dyDescent="0.2">
      <c r="A418" s="78">
        <v>46074</v>
      </c>
      <c r="B418" s="77">
        <f>+PT!A420</f>
        <v>0</v>
      </c>
      <c r="C418" s="77">
        <f t="shared" si="9"/>
        <v>417</v>
      </c>
    </row>
    <row r="419" spans="1:3" x14ac:dyDescent="0.2">
      <c r="A419" s="78">
        <v>46075</v>
      </c>
      <c r="B419" s="77">
        <f>+PT!A421</f>
        <v>0</v>
      </c>
      <c r="C419" s="77">
        <f t="shared" si="9"/>
        <v>418</v>
      </c>
    </row>
    <row r="420" spans="1:3" x14ac:dyDescent="0.2">
      <c r="A420" s="78">
        <v>46076</v>
      </c>
      <c r="B420" s="77">
        <f>+PT!A422</f>
        <v>0</v>
      </c>
      <c r="C420" s="77">
        <f t="shared" si="9"/>
        <v>419</v>
      </c>
    </row>
    <row r="421" spans="1:3" x14ac:dyDescent="0.2">
      <c r="A421" s="78">
        <v>46077</v>
      </c>
      <c r="B421" s="77">
        <f>+PT!A423</f>
        <v>0</v>
      </c>
      <c r="C421" s="77">
        <f t="shared" si="9"/>
        <v>420</v>
      </c>
    </row>
    <row r="422" spans="1:3" x14ac:dyDescent="0.2">
      <c r="A422" s="78">
        <v>46078</v>
      </c>
      <c r="B422" s="77">
        <f>+PT!A424</f>
        <v>0</v>
      </c>
      <c r="C422" s="77">
        <f t="shared" si="9"/>
        <v>421</v>
      </c>
    </row>
    <row r="423" spans="1:3" x14ac:dyDescent="0.2">
      <c r="A423" s="78">
        <v>46079</v>
      </c>
      <c r="B423" s="77">
        <f>+PT!A425</f>
        <v>0</v>
      </c>
      <c r="C423" s="77">
        <f t="shared" si="9"/>
        <v>422</v>
      </c>
    </row>
    <row r="424" spans="1:3" x14ac:dyDescent="0.2">
      <c r="A424" s="78">
        <v>46080</v>
      </c>
      <c r="B424" s="77">
        <f>+PT!A426</f>
        <v>0</v>
      </c>
      <c r="C424" s="77">
        <f t="shared" si="9"/>
        <v>423</v>
      </c>
    </row>
    <row r="425" spans="1:3" x14ac:dyDescent="0.2">
      <c r="A425" s="78">
        <v>46081</v>
      </c>
      <c r="B425" s="77">
        <f>+PT!A427</f>
        <v>0</v>
      </c>
      <c r="C425" s="77">
        <f t="shared" si="9"/>
        <v>424</v>
      </c>
    </row>
    <row r="426" spans="1:3" x14ac:dyDescent="0.2">
      <c r="A426" s="78">
        <v>46082</v>
      </c>
      <c r="B426" s="77">
        <f>+PT!A428</f>
        <v>0</v>
      </c>
      <c r="C426" s="77">
        <f t="shared" si="9"/>
        <v>425</v>
      </c>
    </row>
    <row r="427" spans="1:3" x14ac:dyDescent="0.2">
      <c r="A427" s="78">
        <v>46083</v>
      </c>
      <c r="B427" s="77">
        <f>+PT!A429</f>
        <v>0</v>
      </c>
      <c r="C427" s="77">
        <f t="shared" si="9"/>
        <v>426</v>
      </c>
    </row>
    <row r="428" spans="1:3" x14ac:dyDescent="0.2">
      <c r="A428" s="78">
        <v>46084</v>
      </c>
      <c r="B428" s="77">
        <f>+PT!A430</f>
        <v>0</v>
      </c>
      <c r="C428" s="77">
        <f t="shared" si="9"/>
        <v>427</v>
      </c>
    </row>
    <row r="429" spans="1:3" x14ac:dyDescent="0.2">
      <c r="A429" s="78">
        <v>46085</v>
      </c>
      <c r="B429" s="77">
        <f>+PT!A431</f>
        <v>0</v>
      </c>
      <c r="C429" s="77">
        <f t="shared" si="9"/>
        <v>428</v>
      </c>
    </row>
    <row r="430" spans="1:3" x14ac:dyDescent="0.2">
      <c r="A430" s="78">
        <v>46086</v>
      </c>
      <c r="B430" s="77">
        <f>+PT!A432</f>
        <v>0</v>
      </c>
      <c r="C430" s="77">
        <f t="shared" si="9"/>
        <v>429</v>
      </c>
    </row>
    <row r="431" spans="1:3" x14ac:dyDescent="0.2">
      <c r="A431" s="78">
        <v>46087</v>
      </c>
      <c r="B431" s="77">
        <f>+PT!A433</f>
        <v>0</v>
      </c>
      <c r="C431" s="77">
        <f t="shared" si="9"/>
        <v>430</v>
      </c>
    </row>
    <row r="432" spans="1:3" x14ac:dyDescent="0.2">
      <c r="A432" s="78">
        <v>46088</v>
      </c>
      <c r="B432" s="77">
        <f>+PT!A434</f>
        <v>0</v>
      </c>
      <c r="C432" s="77">
        <f t="shared" si="9"/>
        <v>431</v>
      </c>
    </row>
    <row r="433" spans="1:3" x14ac:dyDescent="0.2">
      <c r="A433" s="78">
        <v>46089</v>
      </c>
      <c r="B433" s="77">
        <f>+PT!A435</f>
        <v>0</v>
      </c>
      <c r="C433" s="77">
        <f t="shared" si="9"/>
        <v>432</v>
      </c>
    </row>
    <row r="434" spans="1:3" x14ac:dyDescent="0.2">
      <c r="A434" s="78">
        <v>46090</v>
      </c>
      <c r="B434" s="77">
        <f>+PT!A436</f>
        <v>0</v>
      </c>
      <c r="C434" s="77">
        <f t="shared" si="9"/>
        <v>433</v>
      </c>
    </row>
    <row r="435" spans="1:3" x14ac:dyDescent="0.2">
      <c r="A435" s="78">
        <v>46091</v>
      </c>
      <c r="B435" s="77">
        <f>+PT!A437</f>
        <v>0</v>
      </c>
      <c r="C435" s="77">
        <f t="shared" si="9"/>
        <v>434</v>
      </c>
    </row>
    <row r="436" spans="1:3" x14ac:dyDescent="0.2">
      <c r="A436" s="78">
        <v>46092</v>
      </c>
      <c r="B436" s="77">
        <f>+PT!A438</f>
        <v>0</v>
      </c>
      <c r="C436" s="77">
        <f t="shared" si="9"/>
        <v>435</v>
      </c>
    </row>
    <row r="437" spans="1:3" x14ac:dyDescent="0.2">
      <c r="A437" s="78">
        <v>46093</v>
      </c>
      <c r="B437" s="77">
        <f>+PT!A439</f>
        <v>0</v>
      </c>
      <c r="C437" s="77">
        <f t="shared" si="9"/>
        <v>436</v>
      </c>
    </row>
    <row r="438" spans="1:3" x14ac:dyDescent="0.2">
      <c r="A438" s="78">
        <v>46094</v>
      </c>
      <c r="B438" s="77">
        <f>+PT!A440</f>
        <v>0</v>
      </c>
      <c r="C438" s="77">
        <f t="shared" si="9"/>
        <v>437</v>
      </c>
    </row>
    <row r="439" spans="1:3" x14ac:dyDescent="0.2">
      <c r="A439" s="78">
        <v>46095</v>
      </c>
      <c r="B439" s="77">
        <f>+PT!A441</f>
        <v>0</v>
      </c>
      <c r="C439" s="77">
        <f t="shared" si="9"/>
        <v>438</v>
      </c>
    </row>
    <row r="440" spans="1:3" x14ac:dyDescent="0.2">
      <c r="A440" s="78">
        <v>46096</v>
      </c>
      <c r="B440" s="77">
        <f>+PT!A442</f>
        <v>0</v>
      </c>
      <c r="C440" s="77">
        <f t="shared" si="9"/>
        <v>439</v>
      </c>
    </row>
    <row r="441" spans="1:3" x14ac:dyDescent="0.2">
      <c r="A441" s="78">
        <v>46097</v>
      </c>
      <c r="B441" s="77">
        <f>+PT!A443</f>
        <v>0</v>
      </c>
      <c r="C441" s="77">
        <f t="shared" si="9"/>
        <v>440</v>
      </c>
    </row>
    <row r="442" spans="1:3" x14ac:dyDescent="0.2">
      <c r="A442" s="78">
        <v>46098</v>
      </c>
      <c r="B442" s="77">
        <f>+PT!A444</f>
        <v>0</v>
      </c>
      <c r="C442" s="77">
        <f t="shared" si="9"/>
        <v>441</v>
      </c>
    </row>
    <row r="443" spans="1:3" x14ac:dyDescent="0.2">
      <c r="A443" s="78">
        <v>46099</v>
      </c>
      <c r="B443" s="77">
        <f>+PT!A445</f>
        <v>0</v>
      </c>
      <c r="C443" s="77">
        <f t="shared" si="9"/>
        <v>442</v>
      </c>
    </row>
    <row r="444" spans="1:3" x14ac:dyDescent="0.2">
      <c r="A444" s="78">
        <v>46100</v>
      </c>
      <c r="B444" s="77">
        <f>+PT!A446</f>
        <v>0</v>
      </c>
      <c r="C444" s="77">
        <f t="shared" si="9"/>
        <v>443</v>
      </c>
    </row>
    <row r="445" spans="1:3" x14ac:dyDescent="0.2">
      <c r="A445" s="78">
        <v>46101</v>
      </c>
      <c r="B445" s="77">
        <f>+PT!A447</f>
        <v>0</v>
      </c>
      <c r="C445" s="77">
        <f t="shared" si="9"/>
        <v>444</v>
      </c>
    </row>
    <row r="446" spans="1:3" x14ac:dyDescent="0.2">
      <c r="A446" s="78">
        <v>46102</v>
      </c>
      <c r="B446" s="77">
        <f>+PT!A448</f>
        <v>0</v>
      </c>
      <c r="C446" s="77">
        <f t="shared" si="9"/>
        <v>445</v>
      </c>
    </row>
    <row r="447" spans="1:3" x14ac:dyDescent="0.2">
      <c r="A447" s="78">
        <v>46103</v>
      </c>
      <c r="B447" s="77">
        <f>+PT!A449</f>
        <v>0</v>
      </c>
      <c r="C447" s="77">
        <f t="shared" si="9"/>
        <v>446</v>
      </c>
    </row>
    <row r="448" spans="1:3" x14ac:dyDescent="0.2">
      <c r="A448" s="78">
        <v>46104</v>
      </c>
      <c r="B448" s="77">
        <f>+PT!A450</f>
        <v>0</v>
      </c>
      <c r="C448" s="77">
        <f t="shared" si="9"/>
        <v>447</v>
      </c>
    </row>
    <row r="449" spans="1:3" x14ac:dyDescent="0.2">
      <c r="A449" s="78">
        <v>46105</v>
      </c>
      <c r="B449" s="77">
        <f>+PT!A451</f>
        <v>0</v>
      </c>
      <c r="C449" s="77">
        <f t="shared" si="9"/>
        <v>448</v>
      </c>
    </row>
    <row r="450" spans="1:3" x14ac:dyDescent="0.2">
      <c r="A450" s="78">
        <v>46106</v>
      </c>
      <c r="B450" s="77">
        <f>+PT!A452</f>
        <v>0</v>
      </c>
      <c r="C450" s="77">
        <f t="shared" si="9"/>
        <v>449</v>
      </c>
    </row>
    <row r="451" spans="1:3" x14ac:dyDescent="0.2">
      <c r="A451" s="78">
        <v>46107</v>
      </c>
      <c r="B451" s="77">
        <f>+PT!A453</f>
        <v>0</v>
      </c>
      <c r="C451" s="77">
        <f t="shared" si="9"/>
        <v>450</v>
      </c>
    </row>
    <row r="452" spans="1:3" x14ac:dyDescent="0.2">
      <c r="A452" s="78">
        <v>46108</v>
      </c>
      <c r="B452" s="77">
        <f>+PT!A454</f>
        <v>0</v>
      </c>
      <c r="C452" s="77">
        <f t="shared" ref="C452:C515" si="10">+C451+1</f>
        <v>451</v>
      </c>
    </row>
    <row r="453" spans="1:3" x14ac:dyDescent="0.2">
      <c r="A453" s="78">
        <v>46109</v>
      </c>
      <c r="B453" s="77">
        <f>+PT!A455</f>
        <v>0</v>
      </c>
      <c r="C453" s="77">
        <f t="shared" si="10"/>
        <v>452</v>
      </c>
    </row>
    <row r="454" spans="1:3" x14ac:dyDescent="0.2">
      <c r="A454" s="78">
        <v>46110</v>
      </c>
      <c r="B454" s="77">
        <f>+PT!A456</f>
        <v>0</v>
      </c>
      <c r="C454" s="77">
        <f t="shared" si="10"/>
        <v>453</v>
      </c>
    </row>
    <row r="455" spans="1:3" x14ac:dyDescent="0.2">
      <c r="A455" s="78">
        <v>46111</v>
      </c>
      <c r="B455" s="77">
        <f>+PT!A457</f>
        <v>0</v>
      </c>
      <c r="C455" s="77">
        <f t="shared" si="10"/>
        <v>454</v>
      </c>
    </row>
    <row r="456" spans="1:3" x14ac:dyDescent="0.2">
      <c r="A456" s="78">
        <v>46112</v>
      </c>
      <c r="B456" s="77">
        <f>+PT!A458</f>
        <v>0</v>
      </c>
      <c r="C456" s="77">
        <f t="shared" si="10"/>
        <v>455</v>
      </c>
    </row>
    <row r="457" spans="1:3" x14ac:dyDescent="0.2">
      <c r="A457" s="78">
        <v>46113</v>
      </c>
      <c r="B457" s="77">
        <f>+PT!A459</f>
        <v>0</v>
      </c>
      <c r="C457" s="77">
        <f t="shared" si="10"/>
        <v>456</v>
      </c>
    </row>
    <row r="458" spans="1:3" x14ac:dyDescent="0.2">
      <c r="A458" s="78">
        <v>46114</v>
      </c>
      <c r="B458" s="77">
        <f>+PT!A460</f>
        <v>0</v>
      </c>
      <c r="C458" s="77">
        <f t="shared" si="10"/>
        <v>457</v>
      </c>
    </row>
    <row r="459" spans="1:3" x14ac:dyDescent="0.2">
      <c r="A459" s="78">
        <v>46115</v>
      </c>
      <c r="B459" s="77">
        <f>+PT!A461</f>
        <v>0</v>
      </c>
      <c r="C459" s="77">
        <f t="shared" si="10"/>
        <v>458</v>
      </c>
    </row>
    <row r="460" spans="1:3" x14ac:dyDescent="0.2">
      <c r="A460" s="78">
        <v>46116</v>
      </c>
      <c r="B460" s="77">
        <f>+PT!A462</f>
        <v>0</v>
      </c>
      <c r="C460" s="77">
        <f t="shared" si="10"/>
        <v>459</v>
      </c>
    </row>
    <row r="461" spans="1:3" x14ac:dyDescent="0.2">
      <c r="A461" s="78">
        <v>46117</v>
      </c>
      <c r="B461" s="77">
        <f>+PT!A463</f>
        <v>0</v>
      </c>
      <c r="C461" s="77">
        <f t="shared" si="10"/>
        <v>460</v>
      </c>
    </row>
    <row r="462" spans="1:3" x14ac:dyDescent="0.2">
      <c r="A462" s="78">
        <v>46118</v>
      </c>
      <c r="B462" s="77">
        <f>+PT!A464</f>
        <v>0</v>
      </c>
      <c r="C462" s="77">
        <f t="shared" si="10"/>
        <v>461</v>
      </c>
    </row>
    <row r="463" spans="1:3" x14ac:dyDescent="0.2">
      <c r="A463" s="78">
        <v>46119</v>
      </c>
      <c r="B463" s="77">
        <f>+PT!A465</f>
        <v>0</v>
      </c>
      <c r="C463" s="77">
        <f t="shared" si="10"/>
        <v>462</v>
      </c>
    </row>
    <row r="464" spans="1:3" x14ac:dyDescent="0.2">
      <c r="A464" s="78">
        <v>46120</v>
      </c>
      <c r="B464" s="77">
        <f>+PT!A466</f>
        <v>0</v>
      </c>
      <c r="C464" s="77">
        <f t="shared" si="10"/>
        <v>463</v>
      </c>
    </row>
    <row r="465" spans="1:3" x14ac:dyDescent="0.2">
      <c r="A465" s="78">
        <v>46121</v>
      </c>
      <c r="B465" s="77">
        <f>+PT!A467</f>
        <v>0</v>
      </c>
      <c r="C465" s="77">
        <f t="shared" si="10"/>
        <v>464</v>
      </c>
    </row>
    <row r="466" spans="1:3" x14ac:dyDescent="0.2">
      <c r="A466" s="78">
        <v>46122</v>
      </c>
      <c r="B466" s="77">
        <f>+PT!A468</f>
        <v>0</v>
      </c>
      <c r="C466" s="77">
        <f t="shared" si="10"/>
        <v>465</v>
      </c>
    </row>
    <row r="467" spans="1:3" x14ac:dyDescent="0.2">
      <c r="A467" s="78">
        <v>46123</v>
      </c>
      <c r="B467" s="77">
        <f>+PT!A469</f>
        <v>0</v>
      </c>
      <c r="C467" s="77">
        <f t="shared" si="10"/>
        <v>466</v>
      </c>
    </row>
    <row r="468" spans="1:3" x14ac:dyDescent="0.2">
      <c r="A468" s="78">
        <v>46124</v>
      </c>
      <c r="B468" s="77">
        <f>+PT!A470</f>
        <v>0</v>
      </c>
      <c r="C468" s="77">
        <f t="shared" si="10"/>
        <v>467</v>
      </c>
    </row>
    <row r="469" spans="1:3" x14ac:dyDescent="0.2">
      <c r="A469" s="78">
        <v>46125</v>
      </c>
      <c r="B469" s="77">
        <f>+PT!A471</f>
        <v>0</v>
      </c>
      <c r="C469" s="77">
        <f t="shared" si="10"/>
        <v>468</v>
      </c>
    </row>
    <row r="470" spans="1:3" x14ac:dyDescent="0.2">
      <c r="A470" s="78">
        <v>46126</v>
      </c>
      <c r="B470" s="77">
        <f>+PT!A472</f>
        <v>0</v>
      </c>
      <c r="C470" s="77">
        <f t="shared" si="10"/>
        <v>469</v>
      </c>
    </row>
    <row r="471" spans="1:3" x14ac:dyDescent="0.2">
      <c r="A471" s="78">
        <v>46127</v>
      </c>
      <c r="B471" s="77">
        <f>+PT!A473</f>
        <v>0</v>
      </c>
      <c r="C471" s="77">
        <f t="shared" si="10"/>
        <v>470</v>
      </c>
    </row>
    <row r="472" spans="1:3" x14ac:dyDescent="0.2">
      <c r="A472" s="78">
        <v>46128</v>
      </c>
      <c r="B472" s="77">
        <f>+PT!A474</f>
        <v>0</v>
      </c>
      <c r="C472" s="77">
        <f t="shared" si="10"/>
        <v>471</v>
      </c>
    </row>
    <row r="473" spans="1:3" x14ac:dyDescent="0.2">
      <c r="A473" s="78">
        <v>46129</v>
      </c>
      <c r="B473" s="77">
        <f>+PT!A475</f>
        <v>0</v>
      </c>
      <c r="C473" s="77">
        <f t="shared" si="10"/>
        <v>472</v>
      </c>
    </row>
    <row r="474" spans="1:3" x14ac:dyDescent="0.2">
      <c r="A474" s="78">
        <v>46130</v>
      </c>
      <c r="B474" s="77">
        <f>+PT!A476</f>
        <v>0</v>
      </c>
      <c r="C474" s="77">
        <f t="shared" si="10"/>
        <v>473</v>
      </c>
    </row>
    <row r="475" spans="1:3" x14ac:dyDescent="0.2">
      <c r="A475" s="78">
        <v>46131</v>
      </c>
      <c r="B475" s="77">
        <f>+PT!A477</f>
        <v>0</v>
      </c>
      <c r="C475" s="77">
        <f t="shared" si="10"/>
        <v>474</v>
      </c>
    </row>
    <row r="476" spans="1:3" x14ac:dyDescent="0.2">
      <c r="A476" s="78">
        <v>46132</v>
      </c>
      <c r="B476" s="77">
        <f>+PT!A478</f>
        <v>0</v>
      </c>
      <c r="C476" s="77">
        <f t="shared" si="10"/>
        <v>475</v>
      </c>
    </row>
    <row r="477" spans="1:3" x14ac:dyDescent="0.2">
      <c r="A477" s="78">
        <v>46133</v>
      </c>
      <c r="B477" s="77">
        <f>+PT!A479</f>
        <v>0</v>
      </c>
      <c r="C477" s="77">
        <f t="shared" si="10"/>
        <v>476</v>
      </c>
    </row>
    <row r="478" spans="1:3" x14ac:dyDescent="0.2">
      <c r="A478" s="78">
        <v>46134</v>
      </c>
      <c r="B478" s="77">
        <f>+PT!A480</f>
        <v>0</v>
      </c>
      <c r="C478" s="77">
        <f t="shared" si="10"/>
        <v>477</v>
      </c>
    </row>
    <row r="479" spans="1:3" x14ac:dyDescent="0.2">
      <c r="A479" s="78">
        <v>46135</v>
      </c>
      <c r="B479" s="77">
        <f>+PT!A481</f>
        <v>0</v>
      </c>
      <c r="C479" s="77">
        <f t="shared" si="10"/>
        <v>478</v>
      </c>
    </row>
    <row r="480" spans="1:3" x14ac:dyDescent="0.2">
      <c r="A480" s="78">
        <v>46136</v>
      </c>
      <c r="B480" s="77">
        <f>+PT!A482</f>
        <v>0</v>
      </c>
      <c r="C480" s="77">
        <f t="shared" si="10"/>
        <v>479</v>
      </c>
    </row>
    <row r="481" spans="1:3" x14ac:dyDescent="0.2">
      <c r="A481" s="78">
        <v>46137</v>
      </c>
      <c r="B481" s="77">
        <f>+PT!A483</f>
        <v>0</v>
      </c>
      <c r="C481" s="77">
        <f t="shared" si="10"/>
        <v>480</v>
      </c>
    </row>
    <row r="482" spans="1:3" x14ac:dyDescent="0.2">
      <c r="A482" s="78">
        <v>46138</v>
      </c>
      <c r="B482" s="77">
        <f>+PT!A484</f>
        <v>0</v>
      </c>
      <c r="C482" s="77">
        <f t="shared" si="10"/>
        <v>481</v>
      </c>
    </row>
    <row r="483" spans="1:3" x14ac:dyDescent="0.2">
      <c r="A483" s="78">
        <v>46139</v>
      </c>
      <c r="B483" s="77">
        <f>+PT!A485</f>
        <v>0</v>
      </c>
      <c r="C483" s="77">
        <f t="shared" si="10"/>
        <v>482</v>
      </c>
    </row>
    <row r="484" spans="1:3" x14ac:dyDescent="0.2">
      <c r="A484" s="78">
        <v>46140</v>
      </c>
      <c r="B484" s="77">
        <f>+PT!A486</f>
        <v>0</v>
      </c>
      <c r="C484" s="77">
        <f t="shared" si="10"/>
        <v>483</v>
      </c>
    </row>
    <row r="485" spans="1:3" x14ac:dyDescent="0.2">
      <c r="A485" s="78">
        <v>46141</v>
      </c>
      <c r="B485" s="77">
        <f>+PT!A487</f>
        <v>0</v>
      </c>
      <c r="C485" s="77">
        <f t="shared" si="10"/>
        <v>484</v>
      </c>
    </row>
    <row r="486" spans="1:3" x14ac:dyDescent="0.2">
      <c r="A486" s="78">
        <v>46142</v>
      </c>
      <c r="B486" s="77">
        <f>+PT!A488</f>
        <v>0</v>
      </c>
      <c r="C486" s="77">
        <f t="shared" si="10"/>
        <v>485</v>
      </c>
    </row>
    <row r="487" spans="1:3" x14ac:dyDescent="0.2">
      <c r="A487" s="78">
        <v>46143</v>
      </c>
      <c r="B487" s="77">
        <f>+PT!A489</f>
        <v>0</v>
      </c>
      <c r="C487" s="77">
        <f t="shared" si="10"/>
        <v>486</v>
      </c>
    </row>
    <row r="488" spans="1:3" x14ac:dyDescent="0.2">
      <c r="A488" s="78">
        <v>46144</v>
      </c>
      <c r="B488" s="77">
        <f>+PT!A490</f>
        <v>0</v>
      </c>
      <c r="C488" s="77">
        <f t="shared" si="10"/>
        <v>487</v>
      </c>
    </row>
    <row r="489" spans="1:3" x14ac:dyDescent="0.2">
      <c r="A489" s="78">
        <v>46145</v>
      </c>
      <c r="B489" s="77">
        <f>+PT!A491</f>
        <v>0</v>
      </c>
      <c r="C489" s="77">
        <f t="shared" si="10"/>
        <v>488</v>
      </c>
    </row>
    <row r="490" spans="1:3" x14ac:dyDescent="0.2">
      <c r="A490" s="78">
        <v>46146</v>
      </c>
      <c r="B490" s="77">
        <f>+PT!A492</f>
        <v>0</v>
      </c>
      <c r="C490" s="77">
        <f t="shared" si="10"/>
        <v>489</v>
      </c>
    </row>
    <row r="491" spans="1:3" x14ac:dyDescent="0.2">
      <c r="A491" s="78">
        <v>46147</v>
      </c>
      <c r="B491" s="77">
        <f>+PT!A493</f>
        <v>0</v>
      </c>
      <c r="C491" s="77">
        <f t="shared" si="10"/>
        <v>490</v>
      </c>
    </row>
    <row r="492" spans="1:3" x14ac:dyDescent="0.2">
      <c r="A492" s="78">
        <v>46148</v>
      </c>
      <c r="B492" s="77">
        <f>+PT!A494</f>
        <v>0</v>
      </c>
      <c r="C492" s="77">
        <f t="shared" si="10"/>
        <v>491</v>
      </c>
    </row>
    <row r="493" spans="1:3" x14ac:dyDescent="0.2">
      <c r="A493" s="78">
        <v>46149</v>
      </c>
      <c r="B493" s="77">
        <f>+PT!A495</f>
        <v>0</v>
      </c>
      <c r="C493" s="77">
        <f t="shared" si="10"/>
        <v>492</v>
      </c>
    </row>
    <row r="494" spans="1:3" x14ac:dyDescent="0.2">
      <c r="A494" s="78">
        <v>46150</v>
      </c>
      <c r="B494" s="77">
        <f>+PT!A496</f>
        <v>0</v>
      </c>
      <c r="C494" s="77">
        <f t="shared" si="10"/>
        <v>493</v>
      </c>
    </row>
    <row r="495" spans="1:3" x14ac:dyDescent="0.2">
      <c r="A495" s="78">
        <v>46151</v>
      </c>
      <c r="B495" s="77">
        <f>+PT!A497</f>
        <v>0</v>
      </c>
      <c r="C495" s="77">
        <f t="shared" si="10"/>
        <v>494</v>
      </c>
    </row>
    <row r="496" spans="1:3" x14ac:dyDescent="0.2">
      <c r="A496" s="78">
        <v>46152</v>
      </c>
      <c r="B496" s="77">
        <f>+PT!A498</f>
        <v>0</v>
      </c>
      <c r="C496" s="77">
        <f t="shared" si="10"/>
        <v>495</v>
      </c>
    </row>
    <row r="497" spans="1:3" x14ac:dyDescent="0.2">
      <c r="A497" s="78">
        <v>46153</v>
      </c>
      <c r="B497" s="77">
        <f>+PT!A499</f>
        <v>0</v>
      </c>
      <c r="C497" s="77">
        <f t="shared" si="10"/>
        <v>496</v>
      </c>
    </row>
    <row r="498" spans="1:3" x14ac:dyDescent="0.2">
      <c r="A498" s="78">
        <v>46154</v>
      </c>
      <c r="B498" s="77">
        <f>+PT!A500</f>
        <v>0</v>
      </c>
      <c r="C498" s="77">
        <f t="shared" si="10"/>
        <v>497</v>
      </c>
    </row>
    <row r="499" spans="1:3" x14ac:dyDescent="0.2">
      <c r="A499" s="78">
        <v>46155</v>
      </c>
      <c r="B499" s="77">
        <f>+PT!A501</f>
        <v>0</v>
      </c>
      <c r="C499" s="77">
        <f t="shared" si="10"/>
        <v>498</v>
      </c>
    </row>
    <row r="500" spans="1:3" x14ac:dyDescent="0.2">
      <c r="A500" s="78">
        <v>46156</v>
      </c>
      <c r="B500" s="77">
        <f>+PT!A502</f>
        <v>0</v>
      </c>
      <c r="C500" s="77">
        <f t="shared" si="10"/>
        <v>499</v>
      </c>
    </row>
    <row r="501" spans="1:3" x14ac:dyDescent="0.2">
      <c r="A501" s="78">
        <v>46157</v>
      </c>
      <c r="B501" s="77">
        <f>+PT!A503</f>
        <v>0</v>
      </c>
      <c r="C501" s="77">
        <f t="shared" si="10"/>
        <v>500</v>
      </c>
    </row>
    <row r="502" spans="1:3" x14ac:dyDescent="0.2">
      <c r="A502" s="78">
        <v>46158</v>
      </c>
      <c r="B502" s="77">
        <f>+PT!A504</f>
        <v>0</v>
      </c>
      <c r="C502" s="77">
        <f t="shared" si="10"/>
        <v>501</v>
      </c>
    </row>
    <row r="503" spans="1:3" x14ac:dyDescent="0.2">
      <c r="A503" s="78">
        <v>46159</v>
      </c>
      <c r="B503" s="77">
        <f>+PT!A505</f>
        <v>0</v>
      </c>
      <c r="C503" s="77">
        <f t="shared" si="10"/>
        <v>502</v>
      </c>
    </row>
    <row r="504" spans="1:3" x14ac:dyDescent="0.2">
      <c r="A504" s="78">
        <v>46160</v>
      </c>
      <c r="B504" s="77">
        <f>+PT!A506</f>
        <v>0</v>
      </c>
      <c r="C504" s="77">
        <f t="shared" si="10"/>
        <v>503</v>
      </c>
    </row>
    <row r="505" spans="1:3" x14ac:dyDescent="0.2">
      <c r="A505" s="78">
        <v>46161</v>
      </c>
      <c r="B505" s="77">
        <f>+PT!A507</f>
        <v>0</v>
      </c>
      <c r="C505" s="77">
        <f t="shared" si="10"/>
        <v>504</v>
      </c>
    </row>
    <row r="506" spans="1:3" x14ac:dyDescent="0.2">
      <c r="A506" s="78">
        <v>46162</v>
      </c>
      <c r="B506" s="77">
        <f>+PT!A508</f>
        <v>0</v>
      </c>
      <c r="C506" s="77">
        <f t="shared" si="10"/>
        <v>505</v>
      </c>
    </row>
    <row r="507" spans="1:3" x14ac:dyDescent="0.2">
      <c r="A507" s="78">
        <v>46163</v>
      </c>
      <c r="B507" s="77">
        <f>+PT!A509</f>
        <v>0</v>
      </c>
      <c r="C507" s="77">
        <f t="shared" si="10"/>
        <v>506</v>
      </c>
    </row>
    <row r="508" spans="1:3" x14ac:dyDescent="0.2">
      <c r="A508" s="78">
        <v>46164</v>
      </c>
      <c r="B508" s="77">
        <f>+PT!A510</f>
        <v>0</v>
      </c>
      <c r="C508" s="77">
        <f t="shared" si="10"/>
        <v>507</v>
      </c>
    </row>
    <row r="509" spans="1:3" x14ac:dyDescent="0.2">
      <c r="A509" s="78">
        <v>46165</v>
      </c>
      <c r="B509" s="77">
        <f>+PT!A511</f>
        <v>0</v>
      </c>
      <c r="C509" s="77">
        <f t="shared" si="10"/>
        <v>508</v>
      </c>
    </row>
    <row r="510" spans="1:3" x14ac:dyDescent="0.2">
      <c r="A510" s="78">
        <v>46166</v>
      </c>
      <c r="B510" s="77">
        <f>+PT!A512</f>
        <v>0</v>
      </c>
      <c r="C510" s="77">
        <f t="shared" si="10"/>
        <v>509</v>
      </c>
    </row>
    <row r="511" spans="1:3" x14ac:dyDescent="0.2">
      <c r="A511" s="78">
        <v>46167</v>
      </c>
      <c r="B511" s="77">
        <f>+PT!A513</f>
        <v>0</v>
      </c>
      <c r="C511" s="77">
        <f t="shared" si="10"/>
        <v>510</v>
      </c>
    </row>
    <row r="512" spans="1:3" x14ac:dyDescent="0.2">
      <c r="A512" s="78">
        <v>46168</v>
      </c>
      <c r="B512" s="77">
        <f>+PT!A514</f>
        <v>0</v>
      </c>
      <c r="C512" s="77">
        <f t="shared" si="10"/>
        <v>511</v>
      </c>
    </row>
    <row r="513" spans="1:3" x14ac:dyDescent="0.2">
      <c r="A513" s="78">
        <v>46169</v>
      </c>
      <c r="B513" s="77">
        <f>+PT!A515</f>
        <v>0</v>
      </c>
      <c r="C513" s="77">
        <f t="shared" si="10"/>
        <v>512</v>
      </c>
    </row>
    <row r="514" spans="1:3" x14ac:dyDescent="0.2">
      <c r="A514" s="78">
        <v>46170</v>
      </c>
      <c r="B514" s="77">
        <f>+PT!A516</f>
        <v>0</v>
      </c>
      <c r="C514" s="77">
        <f t="shared" si="10"/>
        <v>513</v>
      </c>
    </row>
    <row r="515" spans="1:3" x14ac:dyDescent="0.2">
      <c r="A515" s="78">
        <v>46171</v>
      </c>
      <c r="B515" s="77">
        <f>+PT!A517</f>
        <v>0</v>
      </c>
      <c r="C515" s="77">
        <f t="shared" si="10"/>
        <v>514</v>
      </c>
    </row>
    <row r="516" spans="1:3" x14ac:dyDescent="0.2">
      <c r="A516" s="78">
        <v>46172</v>
      </c>
      <c r="B516" s="77">
        <f>+PT!A518</f>
        <v>0</v>
      </c>
      <c r="C516" s="77">
        <f t="shared" ref="C516:C579" si="11">+C515+1</f>
        <v>515</v>
      </c>
    </row>
    <row r="517" spans="1:3" x14ac:dyDescent="0.2">
      <c r="A517" s="78">
        <v>46173</v>
      </c>
      <c r="B517" s="77">
        <f>+PT!A519</f>
        <v>0</v>
      </c>
      <c r="C517" s="77">
        <f t="shared" si="11"/>
        <v>516</v>
      </c>
    </row>
    <row r="518" spans="1:3" x14ac:dyDescent="0.2">
      <c r="A518" s="78">
        <v>46174</v>
      </c>
      <c r="B518" s="77">
        <f>+PT!A520</f>
        <v>0</v>
      </c>
      <c r="C518" s="77">
        <f t="shared" si="11"/>
        <v>517</v>
      </c>
    </row>
    <row r="519" spans="1:3" x14ac:dyDescent="0.2">
      <c r="A519" s="78">
        <v>46175</v>
      </c>
      <c r="B519" s="77">
        <f>+PT!A521</f>
        <v>0</v>
      </c>
      <c r="C519" s="77">
        <f t="shared" si="11"/>
        <v>518</v>
      </c>
    </row>
    <row r="520" spans="1:3" x14ac:dyDescent="0.2">
      <c r="A520" s="78">
        <v>46176</v>
      </c>
      <c r="B520" s="77">
        <f>+PT!A522</f>
        <v>0</v>
      </c>
      <c r="C520" s="77">
        <f t="shared" si="11"/>
        <v>519</v>
      </c>
    </row>
    <row r="521" spans="1:3" x14ac:dyDescent="0.2">
      <c r="A521" s="78">
        <v>46177</v>
      </c>
      <c r="B521" s="77">
        <f>+PT!A523</f>
        <v>0</v>
      </c>
      <c r="C521" s="77">
        <f t="shared" si="11"/>
        <v>520</v>
      </c>
    </row>
    <row r="522" spans="1:3" x14ac:dyDescent="0.2">
      <c r="A522" s="78">
        <v>46178</v>
      </c>
      <c r="B522" s="77">
        <f>+PT!A524</f>
        <v>0</v>
      </c>
      <c r="C522" s="77">
        <f t="shared" si="11"/>
        <v>521</v>
      </c>
    </row>
    <row r="523" spans="1:3" x14ac:dyDescent="0.2">
      <c r="A523" s="78">
        <v>46179</v>
      </c>
      <c r="B523" s="77">
        <f>+PT!A525</f>
        <v>0</v>
      </c>
      <c r="C523" s="77">
        <f t="shared" si="11"/>
        <v>522</v>
      </c>
    </row>
    <row r="524" spans="1:3" x14ac:dyDescent="0.2">
      <c r="A524" s="78">
        <v>46180</v>
      </c>
      <c r="B524" s="77">
        <f>+PT!A526</f>
        <v>0</v>
      </c>
      <c r="C524" s="77">
        <f t="shared" si="11"/>
        <v>523</v>
      </c>
    </row>
    <row r="525" spans="1:3" x14ac:dyDescent="0.2">
      <c r="A525" s="78">
        <v>46181</v>
      </c>
      <c r="B525" s="77">
        <f>+PT!A527</f>
        <v>0</v>
      </c>
      <c r="C525" s="77">
        <f t="shared" si="11"/>
        <v>524</v>
      </c>
    </row>
    <row r="526" spans="1:3" x14ac:dyDescent="0.2">
      <c r="A526" s="78">
        <v>46182</v>
      </c>
      <c r="B526" s="77">
        <f>+PT!A528</f>
        <v>0</v>
      </c>
      <c r="C526" s="77">
        <f t="shared" si="11"/>
        <v>525</v>
      </c>
    </row>
    <row r="527" spans="1:3" x14ac:dyDescent="0.2">
      <c r="A527" s="78">
        <v>46183</v>
      </c>
      <c r="B527" s="77">
        <f>+PT!A529</f>
        <v>0</v>
      </c>
      <c r="C527" s="77">
        <f t="shared" si="11"/>
        <v>526</v>
      </c>
    </row>
    <row r="528" spans="1:3" x14ac:dyDescent="0.2">
      <c r="A528" s="78">
        <v>46184</v>
      </c>
      <c r="B528" s="77">
        <f>+PT!A530</f>
        <v>0</v>
      </c>
      <c r="C528" s="77">
        <f t="shared" si="11"/>
        <v>527</v>
      </c>
    </row>
    <row r="529" spans="1:3" x14ac:dyDescent="0.2">
      <c r="A529" s="78">
        <v>46185</v>
      </c>
      <c r="B529" s="77">
        <f>+PT!A531</f>
        <v>0</v>
      </c>
      <c r="C529" s="77">
        <f t="shared" si="11"/>
        <v>528</v>
      </c>
    </row>
    <row r="530" spans="1:3" x14ac:dyDescent="0.2">
      <c r="A530" s="78">
        <v>46186</v>
      </c>
      <c r="B530" s="77">
        <f>+PT!A532</f>
        <v>0</v>
      </c>
      <c r="C530" s="77">
        <f t="shared" si="11"/>
        <v>529</v>
      </c>
    </row>
    <row r="531" spans="1:3" x14ac:dyDescent="0.2">
      <c r="A531" s="78">
        <v>46187</v>
      </c>
      <c r="B531" s="77">
        <f>+PT!A533</f>
        <v>0</v>
      </c>
      <c r="C531" s="77">
        <f t="shared" si="11"/>
        <v>530</v>
      </c>
    </row>
    <row r="532" spans="1:3" x14ac:dyDescent="0.2">
      <c r="A532" s="78">
        <v>46188</v>
      </c>
      <c r="B532" s="77">
        <f>+PT!A534</f>
        <v>0</v>
      </c>
      <c r="C532" s="77">
        <f t="shared" si="11"/>
        <v>531</v>
      </c>
    </row>
    <row r="533" spans="1:3" x14ac:dyDescent="0.2">
      <c r="A533" s="78">
        <v>46189</v>
      </c>
      <c r="B533" s="77">
        <f>+PT!A535</f>
        <v>0</v>
      </c>
      <c r="C533" s="77">
        <f t="shared" si="11"/>
        <v>532</v>
      </c>
    </row>
    <row r="534" spans="1:3" x14ac:dyDescent="0.2">
      <c r="A534" s="78">
        <v>46190</v>
      </c>
      <c r="B534" s="77">
        <f>+PT!A536</f>
        <v>0</v>
      </c>
      <c r="C534" s="77">
        <f t="shared" si="11"/>
        <v>533</v>
      </c>
    </row>
    <row r="535" spans="1:3" x14ac:dyDescent="0.2">
      <c r="A535" s="78">
        <v>46191</v>
      </c>
      <c r="B535" s="77">
        <f>+PT!A537</f>
        <v>0</v>
      </c>
      <c r="C535" s="77">
        <f t="shared" si="11"/>
        <v>534</v>
      </c>
    </row>
    <row r="536" spans="1:3" x14ac:dyDescent="0.2">
      <c r="A536" s="78">
        <v>46192</v>
      </c>
      <c r="B536" s="77">
        <f>+PT!A538</f>
        <v>0</v>
      </c>
      <c r="C536" s="77">
        <f t="shared" si="11"/>
        <v>535</v>
      </c>
    </row>
    <row r="537" spans="1:3" x14ac:dyDescent="0.2">
      <c r="A537" s="78">
        <v>46193</v>
      </c>
      <c r="B537" s="77">
        <f>+PT!A539</f>
        <v>0</v>
      </c>
      <c r="C537" s="77">
        <f t="shared" si="11"/>
        <v>536</v>
      </c>
    </row>
    <row r="538" spans="1:3" x14ac:dyDescent="0.2">
      <c r="A538" s="78">
        <v>46194</v>
      </c>
      <c r="B538" s="77">
        <f>+PT!A540</f>
        <v>0</v>
      </c>
      <c r="C538" s="77">
        <f t="shared" si="11"/>
        <v>537</v>
      </c>
    </row>
    <row r="539" spans="1:3" x14ac:dyDescent="0.2">
      <c r="A539" s="78">
        <v>46195</v>
      </c>
      <c r="B539" s="77">
        <f>+PT!A541</f>
        <v>0</v>
      </c>
      <c r="C539" s="77">
        <f t="shared" si="11"/>
        <v>538</v>
      </c>
    </row>
    <row r="540" spans="1:3" x14ac:dyDescent="0.2">
      <c r="A540" s="78">
        <v>46196</v>
      </c>
      <c r="B540" s="77">
        <f>+PT!A542</f>
        <v>0</v>
      </c>
      <c r="C540" s="77">
        <f t="shared" si="11"/>
        <v>539</v>
      </c>
    </row>
    <row r="541" spans="1:3" x14ac:dyDescent="0.2">
      <c r="A541" s="78">
        <v>46197</v>
      </c>
      <c r="B541" s="77">
        <f>+PT!A543</f>
        <v>0</v>
      </c>
      <c r="C541" s="77">
        <f t="shared" si="11"/>
        <v>540</v>
      </c>
    </row>
    <row r="542" spans="1:3" x14ac:dyDescent="0.2">
      <c r="A542" s="78">
        <v>46198</v>
      </c>
      <c r="B542" s="77">
        <f>+PT!A544</f>
        <v>0</v>
      </c>
      <c r="C542" s="77">
        <f t="shared" si="11"/>
        <v>541</v>
      </c>
    </row>
    <row r="543" spans="1:3" x14ac:dyDescent="0.2">
      <c r="A543" s="78">
        <v>46199</v>
      </c>
      <c r="B543" s="77">
        <f>+PT!A545</f>
        <v>0</v>
      </c>
      <c r="C543" s="77">
        <f t="shared" si="11"/>
        <v>542</v>
      </c>
    </row>
    <row r="544" spans="1:3" x14ac:dyDescent="0.2">
      <c r="A544" s="78">
        <v>46200</v>
      </c>
      <c r="B544" s="77">
        <f>+PT!A546</f>
        <v>0</v>
      </c>
      <c r="C544" s="77">
        <f t="shared" si="11"/>
        <v>543</v>
      </c>
    </row>
    <row r="545" spans="1:3" x14ac:dyDescent="0.2">
      <c r="A545" s="78">
        <v>46201</v>
      </c>
      <c r="B545" s="77">
        <f>+PT!A547</f>
        <v>0</v>
      </c>
      <c r="C545" s="77">
        <f t="shared" si="11"/>
        <v>544</v>
      </c>
    </row>
    <row r="546" spans="1:3" x14ac:dyDescent="0.2">
      <c r="A546" s="78">
        <v>46202</v>
      </c>
      <c r="B546" s="77">
        <f>+PT!A548</f>
        <v>0</v>
      </c>
      <c r="C546" s="77">
        <f t="shared" si="11"/>
        <v>545</v>
      </c>
    </row>
    <row r="547" spans="1:3" x14ac:dyDescent="0.2">
      <c r="A547" s="78">
        <v>46203</v>
      </c>
      <c r="B547" s="77">
        <f>+PT!A549</f>
        <v>0</v>
      </c>
      <c r="C547" s="77">
        <f t="shared" si="11"/>
        <v>546</v>
      </c>
    </row>
    <row r="548" spans="1:3" x14ac:dyDescent="0.2">
      <c r="A548" s="78">
        <v>46204</v>
      </c>
      <c r="B548" s="77">
        <f>+PT!A550</f>
        <v>0</v>
      </c>
      <c r="C548" s="77">
        <f t="shared" si="11"/>
        <v>547</v>
      </c>
    </row>
    <row r="549" spans="1:3" x14ac:dyDescent="0.2">
      <c r="A549" s="78">
        <v>46205</v>
      </c>
      <c r="B549" s="77">
        <f>+PT!A551</f>
        <v>0</v>
      </c>
      <c r="C549" s="77">
        <f t="shared" si="11"/>
        <v>548</v>
      </c>
    </row>
    <row r="550" spans="1:3" x14ac:dyDescent="0.2">
      <c r="A550" s="78">
        <v>46206</v>
      </c>
      <c r="B550" s="77">
        <f>+PT!A552</f>
        <v>0</v>
      </c>
      <c r="C550" s="77">
        <f t="shared" si="11"/>
        <v>549</v>
      </c>
    </row>
    <row r="551" spans="1:3" x14ac:dyDescent="0.2">
      <c r="A551" s="78">
        <v>46207</v>
      </c>
      <c r="B551" s="77">
        <f>+PT!A553</f>
        <v>0</v>
      </c>
      <c r="C551" s="77">
        <f t="shared" si="11"/>
        <v>550</v>
      </c>
    </row>
    <row r="552" spans="1:3" x14ac:dyDescent="0.2">
      <c r="A552" s="78">
        <v>46208</v>
      </c>
      <c r="B552" s="77">
        <f>+PT!A554</f>
        <v>0</v>
      </c>
      <c r="C552" s="77">
        <f t="shared" si="11"/>
        <v>551</v>
      </c>
    </row>
    <row r="553" spans="1:3" x14ac:dyDescent="0.2">
      <c r="A553" s="78">
        <v>46209</v>
      </c>
      <c r="B553" s="77">
        <f>+PT!A555</f>
        <v>0</v>
      </c>
      <c r="C553" s="77">
        <f t="shared" si="11"/>
        <v>552</v>
      </c>
    </row>
    <row r="554" spans="1:3" x14ac:dyDescent="0.2">
      <c r="A554" s="78">
        <v>46210</v>
      </c>
      <c r="B554" s="77">
        <f>+PT!A556</f>
        <v>0</v>
      </c>
      <c r="C554" s="77">
        <f t="shared" si="11"/>
        <v>553</v>
      </c>
    </row>
    <row r="555" spans="1:3" x14ac:dyDescent="0.2">
      <c r="A555" s="78">
        <v>46211</v>
      </c>
      <c r="B555" s="77">
        <f>+PT!A557</f>
        <v>0</v>
      </c>
      <c r="C555" s="77">
        <f t="shared" si="11"/>
        <v>554</v>
      </c>
    </row>
    <row r="556" spans="1:3" x14ac:dyDescent="0.2">
      <c r="A556" s="78">
        <v>46212</v>
      </c>
      <c r="B556" s="77">
        <f>+PT!A558</f>
        <v>0</v>
      </c>
      <c r="C556" s="77">
        <f t="shared" si="11"/>
        <v>555</v>
      </c>
    </row>
    <row r="557" spans="1:3" x14ac:dyDescent="0.2">
      <c r="A557" s="78">
        <v>46213</v>
      </c>
      <c r="B557" s="77">
        <f>+PT!A559</f>
        <v>0</v>
      </c>
      <c r="C557" s="77">
        <f t="shared" si="11"/>
        <v>556</v>
      </c>
    </row>
    <row r="558" spans="1:3" x14ac:dyDescent="0.2">
      <c r="A558" s="78">
        <v>46214</v>
      </c>
      <c r="B558" s="77">
        <f>+PT!A560</f>
        <v>0</v>
      </c>
      <c r="C558" s="77">
        <f t="shared" si="11"/>
        <v>557</v>
      </c>
    </row>
    <row r="559" spans="1:3" x14ac:dyDescent="0.2">
      <c r="A559" s="78">
        <v>46215</v>
      </c>
      <c r="B559" s="77">
        <f>+PT!A561</f>
        <v>0</v>
      </c>
      <c r="C559" s="77">
        <f t="shared" si="11"/>
        <v>558</v>
      </c>
    </row>
    <row r="560" spans="1:3" x14ac:dyDescent="0.2">
      <c r="A560" s="78">
        <v>46216</v>
      </c>
      <c r="B560" s="77">
        <f>+PT!A562</f>
        <v>0</v>
      </c>
      <c r="C560" s="77">
        <f t="shared" si="11"/>
        <v>559</v>
      </c>
    </row>
    <row r="561" spans="1:3" x14ac:dyDescent="0.2">
      <c r="A561" s="78">
        <v>46217</v>
      </c>
      <c r="B561" s="77">
        <f>+PT!A563</f>
        <v>0</v>
      </c>
      <c r="C561" s="77">
        <f t="shared" si="11"/>
        <v>560</v>
      </c>
    </row>
    <row r="562" spans="1:3" x14ac:dyDescent="0.2">
      <c r="A562" s="78">
        <v>46218</v>
      </c>
      <c r="B562" s="77">
        <f>+PT!A564</f>
        <v>0</v>
      </c>
      <c r="C562" s="77">
        <f t="shared" si="11"/>
        <v>561</v>
      </c>
    </row>
    <row r="563" spans="1:3" x14ac:dyDescent="0.2">
      <c r="A563" s="78">
        <v>46219</v>
      </c>
      <c r="B563" s="77">
        <f>+PT!A565</f>
        <v>0</v>
      </c>
      <c r="C563" s="77">
        <f t="shared" si="11"/>
        <v>562</v>
      </c>
    </row>
    <row r="564" spans="1:3" x14ac:dyDescent="0.2">
      <c r="A564" s="78">
        <v>46220</v>
      </c>
      <c r="B564" s="77">
        <f>+PT!A566</f>
        <v>0</v>
      </c>
      <c r="C564" s="77">
        <f t="shared" si="11"/>
        <v>563</v>
      </c>
    </row>
    <row r="565" spans="1:3" x14ac:dyDescent="0.2">
      <c r="A565" s="78">
        <v>46221</v>
      </c>
      <c r="B565" s="77">
        <f>+PT!A567</f>
        <v>0</v>
      </c>
      <c r="C565" s="77">
        <f t="shared" si="11"/>
        <v>564</v>
      </c>
    </row>
    <row r="566" spans="1:3" x14ac:dyDescent="0.2">
      <c r="A566" s="78">
        <v>46222</v>
      </c>
      <c r="B566" s="77">
        <f>+PT!A568</f>
        <v>0</v>
      </c>
      <c r="C566" s="77">
        <f t="shared" si="11"/>
        <v>565</v>
      </c>
    </row>
    <row r="567" spans="1:3" x14ac:dyDescent="0.2">
      <c r="A567" s="78">
        <v>46223</v>
      </c>
      <c r="B567" s="77">
        <f>+PT!A569</f>
        <v>0</v>
      </c>
      <c r="C567" s="77">
        <f t="shared" si="11"/>
        <v>566</v>
      </c>
    </row>
    <row r="568" spans="1:3" x14ac:dyDescent="0.2">
      <c r="A568" s="78">
        <v>46224</v>
      </c>
      <c r="B568" s="77">
        <f>+PT!A570</f>
        <v>0</v>
      </c>
      <c r="C568" s="77">
        <f t="shared" si="11"/>
        <v>567</v>
      </c>
    </row>
    <row r="569" spans="1:3" x14ac:dyDescent="0.2">
      <c r="A569" s="78">
        <v>46225</v>
      </c>
      <c r="B569" s="77">
        <f>+PT!A571</f>
        <v>0</v>
      </c>
      <c r="C569" s="77">
        <f t="shared" si="11"/>
        <v>568</v>
      </c>
    </row>
    <row r="570" spans="1:3" x14ac:dyDescent="0.2">
      <c r="A570" s="78">
        <v>46226</v>
      </c>
      <c r="B570" s="77">
        <f>+PT!A572</f>
        <v>0</v>
      </c>
      <c r="C570" s="77">
        <f t="shared" si="11"/>
        <v>569</v>
      </c>
    </row>
    <row r="571" spans="1:3" x14ac:dyDescent="0.2">
      <c r="A571" s="78">
        <v>46227</v>
      </c>
      <c r="B571" s="77">
        <f>+PT!A573</f>
        <v>0</v>
      </c>
      <c r="C571" s="77">
        <f t="shared" si="11"/>
        <v>570</v>
      </c>
    </row>
    <row r="572" spans="1:3" x14ac:dyDescent="0.2">
      <c r="A572" s="78">
        <v>46228</v>
      </c>
      <c r="B572" s="77">
        <f>+PT!A574</f>
        <v>0</v>
      </c>
      <c r="C572" s="77">
        <f t="shared" si="11"/>
        <v>571</v>
      </c>
    </row>
    <row r="573" spans="1:3" x14ac:dyDescent="0.2">
      <c r="A573" s="78">
        <v>46229</v>
      </c>
      <c r="B573" s="77">
        <f>+PT!A575</f>
        <v>0</v>
      </c>
      <c r="C573" s="77">
        <f t="shared" si="11"/>
        <v>572</v>
      </c>
    </row>
    <row r="574" spans="1:3" x14ac:dyDescent="0.2">
      <c r="A574" s="78">
        <v>46230</v>
      </c>
      <c r="B574" s="77">
        <f>+PT!A576</f>
        <v>0</v>
      </c>
      <c r="C574" s="77">
        <f t="shared" si="11"/>
        <v>573</v>
      </c>
    </row>
    <row r="575" spans="1:3" x14ac:dyDescent="0.2">
      <c r="A575" s="78">
        <v>46231</v>
      </c>
      <c r="B575" s="77">
        <f>+PT!A577</f>
        <v>0</v>
      </c>
      <c r="C575" s="77">
        <f t="shared" si="11"/>
        <v>574</v>
      </c>
    </row>
    <row r="576" spans="1:3" x14ac:dyDescent="0.2">
      <c r="A576" s="78">
        <v>46232</v>
      </c>
      <c r="B576" s="77">
        <f>+PT!A578</f>
        <v>0</v>
      </c>
      <c r="C576" s="77">
        <f t="shared" si="11"/>
        <v>575</v>
      </c>
    </row>
    <row r="577" spans="1:3" x14ac:dyDescent="0.2">
      <c r="A577" s="78">
        <v>46233</v>
      </c>
      <c r="B577" s="77">
        <f>+PT!A579</f>
        <v>0</v>
      </c>
      <c r="C577" s="77">
        <f t="shared" si="11"/>
        <v>576</v>
      </c>
    </row>
    <row r="578" spans="1:3" x14ac:dyDescent="0.2">
      <c r="A578" s="78">
        <v>46234</v>
      </c>
      <c r="B578" s="77">
        <f>+PT!A580</f>
        <v>0</v>
      </c>
      <c r="C578" s="77">
        <f t="shared" si="11"/>
        <v>577</v>
      </c>
    </row>
    <row r="579" spans="1:3" x14ac:dyDescent="0.2">
      <c r="A579" s="78">
        <v>46235</v>
      </c>
      <c r="B579" s="77">
        <f>+PT!A581</f>
        <v>0</v>
      </c>
      <c r="C579" s="77">
        <f t="shared" si="11"/>
        <v>578</v>
      </c>
    </row>
    <row r="580" spans="1:3" x14ac:dyDescent="0.2">
      <c r="A580" s="78">
        <v>46236</v>
      </c>
      <c r="B580" s="77">
        <f>+PT!A582</f>
        <v>0</v>
      </c>
      <c r="C580" s="77">
        <f t="shared" ref="C580:C643" si="12">+C579+1</f>
        <v>579</v>
      </c>
    </row>
    <row r="581" spans="1:3" x14ac:dyDescent="0.2">
      <c r="A581" s="78">
        <v>46237</v>
      </c>
      <c r="B581" s="77">
        <f>+PT!A583</f>
        <v>0</v>
      </c>
      <c r="C581" s="77">
        <f t="shared" si="12"/>
        <v>580</v>
      </c>
    </row>
    <row r="582" spans="1:3" x14ac:dyDescent="0.2">
      <c r="A582" s="78">
        <v>46238</v>
      </c>
      <c r="B582" s="77">
        <f>+PT!A584</f>
        <v>0</v>
      </c>
      <c r="C582" s="77">
        <f t="shared" si="12"/>
        <v>581</v>
      </c>
    </row>
    <row r="583" spans="1:3" x14ac:dyDescent="0.2">
      <c r="A583" s="78">
        <v>46239</v>
      </c>
      <c r="B583" s="77">
        <f>+PT!A585</f>
        <v>0</v>
      </c>
      <c r="C583" s="77">
        <f t="shared" si="12"/>
        <v>582</v>
      </c>
    </row>
    <row r="584" spans="1:3" x14ac:dyDescent="0.2">
      <c r="A584" s="78">
        <v>46240</v>
      </c>
      <c r="B584" s="77">
        <f>+PT!A586</f>
        <v>0</v>
      </c>
      <c r="C584" s="77">
        <f t="shared" si="12"/>
        <v>583</v>
      </c>
    </row>
    <row r="585" spans="1:3" x14ac:dyDescent="0.2">
      <c r="A585" s="78">
        <v>46241</v>
      </c>
      <c r="B585" s="77">
        <f>+PT!A587</f>
        <v>0</v>
      </c>
      <c r="C585" s="77">
        <f t="shared" si="12"/>
        <v>584</v>
      </c>
    </row>
    <row r="586" spans="1:3" x14ac:dyDescent="0.2">
      <c r="A586" s="78">
        <v>46242</v>
      </c>
      <c r="B586" s="77">
        <f>+PT!A588</f>
        <v>0</v>
      </c>
      <c r="C586" s="77">
        <f t="shared" si="12"/>
        <v>585</v>
      </c>
    </row>
    <row r="587" spans="1:3" x14ac:dyDescent="0.2">
      <c r="A587" s="78">
        <v>46243</v>
      </c>
      <c r="B587" s="77">
        <f>+PT!A589</f>
        <v>0</v>
      </c>
      <c r="C587" s="77">
        <f t="shared" si="12"/>
        <v>586</v>
      </c>
    </row>
    <row r="588" spans="1:3" x14ac:dyDescent="0.2">
      <c r="A588" s="78">
        <v>46244</v>
      </c>
      <c r="B588" s="77">
        <f>+PT!A590</f>
        <v>0</v>
      </c>
      <c r="C588" s="77">
        <f t="shared" si="12"/>
        <v>587</v>
      </c>
    </row>
    <row r="589" spans="1:3" x14ac:dyDescent="0.2">
      <c r="A589" s="78">
        <v>46245</v>
      </c>
      <c r="B589" s="77">
        <f>+PT!A591</f>
        <v>0</v>
      </c>
      <c r="C589" s="77">
        <f t="shared" si="12"/>
        <v>588</v>
      </c>
    </row>
    <row r="590" spans="1:3" x14ac:dyDescent="0.2">
      <c r="A590" s="78">
        <v>46246</v>
      </c>
      <c r="B590" s="77">
        <f>+PT!A592</f>
        <v>0</v>
      </c>
      <c r="C590" s="77">
        <f t="shared" si="12"/>
        <v>589</v>
      </c>
    </row>
    <row r="591" spans="1:3" x14ac:dyDescent="0.2">
      <c r="A591" s="78">
        <v>46247</v>
      </c>
      <c r="B591" s="77">
        <f>+PT!A593</f>
        <v>0</v>
      </c>
      <c r="C591" s="77">
        <f t="shared" si="12"/>
        <v>590</v>
      </c>
    </row>
    <row r="592" spans="1:3" x14ac:dyDescent="0.2">
      <c r="A592" s="78">
        <v>46248</v>
      </c>
      <c r="B592" s="77">
        <f>+PT!A594</f>
        <v>0</v>
      </c>
      <c r="C592" s="77">
        <f t="shared" si="12"/>
        <v>591</v>
      </c>
    </row>
    <row r="593" spans="1:3" x14ac:dyDescent="0.2">
      <c r="A593" s="78">
        <v>46249</v>
      </c>
      <c r="B593" s="77">
        <f>+PT!A595</f>
        <v>0</v>
      </c>
      <c r="C593" s="77">
        <f t="shared" si="12"/>
        <v>592</v>
      </c>
    </row>
    <row r="594" spans="1:3" x14ac:dyDescent="0.2">
      <c r="A594" s="78">
        <v>46250</v>
      </c>
      <c r="B594" s="77">
        <f>+PT!A596</f>
        <v>0</v>
      </c>
      <c r="C594" s="77">
        <f t="shared" si="12"/>
        <v>593</v>
      </c>
    </row>
    <row r="595" spans="1:3" x14ac:dyDescent="0.2">
      <c r="A595" s="78">
        <v>46251</v>
      </c>
      <c r="B595" s="77">
        <f>+PT!A597</f>
        <v>0</v>
      </c>
      <c r="C595" s="77">
        <f t="shared" si="12"/>
        <v>594</v>
      </c>
    </row>
    <row r="596" spans="1:3" x14ac:dyDescent="0.2">
      <c r="A596" s="78">
        <v>46252</v>
      </c>
      <c r="B596" s="77">
        <f>+PT!A598</f>
        <v>0</v>
      </c>
      <c r="C596" s="77">
        <f t="shared" si="12"/>
        <v>595</v>
      </c>
    </row>
    <row r="597" spans="1:3" x14ac:dyDescent="0.2">
      <c r="A597" s="78">
        <v>46253</v>
      </c>
      <c r="B597" s="77">
        <f>+PT!A599</f>
        <v>0</v>
      </c>
      <c r="C597" s="77">
        <f t="shared" si="12"/>
        <v>596</v>
      </c>
    </row>
    <row r="598" spans="1:3" x14ac:dyDescent="0.2">
      <c r="A598" s="78">
        <v>46254</v>
      </c>
      <c r="B598" s="77">
        <f>+PT!A600</f>
        <v>0</v>
      </c>
      <c r="C598" s="77">
        <f t="shared" si="12"/>
        <v>597</v>
      </c>
    </row>
    <row r="599" spans="1:3" x14ac:dyDescent="0.2">
      <c r="A599" s="78">
        <v>46255</v>
      </c>
      <c r="B599" s="77">
        <f>+PT!A601</f>
        <v>0</v>
      </c>
      <c r="C599" s="77">
        <f t="shared" si="12"/>
        <v>598</v>
      </c>
    </row>
    <row r="600" spans="1:3" x14ac:dyDescent="0.2">
      <c r="A600" s="78">
        <v>46256</v>
      </c>
      <c r="B600" s="77">
        <f>+PT!A602</f>
        <v>0</v>
      </c>
      <c r="C600" s="77">
        <f t="shared" si="12"/>
        <v>599</v>
      </c>
    </row>
    <row r="601" spans="1:3" x14ac:dyDescent="0.2">
      <c r="A601" s="78">
        <v>46257</v>
      </c>
      <c r="B601" s="77">
        <f>+PT!A603</f>
        <v>0</v>
      </c>
      <c r="C601" s="77">
        <f t="shared" si="12"/>
        <v>600</v>
      </c>
    </row>
    <row r="602" spans="1:3" x14ac:dyDescent="0.2">
      <c r="A602" s="78">
        <v>46258</v>
      </c>
      <c r="B602" s="77">
        <f>+PT!A604</f>
        <v>0</v>
      </c>
      <c r="C602" s="77">
        <f t="shared" si="12"/>
        <v>601</v>
      </c>
    </row>
    <row r="603" spans="1:3" x14ac:dyDescent="0.2">
      <c r="A603" s="78">
        <v>46259</v>
      </c>
      <c r="B603" s="77">
        <f>+PT!A605</f>
        <v>0</v>
      </c>
      <c r="C603" s="77">
        <f t="shared" si="12"/>
        <v>602</v>
      </c>
    </row>
    <row r="604" spans="1:3" x14ac:dyDescent="0.2">
      <c r="A604" s="78">
        <v>46260</v>
      </c>
      <c r="B604" s="77">
        <f>+PT!A606</f>
        <v>0</v>
      </c>
      <c r="C604" s="77">
        <f t="shared" si="12"/>
        <v>603</v>
      </c>
    </row>
    <row r="605" spans="1:3" x14ac:dyDescent="0.2">
      <c r="A605" s="78">
        <v>46261</v>
      </c>
      <c r="B605" s="77">
        <f>+PT!A607</f>
        <v>0</v>
      </c>
      <c r="C605" s="77">
        <f t="shared" si="12"/>
        <v>604</v>
      </c>
    </row>
    <row r="606" spans="1:3" x14ac:dyDescent="0.2">
      <c r="A606" s="78">
        <v>46262</v>
      </c>
      <c r="B606" s="77">
        <f>+PT!A608</f>
        <v>0</v>
      </c>
      <c r="C606" s="77">
        <f t="shared" si="12"/>
        <v>605</v>
      </c>
    </row>
    <row r="607" spans="1:3" x14ac:dyDescent="0.2">
      <c r="A607" s="78">
        <v>46263</v>
      </c>
      <c r="B607" s="77">
        <f>+PT!A609</f>
        <v>0</v>
      </c>
      <c r="C607" s="77">
        <f t="shared" si="12"/>
        <v>606</v>
      </c>
    </row>
    <row r="608" spans="1:3" x14ac:dyDescent="0.2">
      <c r="A608" s="78">
        <v>46264</v>
      </c>
      <c r="B608" s="77">
        <f>+PT!A610</f>
        <v>0</v>
      </c>
      <c r="C608" s="77">
        <f t="shared" si="12"/>
        <v>607</v>
      </c>
    </row>
    <row r="609" spans="1:3" x14ac:dyDescent="0.2">
      <c r="A609" s="78">
        <v>46265</v>
      </c>
      <c r="B609" s="77">
        <f>+PT!A611</f>
        <v>0</v>
      </c>
      <c r="C609" s="77">
        <f t="shared" si="12"/>
        <v>608</v>
      </c>
    </row>
    <row r="610" spans="1:3" x14ac:dyDescent="0.2">
      <c r="A610" s="78">
        <v>46266</v>
      </c>
      <c r="B610" s="77">
        <f>+PT!A612</f>
        <v>0</v>
      </c>
      <c r="C610" s="77">
        <f t="shared" si="12"/>
        <v>609</v>
      </c>
    </row>
    <row r="611" spans="1:3" x14ac:dyDescent="0.2">
      <c r="A611" s="78">
        <v>46267</v>
      </c>
      <c r="B611" s="77">
        <f>+PT!A613</f>
        <v>0</v>
      </c>
      <c r="C611" s="77">
        <f t="shared" si="12"/>
        <v>610</v>
      </c>
    </row>
    <row r="612" spans="1:3" x14ac:dyDescent="0.2">
      <c r="A612" s="78">
        <v>46268</v>
      </c>
      <c r="B612" s="77">
        <f>+PT!A614</f>
        <v>0</v>
      </c>
      <c r="C612" s="77">
        <f t="shared" si="12"/>
        <v>611</v>
      </c>
    </row>
    <row r="613" spans="1:3" x14ac:dyDescent="0.2">
      <c r="A613" s="78">
        <v>46269</v>
      </c>
      <c r="B613" s="77">
        <f>+PT!A615</f>
        <v>0</v>
      </c>
      <c r="C613" s="77">
        <f t="shared" si="12"/>
        <v>612</v>
      </c>
    </row>
    <row r="614" spans="1:3" x14ac:dyDescent="0.2">
      <c r="A614" s="78">
        <v>46270</v>
      </c>
      <c r="B614" s="77">
        <f>+PT!A616</f>
        <v>0</v>
      </c>
      <c r="C614" s="77">
        <f t="shared" si="12"/>
        <v>613</v>
      </c>
    </row>
    <row r="615" spans="1:3" x14ac:dyDescent="0.2">
      <c r="A615" s="78">
        <v>46271</v>
      </c>
      <c r="B615" s="77">
        <f>+PT!A617</f>
        <v>0</v>
      </c>
      <c r="C615" s="77">
        <f t="shared" si="12"/>
        <v>614</v>
      </c>
    </row>
    <row r="616" spans="1:3" x14ac:dyDescent="0.2">
      <c r="A616" s="78">
        <v>46272</v>
      </c>
      <c r="B616" s="77">
        <f>+PT!A618</f>
        <v>0</v>
      </c>
      <c r="C616" s="77">
        <f t="shared" si="12"/>
        <v>615</v>
      </c>
    </row>
    <row r="617" spans="1:3" x14ac:dyDescent="0.2">
      <c r="A617" s="78">
        <v>46273</v>
      </c>
      <c r="B617" s="77">
        <f>+PT!A619</f>
        <v>0</v>
      </c>
      <c r="C617" s="77">
        <f t="shared" si="12"/>
        <v>616</v>
      </c>
    </row>
    <row r="618" spans="1:3" x14ac:dyDescent="0.2">
      <c r="A618" s="78">
        <v>46274</v>
      </c>
      <c r="B618" s="77">
        <f>+PT!A620</f>
        <v>0</v>
      </c>
      <c r="C618" s="77">
        <f t="shared" si="12"/>
        <v>617</v>
      </c>
    </row>
    <row r="619" spans="1:3" x14ac:dyDescent="0.2">
      <c r="A619" s="78">
        <v>46275</v>
      </c>
      <c r="B619" s="77">
        <f>+PT!A621</f>
        <v>0</v>
      </c>
      <c r="C619" s="77">
        <f t="shared" si="12"/>
        <v>618</v>
      </c>
    </row>
    <row r="620" spans="1:3" x14ac:dyDescent="0.2">
      <c r="A620" s="78">
        <v>46276</v>
      </c>
      <c r="B620" s="77">
        <f>+PT!A622</f>
        <v>0</v>
      </c>
      <c r="C620" s="77">
        <f t="shared" si="12"/>
        <v>619</v>
      </c>
    </row>
    <row r="621" spans="1:3" x14ac:dyDescent="0.2">
      <c r="A621" s="78">
        <v>46277</v>
      </c>
      <c r="B621" s="77">
        <f>+PT!A623</f>
        <v>0</v>
      </c>
      <c r="C621" s="77">
        <f t="shared" si="12"/>
        <v>620</v>
      </c>
    </row>
    <row r="622" spans="1:3" x14ac:dyDescent="0.2">
      <c r="A622" s="78">
        <v>46278</v>
      </c>
      <c r="B622" s="77">
        <f>+PT!A624</f>
        <v>0</v>
      </c>
      <c r="C622" s="77">
        <f t="shared" si="12"/>
        <v>621</v>
      </c>
    </row>
    <row r="623" spans="1:3" x14ac:dyDescent="0.2">
      <c r="A623" s="78">
        <v>46279</v>
      </c>
      <c r="B623" s="77">
        <f>+PT!A625</f>
        <v>0</v>
      </c>
      <c r="C623" s="77">
        <f t="shared" si="12"/>
        <v>622</v>
      </c>
    </row>
    <row r="624" spans="1:3" x14ac:dyDescent="0.2">
      <c r="A624" s="78">
        <v>46280</v>
      </c>
      <c r="B624" s="77">
        <f>+PT!A626</f>
        <v>0</v>
      </c>
      <c r="C624" s="77">
        <f t="shared" si="12"/>
        <v>623</v>
      </c>
    </row>
    <row r="625" spans="1:3" x14ac:dyDescent="0.2">
      <c r="A625" s="78">
        <v>46281</v>
      </c>
      <c r="B625" s="77">
        <f>+PT!A627</f>
        <v>0</v>
      </c>
      <c r="C625" s="77">
        <f t="shared" si="12"/>
        <v>624</v>
      </c>
    </row>
    <row r="626" spans="1:3" x14ac:dyDescent="0.2">
      <c r="A626" s="78">
        <v>46282</v>
      </c>
      <c r="B626" s="77">
        <f>+PT!A628</f>
        <v>0</v>
      </c>
      <c r="C626" s="77">
        <f t="shared" si="12"/>
        <v>625</v>
      </c>
    </row>
    <row r="627" spans="1:3" x14ac:dyDescent="0.2">
      <c r="A627" s="78">
        <v>46283</v>
      </c>
      <c r="B627" s="77">
        <f>+PT!A629</f>
        <v>0</v>
      </c>
      <c r="C627" s="77">
        <f t="shared" si="12"/>
        <v>626</v>
      </c>
    </row>
    <row r="628" spans="1:3" x14ac:dyDescent="0.2">
      <c r="A628" s="78">
        <v>46284</v>
      </c>
      <c r="B628" s="77">
        <f>+PT!A630</f>
        <v>0</v>
      </c>
      <c r="C628" s="77">
        <f t="shared" si="12"/>
        <v>627</v>
      </c>
    </row>
    <row r="629" spans="1:3" x14ac:dyDescent="0.2">
      <c r="A629" s="78">
        <v>46285</v>
      </c>
      <c r="B629" s="77">
        <f>+PT!A631</f>
        <v>0</v>
      </c>
      <c r="C629" s="77">
        <f t="shared" si="12"/>
        <v>628</v>
      </c>
    </row>
    <row r="630" spans="1:3" x14ac:dyDescent="0.2">
      <c r="A630" s="78">
        <v>46286</v>
      </c>
      <c r="B630" s="77">
        <f>+PT!A632</f>
        <v>0</v>
      </c>
      <c r="C630" s="77">
        <f t="shared" si="12"/>
        <v>629</v>
      </c>
    </row>
    <row r="631" spans="1:3" x14ac:dyDescent="0.2">
      <c r="A631" s="78">
        <v>46287</v>
      </c>
      <c r="B631" s="77">
        <f>+PT!A633</f>
        <v>0</v>
      </c>
      <c r="C631" s="77">
        <f t="shared" si="12"/>
        <v>630</v>
      </c>
    </row>
    <row r="632" spans="1:3" x14ac:dyDescent="0.2">
      <c r="A632" s="78">
        <v>46288</v>
      </c>
      <c r="B632" s="77">
        <f>+PT!A634</f>
        <v>0</v>
      </c>
      <c r="C632" s="77">
        <f t="shared" si="12"/>
        <v>631</v>
      </c>
    </row>
    <row r="633" spans="1:3" x14ac:dyDescent="0.2">
      <c r="A633" s="78">
        <v>46289</v>
      </c>
      <c r="B633" s="77">
        <f>+PT!A635</f>
        <v>0</v>
      </c>
      <c r="C633" s="77">
        <f t="shared" si="12"/>
        <v>632</v>
      </c>
    </row>
    <row r="634" spans="1:3" x14ac:dyDescent="0.2">
      <c r="A634" s="78">
        <v>46290</v>
      </c>
      <c r="B634" s="77">
        <f>+PT!A636</f>
        <v>0</v>
      </c>
      <c r="C634" s="77">
        <f t="shared" si="12"/>
        <v>633</v>
      </c>
    </row>
    <row r="635" spans="1:3" x14ac:dyDescent="0.2">
      <c r="A635" s="78">
        <v>46291</v>
      </c>
      <c r="B635" s="77">
        <f>+PT!A637</f>
        <v>0</v>
      </c>
      <c r="C635" s="77">
        <f t="shared" si="12"/>
        <v>634</v>
      </c>
    </row>
    <row r="636" spans="1:3" x14ac:dyDescent="0.2">
      <c r="A636" s="78">
        <v>46292</v>
      </c>
      <c r="B636" s="77">
        <f>+PT!A638</f>
        <v>0</v>
      </c>
      <c r="C636" s="77">
        <f t="shared" si="12"/>
        <v>635</v>
      </c>
    </row>
    <row r="637" spans="1:3" x14ac:dyDescent="0.2">
      <c r="A637" s="78">
        <v>46293</v>
      </c>
      <c r="B637" s="77">
        <f>+PT!A639</f>
        <v>0</v>
      </c>
      <c r="C637" s="77">
        <f t="shared" si="12"/>
        <v>636</v>
      </c>
    </row>
    <row r="638" spans="1:3" x14ac:dyDescent="0.2">
      <c r="A638" s="78">
        <v>46294</v>
      </c>
      <c r="B638" s="77">
        <f>+PT!A640</f>
        <v>0</v>
      </c>
      <c r="C638" s="77">
        <f t="shared" si="12"/>
        <v>637</v>
      </c>
    </row>
    <row r="639" spans="1:3" x14ac:dyDescent="0.2">
      <c r="A639" s="78">
        <v>46295</v>
      </c>
      <c r="B639" s="77">
        <f>+PT!A641</f>
        <v>0</v>
      </c>
      <c r="C639" s="77">
        <f t="shared" si="12"/>
        <v>638</v>
      </c>
    </row>
    <row r="640" spans="1:3" x14ac:dyDescent="0.2">
      <c r="A640" s="78">
        <v>46296</v>
      </c>
      <c r="B640" s="77">
        <f>+PT!A642</f>
        <v>0</v>
      </c>
      <c r="C640" s="77">
        <f t="shared" si="12"/>
        <v>639</v>
      </c>
    </row>
    <row r="641" spans="1:3" x14ac:dyDescent="0.2">
      <c r="A641" s="78">
        <v>46297</v>
      </c>
      <c r="B641" s="77">
        <f>+PT!A643</f>
        <v>0</v>
      </c>
      <c r="C641" s="77">
        <f t="shared" si="12"/>
        <v>640</v>
      </c>
    </row>
    <row r="642" spans="1:3" x14ac:dyDescent="0.2">
      <c r="A642" s="78">
        <v>46298</v>
      </c>
      <c r="B642" s="77">
        <f>+PT!A644</f>
        <v>0</v>
      </c>
      <c r="C642" s="77">
        <f t="shared" si="12"/>
        <v>641</v>
      </c>
    </row>
    <row r="643" spans="1:3" x14ac:dyDescent="0.2">
      <c r="A643" s="78">
        <v>46299</v>
      </c>
      <c r="B643" s="77">
        <f>+PT!A645</f>
        <v>0</v>
      </c>
      <c r="C643" s="77">
        <f t="shared" si="12"/>
        <v>642</v>
      </c>
    </row>
    <row r="644" spans="1:3" x14ac:dyDescent="0.2">
      <c r="A644" s="78">
        <v>46300</v>
      </c>
      <c r="B644" s="77">
        <f>+PT!A646</f>
        <v>0</v>
      </c>
      <c r="C644" s="77">
        <f t="shared" ref="C644:C707" si="13">+C643+1</f>
        <v>643</v>
      </c>
    </row>
    <row r="645" spans="1:3" x14ac:dyDescent="0.2">
      <c r="A645" s="78">
        <v>46301</v>
      </c>
      <c r="B645" s="77">
        <f>+PT!A647</f>
        <v>0</v>
      </c>
      <c r="C645" s="77">
        <f t="shared" si="13"/>
        <v>644</v>
      </c>
    </row>
    <row r="646" spans="1:3" x14ac:dyDescent="0.2">
      <c r="A646" s="78">
        <v>46302</v>
      </c>
      <c r="B646" s="77">
        <f>+PT!A648</f>
        <v>0</v>
      </c>
      <c r="C646" s="77">
        <f t="shared" si="13"/>
        <v>645</v>
      </c>
    </row>
    <row r="647" spans="1:3" x14ac:dyDescent="0.2">
      <c r="A647" s="78">
        <v>46303</v>
      </c>
      <c r="B647" s="77">
        <f>+PT!A649</f>
        <v>0</v>
      </c>
      <c r="C647" s="77">
        <f t="shared" si="13"/>
        <v>646</v>
      </c>
    </row>
    <row r="648" spans="1:3" x14ac:dyDescent="0.2">
      <c r="A648" s="78">
        <v>46304</v>
      </c>
      <c r="B648" s="77">
        <f>+PT!A650</f>
        <v>0</v>
      </c>
      <c r="C648" s="77">
        <f t="shared" si="13"/>
        <v>647</v>
      </c>
    </row>
    <row r="649" spans="1:3" x14ac:dyDescent="0.2">
      <c r="A649" s="78">
        <v>46305</v>
      </c>
      <c r="B649" s="77">
        <f>+PT!A651</f>
        <v>0</v>
      </c>
      <c r="C649" s="77">
        <f t="shared" si="13"/>
        <v>648</v>
      </c>
    </row>
    <row r="650" spans="1:3" x14ac:dyDescent="0.2">
      <c r="A650" s="78">
        <v>46306</v>
      </c>
      <c r="B650" s="77">
        <f>+PT!A652</f>
        <v>0</v>
      </c>
      <c r="C650" s="77">
        <f t="shared" si="13"/>
        <v>649</v>
      </c>
    </row>
    <row r="651" spans="1:3" x14ac:dyDescent="0.2">
      <c r="A651" s="78">
        <v>46307</v>
      </c>
      <c r="B651" s="77">
        <f>+PT!A653</f>
        <v>0</v>
      </c>
      <c r="C651" s="77">
        <f t="shared" si="13"/>
        <v>650</v>
      </c>
    </row>
    <row r="652" spans="1:3" x14ac:dyDescent="0.2">
      <c r="A652" s="78">
        <v>46308</v>
      </c>
      <c r="B652" s="77">
        <f>+PT!A654</f>
        <v>0</v>
      </c>
      <c r="C652" s="77">
        <f t="shared" si="13"/>
        <v>651</v>
      </c>
    </row>
    <row r="653" spans="1:3" x14ac:dyDescent="0.2">
      <c r="A653" s="78">
        <v>46309</v>
      </c>
      <c r="B653" s="77">
        <f>+PT!A655</f>
        <v>0</v>
      </c>
      <c r="C653" s="77">
        <f t="shared" si="13"/>
        <v>652</v>
      </c>
    </row>
    <row r="654" spans="1:3" x14ac:dyDescent="0.2">
      <c r="A654" s="78">
        <v>46310</v>
      </c>
      <c r="B654" s="77">
        <f>+PT!A656</f>
        <v>0</v>
      </c>
      <c r="C654" s="77">
        <f t="shared" si="13"/>
        <v>653</v>
      </c>
    </row>
    <row r="655" spans="1:3" x14ac:dyDescent="0.2">
      <c r="A655" s="78">
        <v>46311</v>
      </c>
      <c r="B655" s="77">
        <f>+PT!A657</f>
        <v>0</v>
      </c>
      <c r="C655" s="77">
        <f t="shared" si="13"/>
        <v>654</v>
      </c>
    </row>
    <row r="656" spans="1:3" x14ac:dyDescent="0.2">
      <c r="A656" s="78">
        <v>46312</v>
      </c>
      <c r="B656" s="77">
        <f>+PT!A658</f>
        <v>0</v>
      </c>
      <c r="C656" s="77">
        <f t="shared" si="13"/>
        <v>655</v>
      </c>
    </row>
    <row r="657" spans="1:3" x14ac:dyDescent="0.2">
      <c r="A657" s="78">
        <v>46313</v>
      </c>
      <c r="B657" s="77">
        <f>+PT!A659</f>
        <v>0</v>
      </c>
      <c r="C657" s="77">
        <f t="shared" si="13"/>
        <v>656</v>
      </c>
    </row>
    <row r="658" spans="1:3" x14ac:dyDescent="0.2">
      <c r="A658" s="78">
        <v>46314</v>
      </c>
      <c r="B658" s="77">
        <f>+PT!A660</f>
        <v>0</v>
      </c>
      <c r="C658" s="77">
        <f t="shared" si="13"/>
        <v>657</v>
      </c>
    </row>
    <row r="659" spans="1:3" x14ac:dyDescent="0.2">
      <c r="A659" s="78">
        <v>46315</v>
      </c>
      <c r="B659" s="77">
        <f>+PT!A661</f>
        <v>0</v>
      </c>
      <c r="C659" s="77">
        <f t="shared" si="13"/>
        <v>658</v>
      </c>
    </row>
    <row r="660" spans="1:3" x14ac:dyDescent="0.2">
      <c r="A660" s="78">
        <v>46316</v>
      </c>
      <c r="B660" s="77">
        <f>+PT!A662</f>
        <v>0</v>
      </c>
      <c r="C660" s="77">
        <f t="shared" si="13"/>
        <v>659</v>
      </c>
    </row>
    <row r="661" spans="1:3" x14ac:dyDescent="0.2">
      <c r="A661" s="78">
        <v>46317</v>
      </c>
      <c r="B661" s="77">
        <f>+PT!A663</f>
        <v>0</v>
      </c>
      <c r="C661" s="77">
        <f t="shared" si="13"/>
        <v>660</v>
      </c>
    </row>
    <row r="662" spans="1:3" x14ac:dyDescent="0.2">
      <c r="A662" s="78">
        <v>46318</v>
      </c>
      <c r="B662" s="77">
        <f>+PT!A664</f>
        <v>0</v>
      </c>
      <c r="C662" s="77">
        <f t="shared" si="13"/>
        <v>661</v>
      </c>
    </row>
    <row r="663" spans="1:3" x14ac:dyDescent="0.2">
      <c r="A663" s="78">
        <v>46319</v>
      </c>
      <c r="B663" s="77">
        <f>+PT!A665</f>
        <v>0</v>
      </c>
      <c r="C663" s="77">
        <f t="shared" si="13"/>
        <v>662</v>
      </c>
    </row>
    <row r="664" spans="1:3" x14ac:dyDescent="0.2">
      <c r="A664" s="78">
        <v>46320</v>
      </c>
      <c r="B664" s="77">
        <f>+PT!A666</f>
        <v>0</v>
      </c>
      <c r="C664" s="77">
        <f t="shared" si="13"/>
        <v>663</v>
      </c>
    </row>
    <row r="665" spans="1:3" x14ac:dyDescent="0.2">
      <c r="A665" s="78">
        <v>46321</v>
      </c>
      <c r="B665" s="77">
        <f>+PT!A667</f>
        <v>0</v>
      </c>
      <c r="C665" s="77">
        <f t="shared" si="13"/>
        <v>664</v>
      </c>
    </row>
    <row r="666" spans="1:3" x14ac:dyDescent="0.2">
      <c r="A666" s="78">
        <v>46322</v>
      </c>
      <c r="B666" s="77">
        <f>+PT!A668</f>
        <v>0</v>
      </c>
      <c r="C666" s="77">
        <f t="shared" si="13"/>
        <v>665</v>
      </c>
    </row>
    <row r="667" spans="1:3" x14ac:dyDescent="0.2">
      <c r="A667" s="78">
        <v>46323</v>
      </c>
      <c r="B667" s="77">
        <f>+PT!A669</f>
        <v>0</v>
      </c>
      <c r="C667" s="77">
        <f t="shared" si="13"/>
        <v>666</v>
      </c>
    </row>
    <row r="668" spans="1:3" x14ac:dyDescent="0.2">
      <c r="A668" s="78">
        <v>46324</v>
      </c>
      <c r="B668" s="77">
        <f>+PT!A670</f>
        <v>0</v>
      </c>
      <c r="C668" s="77">
        <f t="shared" si="13"/>
        <v>667</v>
      </c>
    </row>
    <row r="669" spans="1:3" x14ac:dyDescent="0.2">
      <c r="A669" s="78">
        <v>46325</v>
      </c>
      <c r="B669" s="77">
        <f>+PT!A671</f>
        <v>0</v>
      </c>
      <c r="C669" s="77">
        <f t="shared" si="13"/>
        <v>668</v>
      </c>
    </row>
    <row r="670" spans="1:3" x14ac:dyDescent="0.2">
      <c r="A670" s="78">
        <v>46326</v>
      </c>
      <c r="B670" s="77">
        <f>+PT!A672</f>
        <v>0</v>
      </c>
      <c r="C670" s="77">
        <f t="shared" si="13"/>
        <v>669</v>
      </c>
    </row>
    <row r="671" spans="1:3" x14ac:dyDescent="0.2">
      <c r="A671" s="78">
        <v>46327</v>
      </c>
      <c r="B671" s="77">
        <f>+PT!A673</f>
        <v>0</v>
      </c>
      <c r="C671" s="77">
        <f t="shared" si="13"/>
        <v>670</v>
      </c>
    </row>
    <row r="672" spans="1:3" x14ac:dyDescent="0.2">
      <c r="A672" s="78">
        <v>46328</v>
      </c>
      <c r="B672" s="77">
        <f>+PT!A674</f>
        <v>0</v>
      </c>
      <c r="C672" s="77">
        <f t="shared" si="13"/>
        <v>671</v>
      </c>
    </row>
    <row r="673" spans="1:3" x14ac:dyDescent="0.2">
      <c r="A673" s="78">
        <v>46329</v>
      </c>
      <c r="B673" s="77">
        <f>+PT!A675</f>
        <v>0</v>
      </c>
      <c r="C673" s="77">
        <f t="shared" si="13"/>
        <v>672</v>
      </c>
    </row>
    <row r="674" spans="1:3" x14ac:dyDescent="0.2">
      <c r="A674" s="78">
        <v>46330</v>
      </c>
      <c r="B674" s="77">
        <f>+PT!A676</f>
        <v>0</v>
      </c>
      <c r="C674" s="77">
        <f t="shared" si="13"/>
        <v>673</v>
      </c>
    </row>
    <row r="675" spans="1:3" x14ac:dyDescent="0.2">
      <c r="A675" s="78">
        <v>46331</v>
      </c>
      <c r="B675" s="77">
        <f>+PT!A677</f>
        <v>0</v>
      </c>
      <c r="C675" s="77">
        <f t="shared" si="13"/>
        <v>674</v>
      </c>
    </row>
    <row r="676" spans="1:3" x14ac:dyDescent="0.2">
      <c r="A676" s="78">
        <v>46332</v>
      </c>
      <c r="B676" s="77">
        <f>+PT!A678</f>
        <v>0</v>
      </c>
      <c r="C676" s="77">
        <f t="shared" si="13"/>
        <v>675</v>
      </c>
    </row>
    <row r="677" spans="1:3" x14ac:dyDescent="0.2">
      <c r="A677" s="78">
        <v>46333</v>
      </c>
      <c r="B677" s="77">
        <f>+PT!A679</f>
        <v>0</v>
      </c>
      <c r="C677" s="77">
        <f t="shared" si="13"/>
        <v>676</v>
      </c>
    </row>
    <row r="678" spans="1:3" x14ac:dyDescent="0.2">
      <c r="A678" s="78">
        <v>46334</v>
      </c>
      <c r="B678" s="77">
        <f>+PT!A680</f>
        <v>0</v>
      </c>
      <c r="C678" s="77">
        <f t="shared" si="13"/>
        <v>677</v>
      </c>
    </row>
    <row r="679" spans="1:3" x14ac:dyDescent="0.2">
      <c r="A679" s="78">
        <v>46335</v>
      </c>
      <c r="B679" s="77">
        <f>+PT!A681</f>
        <v>0</v>
      </c>
      <c r="C679" s="77">
        <f t="shared" si="13"/>
        <v>678</v>
      </c>
    </row>
    <row r="680" spans="1:3" x14ac:dyDescent="0.2">
      <c r="A680" s="78">
        <v>46336</v>
      </c>
      <c r="B680" s="77">
        <f>+PT!A682</f>
        <v>0</v>
      </c>
      <c r="C680" s="77">
        <f t="shared" si="13"/>
        <v>679</v>
      </c>
    </row>
    <row r="681" spans="1:3" x14ac:dyDescent="0.2">
      <c r="A681" s="78">
        <v>46337</v>
      </c>
      <c r="B681" s="77">
        <f>+PT!A683</f>
        <v>0</v>
      </c>
      <c r="C681" s="77">
        <f t="shared" si="13"/>
        <v>680</v>
      </c>
    </row>
    <row r="682" spans="1:3" x14ac:dyDescent="0.2">
      <c r="A682" s="78">
        <v>46338</v>
      </c>
      <c r="B682" s="77">
        <f>+PT!A684</f>
        <v>0</v>
      </c>
      <c r="C682" s="77">
        <f t="shared" si="13"/>
        <v>681</v>
      </c>
    </row>
    <row r="683" spans="1:3" x14ac:dyDescent="0.2">
      <c r="A683" s="78">
        <v>46339</v>
      </c>
      <c r="B683" s="77">
        <f>+PT!A685</f>
        <v>0</v>
      </c>
      <c r="C683" s="77">
        <f t="shared" si="13"/>
        <v>682</v>
      </c>
    </row>
    <row r="684" spans="1:3" x14ac:dyDescent="0.2">
      <c r="A684" s="78">
        <v>46340</v>
      </c>
      <c r="B684" s="77">
        <f>+PT!A686</f>
        <v>0</v>
      </c>
      <c r="C684" s="77">
        <f t="shared" si="13"/>
        <v>683</v>
      </c>
    </row>
    <row r="685" spans="1:3" x14ac:dyDescent="0.2">
      <c r="A685" s="78">
        <v>46341</v>
      </c>
      <c r="B685" s="77">
        <f>+PT!A687</f>
        <v>0</v>
      </c>
      <c r="C685" s="77">
        <f t="shared" si="13"/>
        <v>684</v>
      </c>
    </row>
    <row r="686" spans="1:3" x14ac:dyDescent="0.2">
      <c r="A686" s="78">
        <v>46342</v>
      </c>
      <c r="B686" s="77">
        <f>+PT!A688</f>
        <v>0</v>
      </c>
      <c r="C686" s="77">
        <f t="shared" si="13"/>
        <v>685</v>
      </c>
    </row>
    <row r="687" spans="1:3" x14ac:dyDescent="0.2">
      <c r="A687" s="78">
        <v>46343</v>
      </c>
      <c r="B687" s="77">
        <f>+PT!A689</f>
        <v>0</v>
      </c>
      <c r="C687" s="77">
        <f t="shared" si="13"/>
        <v>686</v>
      </c>
    </row>
    <row r="688" spans="1:3" x14ac:dyDescent="0.2">
      <c r="A688" s="78">
        <v>46344</v>
      </c>
      <c r="B688" s="77">
        <f>+PT!A690</f>
        <v>0</v>
      </c>
      <c r="C688" s="77">
        <f t="shared" si="13"/>
        <v>687</v>
      </c>
    </row>
    <row r="689" spans="1:3" x14ac:dyDescent="0.2">
      <c r="A689" s="78">
        <v>46345</v>
      </c>
      <c r="B689" s="77">
        <f>+PT!A691</f>
        <v>0</v>
      </c>
      <c r="C689" s="77">
        <f t="shared" si="13"/>
        <v>688</v>
      </c>
    </row>
    <row r="690" spans="1:3" x14ac:dyDescent="0.2">
      <c r="A690" s="78">
        <v>46346</v>
      </c>
      <c r="B690" s="77">
        <f>+PT!A692</f>
        <v>0</v>
      </c>
      <c r="C690" s="77">
        <f t="shared" si="13"/>
        <v>689</v>
      </c>
    </row>
    <row r="691" spans="1:3" x14ac:dyDescent="0.2">
      <c r="A691" s="78">
        <v>46347</v>
      </c>
      <c r="B691" s="77">
        <f>+PT!A693</f>
        <v>0</v>
      </c>
      <c r="C691" s="77">
        <f t="shared" si="13"/>
        <v>690</v>
      </c>
    </row>
    <row r="692" spans="1:3" x14ac:dyDescent="0.2">
      <c r="A692" s="78">
        <v>46348</v>
      </c>
      <c r="B692" s="77">
        <f>+PT!A694</f>
        <v>0</v>
      </c>
      <c r="C692" s="77">
        <f t="shared" si="13"/>
        <v>691</v>
      </c>
    </row>
    <row r="693" spans="1:3" x14ac:dyDescent="0.2">
      <c r="A693" s="78">
        <v>46349</v>
      </c>
      <c r="B693" s="77">
        <f>+PT!A695</f>
        <v>0</v>
      </c>
      <c r="C693" s="77">
        <f t="shared" si="13"/>
        <v>692</v>
      </c>
    </row>
    <row r="694" spans="1:3" x14ac:dyDescent="0.2">
      <c r="A694" s="78">
        <v>46350</v>
      </c>
      <c r="B694" s="77">
        <f>+PT!A696</f>
        <v>0</v>
      </c>
      <c r="C694" s="77">
        <f t="shared" si="13"/>
        <v>693</v>
      </c>
    </row>
    <row r="695" spans="1:3" x14ac:dyDescent="0.2">
      <c r="A695" s="78">
        <v>46351</v>
      </c>
      <c r="B695" s="77">
        <f>+PT!A697</f>
        <v>0</v>
      </c>
      <c r="C695" s="77">
        <f t="shared" si="13"/>
        <v>694</v>
      </c>
    </row>
    <row r="696" spans="1:3" x14ac:dyDescent="0.2">
      <c r="A696" s="78">
        <v>46352</v>
      </c>
      <c r="B696" s="77">
        <f>+PT!A698</f>
        <v>0</v>
      </c>
      <c r="C696" s="77">
        <f t="shared" si="13"/>
        <v>695</v>
      </c>
    </row>
    <row r="697" spans="1:3" x14ac:dyDescent="0.2">
      <c r="A697" s="78">
        <v>46353</v>
      </c>
      <c r="B697" s="77">
        <f>+PT!A699</f>
        <v>0</v>
      </c>
      <c r="C697" s="77">
        <f t="shared" si="13"/>
        <v>696</v>
      </c>
    </row>
    <row r="698" spans="1:3" x14ac:dyDescent="0.2">
      <c r="A698" s="78">
        <v>46354</v>
      </c>
      <c r="B698" s="77">
        <f>+PT!A700</f>
        <v>0</v>
      </c>
      <c r="C698" s="77">
        <f t="shared" si="13"/>
        <v>697</v>
      </c>
    </row>
    <row r="699" spans="1:3" x14ac:dyDescent="0.2">
      <c r="A699" s="78">
        <v>46355</v>
      </c>
      <c r="B699" s="77">
        <f>+PT!A701</f>
        <v>0</v>
      </c>
      <c r="C699" s="77">
        <f t="shared" si="13"/>
        <v>698</v>
      </c>
    </row>
    <row r="700" spans="1:3" x14ac:dyDescent="0.2">
      <c r="A700" s="78">
        <v>46356</v>
      </c>
      <c r="B700" s="77">
        <f>+PT!A702</f>
        <v>0</v>
      </c>
      <c r="C700" s="77">
        <f t="shared" si="13"/>
        <v>699</v>
      </c>
    </row>
    <row r="701" spans="1:3" x14ac:dyDescent="0.2">
      <c r="A701" s="78">
        <v>46357</v>
      </c>
      <c r="B701" s="77">
        <f>+PT!A703</f>
        <v>0</v>
      </c>
      <c r="C701" s="77">
        <f t="shared" si="13"/>
        <v>700</v>
      </c>
    </row>
    <row r="702" spans="1:3" x14ac:dyDescent="0.2">
      <c r="A702" s="78">
        <v>46358</v>
      </c>
      <c r="B702" s="77">
        <f>+PT!A704</f>
        <v>0</v>
      </c>
      <c r="C702" s="77">
        <f t="shared" si="13"/>
        <v>701</v>
      </c>
    </row>
    <row r="703" spans="1:3" x14ac:dyDescent="0.2">
      <c r="A703" s="78">
        <v>46359</v>
      </c>
      <c r="B703" s="77">
        <f>+PT!A705</f>
        <v>0</v>
      </c>
      <c r="C703" s="77">
        <f t="shared" si="13"/>
        <v>702</v>
      </c>
    </row>
    <row r="704" spans="1:3" x14ac:dyDescent="0.2">
      <c r="A704" s="78">
        <v>46360</v>
      </c>
      <c r="B704" s="77">
        <f>+PT!A706</f>
        <v>0</v>
      </c>
      <c r="C704" s="77">
        <f t="shared" si="13"/>
        <v>703</v>
      </c>
    </row>
    <row r="705" spans="1:3" x14ac:dyDescent="0.2">
      <c r="A705" s="78">
        <v>46361</v>
      </c>
      <c r="B705" s="77">
        <f>+PT!A707</f>
        <v>0</v>
      </c>
      <c r="C705" s="77">
        <f t="shared" si="13"/>
        <v>704</v>
      </c>
    </row>
    <row r="706" spans="1:3" x14ac:dyDescent="0.2">
      <c r="A706" s="78">
        <v>46362</v>
      </c>
      <c r="B706" s="77">
        <f>+PT!A708</f>
        <v>0</v>
      </c>
      <c r="C706" s="77">
        <f t="shared" si="13"/>
        <v>705</v>
      </c>
    </row>
    <row r="707" spans="1:3" x14ac:dyDescent="0.2">
      <c r="A707" s="78">
        <v>46363</v>
      </c>
      <c r="B707" s="77">
        <f>+PT!A709</f>
        <v>0</v>
      </c>
      <c r="C707" s="77">
        <f t="shared" si="13"/>
        <v>706</v>
      </c>
    </row>
    <row r="708" spans="1:3" x14ac:dyDescent="0.2">
      <c r="A708" s="78">
        <v>46364</v>
      </c>
      <c r="B708" s="77">
        <f>+PT!A710</f>
        <v>0</v>
      </c>
      <c r="C708" s="77">
        <f t="shared" ref="C708:C771" si="14">+C707+1</f>
        <v>707</v>
      </c>
    </row>
    <row r="709" spans="1:3" x14ac:dyDescent="0.2">
      <c r="A709" s="78">
        <v>46365</v>
      </c>
      <c r="B709" s="77">
        <f>+PT!A711</f>
        <v>0</v>
      </c>
      <c r="C709" s="77">
        <f t="shared" si="14"/>
        <v>708</v>
      </c>
    </row>
    <row r="710" spans="1:3" x14ac:dyDescent="0.2">
      <c r="A710" s="78">
        <v>46366</v>
      </c>
      <c r="B710" s="77">
        <f>+PT!A712</f>
        <v>0</v>
      </c>
      <c r="C710" s="77">
        <f t="shared" si="14"/>
        <v>709</v>
      </c>
    </row>
    <row r="711" spans="1:3" x14ac:dyDescent="0.2">
      <c r="A711" s="78">
        <v>46367</v>
      </c>
      <c r="B711" s="77">
        <f>+PT!A713</f>
        <v>0</v>
      </c>
      <c r="C711" s="77">
        <f t="shared" si="14"/>
        <v>710</v>
      </c>
    </row>
    <row r="712" spans="1:3" x14ac:dyDescent="0.2">
      <c r="A712" s="78">
        <v>46368</v>
      </c>
      <c r="B712" s="77">
        <f>+PT!A714</f>
        <v>0</v>
      </c>
      <c r="C712" s="77">
        <f t="shared" si="14"/>
        <v>711</v>
      </c>
    </row>
    <row r="713" spans="1:3" x14ac:dyDescent="0.2">
      <c r="A713" s="78">
        <v>46369</v>
      </c>
      <c r="B713" s="77">
        <f>+PT!A715</f>
        <v>0</v>
      </c>
      <c r="C713" s="77">
        <f t="shared" si="14"/>
        <v>712</v>
      </c>
    </row>
    <row r="714" spans="1:3" x14ac:dyDescent="0.2">
      <c r="A714" s="78">
        <v>46370</v>
      </c>
      <c r="B714" s="77">
        <f>+PT!A716</f>
        <v>0</v>
      </c>
      <c r="C714" s="77">
        <f t="shared" si="14"/>
        <v>713</v>
      </c>
    </row>
    <row r="715" spans="1:3" x14ac:dyDescent="0.2">
      <c r="A715" s="78">
        <v>46371</v>
      </c>
      <c r="B715" s="77">
        <f>+PT!A717</f>
        <v>0</v>
      </c>
      <c r="C715" s="77">
        <f t="shared" si="14"/>
        <v>714</v>
      </c>
    </row>
    <row r="716" spans="1:3" x14ac:dyDescent="0.2">
      <c r="A716" s="78">
        <v>46372</v>
      </c>
      <c r="B716" s="77">
        <f>+PT!A718</f>
        <v>0</v>
      </c>
      <c r="C716" s="77">
        <f t="shared" si="14"/>
        <v>715</v>
      </c>
    </row>
    <row r="717" spans="1:3" x14ac:dyDescent="0.2">
      <c r="A717" s="78">
        <v>46373</v>
      </c>
      <c r="B717" s="77">
        <f>+PT!A719</f>
        <v>0</v>
      </c>
      <c r="C717" s="77">
        <f t="shared" si="14"/>
        <v>716</v>
      </c>
    </row>
    <row r="718" spans="1:3" x14ac:dyDescent="0.2">
      <c r="A718" s="78">
        <v>46374</v>
      </c>
      <c r="B718" s="77">
        <f>+PT!A720</f>
        <v>0</v>
      </c>
      <c r="C718" s="77">
        <f t="shared" si="14"/>
        <v>717</v>
      </c>
    </row>
    <row r="719" spans="1:3" x14ac:dyDescent="0.2">
      <c r="A719" s="78">
        <v>46375</v>
      </c>
      <c r="B719" s="77">
        <f>+PT!A721</f>
        <v>0</v>
      </c>
      <c r="C719" s="77">
        <f t="shared" si="14"/>
        <v>718</v>
      </c>
    </row>
    <row r="720" spans="1:3" x14ac:dyDescent="0.2">
      <c r="A720" s="78">
        <v>46376</v>
      </c>
      <c r="B720" s="77">
        <f>+PT!A722</f>
        <v>0</v>
      </c>
      <c r="C720" s="77">
        <f t="shared" si="14"/>
        <v>719</v>
      </c>
    </row>
    <row r="721" spans="1:3" x14ac:dyDescent="0.2">
      <c r="A721" s="78">
        <v>46377</v>
      </c>
      <c r="B721" s="77">
        <f>+PT!A723</f>
        <v>0</v>
      </c>
      <c r="C721" s="77">
        <f t="shared" si="14"/>
        <v>720</v>
      </c>
    </row>
    <row r="722" spans="1:3" x14ac:dyDescent="0.2">
      <c r="A722" s="78">
        <v>46378</v>
      </c>
      <c r="B722" s="77">
        <f>+PT!A724</f>
        <v>0</v>
      </c>
      <c r="C722" s="77">
        <f t="shared" si="14"/>
        <v>721</v>
      </c>
    </row>
    <row r="723" spans="1:3" x14ac:dyDescent="0.2">
      <c r="A723" s="78">
        <v>46379</v>
      </c>
      <c r="B723" s="77">
        <f>+PT!A725</f>
        <v>0</v>
      </c>
      <c r="C723" s="77">
        <f t="shared" si="14"/>
        <v>722</v>
      </c>
    </row>
    <row r="724" spans="1:3" x14ac:dyDescent="0.2">
      <c r="A724" s="78">
        <v>46380</v>
      </c>
      <c r="B724" s="77">
        <f>+PT!A726</f>
        <v>0</v>
      </c>
      <c r="C724" s="77">
        <f t="shared" si="14"/>
        <v>723</v>
      </c>
    </row>
    <row r="725" spans="1:3" x14ac:dyDescent="0.2">
      <c r="A725" s="78">
        <v>46381</v>
      </c>
      <c r="B725" s="77">
        <f>+PT!A727</f>
        <v>0</v>
      </c>
      <c r="C725" s="77">
        <f t="shared" si="14"/>
        <v>724</v>
      </c>
    </row>
    <row r="726" spans="1:3" x14ac:dyDescent="0.2">
      <c r="A726" s="78">
        <v>46382</v>
      </c>
      <c r="B726" s="77">
        <f>+PT!A728</f>
        <v>0</v>
      </c>
      <c r="C726" s="77">
        <f t="shared" si="14"/>
        <v>725</v>
      </c>
    </row>
    <row r="727" spans="1:3" x14ac:dyDescent="0.2">
      <c r="A727" s="78">
        <v>46383</v>
      </c>
      <c r="B727" s="77">
        <f>+PT!A729</f>
        <v>0</v>
      </c>
      <c r="C727" s="77">
        <f t="shared" si="14"/>
        <v>726</v>
      </c>
    </row>
    <row r="728" spans="1:3" x14ac:dyDescent="0.2">
      <c r="A728" s="78">
        <v>46384</v>
      </c>
      <c r="B728" s="77">
        <f>+PT!A730</f>
        <v>0</v>
      </c>
      <c r="C728" s="77">
        <f t="shared" si="14"/>
        <v>727</v>
      </c>
    </row>
    <row r="729" spans="1:3" x14ac:dyDescent="0.2">
      <c r="A729" s="78">
        <v>46385</v>
      </c>
      <c r="B729" s="77">
        <f>+PT!A731</f>
        <v>0</v>
      </c>
      <c r="C729" s="77">
        <f t="shared" si="14"/>
        <v>728</v>
      </c>
    </row>
    <row r="730" spans="1:3" x14ac:dyDescent="0.2">
      <c r="A730" s="78">
        <v>46386</v>
      </c>
      <c r="B730" s="77">
        <f>+PT!A732</f>
        <v>0</v>
      </c>
      <c r="C730" s="77">
        <f t="shared" si="14"/>
        <v>729</v>
      </c>
    </row>
    <row r="731" spans="1:3" x14ac:dyDescent="0.2">
      <c r="A731" s="78">
        <v>46387</v>
      </c>
      <c r="B731" s="77">
        <f>+PT!A733</f>
        <v>0</v>
      </c>
      <c r="C731" s="77">
        <f t="shared" si="14"/>
        <v>730</v>
      </c>
    </row>
    <row r="732" spans="1:3" x14ac:dyDescent="0.2">
      <c r="A732" s="78">
        <v>46388</v>
      </c>
      <c r="B732" s="77">
        <f>+PT!A734</f>
        <v>0</v>
      </c>
      <c r="C732" s="77">
        <f t="shared" si="14"/>
        <v>731</v>
      </c>
    </row>
    <row r="733" spans="1:3" x14ac:dyDescent="0.2">
      <c r="A733" s="78">
        <v>46389</v>
      </c>
      <c r="B733" s="77">
        <f>+PT!A735</f>
        <v>0</v>
      </c>
      <c r="C733" s="77">
        <f t="shared" si="14"/>
        <v>732</v>
      </c>
    </row>
    <row r="734" spans="1:3" x14ac:dyDescent="0.2">
      <c r="A734" s="78">
        <v>46390</v>
      </c>
      <c r="B734" s="77">
        <f>+PT!A736</f>
        <v>0</v>
      </c>
      <c r="C734" s="77">
        <f t="shared" si="14"/>
        <v>733</v>
      </c>
    </row>
    <row r="735" spans="1:3" x14ac:dyDescent="0.2">
      <c r="A735" s="78">
        <v>46391</v>
      </c>
      <c r="B735" s="77">
        <f>+PT!A737</f>
        <v>0</v>
      </c>
      <c r="C735" s="77">
        <f t="shared" si="14"/>
        <v>734</v>
      </c>
    </row>
    <row r="736" spans="1:3" x14ac:dyDescent="0.2">
      <c r="A736" s="78">
        <v>46392</v>
      </c>
      <c r="B736" s="77">
        <f>+PT!A738</f>
        <v>0</v>
      </c>
      <c r="C736" s="77">
        <f t="shared" si="14"/>
        <v>735</v>
      </c>
    </row>
    <row r="737" spans="1:3" x14ac:dyDescent="0.2">
      <c r="A737" s="78">
        <v>46393</v>
      </c>
      <c r="B737" s="77">
        <f>+PT!A739</f>
        <v>0</v>
      </c>
      <c r="C737" s="77">
        <f t="shared" si="14"/>
        <v>736</v>
      </c>
    </row>
    <row r="738" spans="1:3" x14ac:dyDescent="0.2">
      <c r="A738" s="78">
        <v>46394</v>
      </c>
      <c r="B738" s="77">
        <f>+PT!A740</f>
        <v>0</v>
      </c>
      <c r="C738" s="77">
        <f t="shared" si="14"/>
        <v>737</v>
      </c>
    </row>
    <row r="739" spans="1:3" x14ac:dyDescent="0.2">
      <c r="A739" s="78">
        <v>46395</v>
      </c>
      <c r="B739" s="77">
        <f>+PT!A741</f>
        <v>0</v>
      </c>
      <c r="C739" s="77">
        <f t="shared" si="14"/>
        <v>738</v>
      </c>
    </row>
    <row r="740" spans="1:3" x14ac:dyDescent="0.2">
      <c r="A740" s="78">
        <v>46396</v>
      </c>
      <c r="B740" s="77">
        <f>+PT!A742</f>
        <v>0</v>
      </c>
      <c r="C740" s="77">
        <f t="shared" si="14"/>
        <v>739</v>
      </c>
    </row>
    <row r="741" spans="1:3" x14ac:dyDescent="0.2">
      <c r="A741" s="78">
        <v>46397</v>
      </c>
      <c r="B741" s="77">
        <f>+PT!A743</f>
        <v>0</v>
      </c>
      <c r="C741" s="77">
        <f t="shared" si="14"/>
        <v>740</v>
      </c>
    </row>
    <row r="742" spans="1:3" x14ac:dyDescent="0.2">
      <c r="A742" s="78">
        <v>46398</v>
      </c>
      <c r="B742" s="77">
        <f>+PT!A744</f>
        <v>0</v>
      </c>
      <c r="C742" s="77">
        <f t="shared" si="14"/>
        <v>741</v>
      </c>
    </row>
    <row r="743" spans="1:3" x14ac:dyDescent="0.2">
      <c r="A743" s="78">
        <v>46399</v>
      </c>
      <c r="B743" s="77">
        <f>+PT!A745</f>
        <v>0</v>
      </c>
      <c r="C743" s="77">
        <f t="shared" si="14"/>
        <v>742</v>
      </c>
    </row>
    <row r="744" spans="1:3" x14ac:dyDescent="0.2">
      <c r="A744" s="78">
        <v>46400</v>
      </c>
      <c r="B744" s="77">
        <f>+PT!A746</f>
        <v>0</v>
      </c>
      <c r="C744" s="77">
        <f t="shared" si="14"/>
        <v>743</v>
      </c>
    </row>
    <row r="745" spans="1:3" x14ac:dyDescent="0.2">
      <c r="A745" s="78">
        <v>46401</v>
      </c>
      <c r="B745" s="77">
        <f>+PT!A747</f>
        <v>0</v>
      </c>
      <c r="C745" s="77">
        <f t="shared" si="14"/>
        <v>744</v>
      </c>
    </row>
    <row r="746" spans="1:3" x14ac:dyDescent="0.2">
      <c r="A746" s="78">
        <v>46402</v>
      </c>
      <c r="B746" s="77">
        <f>+PT!A748</f>
        <v>0</v>
      </c>
      <c r="C746" s="77">
        <f t="shared" si="14"/>
        <v>745</v>
      </c>
    </row>
    <row r="747" spans="1:3" x14ac:dyDescent="0.2">
      <c r="A747" s="78">
        <v>46403</v>
      </c>
      <c r="B747" s="77">
        <f>+PT!A749</f>
        <v>0</v>
      </c>
      <c r="C747" s="77">
        <f t="shared" si="14"/>
        <v>746</v>
      </c>
    </row>
    <row r="748" spans="1:3" x14ac:dyDescent="0.2">
      <c r="A748" s="78">
        <v>46404</v>
      </c>
      <c r="B748" s="77">
        <f>+PT!A750</f>
        <v>0</v>
      </c>
      <c r="C748" s="77">
        <f t="shared" si="14"/>
        <v>747</v>
      </c>
    </row>
    <row r="749" spans="1:3" x14ac:dyDescent="0.2">
      <c r="A749" s="78">
        <v>46405</v>
      </c>
      <c r="B749" s="77">
        <f>+PT!A751</f>
        <v>0</v>
      </c>
      <c r="C749" s="77">
        <f t="shared" si="14"/>
        <v>748</v>
      </c>
    </row>
    <row r="750" spans="1:3" x14ac:dyDescent="0.2">
      <c r="A750" s="78">
        <v>46406</v>
      </c>
      <c r="B750" s="77">
        <f>+PT!A752</f>
        <v>0</v>
      </c>
      <c r="C750" s="77">
        <f t="shared" si="14"/>
        <v>749</v>
      </c>
    </row>
    <row r="751" spans="1:3" x14ac:dyDescent="0.2">
      <c r="A751" s="78">
        <v>46407</v>
      </c>
      <c r="B751" s="77">
        <f>+PT!A753</f>
        <v>0</v>
      </c>
      <c r="C751" s="77">
        <f t="shared" si="14"/>
        <v>750</v>
      </c>
    </row>
    <row r="752" spans="1:3" x14ac:dyDescent="0.2">
      <c r="A752" s="78">
        <v>46408</v>
      </c>
      <c r="B752" s="77">
        <f>+PT!A754</f>
        <v>0</v>
      </c>
      <c r="C752" s="77">
        <f t="shared" si="14"/>
        <v>751</v>
      </c>
    </row>
    <row r="753" spans="1:3" x14ac:dyDescent="0.2">
      <c r="A753" s="78">
        <v>46409</v>
      </c>
      <c r="B753" s="77">
        <f>+PT!A755</f>
        <v>0</v>
      </c>
      <c r="C753" s="77">
        <f t="shared" si="14"/>
        <v>752</v>
      </c>
    </row>
    <row r="754" spans="1:3" x14ac:dyDescent="0.2">
      <c r="A754" s="78">
        <v>46410</v>
      </c>
      <c r="B754" s="77">
        <f>+PT!A756</f>
        <v>0</v>
      </c>
      <c r="C754" s="77">
        <f t="shared" si="14"/>
        <v>753</v>
      </c>
    </row>
    <row r="755" spans="1:3" x14ac:dyDescent="0.2">
      <c r="A755" s="78">
        <v>46411</v>
      </c>
      <c r="B755" s="77">
        <f>+PT!A757</f>
        <v>0</v>
      </c>
      <c r="C755" s="77">
        <f t="shared" si="14"/>
        <v>754</v>
      </c>
    </row>
    <row r="756" spans="1:3" x14ac:dyDescent="0.2">
      <c r="A756" s="78">
        <v>46412</v>
      </c>
      <c r="B756" s="77">
        <f>+PT!A758</f>
        <v>0</v>
      </c>
      <c r="C756" s="77">
        <f t="shared" si="14"/>
        <v>755</v>
      </c>
    </row>
    <row r="757" spans="1:3" x14ac:dyDescent="0.2">
      <c r="A757" s="78">
        <v>46413</v>
      </c>
      <c r="B757" s="77">
        <f>+PT!A759</f>
        <v>0</v>
      </c>
      <c r="C757" s="77">
        <f t="shared" si="14"/>
        <v>756</v>
      </c>
    </row>
    <row r="758" spans="1:3" x14ac:dyDescent="0.2">
      <c r="A758" s="78">
        <v>46414</v>
      </c>
      <c r="B758" s="77">
        <f>+PT!A760</f>
        <v>0</v>
      </c>
      <c r="C758" s="77">
        <f t="shared" si="14"/>
        <v>757</v>
      </c>
    </row>
    <row r="759" spans="1:3" x14ac:dyDescent="0.2">
      <c r="A759" s="78">
        <v>46415</v>
      </c>
      <c r="B759" s="77">
        <f>+PT!A761</f>
        <v>0</v>
      </c>
      <c r="C759" s="77">
        <f t="shared" si="14"/>
        <v>758</v>
      </c>
    </row>
    <row r="760" spans="1:3" x14ac:dyDescent="0.2">
      <c r="A760" s="78">
        <v>46416</v>
      </c>
      <c r="B760" s="77">
        <f>+PT!A762</f>
        <v>0</v>
      </c>
      <c r="C760" s="77">
        <f t="shared" si="14"/>
        <v>759</v>
      </c>
    </row>
    <row r="761" spans="1:3" x14ac:dyDescent="0.2">
      <c r="A761" s="78">
        <v>46417</v>
      </c>
      <c r="B761" s="77">
        <f>+PT!A763</f>
        <v>0</v>
      </c>
      <c r="C761" s="77">
        <f t="shared" si="14"/>
        <v>760</v>
      </c>
    </row>
    <row r="762" spans="1:3" x14ac:dyDescent="0.2">
      <c r="A762" s="78">
        <v>46418</v>
      </c>
      <c r="B762" s="77">
        <f>+PT!A764</f>
        <v>0</v>
      </c>
      <c r="C762" s="77">
        <f t="shared" si="14"/>
        <v>761</v>
      </c>
    </row>
    <row r="763" spans="1:3" x14ac:dyDescent="0.2">
      <c r="A763" s="78">
        <v>46419</v>
      </c>
      <c r="B763" s="77">
        <f>+PT!A765</f>
        <v>0</v>
      </c>
      <c r="C763" s="77">
        <f t="shared" si="14"/>
        <v>762</v>
      </c>
    </row>
    <row r="764" spans="1:3" x14ac:dyDescent="0.2">
      <c r="A764" s="78">
        <v>46420</v>
      </c>
      <c r="B764" s="77">
        <f>+PT!A766</f>
        <v>0</v>
      </c>
      <c r="C764" s="77">
        <f t="shared" si="14"/>
        <v>763</v>
      </c>
    </row>
    <row r="765" spans="1:3" x14ac:dyDescent="0.2">
      <c r="A765" s="78">
        <v>46421</v>
      </c>
      <c r="B765" s="77">
        <f>+PT!A767</f>
        <v>0</v>
      </c>
      <c r="C765" s="77">
        <f t="shared" si="14"/>
        <v>764</v>
      </c>
    </row>
    <row r="766" spans="1:3" x14ac:dyDescent="0.2">
      <c r="A766" s="78">
        <v>46422</v>
      </c>
      <c r="B766" s="77">
        <f>+PT!A768</f>
        <v>0</v>
      </c>
      <c r="C766" s="77">
        <f t="shared" si="14"/>
        <v>765</v>
      </c>
    </row>
    <row r="767" spans="1:3" x14ac:dyDescent="0.2">
      <c r="A767" s="78">
        <v>46423</v>
      </c>
      <c r="B767" s="77">
        <f>+PT!A769</f>
        <v>0</v>
      </c>
      <c r="C767" s="77">
        <f t="shared" si="14"/>
        <v>766</v>
      </c>
    </row>
    <row r="768" spans="1:3" x14ac:dyDescent="0.2">
      <c r="A768" s="78">
        <v>46424</v>
      </c>
      <c r="B768" s="77">
        <f>+PT!A770</f>
        <v>0</v>
      </c>
      <c r="C768" s="77">
        <f t="shared" si="14"/>
        <v>767</v>
      </c>
    </row>
    <row r="769" spans="1:3" x14ac:dyDescent="0.2">
      <c r="A769" s="78">
        <v>46425</v>
      </c>
      <c r="B769" s="77">
        <f>+PT!A771</f>
        <v>0</v>
      </c>
      <c r="C769" s="77">
        <f t="shared" si="14"/>
        <v>768</v>
      </c>
    </row>
    <row r="770" spans="1:3" x14ac:dyDescent="0.2">
      <c r="A770" s="78">
        <v>46426</v>
      </c>
      <c r="B770" s="77">
        <f>+PT!A772</f>
        <v>0</v>
      </c>
      <c r="C770" s="77">
        <f t="shared" si="14"/>
        <v>769</v>
      </c>
    </row>
    <row r="771" spans="1:3" x14ac:dyDescent="0.2">
      <c r="A771" s="78">
        <v>46427</v>
      </c>
      <c r="B771" s="77">
        <f>+PT!A773</f>
        <v>0</v>
      </c>
      <c r="C771" s="77">
        <f t="shared" si="14"/>
        <v>770</v>
      </c>
    </row>
    <row r="772" spans="1:3" x14ac:dyDescent="0.2">
      <c r="A772" s="78">
        <v>46428</v>
      </c>
      <c r="B772" s="77">
        <f>+PT!A774</f>
        <v>0</v>
      </c>
      <c r="C772" s="77">
        <f t="shared" ref="C772:C835" si="15">+C771+1</f>
        <v>771</v>
      </c>
    </row>
    <row r="773" spans="1:3" x14ac:dyDescent="0.2">
      <c r="A773" s="78">
        <v>46429</v>
      </c>
      <c r="B773" s="77">
        <f>+PT!A775</f>
        <v>0</v>
      </c>
      <c r="C773" s="77">
        <f t="shared" si="15"/>
        <v>772</v>
      </c>
    </row>
    <row r="774" spans="1:3" x14ac:dyDescent="0.2">
      <c r="A774" s="78">
        <v>46430</v>
      </c>
      <c r="B774" s="77">
        <f>+PT!A776</f>
        <v>0</v>
      </c>
      <c r="C774" s="77">
        <f t="shared" si="15"/>
        <v>773</v>
      </c>
    </row>
    <row r="775" spans="1:3" x14ac:dyDescent="0.2">
      <c r="A775" s="78">
        <v>46431</v>
      </c>
      <c r="B775" s="77">
        <f>+PT!A777</f>
        <v>0</v>
      </c>
      <c r="C775" s="77">
        <f t="shared" si="15"/>
        <v>774</v>
      </c>
    </row>
    <row r="776" spans="1:3" x14ac:dyDescent="0.2">
      <c r="A776" s="78">
        <v>46432</v>
      </c>
      <c r="B776" s="77">
        <f>+PT!A778</f>
        <v>0</v>
      </c>
      <c r="C776" s="77">
        <f t="shared" si="15"/>
        <v>775</v>
      </c>
    </row>
    <row r="777" spans="1:3" x14ac:dyDescent="0.2">
      <c r="A777" s="78">
        <v>46433</v>
      </c>
      <c r="B777" s="77">
        <f>+PT!A779</f>
        <v>0</v>
      </c>
      <c r="C777" s="77">
        <f t="shared" si="15"/>
        <v>776</v>
      </c>
    </row>
    <row r="778" spans="1:3" x14ac:dyDescent="0.2">
      <c r="A778" s="78">
        <v>46434</v>
      </c>
      <c r="B778" s="77">
        <f>+PT!A780</f>
        <v>0</v>
      </c>
      <c r="C778" s="77">
        <f t="shared" si="15"/>
        <v>777</v>
      </c>
    </row>
    <row r="779" spans="1:3" x14ac:dyDescent="0.2">
      <c r="A779" s="78">
        <v>46435</v>
      </c>
      <c r="B779" s="77">
        <f>+PT!A781</f>
        <v>0</v>
      </c>
      <c r="C779" s="77">
        <f t="shared" si="15"/>
        <v>778</v>
      </c>
    </row>
    <row r="780" spans="1:3" x14ac:dyDescent="0.2">
      <c r="A780" s="78">
        <v>46436</v>
      </c>
      <c r="B780" s="77">
        <f>+PT!A782</f>
        <v>0</v>
      </c>
      <c r="C780" s="77">
        <f t="shared" si="15"/>
        <v>779</v>
      </c>
    </row>
    <row r="781" spans="1:3" x14ac:dyDescent="0.2">
      <c r="A781" s="78">
        <v>46437</v>
      </c>
      <c r="B781" s="77">
        <f>+PT!A783</f>
        <v>0</v>
      </c>
      <c r="C781" s="77">
        <f t="shared" si="15"/>
        <v>780</v>
      </c>
    </row>
    <row r="782" spans="1:3" x14ac:dyDescent="0.2">
      <c r="A782" s="78">
        <v>46438</v>
      </c>
      <c r="B782" s="77">
        <f>+PT!A784</f>
        <v>0</v>
      </c>
      <c r="C782" s="77">
        <f t="shared" si="15"/>
        <v>781</v>
      </c>
    </row>
    <row r="783" spans="1:3" x14ac:dyDescent="0.2">
      <c r="A783" s="78">
        <v>46439</v>
      </c>
      <c r="B783" s="77">
        <f>+PT!A785</f>
        <v>0</v>
      </c>
      <c r="C783" s="77">
        <f t="shared" si="15"/>
        <v>782</v>
      </c>
    </row>
    <row r="784" spans="1:3" x14ac:dyDescent="0.2">
      <c r="A784" s="78">
        <v>46440</v>
      </c>
      <c r="B784" s="77">
        <f>+PT!A786</f>
        <v>0</v>
      </c>
      <c r="C784" s="77">
        <f t="shared" si="15"/>
        <v>783</v>
      </c>
    </row>
    <row r="785" spans="1:3" x14ac:dyDescent="0.2">
      <c r="A785" s="78">
        <v>46441</v>
      </c>
      <c r="B785" s="77">
        <f>+PT!A787</f>
        <v>0</v>
      </c>
      <c r="C785" s="77">
        <f t="shared" si="15"/>
        <v>784</v>
      </c>
    </row>
    <row r="786" spans="1:3" x14ac:dyDescent="0.2">
      <c r="A786" s="78">
        <v>46442</v>
      </c>
      <c r="B786" s="77">
        <f>+PT!A788</f>
        <v>0</v>
      </c>
      <c r="C786" s="77">
        <f t="shared" si="15"/>
        <v>785</v>
      </c>
    </row>
    <row r="787" spans="1:3" x14ac:dyDescent="0.2">
      <c r="A787" s="78">
        <v>46443</v>
      </c>
      <c r="B787" s="77">
        <f>+PT!A789</f>
        <v>0</v>
      </c>
      <c r="C787" s="77">
        <f t="shared" si="15"/>
        <v>786</v>
      </c>
    </row>
    <row r="788" spans="1:3" x14ac:dyDescent="0.2">
      <c r="A788" s="78">
        <v>46444</v>
      </c>
      <c r="B788" s="77">
        <f>+PT!A790</f>
        <v>0</v>
      </c>
      <c r="C788" s="77">
        <f t="shared" si="15"/>
        <v>787</v>
      </c>
    </row>
    <row r="789" spans="1:3" x14ac:dyDescent="0.2">
      <c r="A789" s="78">
        <v>46445</v>
      </c>
      <c r="B789" s="77">
        <f>+PT!A791</f>
        <v>0</v>
      </c>
      <c r="C789" s="77">
        <f t="shared" si="15"/>
        <v>788</v>
      </c>
    </row>
    <row r="790" spans="1:3" x14ac:dyDescent="0.2">
      <c r="A790" s="78">
        <v>46446</v>
      </c>
      <c r="B790" s="77">
        <f>+PT!A792</f>
        <v>0</v>
      </c>
      <c r="C790" s="77">
        <f t="shared" si="15"/>
        <v>789</v>
      </c>
    </row>
    <row r="791" spans="1:3" x14ac:dyDescent="0.2">
      <c r="A791" s="78">
        <v>46447</v>
      </c>
      <c r="B791" s="77">
        <f>+PT!A793</f>
        <v>0</v>
      </c>
      <c r="C791" s="77">
        <f t="shared" si="15"/>
        <v>790</v>
      </c>
    </row>
    <row r="792" spans="1:3" x14ac:dyDescent="0.2">
      <c r="A792" s="78">
        <v>46448</v>
      </c>
      <c r="B792" s="77">
        <f>+PT!A794</f>
        <v>0</v>
      </c>
      <c r="C792" s="77">
        <f t="shared" si="15"/>
        <v>791</v>
      </c>
    </row>
    <row r="793" spans="1:3" x14ac:dyDescent="0.2">
      <c r="A793" s="78">
        <v>46449</v>
      </c>
      <c r="B793" s="77">
        <f>+PT!A795</f>
        <v>0</v>
      </c>
      <c r="C793" s="77">
        <f t="shared" si="15"/>
        <v>792</v>
      </c>
    </row>
    <row r="794" spans="1:3" x14ac:dyDescent="0.2">
      <c r="A794" s="78">
        <v>46450</v>
      </c>
      <c r="B794" s="77">
        <f>+PT!A796</f>
        <v>0</v>
      </c>
      <c r="C794" s="77">
        <f t="shared" si="15"/>
        <v>793</v>
      </c>
    </row>
    <row r="795" spans="1:3" x14ac:dyDescent="0.2">
      <c r="A795" s="78">
        <v>46451</v>
      </c>
      <c r="B795" s="77">
        <f>+PT!A797</f>
        <v>0</v>
      </c>
      <c r="C795" s="77">
        <f t="shared" si="15"/>
        <v>794</v>
      </c>
    </row>
    <row r="796" spans="1:3" x14ac:dyDescent="0.2">
      <c r="A796" s="78">
        <v>46452</v>
      </c>
      <c r="B796" s="77">
        <f>+PT!A798</f>
        <v>0</v>
      </c>
      <c r="C796" s="77">
        <f t="shared" si="15"/>
        <v>795</v>
      </c>
    </row>
    <row r="797" spans="1:3" x14ac:dyDescent="0.2">
      <c r="A797" s="78">
        <v>46453</v>
      </c>
      <c r="B797" s="77">
        <f>+PT!A799</f>
        <v>0</v>
      </c>
      <c r="C797" s="77">
        <f t="shared" si="15"/>
        <v>796</v>
      </c>
    </row>
    <row r="798" spans="1:3" x14ac:dyDescent="0.2">
      <c r="A798" s="78">
        <v>46454</v>
      </c>
      <c r="B798" s="77">
        <f>+PT!A800</f>
        <v>0</v>
      </c>
      <c r="C798" s="77">
        <f t="shared" si="15"/>
        <v>797</v>
      </c>
    </row>
    <row r="799" spans="1:3" x14ac:dyDescent="0.2">
      <c r="A799" s="78">
        <v>46455</v>
      </c>
      <c r="B799" s="77">
        <f>+PT!A801</f>
        <v>0</v>
      </c>
      <c r="C799" s="77">
        <f t="shared" si="15"/>
        <v>798</v>
      </c>
    </row>
    <row r="800" spans="1:3" x14ac:dyDescent="0.2">
      <c r="A800" s="78">
        <v>46456</v>
      </c>
      <c r="B800" s="77">
        <f>+PT!A802</f>
        <v>0</v>
      </c>
      <c r="C800" s="77">
        <f t="shared" si="15"/>
        <v>799</v>
      </c>
    </row>
    <row r="801" spans="1:3" x14ac:dyDescent="0.2">
      <c r="A801" s="78">
        <v>46457</v>
      </c>
      <c r="B801" s="77">
        <f>+PT!A803</f>
        <v>0</v>
      </c>
      <c r="C801" s="77">
        <f t="shared" si="15"/>
        <v>800</v>
      </c>
    </row>
    <row r="802" spans="1:3" x14ac:dyDescent="0.2">
      <c r="A802" s="78">
        <v>46458</v>
      </c>
      <c r="B802" s="77">
        <f>+PT!A804</f>
        <v>0</v>
      </c>
      <c r="C802" s="77">
        <f t="shared" si="15"/>
        <v>801</v>
      </c>
    </row>
    <row r="803" spans="1:3" x14ac:dyDescent="0.2">
      <c r="A803" s="78">
        <v>46459</v>
      </c>
      <c r="B803" s="77">
        <f>+PT!A805</f>
        <v>0</v>
      </c>
      <c r="C803" s="77">
        <f t="shared" si="15"/>
        <v>802</v>
      </c>
    </row>
    <row r="804" spans="1:3" x14ac:dyDescent="0.2">
      <c r="A804" s="78">
        <v>46460</v>
      </c>
      <c r="B804" s="77">
        <f>+PT!A806</f>
        <v>0</v>
      </c>
      <c r="C804" s="77">
        <f t="shared" si="15"/>
        <v>803</v>
      </c>
    </row>
    <row r="805" spans="1:3" x14ac:dyDescent="0.2">
      <c r="A805" s="78">
        <v>46461</v>
      </c>
      <c r="B805" s="77">
        <f>+PT!A807</f>
        <v>0</v>
      </c>
      <c r="C805" s="77">
        <f t="shared" si="15"/>
        <v>804</v>
      </c>
    </row>
    <row r="806" spans="1:3" x14ac:dyDescent="0.2">
      <c r="A806" s="78">
        <v>46462</v>
      </c>
      <c r="B806" s="77">
        <f>+PT!A808</f>
        <v>0</v>
      </c>
      <c r="C806" s="77">
        <f t="shared" si="15"/>
        <v>805</v>
      </c>
    </row>
    <row r="807" spans="1:3" x14ac:dyDescent="0.2">
      <c r="A807" s="78">
        <v>46463</v>
      </c>
      <c r="B807" s="77">
        <f>+PT!A809</f>
        <v>0</v>
      </c>
      <c r="C807" s="77">
        <f t="shared" si="15"/>
        <v>806</v>
      </c>
    </row>
    <row r="808" spans="1:3" x14ac:dyDescent="0.2">
      <c r="A808" s="78">
        <v>46464</v>
      </c>
      <c r="B808" s="77">
        <f>+PT!A810</f>
        <v>0</v>
      </c>
      <c r="C808" s="77">
        <f t="shared" si="15"/>
        <v>807</v>
      </c>
    </row>
    <row r="809" spans="1:3" x14ac:dyDescent="0.2">
      <c r="A809" s="78">
        <v>46465</v>
      </c>
      <c r="B809" s="77">
        <f>+PT!A811</f>
        <v>0</v>
      </c>
      <c r="C809" s="77">
        <f t="shared" si="15"/>
        <v>808</v>
      </c>
    </row>
    <row r="810" spans="1:3" x14ac:dyDescent="0.2">
      <c r="A810" s="78">
        <v>46466</v>
      </c>
      <c r="B810" s="77">
        <f>+PT!A812</f>
        <v>0</v>
      </c>
      <c r="C810" s="77">
        <f t="shared" si="15"/>
        <v>809</v>
      </c>
    </row>
    <row r="811" spans="1:3" x14ac:dyDescent="0.2">
      <c r="A811" s="78">
        <v>46467</v>
      </c>
      <c r="B811" s="77">
        <f>+PT!A813</f>
        <v>0</v>
      </c>
      <c r="C811" s="77">
        <f t="shared" si="15"/>
        <v>810</v>
      </c>
    </row>
    <row r="812" spans="1:3" x14ac:dyDescent="0.2">
      <c r="A812" s="78">
        <v>46468</v>
      </c>
      <c r="B812" s="77">
        <f>+PT!A814</f>
        <v>0</v>
      </c>
      <c r="C812" s="77">
        <f t="shared" si="15"/>
        <v>811</v>
      </c>
    </row>
    <row r="813" spans="1:3" x14ac:dyDescent="0.2">
      <c r="A813" s="78">
        <v>46469</v>
      </c>
      <c r="B813" s="77">
        <f>+PT!A815</f>
        <v>0</v>
      </c>
      <c r="C813" s="77">
        <f t="shared" si="15"/>
        <v>812</v>
      </c>
    </row>
    <row r="814" spans="1:3" x14ac:dyDescent="0.2">
      <c r="A814" s="78">
        <v>46470</v>
      </c>
      <c r="B814" s="77">
        <f>+PT!A816</f>
        <v>0</v>
      </c>
      <c r="C814" s="77">
        <f t="shared" si="15"/>
        <v>813</v>
      </c>
    </row>
    <row r="815" spans="1:3" x14ac:dyDescent="0.2">
      <c r="A815" s="78">
        <v>46471</v>
      </c>
      <c r="B815" s="77">
        <f>+PT!A817</f>
        <v>0</v>
      </c>
      <c r="C815" s="77">
        <f t="shared" si="15"/>
        <v>814</v>
      </c>
    </row>
    <row r="816" spans="1:3" x14ac:dyDescent="0.2">
      <c r="A816" s="78">
        <v>46472</v>
      </c>
      <c r="B816" s="77">
        <f>+PT!A818</f>
        <v>0</v>
      </c>
      <c r="C816" s="77">
        <f t="shared" si="15"/>
        <v>815</v>
      </c>
    </row>
    <row r="817" spans="1:3" x14ac:dyDescent="0.2">
      <c r="A817" s="78">
        <v>46473</v>
      </c>
      <c r="B817" s="77">
        <f>+PT!A819</f>
        <v>0</v>
      </c>
      <c r="C817" s="77">
        <f t="shared" si="15"/>
        <v>816</v>
      </c>
    </row>
    <row r="818" spans="1:3" x14ac:dyDescent="0.2">
      <c r="A818" s="78">
        <v>46474</v>
      </c>
      <c r="B818" s="77">
        <f>+PT!A820</f>
        <v>0</v>
      </c>
      <c r="C818" s="77">
        <f t="shared" si="15"/>
        <v>817</v>
      </c>
    </row>
    <row r="819" spans="1:3" x14ac:dyDescent="0.2">
      <c r="A819" s="78">
        <v>46475</v>
      </c>
      <c r="B819" s="77">
        <f>+PT!A821</f>
        <v>0</v>
      </c>
      <c r="C819" s="77">
        <f t="shared" si="15"/>
        <v>818</v>
      </c>
    </row>
    <row r="820" spans="1:3" x14ac:dyDescent="0.2">
      <c r="A820" s="78">
        <v>46476</v>
      </c>
      <c r="B820" s="77">
        <f>+PT!A822</f>
        <v>0</v>
      </c>
      <c r="C820" s="77">
        <f t="shared" si="15"/>
        <v>819</v>
      </c>
    </row>
    <row r="821" spans="1:3" x14ac:dyDescent="0.2">
      <c r="A821" s="78">
        <v>46477</v>
      </c>
      <c r="B821" s="77">
        <f>+PT!A823</f>
        <v>0</v>
      </c>
      <c r="C821" s="77">
        <f t="shared" si="15"/>
        <v>820</v>
      </c>
    </row>
    <row r="822" spans="1:3" x14ac:dyDescent="0.2">
      <c r="A822" s="78">
        <v>46478</v>
      </c>
      <c r="B822" s="77">
        <f>+PT!A824</f>
        <v>0</v>
      </c>
      <c r="C822" s="77">
        <f t="shared" si="15"/>
        <v>821</v>
      </c>
    </row>
    <row r="823" spans="1:3" x14ac:dyDescent="0.2">
      <c r="A823" s="78">
        <v>46479</v>
      </c>
      <c r="B823" s="77">
        <f>+PT!A825</f>
        <v>0</v>
      </c>
      <c r="C823" s="77">
        <f t="shared" si="15"/>
        <v>822</v>
      </c>
    </row>
    <row r="824" spans="1:3" x14ac:dyDescent="0.2">
      <c r="A824" s="78">
        <v>46480</v>
      </c>
      <c r="B824" s="77">
        <f>+PT!A826</f>
        <v>0</v>
      </c>
      <c r="C824" s="77">
        <f t="shared" si="15"/>
        <v>823</v>
      </c>
    </row>
    <row r="825" spans="1:3" x14ac:dyDescent="0.2">
      <c r="A825" s="78">
        <v>46481</v>
      </c>
      <c r="B825" s="77">
        <f>+PT!A827</f>
        <v>0</v>
      </c>
      <c r="C825" s="77">
        <f t="shared" si="15"/>
        <v>824</v>
      </c>
    </row>
    <row r="826" spans="1:3" x14ac:dyDescent="0.2">
      <c r="A826" s="78">
        <v>46482</v>
      </c>
      <c r="B826" s="77">
        <f>+PT!A828</f>
        <v>0</v>
      </c>
      <c r="C826" s="77">
        <f t="shared" si="15"/>
        <v>825</v>
      </c>
    </row>
    <row r="827" spans="1:3" x14ac:dyDescent="0.2">
      <c r="A827" s="78">
        <v>46483</v>
      </c>
      <c r="B827" s="77">
        <f>+PT!A829</f>
        <v>0</v>
      </c>
      <c r="C827" s="77">
        <f t="shared" si="15"/>
        <v>826</v>
      </c>
    </row>
    <row r="828" spans="1:3" x14ac:dyDescent="0.2">
      <c r="A828" s="78">
        <v>46484</v>
      </c>
      <c r="B828" s="77">
        <f>+PT!A830</f>
        <v>0</v>
      </c>
      <c r="C828" s="77">
        <f t="shared" si="15"/>
        <v>827</v>
      </c>
    </row>
    <row r="829" spans="1:3" x14ac:dyDescent="0.2">
      <c r="A829" s="78">
        <v>46485</v>
      </c>
      <c r="B829" s="77">
        <f>+PT!A831</f>
        <v>0</v>
      </c>
      <c r="C829" s="77">
        <f t="shared" si="15"/>
        <v>828</v>
      </c>
    </row>
    <row r="830" spans="1:3" x14ac:dyDescent="0.2">
      <c r="A830" s="78">
        <v>46486</v>
      </c>
      <c r="B830" s="77">
        <f>+PT!A832</f>
        <v>0</v>
      </c>
      <c r="C830" s="77">
        <f t="shared" si="15"/>
        <v>829</v>
      </c>
    </row>
    <row r="831" spans="1:3" x14ac:dyDescent="0.2">
      <c r="A831" s="78">
        <v>46487</v>
      </c>
      <c r="B831" s="77">
        <f>+PT!A833</f>
        <v>0</v>
      </c>
      <c r="C831" s="77">
        <f t="shared" si="15"/>
        <v>830</v>
      </c>
    </row>
    <row r="832" spans="1:3" x14ac:dyDescent="0.2">
      <c r="A832" s="78">
        <v>46488</v>
      </c>
      <c r="B832" s="77">
        <f>+PT!A834</f>
        <v>0</v>
      </c>
      <c r="C832" s="77">
        <f t="shared" si="15"/>
        <v>831</v>
      </c>
    </row>
    <row r="833" spans="1:3" x14ac:dyDescent="0.2">
      <c r="A833" s="78">
        <v>46489</v>
      </c>
      <c r="B833" s="77">
        <f>+PT!A835</f>
        <v>0</v>
      </c>
      <c r="C833" s="77">
        <f t="shared" si="15"/>
        <v>832</v>
      </c>
    </row>
    <row r="834" spans="1:3" x14ac:dyDescent="0.2">
      <c r="A834" s="78">
        <v>46490</v>
      </c>
      <c r="B834" s="77">
        <f>+PT!A836</f>
        <v>0</v>
      </c>
      <c r="C834" s="77">
        <f t="shared" si="15"/>
        <v>833</v>
      </c>
    </row>
    <row r="835" spans="1:3" x14ac:dyDescent="0.2">
      <c r="A835" s="78">
        <v>46491</v>
      </c>
      <c r="B835" s="77">
        <f>+PT!A837</f>
        <v>0</v>
      </c>
      <c r="C835" s="77">
        <f t="shared" si="15"/>
        <v>834</v>
      </c>
    </row>
    <row r="836" spans="1:3" x14ac:dyDescent="0.2">
      <c r="A836" s="78">
        <v>46492</v>
      </c>
      <c r="B836" s="77">
        <f>+PT!A838</f>
        <v>0</v>
      </c>
      <c r="C836" s="77">
        <f t="shared" ref="C836:C899" si="16">+C835+1</f>
        <v>835</v>
      </c>
    </row>
    <row r="837" spans="1:3" x14ac:dyDescent="0.2">
      <c r="A837" s="78">
        <v>46493</v>
      </c>
      <c r="B837" s="77">
        <f>+PT!A839</f>
        <v>0</v>
      </c>
      <c r="C837" s="77">
        <f t="shared" si="16"/>
        <v>836</v>
      </c>
    </row>
    <row r="838" spans="1:3" x14ac:dyDescent="0.2">
      <c r="A838" s="78">
        <v>46494</v>
      </c>
      <c r="B838" s="77">
        <f>+PT!A840</f>
        <v>0</v>
      </c>
      <c r="C838" s="77">
        <f t="shared" si="16"/>
        <v>837</v>
      </c>
    </row>
    <row r="839" spans="1:3" x14ac:dyDescent="0.2">
      <c r="A839" s="78">
        <v>46495</v>
      </c>
      <c r="B839" s="77">
        <f>+PT!A841</f>
        <v>0</v>
      </c>
      <c r="C839" s="77">
        <f t="shared" si="16"/>
        <v>838</v>
      </c>
    </row>
    <row r="840" spans="1:3" x14ac:dyDescent="0.2">
      <c r="A840" s="78">
        <v>46496</v>
      </c>
      <c r="B840" s="77">
        <f>+PT!A842</f>
        <v>0</v>
      </c>
      <c r="C840" s="77">
        <f t="shared" si="16"/>
        <v>839</v>
      </c>
    </row>
    <row r="841" spans="1:3" x14ac:dyDescent="0.2">
      <c r="A841" s="78">
        <v>46497</v>
      </c>
      <c r="B841" s="77">
        <f>+PT!A843</f>
        <v>0</v>
      </c>
      <c r="C841" s="77">
        <f t="shared" si="16"/>
        <v>840</v>
      </c>
    </row>
    <row r="842" spans="1:3" x14ac:dyDescent="0.2">
      <c r="A842" s="78">
        <v>46498</v>
      </c>
      <c r="B842" s="77">
        <f>+PT!A844</f>
        <v>0</v>
      </c>
      <c r="C842" s="77">
        <f t="shared" si="16"/>
        <v>841</v>
      </c>
    </row>
    <row r="843" spans="1:3" x14ac:dyDescent="0.2">
      <c r="A843" s="78">
        <v>46499</v>
      </c>
      <c r="B843" s="77">
        <f>+PT!A845</f>
        <v>0</v>
      </c>
      <c r="C843" s="77">
        <f t="shared" si="16"/>
        <v>842</v>
      </c>
    </row>
    <row r="844" spans="1:3" x14ac:dyDescent="0.2">
      <c r="A844" s="78">
        <v>46500</v>
      </c>
      <c r="B844" s="77">
        <f>+PT!A846</f>
        <v>0</v>
      </c>
      <c r="C844" s="77">
        <f t="shared" si="16"/>
        <v>843</v>
      </c>
    </row>
    <row r="845" spans="1:3" x14ac:dyDescent="0.2">
      <c r="A845" s="78">
        <v>46501</v>
      </c>
      <c r="B845" s="77">
        <f>+PT!A847</f>
        <v>0</v>
      </c>
      <c r="C845" s="77">
        <f t="shared" si="16"/>
        <v>844</v>
      </c>
    </row>
    <row r="846" spans="1:3" x14ac:dyDescent="0.2">
      <c r="A846" s="78">
        <v>46502</v>
      </c>
      <c r="B846" s="77">
        <f>+PT!A848</f>
        <v>0</v>
      </c>
      <c r="C846" s="77">
        <f t="shared" si="16"/>
        <v>845</v>
      </c>
    </row>
    <row r="847" spans="1:3" x14ac:dyDescent="0.2">
      <c r="A847" s="78">
        <v>46503</v>
      </c>
      <c r="B847" s="77">
        <f>+PT!A849</f>
        <v>0</v>
      </c>
      <c r="C847" s="77">
        <f t="shared" si="16"/>
        <v>846</v>
      </c>
    </row>
    <row r="848" spans="1:3" x14ac:dyDescent="0.2">
      <c r="A848" s="78">
        <v>46504</v>
      </c>
      <c r="B848" s="77">
        <f>+PT!A850</f>
        <v>0</v>
      </c>
      <c r="C848" s="77">
        <f t="shared" si="16"/>
        <v>847</v>
      </c>
    </row>
    <row r="849" spans="1:3" x14ac:dyDescent="0.2">
      <c r="A849" s="78">
        <v>46505</v>
      </c>
      <c r="B849" s="77">
        <f>+PT!A851</f>
        <v>0</v>
      </c>
      <c r="C849" s="77">
        <f t="shared" si="16"/>
        <v>848</v>
      </c>
    </row>
    <row r="850" spans="1:3" x14ac:dyDescent="0.2">
      <c r="A850" s="78">
        <v>46506</v>
      </c>
      <c r="B850" s="77">
        <f>+PT!A852</f>
        <v>0</v>
      </c>
      <c r="C850" s="77">
        <f t="shared" si="16"/>
        <v>849</v>
      </c>
    </row>
    <row r="851" spans="1:3" x14ac:dyDescent="0.2">
      <c r="A851" s="78">
        <v>46507</v>
      </c>
      <c r="B851" s="77">
        <f>+PT!A853</f>
        <v>0</v>
      </c>
      <c r="C851" s="77">
        <f t="shared" si="16"/>
        <v>850</v>
      </c>
    </row>
    <row r="852" spans="1:3" x14ac:dyDescent="0.2">
      <c r="A852" s="78">
        <v>46508</v>
      </c>
      <c r="B852" s="77">
        <f>+PT!A854</f>
        <v>0</v>
      </c>
      <c r="C852" s="77">
        <f t="shared" si="16"/>
        <v>851</v>
      </c>
    </row>
    <row r="853" spans="1:3" x14ac:dyDescent="0.2">
      <c r="A853" s="78">
        <v>46509</v>
      </c>
      <c r="B853" s="77">
        <f>+PT!A855</f>
        <v>0</v>
      </c>
      <c r="C853" s="77">
        <f t="shared" si="16"/>
        <v>852</v>
      </c>
    </row>
    <row r="854" spans="1:3" x14ac:dyDescent="0.2">
      <c r="A854" s="78">
        <v>46510</v>
      </c>
      <c r="B854" s="77">
        <f>+PT!A856</f>
        <v>0</v>
      </c>
      <c r="C854" s="77">
        <f t="shared" si="16"/>
        <v>853</v>
      </c>
    </row>
    <row r="855" spans="1:3" x14ac:dyDescent="0.2">
      <c r="A855" s="78">
        <v>46511</v>
      </c>
      <c r="B855" s="77">
        <f>+PT!A857</f>
        <v>0</v>
      </c>
      <c r="C855" s="77">
        <f t="shared" si="16"/>
        <v>854</v>
      </c>
    </row>
    <row r="856" spans="1:3" x14ac:dyDescent="0.2">
      <c r="A856" s="78">
        <v>46512</v>
      </c>
      <c r="B856" s="77">
        <f>+PT!A858</f>
        <v>0</v>
      </c>
      <c r="C856" s="77">
        <f t="shared" si="16"/>
        <v>855</v>
      </c>
    </row>
    <row r="857" spans="1:3" x14ac:dyDescent="0.2">
      <c r="A857" s="78">
        <v>46513</v>
      </c>
      <c r="B857" s="77">
        <f>+PT!A859</f>
        <v>0</v>
      </c>
      <c r="C857" s="77">
        <f t="shared" si="16"/>
        <v>856</v>
      </c>
    </row>
    <row r="858" spans="1:3" x14ac:dyDescent="0.2">
      <c r="A858" s="78">
        <v>46514</v>
      </c>
      <c r="B858" s="77">
        <f>+PT!A860</f>
        <v>0</v>
      </c>
      <c r="C858" s="77">
        <f t="shared" si="16"/>
        <v>857</v>
      </c>
    </row>
    <row r="859" spans="1:3" x14ac:dyDescent="0.2">
      <c r="A859" s="78">
        <v>46515</v>
      </c>
      <c r="B859" s="77">
        <f>+PT!A861</f>
        <v>0</v>
      </c>
      <c r="C859" s="77">
        <f t="shared" si="16"/>
        <v>858</v>
      </c>
    </row>
    <row r="860" spans="1:3" x14ac:dyDescent="0.2">
      <c r="A860" s="78">
        <v>46516</v>
      </c>
      <c r="B860" s="77">
        <f>+PT!A862</f>
        <v>0</v>
      </c>
      <c r="C860" s="77">
        <f t="shared" si="16"/>
        <v>859</v>
      </c>
    </row>
    <row r="861" spans="1:3" x14ac:dyDescent="0.2">
      <c r="A861" s="78">
        <v>46517</v>
      </c>
      <c r="B861" s="77">
        <f>+PT!A863</f>
        <v>0</v>
      </c>
      <c r="C861" s="77">
        <f t="shared" si="16"/>
        <v>860</v>
      </c>
    </row>
    <row r="862" spans="1:3" x14ac:dyDescent="0.2">
      <c r="A862" s="78">
        <v>46518</v>
      </c>
      <c r="B862" s="77">
        <f>+PT!A864</f>
        <v>0</v>
      </c>
      <c r="C862" s="77">
        <f t="shared" si="16"/>
        <v>861</v>
      </c>
    </row>
    <row r="863" spans="1:3" x14ac:dyDescent="0.2">
      <c r="A863" s="78">
        <v>46519</v>
      </c>
      <c r="B863" s="77">
        <f>+PT!A865</f>
        <v>0</v>
      </c>
      <c r="C863" s="77">
        <f t="shared" si="16"/>
        <v>862</v>
      </c>
    </row>
    <row r="864" spans="1:3" x14ac:dyDescent="0.2">
      <c r="A864" s="78">
        <v>46520</v>
      </c>
      <c r="B864" s="77">
        <f>+PT!A866</f>
        <v>0</v>
      </c>
      <c r="C864" s="77">
        <f t="shared" si="16"/>
        <v>863</v>
      </c>
    </row>
    <row r="865" spans="1:3" x14ac:dyDescent="0.2">
      <c r="A865" s="78">
        <v>46521</v>
      </c>
      <c r="B865" s="77">
        <f>+PT!A867</f>
        <v>0</v>
      </c>
      <c r="C865" s="77">
        <f t="shared" si="16"/>
        <v>864</v>
      </c>
    </row>
    <row r="866" spans="1:3" x14ac:dyDescent="0.2">
      <c r="A866" s="78">
        <v>46522</v>
      </c>
      <c r="B866" s="77">
        <f>+PT!A868</f>
        <v>0</v>
      </c>
      <c r="C866" s="77">
        <f t="shared" si="16"/>
        <v>865</v>
      </c>
    </row>
    <row r="867" spans="1:3" x14ac:dyDescent="0.2">
      <c r="A867" s="78">
        <v>46523</v>
      </c>
      <c r="B867" s="77">
        <f>+PT!A869</f>
        <v>0</v>
      </c>
      <c r="C867" s="77">
        <f t="shared" si="16"/>
        <v>866</v>
      </c>
    </row>
    <row r="868" spans="1:3" x14ac:dyDescent="0.2">
      <c r="A868" s="78">
        <v>46524</v>
      </c>
      <c r="B868" s="77">
        <f>+PT!A870</f>
        <v>0</v>
      </c>
      <c r="C868" s="77">
        <f t="shared" si="16"/>
        <v>867</v>
      </c>
    </row>
    <row r="869" spans="1:3" x14ac:dyDescent="0.2">
      <c r="A869" s="78">
        <v>46525</v>
      </c>
      <c r="B869" s="77">
        <f>+PT!A871</f>
        <v>0</v>
      </c>
      <c r="C869" s="77">
        <f t="shared" si="16"/>
        <v>868</v>
      </c>
    </row>
    <row r="870" spans="1:3" x14ac:dyDescent="0.2">
      <c r="A870" s="78">
        <v>46526</v>
      </c>
      <c r="B870" s="77">
        <f>+PT!A872</f>
        <v>0</v>
      </c>
      <c r="C870" s="77">
        <f t="shared" si="16"/>
        <v>869</v>
      </c>
    </row>
    <row r="871" spans="1:3" x14ac:dyDescent="0.2">
      <c r="A871" s="78">
        <v>46527</v>
      </c>
      <c r="B871" s="77">
        <f>+PT!A873</f>
        <v>0</v>
      </c>
      <c r="C871" s="77">
        <f t="shared" si="16"/>
        <v>870</v>
      </c>
    </row>
    <row r="872" spans="1:3" x14ac:dyDescent="0.2">
      <c r="A872" s="78">
        <v>46528</v>
      </c>
      <c r="B872" s="77">
        <f>+PT!A874</f>
        <v>0</v>
      </c>
      <c r="C872" s="77">
        <f t="shared" si="16"/>
        <v>871</v>
      </c>
    </row>
    <row r="873" spans="1:3" x14ac:dyDescent="0.2">
      <c r="A873" s="78">
        <v>46529</v>
      </c>
      <c r="B873" s="77">
        <f>+PT!A875</f>
        <v>0</v>
      </c>
      <c r="C873" s="77">
        <f t="shared" si="16"/>
        <v>872</v>
      </c>
    </row>
    <row r="874" spans="1:3" x14ac:dyDescent="0.2">
      <c r="A874" s="78">
        <v>46530</v>
      </c>
      <c r="B874" s="77">
        <f>+PT!A876</f>
        <v>0</v>
      </c>
      <c r="C874" s="77">
        <f t="shared" si="16"/>
        <v>873</v>
      </c>
    </row>
    <row r="875" spans="1:3" x14ac:dyDescent="0.2">
      <c r="A875" s="78">
        <v>46531</v>
      </c>
      <c r="B875" s="77">
        <f>+PT!A877</f>
        <v>0</v>
      </c>
      <c r="C875" s="77">
        <f t="shared" si="16"/>
        <v>874</v>
      </c>
    </row>
    <row r="876" spans="1:3" x14ac:dyDescent="0.2">
      <c r="A876" s="78">
        <v>46532</v>
      </c>
      <c r="B876" s="77">
        <f>+PT!A878</f>
        <v>0</v>
      </c>
      <c r="C876" s="77">
        <f t="shared" si="16"/>
        <v>875</v>
      </c>
    </row>
    <row r="877" spans="1:3" x14ac:dyDescent="0.2">
      <c r="A877" s="78">
        <v>46533</v>
      </c>
      <c r="B877" s="77">
        <f>+PT!A879</f>
        <v>0</v>
      </c>
      <c r="C877" s="77">
        <f t="shared" si="16"/>
        <v>876</v>
      </c>
    </row>
    <row r="878" spans="1:3" x14ac:dyDescent="0.2">
      <c r="A878" s="78">
        <v>46534</v>
      </c>
      <c r="B878" s="77">
        <f>+PT!A880</f>
        <v>0</v>
      </c>
      <c r="C878" s="77">
        <f t="shared" si="16"/>
        <v>877</v>
      </c>
    </row>
    <row r="879" spans="1:3" x14ac:dyDescent="0.2">
      <c r="A879" s="78">
        <v>46535</v>
      </c>
      <c r="B879" s="77">
        <f>+PT!A881</f>
        <v>0</v>
      </c>
      <c r="C879" s="77">
        <f t="shared" si="16"/>
        <v>878</v>
      </c>
    </row>
    <row r="880" spans="1:3" x14ac:dyDescent="0.2">
      <c r="A880" s="78">
        <v>46536</v>
      </c>
      <c r="B880" s="77">
        <f>+PT!A882</f>
        <v>0</v>
      </c>
      <c r="C880" s="77">
        <f t="shared" si="16"/>
        <v>879</v>
      </c>
    </row>
    <row r="881" spans="1:3" x14ac:dyDescent="0.2">
      <c r="A881" s="78">
        <v>46537</v>
      </c>
      <c r="B881" s="77">
        <f>+PT!A883</f>
        <v>0</v>
      </c>
      <c r="C881" s="77">
        <f t="shared" si="16"/>
        <v>880</v>
      </c>
    </row>
    <row r="882" spans="1:3" x14ac:dyDescent="0.2">
      <c r="A882" s="78">
        <v>46538</v>
      </c>
      <c r="B882" s="77">
        <f>+PT!A884</f>
        <v>0</v>
      </c>
      <c r="C882" s="77">
        <f t="shared" si="16"/>
        <v>881</v>
      </c>
    </row>
    <row r="883" spans="1:3" x14ac:dyDescent="0.2">
      <c r="A883" s="78">
        <v>46539</v>
      </c>
      <c r="B883" s="77">
        <f>+PT!A885</f>
        <v>0</v>
      </c>
      <c r="C883" s="77">
        <f t="shared" si="16"/>
        <v>882</v>
      </c>
    </row>
    <row r="884" spans="1:3" x14ac:dyDescent="0.2">
      <c r="A884" s="78">
        <v>46540</v>
      </c>
      <c r="B884" s="77">
        <f>+PT!A886</f>
        <v>0</v>
      </c>
      <c r="C884" s="77">
        <f t="shared" si="16"/>
        <v>883</v>
      </c>
    </row>
    <row r="885" spans="1:3" x14ac:dyDescent="0.2">
      <c r="A885" s="78">
        <v>46541</v>
      </c>
      <c r="B885" s="77">
        <f>+PT!A887</f>
        <v>0</v>
      </c>
      <c r="C885" s="77">
        <f t="shared" si="16"/>
        <v>884</v>
      </c>
    </row>
    <row r="886" spans="1:3" x14ac:dyDescent="0.2">
      <c r="A886" s="78">
        <v>46542</v>
      </c>
      <c r="B886" s="77">
        <f>+PT!A888</f>
        <v>0</v>
      </c>
      <c r="C886" s="77">
        <f t="shared" si="16"/>
        <v>885</v>
      </c>
    </row>
    <row r="887" spans="1:3" x14ac:dyDescent="0.2">
      <c r="A887" s="78">
        <v>46543</v>
      </c>
      <c r="B887" s="77">
        <f>+PT!A889</f>
        <v>0</v>
      </c>
      <c r="C887" s="77">
        <f t="shared" si="16"/>
        <v>886</v>
      </c>
    </row>
    <row r="888" spans="1:3" x14ac:dyDescent="0.2">
      <c r="A888" s="78">
        <v>46544</v>
      </c>
      <c r="B888" s="77">
        <f>+PT!A890</f>
        <v>0</v>
      </c>
      <c r="C888" s="77">
        <f t="shared" si="16"/>
        <v>887</v>
      </c>
    </row>
    <row r="889" spans="1:3" x14ac:dyDescent="0.2">
      <c r="A889" s="78">
        <v>46545</v>
      </c>
      <c r="B889" s="77">
        <f>+PT!A891</f>
        <v>0</v>
      </c>
      <c r="C889" s="77">
        <f t="shared" si="16"/>
        <v>888</v>
      </c>
    </row>
    <row r="890" spans="1:3" x14ac:dyDescent="0.2">
      <c r="A890" s="78">
        <v>46546</v>
      </c>
      <c r="B890" s="77">
        <f>+PT!A892</f>
        <v>0</v>
      </c>
      <c r="C890" s="77">
        <f t="shared" si="16"/>
        <v>889</v>
      </c>
    </row>
    <row r="891" spans="1:3" x14ac:dyDescent="0.2">
      <c r="A891" s="78">
        <v>46547</v>
      </c>
      <c r="B891" s="77">
        <f>+PT!A893</f>
        <v>0</v>
      </c>
      <c r="C891" s="77">
        <f t="shared" si="16"/>
        <v>890</v>
      </c>
    </row>
    <row r="892" spans="1:3" x14ac:dyDescent="0.2">
      <c r="A892" s="78">
        <v>46548</v>
      </c>
      <c r="B892" s="77">
        <f>+PT!A894</f>
        <v>0</v>
      </c>
      <c r="C892" s="77">
        <f t="shared" si="16"/>
        <v>891</v>
      </c>
    </row>
    <row r="893" spans="1:3" x14ac:dyDescent="0.2">
      <c r="A893" s="78">
        <v>46549</v>
      </c>
      <c r="B893" s="77">
        <f>+PT!A895</f>
        <v>0</v>
      </c>
      <c r="C893" s="77">
        <f t="shared" si="16"/>
        <v>892</v>
      </c>
    </row>
    <row r="894" spans="1:3" x14ac:dyDescent="0.2">
      <c r="A894" s="78">
        <v>46550</v>
      </c>
      <c r="B894" s="77">
        <f>+PT!A896</f>
        <v>0</v>
      </c>
      <c r="C894" s="77">
        <f t="shared" si="16"/>
        <v>893</v>
      </c>
    </row>
    <row r="895" spans="1:3" x14ac:dyDescent="0.2">
      <c r="A895" s="78">
        <v>46551</v>
      </c>
      <c r="B895" s="77">
        <f>+PT!A897</f>
        <v>0</v>
      </c>
      <c r="C895" s="77">
        <f t="shared" si="16"/>
        <v>894</v>
      </c>
    </row>
    <row r="896" spans="1:3" x14ac:dyDescent="0.2">
      <c r="A896" s="78">
        <v>46552</v>
      </c>
      <c r="B896" s="77">
        <f>+PT!A898</f>
        <v>0</v>
      </c>
      <c r="C896" s="77">
        <f t="shared" si="16"/>
        <v>895</v>
      </c>
    </row>
    <row r="897" spans="1:3" x14ac:dyDescent="0.2">
      <c r="A897" s="78">
        <v>46553</v>
      </c>
      <c r="B897" s="77">
        <f>+PT!A899</f>
        <v>0</v>
      </c>
      <c r="C897" s="77">
        <f t="shared" si="16"/>
        <v>896</v>
      </c>
    </row>
    <row r="898" spans="1:3" x14ac:dyDescent="0.2">
      <c r="A898" s="78">
        <v>46554</v>
      </c>
      <c r="B898" s="77">
        <f>+PT!A900</f>
        <v>0</v>
      </c>
      <c r="C898" s="77">
        <f t="shared" si="16"/>
        <v>897</v>
      </c>
    </row>
    <row r="899" spans="1:3" x14ac:dyDescent="0.2">
      <c r="A899" s="78">
        <v>46555</v>
      </c>
      <c r="B899" s="77">
        <f>+PT!A901</f>
        <v>0</v>
      </c>
      <c r="C899" s="77">
        <f t="shared" si="16"/>
        <v>898</v>
      </c>
    </row>
    <row r="900" spans="1:3" x14ac:dyDescent="0.2">
      <c r="A900" s="78">
        <v>46556</v>
      </c>
      <c r="B900" s="77">
        <f>+PT!A902</f>
        <v>0</v>
      </c>
      <c r="C900" s="77">
        <f t="shared" ref="C900:C963" si="17">+C899+1</f>
        <v>899</v>
      </c>
    </row>
    <row r="901" spans="1:3" x14ac:dyDescent="0.2">
      <c r="A901" s="78">
        <v>46557</v>
      </c>
      <c r="B901" s="77">
        <f>+PT!A903</f>
        <v>0</v>
      </c>
      <c r="C901" s="77">
        <f t="shared" si="17"/>
        <v>900</v>
      </c>
    </row>
    <row r="902" spans="1:3" x14ac:dyDescent="0.2">
      <c r="A902" s="78">
        <v>46558</v>
      </c>
      <c r="B902" s="77">
        <f>+PT!A904</f>
        <v>0</v>
      </c>
      <c r="C902" s="77">
        <f t="shared" si="17"/>
        <v>901</v>
      </c>
    </row>
    <row r="903" spans="1:3" x14ac:dyDescent="0.2">
      <c r="A903" s="78">
        <v>46559</v>
      </c>
      <c r="B903" s="77">
        <f>+PT!A905</f>
        <v>0</v>
      </c>
      <c r="C903" s="77">
        <f t="shared" si="17"/>
        <v>902</v>
      </c>
    </row>
    <row r="904" spans="1:3" x14ac:dyDescent="0.2">
      <c r="A904" s="78">
        <v>46560</v>
      </c>
      <c r="B904" s="77">
        <f>+PT!A906</f>
        <v>0</v>
      </c>
      <c r="C904" s="77">
        <f t="shared" si="17"/>
        <v>903</v>
      </c>
    </row>
    <row r="905" spans="1:3" x14ac:dyDescent="0.2">
      <c r="A905" s="78">
        <v>46561</v>
      </c>
      <c r="B905" s="77">
        <f>+PT!A907</f>
        <v>0</v>
      </c>
      <c r="C905" s="77">
        <f t="shared" si="17"/>
        <v>904</v>
      </c>
    </row>
    <row r="906" spans="1:3" x14ac:dyDescent="0.2">
      <c r="A906" s="78">
        <v>46562</v>
      </c>
      <c r="B906" s="77">
        <f>+PT!A908</f>
        <v>0</v>
      </c>
      <c r="C906" s="77">
        <f t="shared" si="17"/>
        <v>905</v>
      </c>
    </row>
    <row r="907" spans="1:3" x14ac:dyDescent="0.2">
      <c r="A907" s="78">
        <v>46563</v>
      </c>
      <c r="B907" s="77">
        <f>+PT!A909</f>
        <v>0</v>
      </c>
      <c r="C907" s="77">
        <f t="shared" si="17"/>
        <v>906</v>
      </c>
    </row>
    <row r="908" spans="1:3" x14ac:dyDescent="0.2">
      <c r="A908" s="78">
        <v>46564</v>
      </c>
      <c r="B908" s="77">
        <f>+PT!A910</f>
        <v>0</v>
      </c>
      <c r="C908" s="77">
        <f t="shared" si="17"/>
        <v>907</v>
      </c>
    </row>
    <row r="909" spans="1:3" x14ac:dyDescent="0.2">
      <c r="A909" s="78">
        <v>46565</v>
      </c>
      <c r="B909" s="77">
        <f>+PT!A911</f>
        <v>0</v>
      </c>
      <c r="C909" s="77">
        <f t="shared" si="17"/>
        <v>908</v>
      </c>
    </row>
    <row r="910" spans="1:3" x14ac:dyDescent="0.2">
      <c r="A910" s="78">
        <v>46566</v>
      </c>
      <c r="B910" s="77">
        <f>+PT!A912</f>
        <v>0</v>
      </c>
      <c r="C910" s="77">
        <f t="shared" si="17"/>
        <v>909</v>
      </c>
    </row>
    <row r="911" spans="1:3" x14ac:dyDescent="0.2">
      <c r="A911" s="78">
        <v>46567</v>
      </c>
      <c r="B911" s="77">
        <f>+PT!A913</f>
        <v>0</v>
      </c>
      <c r="C911" s="77">
        <f t="shared" si="17"/>
        <v>910</v>
      </c>
    </row>
    <row r="912" spans="1:3" x14ac:dyDescent="0.2">
      <c r="A912" s="78">
        <v>46568</v>
      </c>
      <c r="B912" s="77">
        <f>+PT!A914</f>
        <v>0</v>
      </c>
      <c r="C912" s="77">
        <f t="shared" si="17"/>
        <v>911</v>
      </c>
    </row>
    <row r="913" spans="1:3" x14ac:dyDescent="0.2">
      <c r="A913" s="78">
        <v>46569</v>
      </c>
      <c r="B913" s="77">
        <f>+PT!A915</f>
        <v>0</v>
      </c>
      <c r="C913" s="77">
        <f t="shared" si="17"/>
        <v>912</v>
      </c>
    </row>
    <row r="914" spans="1:3" x14ac:dyDescent="0.2">
      <c r="A914" s="78">
        <v>46570</v>
      </c>
      <c r="B914" s="77">
        <f>+PT!A916</f>
        <v>0</v>
      </c>
      <c r="C914" s="77">
        <f t="shared" si="17"/>
        <v>913</v>
      </c>
    </row>
    <row r="915" spans="1:3" x14ac:dyDescent="0.2">
      <c r="A915" s="78">
        <v>46571</v>
      </c>
      <c r="B915" s="77">
        <f>+PT!A917</f>
        <v>0</v>
      </c>
      <c r="C915" s="77">
        <f t="shared" si="17"/>
        <v>914</v>
      </c>
    </row>
    <row r="916" spans="1:3" x14ac:dyDescent="0.2">
      <c r="A916" s="78">
        <v>46572</v>
      </c>
      <c r="B916" s="77">
        <f>+PT!A918</f>
        <v>0</v>
      </c>
      <c r="C916" s="77">
        <f t="shared" si="17"/>
        <v>915</v>
      </c>
    </row>
    <row r="917" spans="1:3" x14ac:dyDescent="0.2">
      <c r="A917" s="78">
        <v>46573</v>
      </c>
      <c r="B917" s="77">
        <f>+PT!A919</f>
        <v>0</v>
      </c>
      <c r="C917" s="77">
        <f t="shared" si="17"/>
        <v>916</v>
      </c>
    </row>
    <row r="918" spans="1:3" x14ac:dyDescent="0.2">
      <c r="A918" s="78">
        <v>46574</v>
      </c>
      <c r="B918" s="77">
        <f>+PT!A920</f>
        <v>0</v>
      </c>
      <c r="C918" s="77">
        <f t="shared" si="17"/>
        <v>917</v>
      </c>
    </row>
    <row r="919" spans="1:3" x14ac:dyDescent="0.2">
      <c r="A919" s="78">
        <v>46575</v>
      </c>
      <c r="B919" s="77">
        <f>+PT!A921</f>
        <v>0</v>
      </c>
      <c r="C919" s="77">
        <f t="shared" si="17"/>
        <v>918</v>
      </c>
    </row>
    <row r="920" spans="1:3" x14ac:dyDescent="0.2">
      <c r="A920" s="78">
        <v>46576</v>
      </c>
      <c r="B920" s="77">
        <f>+PT!A922</f>
        <v>0</v>
      </c>
      <c r="C920" s="77">
        <f t="shared" si="17"/>
        <v>919</v>
      </c>
    </row>
    <row r="921" spans="1:3" x14ac:dyDescent="0.2">
      <c r="A921" s="78">
        <v>46577</v>
      </c>
      <c r="B921" s="77">
        <f>+PT!A923</f>
        <v>0</v>
      </c>
      <c r="C921" s="77">
        <f t="shared" si="17"/>
        <v>920</v>
      </c>
    </row>
    <row r="922" spans="1:3" x14ac:dyDescent="0.2">
      <c r="A922" s="78">
        <v>46578</v>
      </c>
      <c r="B922" s="77">
        <f>+PT!A924</f>
        <v>0</v>
      </c>
      <c r="C922" s="77">
        <f t="shared" si="17"/>
        <v>921</v>
      </c>
    </row>
    <row r="923" spans="1:3" x14ac:dyDescent="0.2">
      <c r="A923" s="78">
        <v>46579</v>
      </c>
      <c r="B923" s="77">
        <f>+PT!A925</f>
        <v>0</v>
      </c>
      <c r="C923" s="77">
        <f t="shared" si="17"/>
        <v>922</v>
      </c>
    </row>
    <row r="924" spans="1:3" x14ac:dyDescent="0.2">
      <c r="A924" s="78">
        <v>46580</v>
      </c>
      <c r="B924" s="77">
        <f>+PT!A926</f>
        <v>0</v>
      </c>
      <c r="C924" s="77">
        <f t="shared" si="17"/>
        <v>923</v>
      </c>
    </row>
    <row r="925" spans="1:3" x14ac:dyDescent="0.2">
      <c r="A925" s="78">
        <v>46581</v>
      </c>
      <c r="B925" s="77">
        <f>+PT!A927</f>
        <v>0</v>
      </c>
      <c r="C925" s="77">
        <f t="shared" si="17"/>
        <v>924</v>
      </c>
    </row>
    <row r="926" spans="1:3" x14ac:dyDescent="0.2">
      <c r="A926" s="78">
        <v>46582</v>
      </c>
      <c r="B926" s="77">
        <f>+PT!A928</f>
        <v>0</v>
      </c>
      <c r="C926" s="77">
        <f t="shared" si="17"/>
        <v>925</v>
      </c>
    </row>
    <row r="927" spans="1:3" x14ac:dyDescent="0.2">
      <c r="A927" s="78">
        <v>46583</v>
      </c>
      <c r="B927" s="77">
        <f>+PT!A929</f>
        <v>0</v>
      </c>
      <c r="C927" s="77">
        <f t="shared" si="17"/>
        <v>926</v>
      </c>
    </row>
    <row r="928" spans="1:3" x14ac:dyDescent="0.2">
      <c r="A928" s="78">
        <v>46584</v>
      </c>
      <c r="B928" s="77">
        <f>+PT!A930</f>
        <v>0</v>
      </c>
      <c r="C928" s="77">
        <f t="shared" si="17"/>
        <v>927</v>
      </c>
    </row>
    <row r="929" spans="1:3" x14ac:dyDescent="0.2">
      <c r="A929" s="78">
        <v>46585</v>
      </c>
      <c r="B929" s="77">
        <f>+PT!A931</f>
        <v>0</v>
      </c>
      <c r="C929" s="77">
        <f t="shared" si="17"/>
        <v>928</v>
      </c>
    </row>
    <row r="930" spans="1:3" x14ac:dyDescent="0.2">
      <c r="A930" s="78">
        <v>46586</v>
      </c>
      <c r="B930" s="77">
        <f>+PT!A932</f>
        <v>0</v>
      </c>
      <c r="C930" s="77">
        <f t="shared" si="17"/>
        <v>929</v>
      </c>
    </row>
    <row r="931" spans="1:3" x14ac:dyDescent="0.2">
      <c r="A931" s="78">
        <v>46587</v>
      </c>
      <c r="B931" s="77">
        <f>+PT!A933</f>
        <v>0</v>
      </c>
      <c r="C931" s="77">
        <f t="shared" si="17"/>
        <v>930</v>
      </c>
    </row>
    <row r="932" spans="1:3" x14ac:dyDescent="0.2">
      <c r="A932" s="78">
        <v>46588</v>
      </c>
      <c r="B932" s="77">
        <f>+PT!A934</f>
        <v>0</v>
      </c>
      <c r="C932" s="77">
        <f t="shared" si="17"/>
        <v>931</v>
      </c>
    </row>
    <row r="933" spans="1:3" x14ac:dyDescent="0.2">
      <c r="A933" s="78">
        <v>46589</v>
      </c>
      <c r="B933" s="77">
        <f>+PT!A935</f>
        <v>0</v>
      </c>
      <c r="C933" s="77">
        <f t="shared" si="17"/>
        <v>932</v>
      </c>
    </row>
    <row r="934" spans="1:3" x14ac:dyDescent="0.2">
      <c r="A934" s="78">
        <v>46590</v>
      </c>
      <c r="B934" s="77">
        <f>+PT!A936</f>
        <v>0</v>
      </c>
      <c r="C934" s="77">
        <f t="shared" si="17"/>
        <v>933</v>
      </c>
    </row>
    <row r="935" spans="1:3" x14ac:dyDescent="0.2">
      <c r="A935" s="78">
        <v>46591</v>
      </c>
      <c r="B935" s="77">
        <f>+PT!A937</f>
        <v>0</v>
      </c>
      <c r="C935" s="77">
        <f t="shared" si="17"/>
        <v>934</v>
      </c>
    </row>
    <row r="936" spans="1:3" x14ac:dyDescent="0.2">
      <c r="A936" s="78">
        <v>46592</v>
      </c>
      <c r="B936" s="77">
        <f>+PT!A938</f>
        <v>0</v>
      </c>
      <c r="C936" s="77">
        <f t="shared" si="17"/>
        <v>935</v>
      </c>
    </row>
    <row r="937" spans="1:3" x14ac:dyDescent="0.2">
      <c r="A937" s="78">
        <v>46593</v>
      </c>
      <c r="B937" s="77">
        <f>+PT!A939</f>
        <v>0</v>
      </c>
      <c r="C937" s="77">
        <f t="shared" si="17"/>
        <v>936</v>
      </c>
    </row>
    <row r="938" spans="1:3" x14ac:dyDescent="0.2">
      <c r="A938" s="78">
        <v>46594</v>
      </c>
      <c r="B938" s="77">
        <f>+PT!A940</f>
        <v>0</v>
      </c>
      <c r="C938" s="77">
        <f t="shared" si="17"/>
        <v>937</v>
      </c>
    </row>
    <row r="939" spans="1:3" x14ac:dyDescent="0.2">
      <c r="A939" s="78">
        <v>46595</v>
      </c>
      <c r="B939" s="77">
        <f>+PT!A941</f>
        <v>0</v>
      </c>
      <c r="C939" s="77">
        <f t="shared" si="17"/>
        <v>938</v>
      </c>
    </row>
    <row r="940" spans="1:3" x14ac:dyDescent="0.2">
      <c r="A940" s="78">
        <v>46596</v>
      </c>
      <c r="B940" s="77">
        <f>+PT!A942</f>
        <v>0</v>
      </c>
      <c r="C940" s="77">
        <f t="shared" si="17"/>
        <v>939</v>
      </c>
    </row>
    <row r="941" spans="1:3" x14ac:dyDescent="0.2">
      <c r="A941" s="78">
        <v>46597</v>
      </c>
      <c r="B941" s="77">
        <f>+PT!A943</f>
        <v>0</v>
      </c>
      <c r="C941" s="77">
        <f t="shared" si="17"/>
        <v>940</v>
      </c>
    </row>
    <row r="942" spans="1:3" x14ac:dyDescent="0.2">
      <c r="A942" s="78">
        <v>46598</v>
      </c>
      <c r="B942" s="77">
        <f>+PT!A944</f>
        <v>0</v>
      </c>
      <c r="C942" s="77">
        <f t="shared" si="17"/>
        <v>941</v>
      </c>
    </row>
    <row r="943" spans="1:3" x14ac:dyDescent="0.2">
      <c r="A943" s="78">
        <v>46599</v>
      </c>
      <c r="B943" s="77">
        <f>+PT!A945</f>
        <v>0</v>
      </c>
      <c r="C943" s="77">
        <f t="shared" si="17"/>
        <v>942</v>
      </c>
    </row>
    <row r="944" spans="1:3" x14ac:dyDescent="0.2">
      <c r="A944" s="78">
        <v>46600</v>
      </c>
      <c r="B944" s="77">
        <f>+PT!A946</f>
        <v>0</v>
      </c>
      <c r="C944" s="77">
        <f t="shared" si="17"/>
        <v>943</v>
      </c>
    </row>
    <row r="945" spans="1:3" x14ac:dyDescent="0.2">
      <c r="A945" s="78">
        <v>46601</v>
      </c>
      <c r="B945" s="77">
        <f>+PT!A947</f>
        <v>0</v>
      </c>
      <c r="C945" s="77">
        <f t="shared" si="17"/>
        <v>944</v>
      </c>
    </row>
    <row r="946" spans="1:3" x14ac:dyDescent="0.2">
      <c r="A946" s="78">
        <v>46602</v>
      </c>
      <c r="B946" s="77">
        <f>+PT!A948</f>
        <v>0</v>
      </c>
      <c r="C946" s="77">
        <f t="shared" si="17"/>
        <v>945</v>
      </c>
    </row>
    <row r="947" spans="1:3" x14ac:dyDescent="0.2">
      <c r="A947" s="78">
        <v>46603</v>
      </c>
      <c r="B947" s="77">
        <f>+PT!A949</f>
        <v>0</v>
      </c>
      <c r="C947" s="77">
        <f t="shared" si="17"/>
        <v>946</v>
      </c>
    </row>
    <row r="948" spans="1:3" x14ac:dyDescent="0.2">
      <c r="A948" s="78">
        <v>46604</v>
      </c>
      <c r="B948" s="77">
        <f>+PT!A950</f>
        <v>0</v>
      </c>
      <c r="C948" s="77">
        <f t="shared" si="17"/>
        <v>947</v>
      </c>
    </row>
    <row r="949" spans="1:3" x14ac:dyDescent="0.2">
      <c r="A949" s="78">
        <v>46605</v>
      </c>
      <c r="B949" s="77">
        <f>+PT!A951</f>
        <v>0</v>
      </c>
      <c r="C949" s="77">
        <f t="shared" si="17"/>
        <v>948</v>
      </c>
    </row>
    <row r="950" spans="1:3" x14ac:dyDescent="0.2">
      <c r="A950" s="78">
        <v>46606</v>
      </c>
      <c r="B950" s="77">
        <f>+PT!A952</f>
        <v>0</v>
      </c>
      <c r="C950" s="77">
        <f t="shared" si="17"/>
        <v>949</v>
      </c>
    </row>
    <row r="951" spans="1:3" x14ac:dyDescent="0.2">
      <c r="A951" s="78">
        <v>46607</v>
      </c>
      <c r="B951" s="77">
        <f>+PT!A953</f>
        <v>0</v>
      </c>
      <c r="C951" s="77">
        <f t="shared" si="17"/>
        <v>950</v>
      </c>
    </row>
    <row r="952" spans="1:3" x14ac:dyDescent="0.2">
      <c r="A952" s="78">
        <v>46608</v>
      </c>
      <c r="B952" s="77">
        <f>+PT!A954</f>
        <v>0</v>
      </c>
      <c r="C952" s="77">
        <f t="shared" si="17"/>
        <v>951</v>
      </c>
    </row>
    <row r="953" spans="1:3" x14ac:dyDescent="0.2">
      <c r="A953" s="78">
        <v>46609</v>
      </c>
      <c r="B953" s="77">
        <f>+PT!A955</f>
        <v>0</v>
      </c>
      <c r="C953" s="77">
        <f t="shared" si="17"/>
        <v>952</v>
      </c>
    </row>
    <row r="954" spans="1:3" x14ac:dyDescent="0.2">
      <c r="A954" s="78">
        <v>46610</v>
      </c>
      <c r="B954" s="77">
        <f>+PT!A956</f>
        <v>0</v>
      </c>
      <c r="C954" s="77">
        <f t="shared" si="17"/>
        <v>953</v>
      </c>
    </row>
    <row r="955" spans="1:3" x14ac:dyDescent="0.2">
      <c r="A955" s="78">
        <v>46611</v>
      </c>
      <c r="B955" s="77">
        <f>+PT!A957</f>
        <v>0</v>
      </c>
      <c r="C955" s="77">
        <f t="shared" si="17"/>
        <v>954</v>
      </c>
    </row>
    <row r="956" spans="1:3" x14ac:dyDescent="0.2">
      <c r="A956" s="78">
        <v>46612</v>
      </c>
      <c r="B956" s="77">
        <f>+PT!A958</f>
        <v>0</v>
      </c>
      <c r="C956" s="77">
        <f t="shared" si="17"/>
        <v>955</v>
      </c>
    </row>
    <row r="957" spans="1:3" x14ac:dyDescent="0.2">
      <c r="A957" s="78">
        <v>46613</v>
      </c>
      <c r="B957" s="77">
        <f>+PT!A959</f>
        <v>0</v>
      </c>
      <c r="C957" s="77">
        <f t="shared" si="17"/>
        <v>956</v>
      </c>
    </row>
    <row r="958" spans="1:3" x14ac:dyDescent="0.2">
      <c r="A958" s="78">
        <v>46614</v>
      </c>
      <c r="B958" s="77">
        <f>+PT!A960</f>
        <v>0</v>
      </c>
      <c r="C958" s="77">
        <f t="shared" si="17"/>
        <v>957</v>
      </c>
    </row>
    <row r="959" spans="1:3" x14ac:dyDescent="0.2">
      <c r="A959" s="78">
        <v>46615</v>
      </c>
      <c r="B959" s="77">
        <f>+PT!A961</f>
        <v>0</v>
      </c>
      <c r="C959" s="77">
        <f t="shared" si="17"/>
        <v>958</v>
      </c>
    </row>
    <row r="960" spans="1:3" x14ac:dyDescent="0.2">
      <c r="A960" s="78">
        <v>46616</v>
      </c>
      <c r="B960" s="77">
        <f>+PT!A962</f>
        <v>0</v>
      </c>
      <c r="C960" s="77">
        <f t="shared" si="17"/>
        <v>959</v>
      </c>
    </row>
    <row r="961" spans="1:3" x14ac:dyDescent="0.2">
      <c r="A961" s="78">
        <v>46617</v>
      </c>
      <c r="B961" s="77">
        <f>+PT!A963</f>
        <v>0</v>
      </c>
      <c r="C961" s="77">
        <f t="shared" si="17"/>
        <v>960</v>
      </c>
    </row>
    <row r="962" spans="1:3" x14ac:dyDescent="0.2">
      <c r="A962" s="78">
        <v>46618</v>
      </c>
      <c r="B962" s="77">
        <f>+PT!A964</f>
        <v>0</v>
      </c>
      <c r="C962" s="77">
        <f t="shared" si="17"/>
        <v>961</v>
      </c>
    </row>
    <row r="963" spans="1:3" x14ac:dyDescent="0.2">
      <c r="A963" s="78">
        <v>46619</v>
      </c>
      <c r="B963" s="77">
        <f>+PT!A965</f>
        <v>0</v>
      </c>
      <c r="C963" s="77">
        <f t="shared" si="17"/>
        <v>962</v>
      </c>
    </row>
    <row r="964" spans="1:3" x14ac:dyDescent="0.2">
      <c r="A964" s="78">
        <v>46620</v>
      </c>
      <c r="B964" s="77">
        <f>+PT!A966</f>
        <v>0</v>
      </c>
      <c r="C964" s="77">
        <f t="shared" ref="C964:C1027" si="18">+C963+1</f>
        <v>963</v>
      </c>
    </row>
    <row r="965" spans="1:3" x14ac:dyDescent="0.2">
      <c r="A965" s="78">
        <v>46621</v>
      </c>
      <c r="B965" s="77">
        <f>+PT!A967</f>
        <v>0</v>
      </c>
      <c r="C965" s="77">
        <f t="shared" si="18"/>
        <v>964</v>
      </c>
    </row>
    <row r="966" spans="1:3" x14ac:dyDescent="0.2">
      <c r="A966" s="78">
        <v>46622</v>
      </c>
      <c r="B966" s="77">
        <f>+PT!A968</f>
        <v>0</v>
      </c>
      <c r="C966" s="77">
        <f t="shared" si="18"/>
        <v>965</v>
      </c>
    </row>
    <row r="967" spans="1:3" x14ac:dyDescent="0.2">
      <c r="A967" s="78">
        <v>46623</v>
      </c>
      <c r="B967" s="77">
        <f>+PT!A969</f>
        <v>0</v>
      </c>
      <c r="C967" s="77">
        <f t="shared" si="18"/>
        <v>966</v>
      </c>
    </row>
    <row r="968" spans="1:3" x14ac:dyDescent="0.2">
      <c r="A968" s="78">
        <v>46624</v>
      </c>
      <c r="B968" s="77">
        <f>+PT!A970</f>
        <v>0</v>
      </c>
      <c r="C968" s="77">
        <f t="shared" si="18"/>
        <v>967</v>
      </c>
    </row>
    <row r="969" spans="1:3" x14ac:dyDescent="0.2">
      <c r="A969" s="78">
        <v>46625</v>
      </c>
      <c r="B969" s="77">
        <f>+PT!A971</f>
        <v>0</v>
      </c>
      <c r="C969" s="77">
        <f t="shared" si="18"/>
        <v>968</v>
      </c>
    </row>
    <row r="970" spans="1:3" x14ac:dyDescent="0.2">
      <c r="A970" s="78">
        <v>46626</v>
      </c>
      <c r="B970" s="77">
        <f>+PT!A972</f>
        <v>0</v>
      </c>
      <c r="C970" s="77">
        <f t="shared" si="18"/>
        <v>969</v>
      </c>
    </row>
    <row r="971" spans="1:3" x14ac:dyDescent="0.2">
      <c r="A971" s="78">
        <v>46627</v>
      </c>
      <c r="B971" s="77">
        <f>+PT!A973</f>
        <v>0</v>
      </c>
      <c r="C971" s="77">
        <f t="shared" si="18"/>
        <v>970</v>
      </c>
    </row>
    <row r="972" spans="1:3" x14ac:dyDescent="0.2">
      <c r="A972" s="78">
        <v>46628</v>
      </c>
      <c r="B972" s="77">
        <f>+PT!A974</f>
        <v>0</v>
      </c>
      <c r="C972" s="77">
        <f t="shared" si="18"/>
        <v>971</v>
      </c>
    </row>
    <row r="973" spans="1:3" x14ac:dyDescent="0.2">
      <c r="A973" s="78">
        <v>46629</v>
      </c>
      <c r="B973" s="77">
        <f>+PT!A975</f>
        <v>0</v>
      </c>
      <c r="C973" s="77">
        <f t="shared" si="18"/>
        <v>972</v>
      </c>
    </row>
    <row r="974" spans="1:3" x14ac:dyDescent="0.2">
      <c r="A974" s="78">
        <v>46630</v>
      </c>
      <c r="B974" s="77">
        <f>+PT!A976</f>
        <v>0</v>
      </c>
      <c r="C974" s="77">
        <f t="shared" si="18"/>
        <v>973</v>
      </c>
    </row>
    <row r="975" spans="1:3" x14ac:dyDescent="0.2">
      <c r="A975" s="78">
        <v>46631</v>
      </c>
      <c r="B975" s="77">
        <f>+PT!A977</f>
        <v>0</v>
      </c>
      <c r="C975" s="77">
        <f t="shared" si="18"/>
        <v>974</v>
      </c>
    </row>
    <row r="976" spans="1:3" x14ac:dyDescent="0.2">
      <c r="A976" s="78">
        <v>46632</v>
      </c>
      <c r="B976" s="77">
        <f>+PT!A978</f>
        <v>0</v>
      </c>
      <c r="C976" s="77">
        <f t="shared" si="18"/>
        <v>975</v>
      </c>
    </row>
    <row r="977" spans="1:3" x14ac:dyDescent="0.2">
      <c r="A977" s="78">
        <v>46633</v>
      </c>
      <c r="B977" s="77">
        <f>+PT!A979</f>
        <v>0</v>
      </c>
      <c r="C977" s="77">
        <f t="shared" si="18"/>
        <v>976</v>
      </c>
    </row>
    <row r="978" spans="1:3" x14ac:dyDescent="0.2">
      <c r="A978" s="78">
        <v>46634</v>
      </c>
      <c r="B978" s="77">
        <f>+PT!A980</f>
        <v>0</v>
      </c>
      <c r="C978" s="77">
        <f t="shared" si="18"/>
        <v>977</v>
      </c>
    </row>
    <row r="979" spans="1:3" x14ac:dyDescent="0.2">
      <c r="A979" s="78">
        <v>46635</v>
      </c>
      <c r="B979" s="77">
        <f>+PT!A981</f>
        <v>0</v>
      </c>
      <c r="C979" s="77">
        <f t="shared" si="18"/>
        <v>978</v>
      </c>
    </row>
    <row r="980" spans="1:3" x14ac:dyDescent="0.2">
      <c r="A980" s="78">
        <v>46636</v>
      </c>
      <c r="B980" s="77">
        <f>+PT!A982</f>
        <v>0</v>
      </c>
      <c r="C980" s="77">
        <f t="shared" si="18"/>
        <v>979</v>
      </c>
    </row>
    <row r="981" spans="1:3" x14ac:dyDescent="0.2">
      <c r="A981" s="78">
        <v>46637</v>
      </c>
      <c r="B981" s="77">
        <f>+PT!A983</f>
        <v>0</v>
      </c>
      <c r="C981" s="77">
        <f t="shared" si="18"/>
        <v>980</v>
      </c>
    </row>
    <row r="982" spans="1:3" x14ac:dyDescent="0.2">
      <c r="A982" s="78">
        <v>46638</v>
      </c>
      <c r="B982" s="77">
        <f>+PT!A984</f>
        <v>0</v>
      </c>
      <c r="C982" s="77">
        <f t="shared" si="18"/>
        <v>981</v>
      </c>
    </row>
    <row r="983" spans="1:3" x14ac:dyDescent="0.2">
      <c r="A983" s="78">
        <v>46639</v>
      </c>
      <c r="B983" s="77">
        <f>+PT!A985</f>
        <v>0</v>
      </c>
      <c r="C983" s="77">
        <f t="shared" si="18"/>
        <v>982</v>
      </c>
    </row>
    <row r="984" spans="1:3" x14ac:dyDescent="0.2">
      <c r="A984" s="78">
        <v>46640</v>
      </c>
      <c r="B984" s="77">
        <f>+PT!A986</f>
        <v>0</v>
      </c>
      <c r="C984" s="77">
        <f t="shared" si="18"/>
        <v>983</v>
      </c>
    </row>
    <row r="985" spans="1:3" x14ac:dyDescent="0.2">
      <c r="A985" s="78">
        <v>46641</v>
      </c>
      <c r="B985" s="77">
        <f>+PT!A987</f>
        <v>0</v>
      </c>
      <c r="C985" s="77">
        <f t="shared" si="18"/>
        <v>984</v>
      </c>
    </row>
    <row r="986" spans="1:3" x14ac:dyDescent="0.2">
      <c r="A986" s="78">
        <v>46642</v>
      </c>
      <c r="B986" s="77">
        <f>+PT!A988</f>
        <v>0</v>
      </c>
      <c r="C986" s="77">
        <f t="shared" si="18"/>
        <v>985</v>
      </c>
    </row>
    <row r="987" spans="1:3" x14ac:dyDescent="0.2">
      <c r="A987" s="78">
        <v>46643</v>
      </c>
      <c r="B987" s="77">
        <f>+PT!A989</f>
        <v>0</v>
      </c>
      <c r="C987" s="77">
        <f t="shared" si="18"/>
        <v>986</v>
      </c>
    </row>
    <row r="988" spans="1:3" x14ac:dyDescent="0.2">
      <c r="A988" s="78">
        <v>46644</v>
      </c>
      <c r="B988" s="77">
        <f>+PT!A990</f>
        <v>0</v>
      </c>
      <c r="C988" s="77">
        <f t="shared" si="18"/>
        <v>987</v>
      </c>
    </row>
    <row r="989" spans="1:3" x14ac:dyDescent="0.2">
      <c r="A989" s="78">
        <v>46645</v>
      </c>
      <c r="B989" s="77">
        <f>+PT!A991</f>
        <v>0</v>
      </c>
      <c r="C989" s="77">
        <f t="shared" si="18"/>
        <v>988</v>
      </c>
    </row>
    <row r="990" spans="1:3" x14ac:dyDescent="0.2">
      <c r="A990" s="78">
        <v>46646</v>
      </c>
      <c r="B990" s="77">
        <f>+PT!A992</f>
        <v>0</v>
      </c>
      <c r="C990" s="77">
        <f t="shared" si="18"/>
        <v>989</v>
      </c>
    </row>
    <row r="991" spans="1:3" x14ac:dyDescent="0.2">
      <c r="A991" s="78">
        <v>46647</v>
      </c>
      <c r="B991" s="77">
        <f>+PT!A993</f>
        <v>0</v>
      </c>
      <c r="C991" s="77">
        <f t="shared" si="18"/>
        <v>990</v>
      </c>
    </row>
    <row r="992" spans="1:3" x14ac:dyDescent="0.2">
      <c r="A992" s="78">
        <v>46648</v>
      </c>
      <c r="B992" s="77">
        <f>+PT!A994</f>
        <v>0</v>
      </c>
      <c r="C992" s="77">
        <f t="shared" si="18"/>
        <v>991</v>
      </c>
    </row>
    <row r="993" spans="1:3" x14ac:dyDescent="0.2">
      <c r="A993" s="78">
        <v>46649</v>
      </c>
      <c r="B993" s="77">
        <f>+PT!A995</f>
        <v>0</v>
      </c>
      <c r="C993" s="77">
        <f t="shared" si="18"/>
        <v>992</v>
      </c>
    </row>
    <row r="994" spans="1:3" x14ac:dyDescent="0.2">
      <c r="A994" s="78">
        <v>46650</v>
      </c>
      <c r="B994" s="77">
        <f>+PT!A996</f>
        <v>0</v>
      </c>
      <c r="C994" s="77">
        <f t="shared" si="18"/>
        <v>993</v>
      </c>
    </row>
    <row r="995" spans="1:3" x14ac:dyDescent="0.2">
      <c r="A995" s="78">
        <v>46651</v>
      </c>
      <c r="B995" s="77">
        <f>+PT!A997</f>
        <v>0</v>
      </c>
      <c r="C995" s="77">
        <f t="shared" si="18"/>
        <v>994</v>
      </c>
    </row>
    <row r="996" spans="1:3" x14ac:dyDescent="0.2">
      <c r="A996" s="78">
        <v>46652</v>
      </c>
      <c r="B996" s="77">
        <f>+PT!A998</f>
        <v>0</v>
      </c>
      <c r="C996" s="77">
        <f t="shared" si="18"/>
        <v>995</v>
      </c>
    </row>
    <row r="997" spans="1:3" x14ac:dyDescent="0.2">
      <c r="A997" s="78">
        <v>46653</v>
      </c>
      <c r="B997" s="77">
        <f>+PT!A999</f>
        <v>0</v>
      </c>
      <c r="C997" s="77">
        <f t="shared" si="18"/>
        <v>996</v>
      </c>
    </row>
    <row r="998" spans="1:3" x14ac:dyDescent="0.2">
      <c r="A998" s="78">
        <v>46654</v>
      </c>
      <c r="B998" s="77">
        <f>+PT!A1000</f>
        <v>0</v>
      </c>
      <c r="C998" s="77">
        <f t="shared" si="18"/>
        <v>997</v>
      </c>
    </row>
    <row r="999" spans="1:3" x14ac:dyDescent="0.2">
      <c r="A999" s="78">
        <v>46655</v>
      </c>
      <c r="B999" s="77">
        <f>+PT!A1001</f>
        <v>0</v>
      </c>
      <c r="C999" s="77">
        <f t="shared" si="18"/>
        <v>998</v>
      </c>
    </row>
    <row r="1000" spans="1:3" x14ac:dyDescent="0.2">
      <c r="A1000" s="78">
        <v>46656</v>
      </c>
      <c r="B1000" s="77">
        <f>+PT!A1002</f>
        <v>0</v>
      </c>
      <c r="C1000" s="77">
        <f t="shared" si="18"/>
        <v>999</v>
      </c>
    </row>
    <row r="1001" spans="1:3" x14ac:dyDescent="0.2">
      <c r="A1001" s="78">
        <v>46657</v>
      </c>
      <c r="B1001" s="77">
        <f>+PT!A1003</f>
        <v>0</v>
      </c>
      <c r="C1001" s="77">
        <f t="shared" si="18"/>
        <v>1000</v>
      </c>
    </row>
    <row r="1002" spans="1:3" x14ac:dyDescent="0.2">
      <c r="A1002" s="78">
        <v>46658</v>
      </c>
      <c r="B1002" s="77">
        <f>+PT!A1004</f>
        <v>0</v>
      </c>
      <c r="C1002" s="77">
        <f t="shared" si="18"/>
        <v>1001</v>
      </c>
    </row>
    <row r="1003" spans="1:3" x14ac:dyDescent="0.2">
      <c r="A1003" s="78">
        <v>46659</v>
      </c>
      <c r="B1003" s="77">
        <f>+PT!A1005</f>
        <v>0</v>
      </c>
      <c r="C1003" s="77">
        <f t="shared" si="18"/>
        <v>1002</v>
      </c>
    </row>
    <row r="1004" spans="1:3" x14ac:dyDescent="0.2">
      <c r="A1004" s="78">
        <v>46660</v>
      </c>
      <c r="B1004" s="77">
        <f>+PT!A1006</f>
        <v>0</v>
      </c>
      <c r="C1004" s="77">
        <f t="shared" si="18"/>
        <v>1003</v>
      </c>
    </row>
    <row r="1005" spans="1:3" x14ac:dyDescent="0.2">
      <c r="A1005" s="78">
        <v>46661</v>
      </c>
      <c r="B1005" s="77">
        <f>+PT!A1007</f>
        <v>0</v>
      </c>
      <c r="C1005" s="77">
        <f t="shared" si="18"/>
        <v>1004</v>
      </c>
    </row>
    <row r="1006" spans="1:3" x14ac:dyDescent="0.2">
      <c r="A1006" s="78">
        <v>46662</v>
      </c>
      <c r="B1006" s="77">
        <f>+PT!A1008</f>
        <v>0</v>
      </c>
      <c r="C1006" s="77">
        <f t="shared" si="18"/>
        <v>1005</v>
      </c>
    </row>
    <row r="1007" spans="1:3" x14ac:dyDescent="0.2">
      <c r="A1007" s="78">
        <v>46663</v>
      </c>
      <c r="B1007" s="77">
        <f>+PT!A1009</f>
        <v>0</v>
      </c>
      <c r="C1007" s="77">
        <f t="shared" si="18"/>
        <v>1006</v>
      </c>
    </row>
    <row r="1008" spans="1:3" x14ac:dyDescent="0.2">
      <c r="A1008" s="78">
        <v>46664</v>
      </c>
      <c r="B1008" s="77">
        <f>+PT!A1010</f>
        <v>0</v>
      </c>
      <c r="C1008" s="77">
        <f t="shared" si="18"/>
        <v>1007</v>
      </c>
    </row>
    <row r="1009" spans="1:3" x14ac:dyDescent="0.2">
      <c r="A1009" s="78">
        <v>46665</v>
      </c>
      <c r="B1009" s="77">
        <f>+PT!A1011</f>
        <v>0</v>
      </c>
      <c r="C1009" s="77">
        <f t="shared" si="18"/>
        <v>1008</v>
      </c>
    </row>
    <row r="1010" spans="1:3" x14ac:dyDescent="0.2">
      <c r="A1010" s="78">
        <v>46666</v>
      </c>
      <c r="B1010" s="77">
        <f>+PT!A1012</f>
        <v>0</v>
      </c>
      <c r="C1010" s="77">
        <f t="shared" si="18"/>
        <v>1009</v>
      </c>
    </row>
    <row r="1011" spans="1:3" x14ac:dyDescent="0.2">
      <c r="A1011" s="78">
        <v>46667</v>
      </c>
      <c r="B1011" s="77">
        <f>+PT!A1013</f>
        <v>0</v>
      </c>
      <c r="C1011" s="77">
        <f t="shared" si="18"/>
        <v>1010</v>
      </c>
    </row>
    <row r="1012" spans="1:3" x14ac:dyDescent="0.2">
      <c r="A1012" s="78">
        <v>46668</v>
      </c>
      <c r="B1012" s="77">
        <f>+PT!A1014</f>
        <v>0</v>
      </c>
      <c r="C1012" s="77">
        <f t="shared" si="18"/>
        <v>1011</v>
      </c>
    </row>
    <row r="1013" spans="1:3" x14ac:dyDescent="0.2">
      <c r="A1013" s="78">
        <v>46669</v>
      </c>
      <c r="B1013" s="77">
        <f>+PT!A1015</f>
        <v>0</v>
      </c>
      <c r="C1013" s="77">
        <f t="shared" si="18"/>
        <v>1012</v>
      </c>
    </row>
    <row r="1014" spans="1:3" x14ac:dyDescent="0.2">
      <c r="A1014" s="78">
        <v>46670</v>
      </c>
      <c r="B1014" s="77">
        <f>+PT!A1016</f>
        <v>0</v>
      </c>
      <c r="C1014" s="77">
        <f t="shared" si="18"/>
        <v>1013</v>
      </c>
    </row>
    <row r="1015" spans="1:3" x14ac:dyDescent="0.2">
      <c r="A1015" s="78">
        <v>46671</v>
      </c>
      <c r="B1015" s="77">
        <f>+PT!A1017</f>
        <v>0</v>
      </c>
      <c r="C1015" s="77">
        <f t="shared" si="18"/>
        <v>1014</v>
      </c>
    </row>
    <row r="1016" spans="1:3" x14ac:dyDescent="0.2">
      <c r="A1016" s="78">
        <v>46672</v>
      </c>
      <c r="B1016" s="77">
        <f>+PT!A1018</f>
        <v>0</v>
      </c>
      <c r="C1016" s="77">
        <f t="shared" si="18"/>
        <v>1015</v>
      </c>
    </row>
    <row r="1017" spans="1:3" x14ac:dyDescent="0.2">
      <c r="A1017" s="78">
        <v>46673</v>
      </c>
      <c r="B1017" s="77">
        <f>+PT!A1019</f>
        <v>0</v>
      </c>
      <c r="C1017" s="77">
        <f t="shared" si="18"/>
        <v>1016</v>
      </c>
    </row>
    <row r="1018" spans="1:3" x14ac:dyDescent="0.2">
      <c r="A1018" s="78">
        <v>46674</v>
      </c>
      <c r="B1018" s="77">
        <f>+PT!A1020</f>
        <v>0</v>
      </c>
      <c r="C1018" s="77">
        <f t="shared" si="18"/>
        <v>1017</v>
      </c>
    </row>
    <row r="1019" spans="1:3" x14ac:dyDescent="0.2">
      <c r="A1019" s="78">
        <v>46675</v>
      </c>
      <c r="B1019" s="77">
        <f>+PT!A1021</f>
        <v>0</v>
      </c>
      <c r="C1019" s="77">
        <f t="shared" si="18"/>
        <v>1018</v>
      </c>
    </row>
    <row r="1020" spans="1:3" x14ac:dyDescent="0.2">
      <c r="A1020" s="78">
        <v>46676</v>
      </c>
      <c r="B1020" s="77">
        <f>+PT!A1022</f>
        <v>0</v>
      </c>
      <c r="C1020" s="77">
        <f t="shared" si="18"/>
        <v>1019</v>
      </c>
    </row>
    <row r="1021" spans="1:3" x14ac:dyDescent="0.2">
      <c r="A1021" s="78">
        <v>46677</v>
      </c>
      <c r="B1021" s="77">
        <f>+PT!A1023</f>
        <v>0</v>
      </c>
      <c r="C1021" s="77">
        <f t="shared" si="18"/>
        <v>1020</v>
      </c>
    </row>
    <row r="1022" spans="1:3" x14ac:dyDescent="0.2">
      <c r="A1022" s="78">
        <v>46678</v>
      </c>
      <c r="B1022" s="77">
        <f>+PT!A1024</f>
        <v>0</v>
      </c>
      <c r="C1022" s="77">
        <f t="shared" si="18"/>
        <v>1021</v>
      </c>
    </row>
    <row r="1023" spans="1:3" x14ac:dyDescent="0.2">
      <c r="A1023" s="78">
        <v>46679</v>
      </c>
      <c r="B1023" s="77">
        <f>+PT!A1025</f>
        <v>0</v>
      </c>
      <c r="C1023" s="77">
        <f t="shared" si="18"/>
        <v>1022</v>
      </c>
    </row>
    <row r="1024" spans="1:3" x14ac:dyDescent="0.2">
      <c r="A1024" s="78">
        <v>46680</v>
      </c>
      <c r="B1024" s="77">
        <f>+PT!A1026</f>
        <v>0</v>
      </c>
      <c r="C1024" s="77">
        <f t="shared" si="18"/>
        <v>1023</v>
      </c>
    </row>
    <row r="1025" spans="1:3" x14ac:dyDescent="0.2">
      <c r="A1025" s="78">
        <v>46681</v>
      </c>
      <c r="B1025" s="77">
        <f>+PT!A1027</f>
        <v>0</v>
      </c>
      <c r="C1025" s="77">
        <f t="shared" si="18"/>
        <v>1024</v>
      </c>
    </row>
    <row r="1026" spans="1:3" x14ac:dyDescent="0.2">
      <c r="A1026" s="78">
        <v>46682</v>
      </c>
      <c r="B1026" s="77">
        <f>+PT!A1028</f>
        <v>0</v>
      </c>
      <c r="C1026" s="77">
        <f t="shared" si="18"/>
        <v>1025</v>
      </c>
    </row>
    <row r="1027" spans="1:3" x14ac:dyDescent="0.2">
      <c r="A1027" s="78">
        <v>46683</v>
      </c>
      <c r="B1027" s="77">
        <f>+PT!A1029</f>
        <v>0</v>
      </c>
      <c r="C1027" s="77">
        <f t="shared" si="18"/>
        <v>1026</v>
      </c>
    </row>
    <row r="1028" spans="1:3" x14ac:dyDescent="0.2">
      <c r="A1028" s="78">
        <v>46684</v>
      </c>
      <c r="B1028" s="77">
        <f>+PT!A1030</f>
        <v>0</v>
      </c>
      <c r="C1028" s="77">
        <f t="shared" ref="C1028:C1091" si="19">+C1027+1</f>
        <v>1027</v>
      </c>
    </row>
    <row r="1029" spans="1:3" x14ac:dyDescent="0.2">
      <c r="A1029" s="78">
        <v>46685</v>
      </c>
      <c r="B1029" s="77">
        <f>+PT!A1031</f>
        <v>0</v>
      </c>
      <c r="C1029" s="77">
        <f t="shared" si="19"/>
        <v>1028</v>
      </c>
    </row>
    <row r="1030" spans="1:3" x14ac:dyDescent="0.2">
      <c r="A1030" s="78">
        <v>46686</v>
      </c>
      <c r="B1030" s="77">
        <f>+PT!A1032</f>
        <v>0</v>
      </c>
      <c r="C1030" s="77">
        <f t="shared" si="19"/>
        <v>1029</v>
      </c>
    </row>
    <row r="1031" spans="1:3" x14ac:dyDescent="0.2">
      <c r="A1031" s="78">
        <v>46687</v>
      </c>
      <c r="B1031" s="77">
        <f>+PT!A1033</f>
        <v>0</v>
      </c>
      <c r="C1031" s="77">
        <f t="shared" si="19"/>
        <v>1030</v>
      </c>
    </row>
    <row r="1032" spans="1:3" x14ac:dyDescent="0.2">
      <c r="A1032" s="78">
        <v>46688</v>
      </c>
      <c r="B1032" s="77">
        <f>+PT!A1034</f>
        <v>0</v>
      </c>
      <c r="C1032" s="77">
        <f t="shared" si="19"/>
        <v>1031</v>
      </c>
    </row>
    <row r="1033" spans="1:3" x14ac:dyDescent="0.2">
      <c r="A1033" s="78">
        <v>46689</v>
      </c>
      <c r="B1033" s="77">
        <f>+PT!A1035</f>
        <v>0</v>
      </c>
      <c r="C1033" s="77">
        <f t="shared" si="19"/>
        <v>1032</v>
      </c>
    </row>
    <row r="1034" spans="1:3" x14ac:dyDescent="0.2">
      <c r="A1034" s="78">
        <v>46690</v>
      </c>
      <c r="B1034" s="77">
        <f>+PT!A1036</f>
        <v>0</v>
      </c>
      <c r="C1034" s="77">
        <f t="shared" si="19"/>
        <v>1033</v>
      </c>
    </row>
    <row r="1035" spans="1:3" x14ac:dyDescent="0.2">
      <c r="A1035" s="78">
        <v>46691</v>
      </c>
      <c r="B1035" s="77">
        <f>+PT!A1037</f>
        <v>0</v>
      </c>
      <c r="C1035" s="77">
        <f t="shared" si="19"/>
        <v>1034</v>
      </c>
    </row>
    <row r="1036" spans="1:3" x14ac:dyDescent="0.2">
      <c r="A1036" s="78">
        <v>46692</v>
      </c>
      <c r="B1036" s="77">
        <f>+PT!A1038</f>
        <v>0</v>
      </c>
      <c r="C1036" s="77">
        <f t="shared" si="19"/>
        <v>1035</v>
      </c>
    </row>
    <row r="1037" spans="1:3" x14ac:dyDescent="0.2">
      <c r="A1037" s="78">
        <v>46693</v>
      </c>
      <c r="B1037" s="77">
        <f>+PT!A1039</f>
        <v>0</v>
      </c>
      <c r="C1037" s="77">
        <f t="shared" si="19"/>
        <v>1036</v>
      </c>
    </row>
    <row r="1038" spans="1:3" x14ac:dyDescent="0.2">
      <c r="A1038" s="78">
        <v>46694</v>
      </c>
      <c r="B1038" s="77">
        <f>+PT!A1040</f>
        <v>0</v>
      </c>
      <c r="C1038" s="77">
        <f t="shared" si="19"/>
        <v>1037</v>
      </c>
    </row>
    <row r="1039" spans="1:3" x14ac:dyDescent="0.2">
      <c r="A1039" s="78">
        <v>46695</v>
      </c>
      <c r="B1039" s="77">
        <f>+PT!A1041</f>
        <v>0</v>
      </c>
      <c r="C1039" s="77">
        <f t="shared" si="19"/>
        <v>1038</v>
      </c>
    </row>
    <row r="1040" spans="1:3" x14ac:dyDescent="0.2">
      <c r="A1040" s="78">
        <v>46696</v>
      </c>
      <c r="B1040" s="77">
        <f>+PT!A1042</f>
        <v>0</v>
      </c>
      <c r="C1040" s="77">
        <f t="shared" si="19"/>
        <v>1039</v>
      </c>
    </row>
    <row r="1041" spans="1:3" x14ac:dyDescent="0.2">
      <c r="A1041" s="78">
        <v>46697</v>
      </c>
      <c r="B1041" s="77">
        <f>+PT!A1043</f>
        <v>0</v>
      </c>
      <c r="C1041" s="77">
        <f t="shared" si="19"/>
        <v>1040</v>
      </c>
    </row>
    <row r="1042" spans="1:3" x14ac:dyDescent="0.2">
      <c r="A1042" s="78">
        <v>46698</v>
      </c>
      <c r="B1042" s="77">
        <f>+PT!A1044</f>
        <v>0</v>
      </c>
      <c r="C1042" s="77">
        <f t="shared" si="19"/>
        <v>1041</v>
      </c>
    </row>
    <row r="1043" spans="1:3" x14ac:dyDescent="0.2">
      <c r="A1043" s="78">
        <v>46699</v>
      </c>
      <c r="B1043" s="77">
        <f>+PT!A1045</f>
        <v>0</v>
      </c>
      <c r="C1043" s="77">
        <f t="shared" si="19"/>
        <v>1042</v>
      </c>
    </row>
    <row r="1044" spans="1:3" x14ac:dyDescent="0.2">
      <c r="A1044" s="78">
        <v>46700</v>
      </c>
      <c r="B1044" s="77">
        <f>+PT!A1046</f>
        <v>0</v>
      </c>
      <c r="C1044" s="77">
        <f t="shared" si="19"/>
        <v>1043</v>
      </c>
    </row>
    <row r="1045" spans="1:3" x14ac:dyDescent="0.2">
      <c r="A1045" s="78">
        <v>46701</v>
      </c>
      <c r="B1045" s="77">
        <f>+PT!A1047</f>
        <v>0</v>
      </c>
      <c r="C1045" s="77">
        <f t="shared" si="19"/>
        <v>1044</v>
      </c>
    </row>
    <row r="1046" spans="1:3" x14ac:dyDescent="0.2">
      <c r="A1046" s="78">
        <v>46702</v>
      </c>
      <c r="B1046" s="77">
        <f>+PT!A1048</f>
        <v>0</v>
      </c>
      <c r="C1046" s="77">
        <f t="shared" si="19"/>
        <v>1045</v>
      </c>
    </row>
    <row r="1047" spans="1:3" x14ac:dyDescent="0.2">
      <c r="A1047" s="78">
        <v>46703</v>
      </c>
      <c r="B1047" s="77">
        <f>+PT!A1049</f>
        <v>0</v>
      </c>
      <c r="C1047" s="77">
        <f t="shared" si="19"/>
        <v>1046</v>
      </c>
    </row>
    <row r="1048" spans="1:3" x14ac:dyDescent="0.2">
      <c r="A1048" s="78">
        <v>46704</v>
      </c>
      <c r="B1048" s="77">
        <f>+PT!A1050</f>
        <v>0</v>
      </c>
      <c r="C1048" s="77">
        <f t="shared" si="19"/>
        <v>1047</v>
      </c>
    </row>
    <row r="1049" spans="1:3" x14ac:dyDescent="0.2">
      <c r="A1049" s="78">
        <v>46705</v>
      </c>
      <c r="B1049" s="77">
        <f>+PT!A1051</f>
        <v>0</v>
      </c>
      <c r="C1049" s="77">
        <f t="shared" si="19"/>
        <v>1048</v>
      </c>
    </row>
    <row r="1050" spans="1:3" x14ac:dyDescent="0.2">
      <c r="A1050" s="78">
        <v>46706</v>
      </c>
      <c r="B1050" s="77">
        <f>+PT!A1052</f>
        <v>0</v>
      </c>
      <c r="C1050" s="77">
        <f t="shared" si="19"/>
        <v>1049</v>
      </c>
    </row>
    <row r="1051" spans="1:3" x14ac:dyDescent="0.2">
      <c r="A1051" s="78">
        <v>46707</v>
      </c>
      <c r="B1051" s="77">
        <f>+PT!A1053</f>
        <v>0</v>
      </c>
      <c r="C1051" s="77">
        <f t="shared" si="19"/>
        <v>1050</v>
      </c>
    </row>
    <row r="1052" spans="1:3" x14ac:dyDescent="0.2">
      <c r="A1052" s="78">
        <v>46708</v>
      </c>
      <c r="B1052" s="77">
        <f>+PT!A1054</f>
        <v>0</v>
      </c>
      <c r="C1052" s="77">
        <f t="shared" si="19"/>
        <v>1051</v>
      </c>
    </row>
    <row r="1053" spans="1:3" x14ac:dyDescent="0.2">
      <c r="A1053" s="78">
        <v>46709</v>
      </c>
      <c r="B1053" s="77">
        <f>+PT!A1055</f>
        <v>0</v>
      </c>
      <c r="C1053" s="77">
        <f t="shared" si="19"/>
        <v>1052</v>
      </c>
    </row>
    <row r="1054" spans="1:3" x14ac:dyDescent="0.2">
      <c r="A1054" s="78">
        <v>46710</v>
      </c>
      <c r="B1054" s="77">
        <f>+PT!A1056</f>
        <v>0</v>
      </c>
      <c r="C1054" s="77">
        <f t="shared" si="19"/>
        <v>1053</v>
      </c>
    </row>
    <row r="1055" spans="1:3" x14ac:dyDescent="0.2">
      <c r="A1055" s="78">
        <v>46711</v>
      </c>
      <c r="B1055" s="77">
        <f>+PT!A1057</f>
        <v>0</v>
      </c>
      <c r="C1055" s="77">
        <f t="shared" si="19"/>
        <v>1054</v>
      </c>
    </row>
    <row r="1056" spans="1:3" x14ac:dyDescent="0.2">
      <c r="A1056" s="78">
        <v>46712</v>
      </c>
      <c r="B1056" s="77">
        <f>+PT!A1058</f>
        <v>0</v>
      </c>
      <c r="C1056" s="77">
        <f t="shared" si="19"/>
        <v>1055</v>
      </c>
    </row>
    <row r="1057" spans="1:3" x14ac:dyDescent="0.2">
      <c r="A1057" s="78">
        <v>46713</v>
      </c>
      <c r="B1057" s="77">
        <f>+PT!A1059</f>
        <v>0</v>
      </c>
      <c r="C1057" s="77">
        <f t="shared" si="19"/>
        <v>1056</v>
      </c>
    </row>
    <row r="1058" spans="1:3" x14ac:dyDescent="0.2">
      <c r="A1058" s="78">
        <v>46714</v>
      </c>
      <c r="B1058" s="77">
        <f>+PT!A1060</f>
        <v>0</v>
      </c>
      <c r="C1058" s="77">
        <f t="shared" si="19"/>
        <v>1057</v>
      </c>
    </row>
    <row r="1059" spans="1:3" x14ac:dyDescent="0.2">
      <c r="A1059" s="78">
        <v>46715</v>
      </c>
      <c r="B1059" s="77">
        <f>+PT!A1061</f>
        <v>0</v>
      </c>
      <c r="C1059" s="77">
        <f t="shared" si="19"/>
        <v>1058</v>
      </c>
    </row>
    <row r="1060" spans="1:3" x14ac:dyDescent="0.2">
      <c r="A1060" s="78">
        <v>46716</v>
      </c>
      <c r="B1060" s="77">
        <f>+PT!A1062</f>
        <v>0</v>
      </c>
      <c r="C1060" s="77">
        <f t="shared" si="19"/>
        <v>1059</v>
      </c>
    </row>
    <row r="1061" spans="1:3" x14ac:dyDescent="0.2">
      <c r="A1061" s="78">
        <v>46717</v>
      </c>
      <c r="B1061" s="77">
        <f>+PT!A1063</f>
        <v>0</v>
      </c>
      <c r="C1061" s="77">
        <f t="shared" si="19"/>
        <v>1060</v>
      </c>
    </row>
    <row r="1062" spans="1:3" x14ac:dyDescent="0.2">
      <c r="A1062" s="78">
        <v>46718</v>
      </c>
      <c r="B1062" s="77">
        <f>+PT!A1064</f>
        <v>0</v>
      </c>
      <c r="C1062" s="77">
        <f t="shared" si="19"/>
        <v>1061</v>
      </c>
    </row>
    <row r="1063" spans="1:3" x14ac:dyDescent="0.2">
      <c r="A1063" s="78">
        <v>46719</v>
      </c>
      <c r="B1063" s="77">
        <f>+PT!A1065</f>
        <v>0</v>
      </c>
      <c r="C1063" s="77">
        <f t="shared" si="19"/>
        <v>1062</v>
      </c>
    </row>
    <row r="1064" spans="1:3" x14ac:dyDescent="0.2">
      <c r="A1064" s="78">
        <v>46720</v>
      </c>
      <c r="B1064" s="77">
        <f>+PT!A1066</f>
        <v>0</v>
      </c>
      <c r="C1064" s="77">
        <f t="shared" si="19"/>
        <v>1063</v>
      </c>
    </row>
    <row r="1065" spans="1:3" x14ac:dyDescent="0.2">
      <c r="A1065" s="78">
        <v>46721</v>
      </c>
      <c r="B1065" s="77">
        <f>+PT!A1067</f>
        <v>0</v>
      </c>
      <c r="C1065" s="77">
        <f t="shared" si="19"/>
        <v>1064</v>
      </c>
    </row>
    <row r="1066" spans="1:3" x14ac:dyDescent="0.2">
      <c r="A1066" s="78">
        <v>46722</v>
      </c>
      <c r="B1066" s="77">
        <f>+PT!A1068</f>
        <v>0</v>
      </c>
      <c r="C1066" s="77">
        <f t="shared" si="19"/>
        <v>1065</v>
      </c>
    </row>
    <row r="1067" spans="1:3" x14ac:dyDescent="0.2">
      <c r="A1067" s="78">
        <v>46723</v>
      </c>
      <c r="B1067" s="77">
        <f>+PT!A1069</f>
        <v>0</v>
      </c>
      <c r="C1067" s="77">
        <f t="shared" si="19"/>
        <v>1066</v>
      </c>
    </row>
    <row r="1068" spans="1:3" x14ac:dyDescent="0.2">
      <c r="A1068" s="78">
        <v>46724</v>
      </c>
      <c r="B1068" s="77">
        <f>+PT!A1070</f>
        <v>0</v>
      </c>
      <c r="C1068" s="77">
        <f t="shared" si="19"/>
        <v>1067</v>
      </c>
    </row>
    <row r="1069" spans="1:3" x14ac:dyDescent="0.2">
      <c r="A1069" s="78">
        <v>46725</v>
      </c>
      <c r="B1069" s="77">
        <f>+PT!A1071</f>
        <v>0</v>
      </c>
      <c r="C1069" s="77">
        <f t="shared" si="19"/>
        <v>1068</v>
      </c>
    </row>
    <row r="1070" spans="1:3" x14ac:dyDescent="0.2">
      <c r="A1070" s="78">
        <v>46726</v>
      </c>
      <c r="B1070" s="77">
        <f>+PT!A1072</f>
        <v>0</v>
      </c>
      <c r="C1070" s="77">
        <f t="shared" si="19"/>
        <v>1069</v>
      </c>
    </row>
    <row r="1071" spans="1:3" x14ac:dyDescent="0.2">
      <c r="A1071" s="78">
        <v>46727</v>
      </c>
      <c r="B1071" s="77">
        <f>+PT!A1073</f>
        <v>0</v>
      </c>
      <c r="C1071" s="77">
        <f t="shared" si="19"/>
        <v>1070</v>
      </c>
    </row>
    <row r="1072" spans="1:3" x14ac:dyDescent="0.2">
      <c r="A1072" s="78">
        <v>46728</v>
      </c>
      <c r="B1072" s="77">
        <f>+PT!A1074</f>
        <v>0</v>
      </c>
      <c r="C1072" s="77">
        <f t="shared" si="19"/>
        <v>1071</v>
      </c>
    </row>
    <row r="1073" spans="1:3" x14ac:dyDescent="0.2">
      <c r="A1073" s="78">
        <v>46729</v>
      </c>
      <c r="B1073" s="77">
        <f>+PT!A1075</f>
        <v>0</v>
      </c>
      <c r="C1073" s="77">
        <f t="shared" si="19"/>
        <v>1072</v>
      </c>
    </row>
    <row r="1074" spans="1:3" x14ac:dyDescent="0.2">
      <c r="A1074" s="78">
        <v>46730</v>
      </c>
      <c r="B1074" s="77">
        <f>+PT!A1076</f>
        <v>0</v>
      </c>
      <c r="C1074" s="77">
        <f t="shared" si="19"/>
        <v>1073</v>
      </c>
    </row>
    <row r="1075" spans="1:3" x14ac:dyDescent="0.2">
      <c r="A1075" s="78">
        <v>46731</v>
      </c>
      <c r="B1075" s="77">
        <f>+PT!A1077</f>
        <v>0</v>
      </c>
      <c r="C1075" s="77">
        <f t="shared" si="19"/>
        <v>1074</v>
      </c>
    </row>
    <row r="1076" spans="1:3" x14ac:dyDescent="0.2">
      <c r="A1076" s="78">
        <v>46732</v>
      </c>
      <c r="B1076" s="77">
        <f>+PT!A1078</f>
        <v>0</v>
      </c>
      <c r="C1076" s="77">
        <f t="shared" si="19"/>
        <v>1075</v>
      </c>
    </row>
    <row r="1077" spans="1:3" x14ac:dyDescent="0.2">
      <c r="A1077" s="78">
        <v>46733</v>
      </c>
      <c r="B1077" s="77">
        <f>+PT!A1079</f>
        <v>0</v>
      </c>
      <c r="C1077" s="77">
        <f t="shared" si="19"/>
        <v>1076</v>
      </c>
    </row>
    <row r="1078" spans="1:3" x14ac:dyDescent="0.2">
      <c r="A1078" s="78">
        <v>46734</v>
      </c>
      <c r="B1078" s="77">
        <f>+PT!A1080</f>
        <v>0</v>
      </c>
      <c r="C1078" s="77">
        <f t="shared" si="19"/>
        <v>1077</v>
      </c>
    </row>
    <row r="1079" spans="1:3" x14ac:dyDescent="0.2">
      <c r="A1079" s="78">
        <v>46735</v>
      </c>
      <c r="B1079" s="77">
        <f>+PT!A1081</f>
        <v>0</v>
      </c>
      <c r="C1079" s="77">
        <f t="shared" si="19"/>
        <v>1078</v>
      </c>
    </row>
    <row r="1080" spans="1:3" x14ac:dyDescent="0.2">
      <c r="A1080" s="78">
        <v>46736</v>
      </c>
      <c r="B1080" s="77">
        <f>+PT!A1082</f>
        <v>0</v>
      </c>
      <c r="C1080" s="77">
        <f t="shared" si="19"/>
        <v>1079</v>
      </c>
    </row>
    <row r="1081" spans="1:3" x14ac:dyDescent="0.2">
      <c r="A1081" s="78">
        <v>46737</v>
      </c>
      <c r="B1081" s="77">
        <f>+PT!A1083</f>
        <v>0</v>
      </c>
      <c r="C1081" s="77">
        <f t="shared" si="19"/>
        <v>1080</v>
      </c>
    </row>
    <row r="1082" spans="1:3" x14ac:dyDescent="0.2">
      <c r="A1082" s="78">
        <v>46738</v>
      </c>
      <c r="B1082" s="77">
        <f>+PT!A1084</f>
        <v>0</v>
      </c>
      <c r="C1082" s="77">
        <f t="shared" si="19"/>
        <v>1081</v>
      </c>
    </row>
    <row r="1083" spans="1:3" x14ac:dyDescent="0.2">
      <c r="A1083" s="78">
        <v>46739</v>
      </c>
      <c r="B1083" s="77">
        <f>+PT!A1085</f>
        <v>0</v>
      </c>
      <c r="C1083" s="77">
        <f t="shared" si="19"/>
        <v>1082</v>
      </c>
    </row>
    <row r="1084" spans="1:3" x14ac:dyDescent="0.2">
      <c r="A1084" s="78">
        <v>46740</v>
      </c>
      <c r="B1084" s="77">
        <f>+PT!A1086</f>
        <v>0</v>
      </c>
      <c r="C1084" s="77">
        <f t="shared" si="19"/>
        <v>1083</v>
      </c>
    </row>
    <row r="1085" spans="1:3" x14ac:dyDescent="0.2">
      <c r="A1085" s="78">
        <v>46741</v>
      </c>
      <c r="B1085" s="77">
        <f>+PT!A1087</f>
        <v>0</v>
      </c>
      <c r="C1085" s="77">
        <f t="shared" si="19"/>
        <v>1084</v>
      </c>
    </row>
    <row r="1086" spans="1:3" x14ac:dyDescent="0.2">
      <c r="A1086" s="78">
        <v>46742</v>
      </c>
      <c r="B1086" s="77">
        <f>+PT!A1088</f>
        <v>0</v>
      </c>
      <c r="C1086" s="77">
        <f t="shared" si="19"/>
        <v>1085</v>
      </c>
    </row>
    <row r="1087" spans="1:3" x14ac:dyDescent="0.2">
      <c r="A1087" s="78">
        <v>46743</v>
      </c>
      <c r="B1087" s="77">
        <f>+PT!A1089</f>
        <v>0</v>
      </c>
      <c r="C1087" s="77">
        <f t="shared" si="19"/>
        <v>1086</v>
      </c>
    </row>
    <row r="1088" spans="1:3" x14ac:dyDescent="0.2">
      <c r="A1088" s="78">
        <v>46744</v>
      </c>
      <c r="B1088" s="77">
        <f>+PT!A1090</f>
        <v>0</v>
      </c>
      <c r="C1088" s="77">
        <f t="shared" si="19"/>
        <v>1087</v>
      </c>
    </row>
    <row r="1089" spans="1:3" x14ac:dyDescent="0.2">
      <c r="A1089" s="78">
        <v>46745</v>
      </c>
      <c r="B1089" s="77">
        <f>+PT!A1091</f>
        <v>0</v>
      </c>
      <c r="C1089" s="77">
        <f t="shared" si="19"/>
        <v>1088</v>
      </c>
    </row>
    <row r="1090" spans="1:3" x14ac:dyDescent="0.2">
      <c r="A1090" s="78">
        <v>46746</v>
      </c>
      <c r="B1090" s="77">
        <f>+PT!A1092</f>
        <v>0</v>
      </c>
      <c r="C1090" s="77">
        <f t="shared" si="19"/>
        <v>1089</v>
      </c>
    </row>
    <row r="1091" spans="1:3" x14ac:dyDescent="0.2">
      <c r="A1091" s="78">
        <v>46747</v>
      </c>
      <c r="B1091" s="77">
        <f>+PT!A1093</f>
        <v>0</v>
      </c>
      <c r="C1091" s="77">
        <f t="shared" si="19"/>
        <v>1090</v>
      </c>
    </row>
    <row r="1092" spans="1:3" x14ac:dyDescent="0.2">
      <c r="A1092" s="78">
        <v>46748</v>
      </c>
      <c r="B1092" s="77">
        <f>+PT!A1094</f>
        <v>0</v>
      </c>
      <c r="C1092" s="77">
        <f t="shared" ref="C1092:C1155" si="20">+C1091+1</f>
        <v>1091</v>
      </c>
    </row>
    <row r="1093" spans="1:3" x14ac:dyDescent="0.2">
      <c r="A1093" s="78">
        <v>46749</v>
      </c>
      <c r="B1093" s="77">
        <f>+PT!A1095</f>
        <v>0</v>
      </c>
      <c r="C1093" s="77">
        <f t="shared" si="20"/>
        <v>1092</v>
      </c>
    </row>
    <row r="1094" spans="1:3" x14ac:dyDescent="0.2">
      <c r="A1094" s="78">
        <v>46750</v>
      </c>
      <c r="B1094" s="77">
        <f>+PT!A1096</f>
        <v>0</v>
      </c>
      <c r="C1094" s="77">
        <f t="shared" si="20"/>
        <v>1093</v>
      </c>
    </row>
    <row r="1095" spans="1:3" x14ac:dyDescent="0.2">
      <c r="A1095" s="78">
        <v>46751</v>
      </c>
      <c r="B1095" s="77">
        <f>+PT!A1097</f>
        <v>0</v>
      </c>
      <c r="C1095" s="77">
        <f t="shared" si="20"/>
        <v>1094</v>
      </c>
    </row>
    <row r="1096" spans="1:3" x14ac:dyDescent="0.2">
      <c r="A1096" s="78">
        <v>46752</v>
      </c>
      <c r="B1096" s="77">
        <f>+PT!A1098</f>
        <v>0</v>
      </c>
      <c r="C1096" s="77">
        <f t="shared" si="20"/>
        <v>1095</v>
      </c>
    </row>
    <row r="1097" spans="1:3" x14ac:dyDescent="0.2">
      <c r="A1097" s="78">
        <v>46753</v>
      </c>
      <c r="B1097" s="77">
        <f>+PT!A1099</f>
        <v>0</v>
      </c>
      <c r="C1097" s="77">
        <f t="shared" si="20"/>
        <v>1096</v>
      </c>
    </row>
    <row r="1098" spans="1:3" x14ac:dyDescent="0.2">
      <c r="A1098" s="78">
        <v>46754</v>
      </c>
      <c r="B1098" s="77">
        <f>+PT!A1100</f>
        <v>0</v>
      </c>
      <c r="C1098" s="77">
        <f t="shared" si="20"/>
        <v>1097</v>
      </c>
    </row>
    <row r="1099" spans="1:3" x14ac:dyDescent="0.2">
      <c r="A1099" s="78">
        <v>46755</v>
      </c>
      <c r="B1099" s="77">
        <f>+PT!A1101</f>
        <v>0</v>
      </c>
      <c r="C1099" s="77">
        <f t="shared" si="20"/>
        <v>1098</v>
      </c>
    </row>
    <row r="1100" spans="1:3" x14ac:dyDescent="0.2">
      <c r="A1100" s="78">
        <v>46756</v>
      </c>
      <c r="B1100" s="77">
        <f>+PT!A1102</f>
        <v>0</v>
      </c>
      <c r="C1100" s="77">
        <f t="shared" si="20"/>
        <v>1099</v>
      </c>
    </row>
    <row r="1101" spans="1:3" x14ac:dyDescent="0.2">
      <c r="A1101" s="78">
        <v>46757</v>
      </c>
      <c r="B1101" s="77">
        <f>+PT!A1103</f>
        <v>0</v>
      </c>
      <c r="C1101" s="77">
        <f t="shared" si="20"/>
        <v>1100</v>
      </c>
    </row>
    <row r="1102" spans="1:3" x14ac:dyDescent="0.2">
      <c r="A1102" s="78">
        <v>46758</v>
      </c>
      <c r="B1102" s="77">
        <f>+PT!A1104</f>
        <v>0</v>
      </c>
      <c r="C1102" s="77">
        <f t="shared" si="20"/>
        <v>1101</v>
      </c>
    </row>
    <row r="1103" spans="1:3" x14ac:dyDescent="0.2">
      <c r="A1103" s="78">
        <v>46759</v>
      </c>
      <c r="B1103" s="77">
        <f>+PT!A1105</f>
        <v>0</v>
      </c>
      <c r="C1103" s="77">
        <f t="shared" si="20"/>
        <v>1102</v>
      </c>
    </row>
    <row r="1104" spans="1:3" x14ac:dyDescent="0.2">
      <c r="A1104" s="78">
        <v>46760</v>
      </c>
      <c r="B1104" s="77">
        <f>+PT!A1106</f>
        <v>0</v>
      </c>
      <c r="C1104" s="77">
        <f t="shared" si="20"/>
        <v>1103</v>
      </c>
    </row>
    <row r="1105" spans="1:3" x14ac:dyDescent="0.2">
      <c r="A1105" s="78">
        <v>46761</v>
      </c>
      <c r="B1105" s="77">
        <f>+PT!A1107</f>
        <v>0</v>
      </c>
      <c r="C1105" s="77">
        <f t="shared" si="20"/>
        <v>1104</v>
      </c>
    </row>
    <row r="1106" spans="1:3" x14ac:dyDescent="0.2">
      <c r="A1106" s="78">
        <v>46762</v>
      </c>
      <c r="B1106" s="77">
        <f>+PT!A1108</f>
        <v>0</v>
      </c>
      <c r="C1106" s="77">
        <f t="shared" si="20"/>
        <v>1105</v>
      </c>
    </row>
    <row r="1107" spans="1:3" x14ac:dyDescent="0.2">
      <c r="A1107" s="78">
        <v>46763</v>
      </c>
      <c r="B1107" s="77">
        <f>+PT!A1109</f>
        <v>0</v>
      </c>
      <c r="C1107" s="77">
        <f t="shared" si="20"/>
        <v>1106</v>
      </c>
    </row>
    <row r="1108" spans="1:3" x14ac:dyDescent="0.2">
      <c r="A1108" s="78">
        <v>46764</v>
      </c>
      <c r="B1108" s="77">
        <f>+PT!A1110</f>
        <v>0</v>
      </c>
      <c r="C1108" s="77">
        <f t="shared" si="20"/>
        <v>1107</v>
      </c>
    </row>
    <row r="1109" spans="1:3" x14ac:dyDescent="0.2">
      <c r="A1109" s="78">
        <v>46765</v>
      </c>
      <c r="B1109" s="77">
        <f>+PT!A1111</f>
        <v>0</v>
      </c>
      <c r="C1109" s="77">
        <f t="shared" si="20"/>
        <v>1108</v>
      </c>
    </row>
    <row r="1110" spans="1:3" x14ac:dyDescent="0.2">
      <c r="A1110" s="78">
        <v>46766</v>
      </c>
      <c r="B1110" s="77">
        <f>+PT!A1112</f>
        <v>0</v>
      </c>
      <c r="C1110" s="77">
        <f t="shared" si="20"/>
        <v>1109</v>
      </c>
    </row>
    <row r="1111" spans="1:3" x14ac:dyDescent="0.2">
      <c r="A1111" s="78">
        <v>46767</v>
      </c>
      <c r="B1111" s="77">
        <f>+PT!A1113</f>
        <v>0</v>
      </c>
      <c r="C1111" s="77">
        <f t="shared" si="20"/>
        <v>1110</v>
      </c>
    </row>
    <row r="1112" spans="1:3" x14ac:dyDescent="0.2">
      <c r="A1112" s="78">
        <v>46768</v>
      </c>
      <c r="B1112" s="77">
        <f>+PT!A1114</f>
        <v>0</v>
      </c>
      <c r="C1112" s="77">
        <f t="shared" si="20"/>
        <v>1111</v>
      </c>
    </row>
    <row r="1113" spans="1:3" x14ac:dyDescent="0.2">
      <c r="A1113" s="78">
        <v>46769</v>
      </c>
      <c r="B1113" s="77">
        <f>+PT!A1115</f>
        <v>0</v>
      </c>
      <c r="C1113" s="77">
        <f t="shared" si="20"/>
        <v>1112</v>
      </c>
    </row>
    <row r="1114" spans="1:3" x14ac:dyDescent="0.2">
      <c r="A1114" s="78">
        <v>46770</v>
      </c>
      <c r="B1114" s="77">
        <f>+PT!A1116</f>
        <v>0</v>
      </c>
      <c r="C1114" s="77">
        <f t="shared" si="20"/>
        <v>1113</v>
      </c>
    </row>
    <row r="1115" spans="1:3" x14ac:dyDescent="0.2">
      <c r="A1115" s="78">
        <v>46771</v>
      </c>
      <c r="B1115" s="77">
        <f>+PT!A1117</f>
        <v>0</v>
      </c>
      <c r="C1115" s="77">
        <f t="shared" si="20"/>
        <v>1114</v>
      </c>
    </row>
    <row r="1116" spans="1:3" x14ac:dyDescent="0.2">
      <c r="A1116" s="78">
        <v>46772</v>
      </c>
      <c r="B1116" s="77">
        <f>+PT!A1118</f>
        <v>0</v>
      </c>
      <c r="C1116" s="77">
        <f t="shared" si="20"/>
        <v>1115</v>
      </c>
    </row>
    <row r="1117" spans="1:3" x14ac:dyDescent="0.2">
      <c r="A1117" s="78">
        <v>46773</v>
      </c>
      <c r="B1117" s="77">
        <f>+PT!A1119</f>
        <v>0</v>
      </c>
      <c r="C1117" s="77">
        <f t="shared" si="20"/>
        <v>1116</v>
      </c>
    </row>
    <row r="1118" spans="1:3" x14ac:dyDescent="0.2">
      <c r="A1118" s="78">
        <v>46774</v>
      </c>
      <c r="B1118" s="77">
        <f>+PT!A1120</f>
        <v>0</v>
      </c>
      <c r="C1118" s="77">
        <f t="shared" si="20"/>
        <v>1117</v>
      </c>
    </row>
    <row r="1119" spans="1:3" x14ac:dyDescent="0.2">
      <c r="A1119" s="78">
        <v>46775</v>
      </c>
      <c r="B1119" s="77">
        <f>+PT!A1121</f>
        <v>0</v>
      </c>
      <c r="C1119" s="77">
        <f t="shared" si="20"/>
        <v>1118</v>
      </c>
    </row>
    <row r="1120" spans="1:3" x14ac:dyDescent="0.2">
      <c r="A1120" s="78">
        <v>46776</v>
      </c>
      <c r="B1120" s="77">
        <f>+PT!A1122</f>
        <v>0</v>
      </c>
      <c r="C1120" s="77">
        <f t="shared" si="20"/>
        <v>1119</v>
      </c>
    </row>
    <row r="1121" spans="1:3" x14ac:dyDescent="0.2">
      <c r="A1121" s="78">
        <v>46777</v>
      </c>
      <c r="B1121" s="77">
        <f>+PT!A1123</f>
        <v>0</v>
      </c>
      <c r="C1121" s="77">
        <f t="shared" si="20"/>
        <v>1120</v>
      </c>
    </row>
    <row r="1122" spans="1:3" x14ac:dyDescent="0.2">
      <c r="A1122" s="78">
        <v>46778</v>
      </c>
      <c r="B1122" s="77">
        <f>+PT!A1124</f>
        <v>0</v>
      </c>
      <c r="C1122" s="77">
        <f t="shared" si="20"/>
        <v>1121</v>
      </c>
    </row>
    <row r="1123" spans="1:3" x14ac:dyDescent="0.2">
      <c r="A1123" s="78">
        <v>46779</v>
      </c>
      <c r="B1123" s="77">
        <f>+PT!A1125</f>
        <v>0</v>
      </c>
      <c r="C1123" s="77">
        <f t="shared" si="20"/>
        <v>1122</v>
      </c>
    </row>
    <row r="1124" spans="1:3" x14ac:dyDescent="0.2">
      <c r="A1124" s="78">
        <v>46780</v>
      </c>
      <c r="B1124" s="77">
        <f>+PT!A1126</f>
        <v>0</v>
      </c>
      <c r="C1124" s="77">
        <f t="shared" si="20"/>
        <v>1123</v>
      </c>
    </row>
    <row r="1125" spans="1:3" x14ac:dyDescent="0.2">
      <c r="A1125" s="78">
        <v>46781</v>
      </c>
      <c r="B1125" s="77">
        <f>+PT!A1127</f>
        <v>0</v>
      </c>
      <c r="C1125" s="77">
        <f t="shared" si="20"/>
        <v>1124</v>
      </c>
    </row>
    <row r="1126" spans="1:3" x14ac:dyDescent="0.2">
      <c r="A1126" s="78">
        <v>46782</v>
      </c>
      <c r="B1126" s="77">
        <f>+PT!A1128</f>
        <v>0</v>
      </c>
      <c r="C1126" s="77">
        <f t="shared" si="20"/>
        <v>1125</v>
      </c>
    </row>
    <row r="1127" spans="1:3" x14ac:dyDescent="0.2">
      <c r="A1127" s="78">
        <v>46783</v>
      </c>
      <c r="B1127" s="77">
        <f>+PT!A1129</f>
        <v>0</v>
      </c>
      <c r="C1127" s="77">
        <f t="shared" si="20"/>
        <v>1126</v>
      </c>
    </row>
    <row r="1128" spans="1:3" x14ac:dyDescent="0.2">
      <c r="A1128" s="78">
        <v>46784</v>
      </c>
      <c r="B1128" s="77">
        <f>+PT!A1130</f>
        <v>0</v>
      </c>
      <c r="C1128" s="77">
        <f t="shared" si="20"/>
        <v>1127</v>
      </c>
    </row>
    <row r="1129" spans="1:3" x14ac:dyDescent="0.2">
      <c r="A1129" s="78">
        <v>46785</v>
      </c>
      <c r="B1129" s="77">
        <f>+PT!A1131</f>
        <v>0</v>
      </c>
      <c r="C1129" s="77">
        <f t="shared" si="20"/>
        <v>1128</v>
      </c>
    </row>
    <row r="1130" spans="1:3" x14ac:dyDescent="0.2">
      <c r="A1130" s="78">
        <v>46786</v>
      </c>
      <c r="B1130" s="77">
        <f>+PT!A1132</f>
        <v>0</v>
      </c>
      <c r="C1130" s="77">
        <f t="shared" si="20"/>
        <v>1129</v>
      </c>
    </row>
    <row r="1131" spans="1:3" x14ac:dyDescent="0.2">
      <c r="A1131" s="78">
        <v>46787</v>
      </c>
      <c r="B1131" s="77">
        <f>+PT!A1133</f>
        <v>0</v>
      </c>
      <c r="C1131" s="77">
        <f t="shared" si="20"/>
        <v>1130</v>
      </c>
    </row>
    <row r="1132" spans="1:3" x14ac:dyDescent="0.2">
      <c r="A1132" s="78">
        <v>46788</v>
      </c>
      <c r="B1132" s="77">
        <f>+PT!A1134</f>
        <v>0</v>
      </c>
      <c r="C1132" s="77">
        <f t="shared" si="20"/>
        <v>1131</v>
      </c>
    </row>
    <row r="1133" spans="1:3" x14ac:dyDescent="0.2">
      <c r="A1133" s="78">
        <v>46789</v>
      </c>
      <c r="B1133" s="77">
        <f>+PT!A1135</f>
        <v>0</v>
      </c>
      <c r="C1133" s="77">
        <f t="shared" si="20"/>
        <v>1132</v>
      </c>
    </row>
    <row r="1134" spans="1:3" x14ac:dyDescent="0.2">
      <c r="A1134" s="78">
        <v>46790</v>
      </c>
      <c r="B1134" s="77">
        <f>+PT!A1136</f>
        <v>0</v>
      </c>
      <c r="C1134" s="77">
        <f t="shared" si="20"/>
        <v>1133</v>
      </c>
    </row>
    <row r="1135" spans="1:3" x14ac:dyDescent="0.2">
      <c r="A1135" s="78">
        <v>46791</v>
      </c>
      <c r="B1135" s="77">
        <f>+PT!A1137</f>
        <v>0</v>
      </c>
      <c r="C1135" s="77">
        <f t="shared" si="20"/>
        <v>1134</v>
      </c>
    </row>
    <row r="1136" spans="1:3" x14ac:dyDescent="0.2">
      <c r="A1136" s="78">
        <v>46792</v>
      </c>
      <c r="B1136" s="77">
        <f>+PT!A1138</f>
        <v>0</v>
      </c>
      <c r="C1136" s="77">
        <f t="shared" si="20"/>
        <v>1135</v>
      </c>
    </row>
    <row r="1137" spans="1:3" x14ac:dyDescent="0.2">
      <c r="A1137" s="78">
        <v>46793</v>
      </c>
      <c r="B1137" s="77">
        <f>+PT!A1139</f>
        <v>0</v>
      </c>
      <c r="C1137" s="77">
        <f t="shared" si="20"/>
        <v>1136</v>
      </c>
    </row>
    <row r="1138" spans="1:3" x14ac:dyDescent="0.2">
      <c r="A1138" s="78">
        <v>46794</v>
      </c>
      <c r="B1138" s="77">
        <f>+PT!A1140</f>
        <v>0</v>
      </c>
      <c r="C1138" s="77">
        <f t="shared" si="20"/>
        <v>1137</v>
      </c>
    </row>
    <row r="1139" spans="1:3" x14ac:dyDescent="0.2">
      <c r="A1139" s="78">
        <v>46795</v>
      </c>
      <c r="B1139" s="77">
        <f>+PT!A1141</f>
        <v>0</v>
      </c>
      <c r="C1139" s="77">
        <f t="shared" si="20"/>
        <v>1138</v>
      </c>
    </row>
    <row r="1140" spans="1:3" x14ac:dyDescent="0.2">
      <c r="A1140" s="78">
        <v>46796</v>
      </c>
      <c r="B1140" s="77">
        <f>+PT!A1142</f>
        <v>0</v>
      </c>
      <c r="C1140" s="77">
        <f t="shared" si="20"/>
        <v>1139</v>
      </c>
    </row>
    <row r="1141" spans="1:3" x14ac:dyDescent="0.2">
      <c r="A1141" s="78">
        <v>46797</v>
      </c>
      <c r="B1141" s="77">
        <f>+PT!A1143</f>
        <v>0</v>
      </c>
      <c r="C1141" s="77">
        <f t="shared" si="20"/>
        <v>1140</v>
      </c>
    </row>
    <row r="1142" spans="1:3" x14ac:dyDescent="0.2">
      <c r="A1142" s="78">
        <v>46798</v>
      </c>
      <c r="B1142" s="77">
        <f>+PT!A1144</f>
        <v>0</v>
      </c>
      <c r="C1142" s="77">
        <f t="shared" si="20"/>
        <v>1141</v>
      </c>
    </row>
    <row r="1143" spans="1:3" x14ac:dyDescent="0.2">
      <c r="A1143" s="78">
        <v>46799</v>
      </c>
      <c r="B1143" s="77">
        <f>+PT!A1145</f>
        <v>0</v>
      </c>
      <c r="C1143" s="77">
        <f t="shared" si="20"/>
        <v>1142</v>
      </c>
    </row>
    <row r="1144" spans="1:3" x14ac:dyDescent="0.2">
      <c r="A1144" s="78">
        <v>46800</v>
      </c>
      <c r="B1144" s="77">
        <f>+PT!A1146</f>
        <v>0</v>
      </c>
      <c r="C1144" s="77">
        <f t="shared" si="20"/>
        <v>1143</v>
      </c>
    </row>
    <row r="1145" spans="1:3" x14ac:dyDescent="0.2">
      <c r="A1145" s="78">
        <v>46801</v>
      </c>
      <c r="B1145" s="77">
        <f>+PT!A1147</f>
        <v>0</v>
      </c>
      <c r="C1145" s="77">
        <f t="shared" si="20"/>
        <v>1144</v>
      </c>
    </row>
    <row r="1146" spans="1:3" x14ac:dyDescent="0.2">
      <c r="A1146" s="78">
        <v>46802</v>
      </c>
      <c r="B1146" s="77">
        <f>+PT!A1148</f>
        <v>0</v>
      </c>
      <c r="C1146" s="77">
        <f t="shared" si="20"/>
        <v>1145</v>
      </c>
    </row>
    <row r="1147" spans="1:3" x14ac:dyDescent="0.2">
      <c r="A1147" s="78">
        <v>46803</v>
      </c>
      <c r="B1147" s="77">
        <f>+PT!A1149</f>
        <v>0</v>
      </c>
      <c r="C1147" s="77">
        <f t="shared" si="20"/>
        <v>1146</v>
      </c>
    </row>
    <row r="1148" spans="1:3" x14ac:dyDescent="0.2">
      <c r="A1148" s="78">
        <v>46804</v>
      </c>
      <c r="B1148" s="77">
        <f>+PT!A1150</f>
        <v>0</v>
      </c>
      <c r="C1148" s="77">
        <f t="shared" si="20"/>
        <v>1147</v>
      </c>
    </row>
    <row r="1149" spans="1:3" x14ac:dyDescent="0.2">
      <c r="A1149" s="78">
        <v>46805</v>
      </c>
      <c r="B1149" s="77">
        <f>+PT!A1151</f>
        <v>0</v>
      </c>
      <c r="C1149" s="77">
        <f t="shared" si="20"/>
        <v>1148</v>
      </c>
    </row>
    <row r="1150" spans="1:3" x14ac:dyDescent="0.2">
      <c r="A1150" s="78">
        <v>46806</v>
      </c>
      <c r="B1150" s="77">
        <f>+PT!A1152</f>
        <v>0</v>
      </c>
      <c r="C1150" s="77">
        <f t="shared" si="20"/>
        <v>1149</v>
      </c>
    </row>
    <row r="1151" spans="1:3" x14ac:dyDescent="0.2">
      <c r="A1151" s="78">
        <v>46807</v>
      </c>
      <c r="B1151" s="77">
        <f>+PT!A1153</f>
        <v>0</v>
      </c>
      <c r="C1151" s="77">
        <f t="shared" si="20"/>
        <v>1150</v>
      </c>
    </row>
    <row r="1152" spans="1:3" x14ac:dyDescent="0.2">
      <c r="A1152" s="78">
        <v>46808</v>
      </c>
      <c r="B1152" s="77">
        <f>+PT!A1154</f>
        <v>0</v>
      </c>
      <c r="C1152" s="77">
        <f t="shared" si="20"/>
        <v>1151</v>
      </c>
    </row>
    <row r="1153" spans="1:3" x14ac:dyDescent="0.2">
      <c r="A1153" s="78">
        <v>46809</v>
      </c>
      <c r="B1153" s="77">
        <f>+PT!A1155</f>
        <v>0</v>
      </c>
      <c r="C1153" s="77">
        <f t="shared" si="20"/>
        <v>1152</v>
      </c>
    </row>
    <row r="1154" spans="1:3" x14ac:dyDescent="0.2">
      <c r="A1154" s="78">
        <v>46810</v>
      </c>
      <c r="B1154" s="77">
        <f>+PT!A1156</f>
        <v>0</v>
      </c>
      <c r="C1154" s="77">
        <f t="shared" si="20"/>
        <v>1153</v>
      </c>
    </row>
    <row r="1155" spans="1:3" x14ac:dyDescent="0.2">
      <c r="A1155" s="78">
        <v>46811</v>
      </c>
      <c r="B1155" s="77">
        <f>+PT!A1157</f>
        <v>0</v>
      </c>
      <c r="C1155" s="77">
        <f t="shared" si="20"/>
        <v>1154</v>
      </c>
    </row>
    <row r="1156" spans="1:3" x14ac:dyDescent="0.2">
      <c r="A1156" s="78">
        <v>46812</v>
      </c>
      <c r="B1156" s="77">
        <f>+PT!A1158</f>
        <v>0</v>
      </c>
      <c r="C1156" s="77">
        <f t="shared" ref="C1156:C1219" si="21">+C1155+1</f>
        <v>1155</v>
      </c>
    </row>
    <row r="1157" spans="1:3" x14ac:dyDescent="0.2">
      <c r="A1157" s="78">
        <v>46813</v>
      </c>
      <c r="B1157" s="77">
        <f>+PT!A1159</f>
        <v>0</v>
      </c>
      <c r="C1157" s="77">
        <f t="shared" si="21"/>
        <v>1156</v>
      </c>
    </row>
    <row r="1158" spans="1:3" x14ac:dyDescent="0.2">
      <c r="A1158" s="78">
        <v>46814</v>
      </c>
      <c r="B1158" s="77">
        <f>+PT!A1160</f>
        <v>0</v>
      </c>
      <c r="C1158" s="77">
        <f t="shared" si="21"/>
        <v>1157</v>
      </c>
    </row>
    <row r="1159" spans="1:3" x14ac:dyDescent="0.2">
      <c r="A1159" s="78">
        <v>46815</v>
      </c>
      <c r="B1159" s="77">
        <f>+PT!A1161</f>
        <v>0</v>
      </c>
      <c r="C1159" s="77">
        <f t="shared" si="21"/>
        <v>1158</v>
      </c>
    </row>
    <row r="1160" spans="1:3" x14ac:dyDescent="0.2">
      <c r="A1160" s="78">
        <v>46816</v>
      </c>
      <c r="B1160" s="77">
        <f>+PT!A1162</f>
        <v>0</v>
      </c>
      <c r="C1160" s="77">
        <f t="shared" si="21"/>
        <v>1159</v>
      </c>
    </row>
    <row r="1161" spans="1:3" x14ac:dyDescent="0.2">
      <c r="A1161" s="78">
        <v>46817</v>
      </c>
      <c r="B1161" s="77">
        <f>+PT!A1163</f>
        <v>0</v>
      </c>
      <c r="C1161" s="77">
        <f t="shared" si="21"/>
        <v>1160</v>
      </c>
    </row>
    <row r="1162" spans="1:3" x14ac:dyDescent="0.2">
      <c r="A1162" s="78">
        <v>46818</v>
      </c>
      <c r="B1162" s="77">
        <f>+PT!A1164</f>
        <v>0</v>
      </c>
      <c r="C1162" s="77">
        <f t="shared" si="21"/>
        <v>1161</v>
      </c>
    </row>
    <row r="1163" spans="1:3" x14ac:dyDescent="0.2">
      <c r="A1163" s="78">
        <v>46819</v>
      </c>
      <c r="B1163" s="77">
        <f>+PT!A1165</f>
        <v>0</v>
      </c>
      <c r="C1163" s="77">
        <f t="shared" si="21"/>
        <v>1162</v>
      </c>
    </row>
    <row r="1164" spans="1:3" x14ac:dyDescent="0.2">
      <c r="A1164" s="78">
        <v>46820</v>
      </c>
      <c r="B1164" s="77">
        <f>+PT!A1166</f>
        <v>0</v>
      </c>
      <c r="C1164" s="77">
        <f t="shared" si="21"/>
        <v>1163</v>
      </c>
    </row>
    <row r="1165" spans="1:3" x14ac:dyDescent="0.2">
      <c r="A1165" s="78">
        <v>46821</v>
      </c>
      <c r="B1165" s="77">
        <f>+PT!A1167</f>
        <v>0</v>
      </c>
      <c r="C1165" s="77">
        <f t="shared" si="21"/>
        <v>1164</v>
      </c>
    </row>
    <row r="1166" spans="1:3" x14ac:dyDescent="0.2">
      <c r="A1166" s="78">
        <v>46822</v>
      </c>
      <c r="B1166" s="77">
        <f>+PT!A1168</f>
        <v>0</v>
      </c>
      <c r="C1166" s="77">
        <f t="shared" si="21"/>
        <v>1165</v>
      </c>
    </row>
    <row r="1167" spans="1:3" x14ac:dyDescent="0.2">
      <c r="A1167" s="78">
        <v>46823</v>
      </c>
      <c r="B1167" s="77">
        <f>+PT!A1169</f>
        <v>0</v>
      </c>
      <c r="C1167" s="77">
        <f t="shared" si="21"/>
        <v>1166</v>
      </c>
    </row>
    <row r="1168" spans="1:3" x14ac:dyDescent="0.2">
      <c r="A1168" s="78">
        <v>46824</v>
      </c>
      <c r="B1168" s="77">
        <f>+PT!A1170</f>
        <v>0</v>
      </c>
      <c r="C1168" s="77">
        <f t="shared" si="21"/>
        <v>1167</v>
      </c>
    </row>
    <row r="1169" spans="1:3" x14ac:dyDescent="0.2">
      <c r="A1169" s="78">
        <v>46825</v>
      </c>
      <c r="B1169" s="77">
        <f>+PT!A1171</f>
        <v>0</v>
      </c>
      <c r="C1169" s="77">
        <f t="shared" si="21"/>
        <v>1168</v>
      </c>
    </row>
    <row r="1170" spans="1:3" x14ac:dyDescent="0.2">
      <c r="A1170" s="78">
        <v>46826</v>
      </c>
      <c r="B1170" s="77">
        <f>+PT!A1172</f>
        <v>0</v>
      </c>
      <c r="C1170" s="77">
        <f t="shared" si="21"/>
        <v>1169</v>
      </c>
    </row>
    <row r="1171" spans="1:3" x14ac:dyDescent="0.2">
      <c r="A1171" s="78">
        <v>46827</v>
      </c>
      <c r="B1171" s="77">
        <f>+PT!A1173</f>
        <v>0</v>
      </c>
      <c r="C1171" s="77">
        <f t="shared" si="21"/>
        <v>1170</v>
      </c>
    </row>
    <row r="1172" spans="1:3" x14ac:dyDescent="0.2">
      <c r="A1172" s="78">
        <v>46828</v>
      </c>
      <c r="B1172" s="77">
        <f>+PT!A1174</f>
        <v>0</v>
      </c>
      <c r="C1172" s="77">
        <f t="shared" si="21"/>
        <v>1171</v>
      </c>
    </row>
    <row r="1173" spans="1:3" x14ac:dyDescent="0.2">
      <c r="A1173" s="78">
        <v>46829</v>
      </c>
      <c r="B1173" s="77">
        <f>+PT!A1175</f>
        <v>0</v>
      </c>
      <c r="C1173" s="77">
        <f t="shared" si="21"/>
        <v>1172</v>
      </c>
    </row>
    <row r="1174" spans="1:3" x14ac:dyDescent="0.2">
      <c r="A1174" s="78">
        <v>46830</v>
      </c>
      <c r="B1174" s="77">
        <f>+PT!A1176</f>
        <v>0</v>
      </c>
      <c r="C1174" s="77">
        <f t="shared" si="21"/>
        <v>1173</v>
      </c>
    </row>
    <row r="1175" spans="1:3" x14ac:dyDescent="0.2">
      <c r="A1175" s="78">
        <v>46831</v>
      </c>
      <c r="B1175" s="77">
        <f>+PT!A1177</f>
        <v>0</v>
      </c>
      <c r="C1175" s="77">
        <f t="shared" si="21"/>
        <v>1174</v>
      </c>
    </row>
    <row r="1176" spans="1:3" x14ac:dyDescent="0.2">
      <c r="A1176" s="78">
        <v>46832</v>
      </c>
      <c r="B1176" s="77">
        <f>+PT!A1178</f>
        <v>0</v>
      </c>
      <c r="C1176" s="77">
        <f t="shared" si="21"/>
        <v>1175</v>
      </c>
    </row>
    <row r="1177" spans="1:3" x14ac:dyDescent="0.2">
      <c r="A1177" s="78">
        <v>46833</v>
      </c>
      <c r="B1177" s="77">
        <f>+PT!A1179</f>
        <v>0</v>
      </c>
      <c r="C1177" s="77">
        <f t="shared" si="21"/>
        <v>1176</v>
      </c>
    </row>
    <row r="1178" spans="1:3" x14ac:dyDescent="0.2">
      <c r="A1178" s="78">
        <v>46834</v>
      </c>
      <c r="B1178" s="77">
        <f>+PT!A1180</f>
        <v>0</v>
      </c>
      <c r="C1178" s="77">
        <f t="shared" si="21"/>
        <v>1177</v>
      </c>
    </row>
    <row r="1179" spans="1:3" x14ac:dyDescent="0.2">
      <c r="A1179" s="78">
        <v>46835</v>
      </c>
      <c r="B1179" s="77">
        <f>+PT!A1181</f>
        <v>0</v>
      </c>
      <c r="C1179" s="77">
        <f t="shared" si="21"/>
        <v>1178</v>
      </c>
    </row>
    <row r="1180" spans="1:3" x14ac:dyDescent="0.2">
      <c r="A1180" s="78">
        <v>46836</v>
      </c>
      <c r="B1180" s="77">
        <f>+PT!A1182</f>
        <v>0</v>
      </c>
      <c r="C1180" s="77">
        <f t="shared" si="21"/>
        <v>1179</v>
      </c>
    </row>
    <row r="1181" spans="1:3" x14ac:dyDescent="0.2">
      <c r="A1181" s="78">
        <v>46837</v>
      </c>
      <c r="B1181" s="77">
        <f>+PT!A1183</f>
        <v>0</v>
      </c>
      <c r="C1181" s="77">
        <f t="shared" si="21"/>
        <v>1180</v>
      </c>
    </row>
    <row r="1182" spans="1:3" x14ac:dyDescent="0.2">
      <c r="A1182" s="78">
        <v>46838</v>
      </c>
      <c r="B1182" s="77">
        <f>+PT!A1184</f>
        <v>0</v>
      </c>
      <c r="C1182" s="77">
        <f t="shared" si="21"/>
        <v>1181</v>
      </c>
    </row>
    <row r="1183" spans="1:3" x14ac:dyDescent="0.2">
      <c r="A1183" s="78">
        <v>46839</v>
      </c>
      <c r="B1183" s="77">
        <f>+PT!A1185</f>
        <v>0</v>
      </c>
      <c r="C1183" s="77">
        <f t="shared" si="21"/>
        <v>1182</v>
      </c>
    </row>
    <row r="1184" spans="1:3" x14ac:dyDescent="0.2">
      <c r="A1184" s="78">
        <v>46840</v>
      </c>
      <c r="B1184" s="77">
        <f>+PT!A1186</f>
        <v>0</v>
      </c>
      <c r="C1184" s="77">
        <f t="shared" si="21"/>
        <v>1183</v>
      </c>
    </row>
    <row r="1185" spans="1:3" x14ac:dyDescent="0.2">
      <c r="A1185" s="78">
        <v>46841</v>
      </c>
      <c r="B1185" s="77">
        <f>+PT!A1187</f>
        <v>0</v>
      </c>
      <c r="C1185" s="77">
        <f t="shared" si="21"/>
        <v>1184</v>
      </c>
    </row>
    <row r="1186" spans="1:3" x14ac:dyDescent="0.2">
      <c r="A1186" s="78">
        <v>46842</v>
      </c>
      <c r="B1186" s="77">
        <f>+PT!A1188</f>
        <v>0</v>
      </c>
      <c r="C1186" s="77">
        <f t="shared" si="21"/>
        <v>1185</v>
      </c>
    </row>
    <row r="1187" spans="1:3" x14ac:dyDescent="0.2">
      <c r="A1187" s="78">
        <v>46843</v>
      </c>
      <c r="B1187" s="77">
        <f>+PT!A1189</f>
        <v>0</v>
      </c>
      <c r="C1187" s="77">
        <f t="shared" si="21"/>
        <v>1186</v>
      </c>
    </row>
    <row r="1188" spans="1:3" x14ac:dyDescent="0.2">
      <c r="A1188" s="78">
        <v>46844</v>
      </c>
      <c r="B1188" s="77">
        <f>+PT!A1190</f>
        <v>0</v>
      </c>
      <c r="C1188" s="77">
        <f t="shared" si="21"/>
        <v>1187</v>
      </c>
    </row>
    <row r="1189" spans="1:3" x14ac:dyDescent="0.2">
      <c r="A1189" s="78">
        <v>46845</v>
      </c>
      <c r="B1189" s="77">
        <f>+PT!A1191</f>
        <v>0</v>
      </c>
      <c r="C1189" s="77">
        <f t="shared" si="21"/>
        <v>1188</v>
      </c>
    </row>
    <row r="1190" spans="1:3" x14ac:dyDescent="0.2">
      <c r="A1190" s="78">
        <v>46846</v>
      </c>
      <c r="B1190" s="77">
        <f>+PT!A1192</f>
        <v>0</v>
      </c>
      <c r="C1190" s="77">
        <f t="shared" si="21"/>
        <v>1189</v>
      </c>
    </row>
    <row r="1191" spans="1:3" x14ac:dyDescent="0.2">
      <c r="A1191" s="78">
        <v>46847</v>
      </c>
      <c r="B1191" s="77">
        <f>+PT!A1193</f>
        <v>0</v>
      </c>
      <c r="C1191" s="77">
        <f t="shared" si="21"/>
        <v>1190</v>
      </c>
    </row>
    <row r="1192" spans="1:3" x14ac:dyDescent="0.2">
      <c r="A1192" s="78">
        <v>46848</v>
      </c>
      <c r="B1192" s="77">
        <f>+PT!A1194</f>
        <v>0</v>
      </c>
      <c r="C1192" s="77">
        <f t="shared" si="21"/>
        <v>1191</v>
      </c>
    </row>
    <row r="1193" spans="1:3" x14ac:dyDescent="0.2">
      <c r="A1193" s="78">
        <v>46849</v>
      </c>
      <c r="B1193" s="77">
        <f>+PT!A1195</f>
        <v>0</v>
      </c>
      <c r="C1193" s="77">
        <f t="shared" si="21"/>
        <v>1192</v>
      </c>
    </row>
    <row r="1194" spans="1:3" x14ac:dyDescent="0.2">
      <c r="A1194" s="78">
        <v>46850</v>
      </c>
      <c r="B1194" s="77">
        <f>+PT!A1196</f>
        <v>0</v>
      </c>
      <c r="C1194" s="77">
        <f t="shared" si="21"/>
        <v>1193</v>
      </c>
    </row>
    <row r="1195" spans="1:3" x14ac:dyDescent="0.2">
      <c r="A1195" s="78">
        <v>46851</v>
      </c>
      <c r="B1195" s="77">
        <f>+PT!A1197</f>
        <v>0</v>
      </c>
      <c r="C1195" s="77">
        <f t="shared" si="21"/>
        <v>1194</v>
      </c>
    </row>
    <row r="1196" spans="1:3" x14ac:dyDescent="0.2">
      <c r="A1196" s="78">
        <v>46852</v>
      </c>
      <c r="B1196" s="77">
        <f>+PT!A1198</f>
        <v>0</v>
      </c>
      <c r="C1196" s="77">
        <f t="shared" si="21"/>
        <v>1195</v>
      </c>
    </row>
    <row r="1197" spans="1:3" x14ac:dyDescent="0.2">
      <c r="A1197" s="78">
        <v>46853</v>
      </c>
      <c r="B1197" s="77">
        <f>+PT!A1199</f>
        <v>0</v>
      </c>
      <c r="C1197" s="77">
        <f t="shared" si="21"/>
        <v>1196</v>
      </c>
    </row>
    <row r="1198" spans="1:3" x14ac:dyDescent="0.2">
      <c r="A1198" s="78">
        <v>46854</v>
      </c>
      <c r="B1198" s="77">
        <f>+PT!A1200</f>
        <v>0</v>
      </c>
      <c r="C1198" s="77">
        <f t="shared" si="21"/>
        <v>1197</v>
      </c>
    </row>
    <row r="1199" spans="1:3" x14ac:dyDescent="0.2">
      <c r="A1199" s="78">
        <v>46855</v>
      </c>
      <c r="B1199" s="77">
        <f>+PT!A1201</f>
        <v>0</v>
      </c>
      <c r="C1199" s="77">
        <f t="shared" si="21"/>
        <v>1198</v>
      </c>
    </row>
    <row r="1200" spans="1:3" x14ac:dyDescent="0.2">
      <c r="A1200" s="78">
        <v>46856</v>
      </c>
      <c r="B1200" s="77">
        <f>+PT!A1202</f>
        <v>0</v>
      </c>
      <c r="C1200" s="77">
        <f t="shared" si="21"/>
        <v>1199</v>
      </c>
    </row>
    <row r="1201" spans="1:3" x14ac:dyDescent="0.2">
      <c r="A1201" s="78">
        <v>46857</v>
      </c>
      <c r="B1201" s="77">
        <f>+PT!A1203</f>
        <v>0</v>
      </c>
      <c r="C1201" s="77">
        <f t="shared" si="21"/>
        <v>1200</v>
      </c>
    </row>
    <row r="1202" spans="1:3" x14ac:dyDescent="0.2">
      <c r="A1202" s="78">
        <v>46858</v>
      </c>
      <c r="B1202" s="77">
        <f>+PT!A1204</f>
        <v>0</v>
      </c>
      <c r="C1202" s="77">
        <f t="shared" si="21"/>
        <v>1201</v>
      </c>
    </row>
    <row r="1203" spans="1:3" x14ac:dyDescent="0.2">
      <c r="A1203" s="78">
        <v>46859</v>
      </c>
      <c r="B1203" s="77">
        <f>+PT!A1205</f>
        <v>0</v>
      </c>
      <c r="C1203" s="77">
        <f t="shared" si="21"/>
        <v>1202</v>
      </c>
    </row>
    <row r="1204" spans="1:3" x14ac:dyDescent="0.2">
      <c r="A1204" s="78">
        <v>46860</v>
      </c>
      <c r="B1204" s="77">
        <f>+PT!A1206</f>
        <v>0</v>
      </c>
      <c r="C1204" s="77">
        <f t="shared" si="21"/>
        <v>1203</v>
      </c>
    </row>
    <row r="1205" spans="1:3" x14ac:dyDescent="0.2">
      <c r="A1205" s="78">
        <v>46861</v>
      </c>
      <c r="B1205" s="77">
        <f>+PT!A1207</f>
        <v>0</v>
      </c>
      <c r="C1205" s="77">
        <f t="shared" si="21"/>
        <v>1204</v>
      </c>
    </row>
    <row r="1206" spans="1:3" x14ac:dyDescent="0.2">
      <c r="A1206" s="78">
        <v>46862</v>
      </c>
      <c r="B1206" s="77">
        <f>+PT!A1208</f>
        <v>0</v>
      </c>
      <c r="C1206" s="77">
        <f t="shared" si="21"/>
        <v>1205</v>
      </c>
    </row>
    <row r="1207" spans="1:3" x14ac:dyDescent="0.2">
      <c r="A1207" s="78">
        <v>46863</v>
      </c>
      <c r="B1207" s="77">
        <f>+PT!A1209</f>
        <v>0</v>
      </c>
      <c r="C1207" s="77">
        <f t="shared" si="21"/>
        <v>1206</v>
      </c>
    </row>
    <row r="1208" spans="1:3" x14ac:dyDescent="0.2">
      <c r="A1208" s="78">
        <v>46864</v>
      </c>
      <c r="B1208" s="77">
        <f>+PT!A1210</f>
        <v>0</v>
      </c>
      <c r="C1208" s="77">
        <f t="shared" si="21"/>
        <v>1207</v>
      </c>
    </row>
    <row r="1209" spans="1:3" x14ac:dyDescent="0.2">
      <c r="A1209" s="78">
        <v>46865</v>
      </c>
      <c r="B1209" s="77">
        <f>+PT!A1211</f>
        <v>0</v>
      </c>
      <c r="C1209" s="77">
        <f t="shared" si="21"/>
        <v>1208</v>
      </c>
    </row>
    <row r="1210" spans="1:3" x14ac:dyDescent="0.2">
      <c r="A1210" s="78">
        <v>46866</v>
      </c>
      <c r="B1210" s="77">
        <f>+PT!A1212</f>
        <v>0</v>
      </c>
      <c r="C1210" s="77">
        <f t="shared" si="21"/>
        <v>1209</v>
      </c>
    </row>
    <row r="1211" spans="1:3" x14ac:dyDescent="0.2">
      <c r="A1211" s="78">
        <v>46867</v>
      </c>
      <c r="B1211" s="77">
        <f>+PT!A1213</f>
        <v>0</v>
      </c>
      <c r="C1211" s="77">
        <f t="shared" si="21"/>
        <v>1210</v>
      </c>
    </row>
    <row r="1212" spans="1:3" x14ac:dyDescent="0.2">
      <c r="A1212" s="78">
        <v>46868</v>
      </c>
      <c r="B1212" s="77">
        <f>+PT!A1214</f>
        <v>0</v>
      </c>
      <c r="C1212" s="77">
        <f t="shared" si="21"/>
        <v>1211</v>
      </c>
    </row>
    <row r="1213" spans="1:3" x14ac:dyDescent="0.2">
      <c r="A1213" s="78">
        <v>46869</v>
      </c>
      <c r="B1213" s="77">
        <f>+PT!A1215</f>
        <v>0</v>
      </c>
      <c r="C1213" s="77">
        <f t="shared" si="21"/>
        <v>1212</v>
      </c>
    </row>
    <row r="1214" spans="1:3" x14ac:dyDescent="0.2">
      <c r="A1214" s="78">
        <v>46870</v>
      </c>
      <c r="B1214" s="77">
        <f>+PT!A1216</f>
        <v>0</v>
      </c>
      <c r="C1214" s="77">
        <f t="shared" si="21"/>
        <v>1213</v>
      </c>
    </row>
    <row r="1215" spans="1:3" x14ac:dyDescent="0.2">
      <c r="A1215" s="78">
        <v>46871</v>
      </c>
      <c r="B1215" s="77">
        <f>+PT!A1217</f>
        <v>0</v>
      </c>
      <c r="C1215" s="77">
        <f t="shared" si="21"/>
        <v>1214</v>
      </c>
    </row>
    <row r="1216" spans="1:3" x14ac:dyDescent="0.2">
      <c r="A1216" s="78">
        <v>46872</v>
      </c>
      <c r="B1216" s="77">
        <f>+PT!A1218</f>
        <v>0</v>
      </c>
      <c r="C1216" s="77">
        <f t="shared" si="21"/>
        <v>1215</v>
      </c>
    </row>
    <row r="1217" spans="1:3" x14ac:dyDescent="0.2">
      <c r="A1217" s="78">
        <v>46873</v>
      </c>
      <c r="B1217" s="77">
        <f>+PT!A1219</f>
        <v>0</v>
      </c>
      <c r="C1217" s="77">
        <f t="shared" si="21"/>
        <v>1216</v>
      </c>
    </row>
    <row r="1218" spans="1:3" x14ac:dyDescent="0.2">
      <c r="A1218" s="78">
        <v>46874</v>
      </c>
      <c r="B1218" s="77">
        <f>+PT!A1220</f>
        <v>0</v>
      </c>
      <c r="C1218" s="77">
        <f t="shared" si="21"/>
        <v>1217</v>
      </c>
    </row>
    <row r="1219" spans="1:3" x14ac:dyDescent="0.2">
      <c r="A1219" s="78">
        <v>46875</v>
      </c>
      <c r="B1219" s="77">
        <f>+PT!A1221</f>
        <v>0</v>
      </c>
      <c r="C1219" s="77">
        <f t="shared" si="21"/>
        <v>1218</v>
      </c>
    </row>
    <row r="1220" spans="1:3" x14ac:dyDescent="0.2">
      <c r="A1220" s="78">
        <v>46876</v>
      </c>
      <c r="B1220" s="77">
        <f>+PT!A1222</f>
        <v>0</v>
      </c>
      <c r="C1220" s="77">
        <f t="shared" ref="C1220:C1283" si="22">+C1219+1</f>
        <v>1219</v>
      </c>
    </row>
    <row r="1221" spans="1:3" x14ac:dyDescent="0.2">
      <c r="A1221" s="78">
        <v>46877</v>
      </c>
      <c r="B1221" s="77">
        <f>+PT!A1223</f>
        <v>0</v>
      </c>
      <c r="C1221" s="77">
        <f t="shared" si="22"/>
        <v>1220</v>
      </c>
    </row>
    <row r="1222" spans="1:3" x14ac:dyDescent="0.2">
      <c r="A1222" s="78">
        <v>46878</v>
      </c>
      <c r="B1222" s="77">
        <f>+PT!A1224</f>
        <v>0</v>
      </c>
      <c r="C1222" s="77">
        <f t="shared" si="22"/>
        <v>1221</v>
      </c>
    </row>
    <row r="1223" spans="1:3" x14ac:dyDescent="0.2">
      <c r="A1223" s="78">
        <v>46879</v>
      </c>
      <c r="B1223" s="77">
        <f>+PT!A1225</f>
        <v>0</v>
      </c>
      <c r="C1223" s="77">
        <f t="shared" si="22"/>
        <v>1222</v>
      </c>
    </row>
    <row r="1224" spans="1:3" x14ac:dyDescent="0.2">
      <c r="A1224" s="78">
        <v>46880</v>
      </c>
      <c r="B1224" s="77">
        <f>+PT!A1226</f>
        <v>0</v>
      </c>
      <c r="C1224" s="77">
        <f t="shared" si="22"/>
        <v>1223</v>
      </c>
    </row>
    <row r="1225" spans="1:3" x14ac:dyDescent="0.2">
      <c r="A1225" s="78">
        <v>46881</v>
      </c>
      <c r="B1225" s="77">
        <f>+PT!A1227</f>
        <v>0</v>
      </c>
      <c r="C1225" s="77">
        <f t="shared" si="22"/>
        <v>1224</v>
      </c>
    </row>
    <row r="1226" spans="1:3" x14ac:dyDescent="0.2">
      <c r="A1226" s="78">
        <v>46882</v>
      </c>
      <c r="B1226" s="77">
        <f>+PT!A1228</f>
        <v>0</v>
      </c>
      <c r="C1226" s="77">
        <f t="shared" si="22"/>
        <v>1225</v>
      </c>
    </row>
    <row r="1227" spans="1:3" x14ac:dyDescent="0.2">
      <c r="A1227" s="78">
        <v>46883</v>
      </c>
      <c r="B1227" s="77">
        <f>+PT!A1229</f>
        <v>0</v>
      </c>
      <c r="C1227" s="77">
        <f t="shared" si="22"/>
        <v>1226</v>
      </c>
    </row>
    <row r="1228" spans="1:3" x14ac:dyDescent="0.2">
      <c r="A1228" s="78">
        <v>46884</v>
      </c>
      <c r="B1228" s="77">
        <f>+PT!A1230</f>
        <v>0</v>
      </c>
      <c r="C1228" s="77">
        <f t="shared" si="22"/>
        <v>1227</v>
      </c>
    </row>
    <row r="1229" spans="1:3" x14ac:dyDescent="0.2">
      <c r="A1229" s="78">
        <v>46885</v>
      </c>
      <c r="B1229" s="77">
        <f>+PT!A1231</f>
        <v>0</v>
      </c>
      <c r="C1229" s="77">
        <f t="shared" si="22"/>
        <v>1228</v>
      </c>
    </row>
    <row r="1230" spans="1:3" x14ac:dyDescent="0.2">
      <c r="A1230" s="78">
        <v>46886</v>
      </c>
      <c r="B1230" s="77">
        <f>+PT!A1232</f>
        <v>0</v>
      </c>
      <c r="C1230" s="77">
        <f t="shared" si="22"/>
        <v>1229</v>
      </c>
    </row>
    <row r="1231" spans="1:3" x14ac:dyDescent="0.2">
      <c r="A1231" s="78">
        <v>46887</v>
      </c>
      <c r="B1231" s="77">
        <f>+PT!A1233</f>
        <v>0</v>
      </c>
      <c r="C1231" s="77">
        <f t="shared" si="22"/>
        <v>1230</v>
      </c>
    </row>
    <row r="1232" spans="1:3" x14ac:dyDescent="0.2">
      <c r="A1232" s="78">
        <v>46888</v>
      </c>
      <c r="B1232" s="77">
        <f>+PT!A1234</f>
        <v>0</v>
      </c>
      <c r="C1232" s="77">
        <f t="shared" si="22"/>
        <v>1231</v>
      </c>
    </row>
    <row r="1233" spans="1:3" x14ac:dyDescent="0.2">
      <c r="A1233" s="78">
        <v>46889</v>
      </c>
      <c r="B1233" s="77">
        <f>+PT!A1235</f>
        <v>0</v>
      </c>
      <c r="C1233" s="77">
        <f t="shared" si="22"/>
        <v>1232</v>
      </c>
    </row>
    <row r="1234" spans="1:3" x14ac:dyDescent="0.2">
      <c r="A1234" s="78">
        <v>46890</v>
      </c>
      <c r="B1234" s="77">
        <f>+PT!A1236</f>
        <v>0</v>
      </c>
      <c r="C1234" s="77">
        <f t="shared" si="22"/>
        <v>1233</v>
      </c>
    </row>
    <row r="1235" spans="1:3" x14ac:dyDescent="0.2">
      <c r="A1235" s="78">
        <v>46891</v>
      </c>
      <c r="B1235" s="77">
        <f>+PT!A1237</f>
        <v>0</v>
      </c>
      <c r="C1235" s="77">
        <f t="shared" si="22"/>
        <v>1234</v>
      </c>
    </row>
    <row r="1236" spans="1:3" x14ac:dyDescent="0.2">
      <c r="A1236" s="78">
        <v>46892</v>
      </c>
      <c r="B1236" s="77">
        <f>+PT!A1238</f>
        <v>0</v>
      </c>
      <c r="C1236" s="77">
        <f t="shared" si="22"/>
        <v>1235</v>
      </c>
    </row>
    <row r="1237" spans="1:3" x14ac:dyDescent="0.2">
      <c r="A1237" s="78">
        <v>46893</v>
      </c>
      <c r="B1237" s="77">
        <f>+PT!A1239</f>
        <v>0</v>
      </c>
      <c r="C1237" s="77">
        <f t="shared" si="22"/>
        <v>1236</v>
      </c>
    </row>
    <row r="1238" spans="1:3" x14ac:dyDescent="0.2">
      <c r="A1238" s="78">
        <v>46894</v>
      </c>
      <c r="B1238" s="77">
        <f>+PT!A1240</f>
        <v>0</v>
      </c>
      <c r="C1238" s="77">
        <f t="shared" si="22"/>
        <v>1237</v>
      </c>
    </row>
    <row r="1239" spans="1:3" x14ac:dyDescent="0.2">
      <c r="A1239" s="78">
        <v>46895</v>
      </c>
      <c r="B1239" s="77">
        <f>+PT!A1241</f>
        <v>0</v>
      </c>
      <c r="C1239" s="77">
        <f t="shared" si="22"/>
        <v>1238</v>
      </c>
    </row>
    <row r="1240" spans="1:3" x14ac:dyDescent="0.2">
      <c r="A1240" s="78">
        <v>46896</v>
      </c>
      <c r="B1240" s="77">
        <f>+PT!A1242</f>
        <v>0</v>
      </c>
      <c r="C1240" s="77">
        <f t="shared" si="22"/>
        <v>1239</v>
      </c>
    </row>
    <row r="1241" spans="1:3" x14ac:dyDescent="0.2">
      <c r="A1241" s="78">
        <v>46897</v>
      </c>
      <c r="B1241" s="77">
        <f>+PT!A1243</f>
        <v>0</v>
      </c>
      <c r="C1241" s="77">
        <f t="shared" si="22"/>
        <v>1240</v>
      </c>
    </row>
    <row r="1242" spans="1:3" x14ac:dyDescent="0.2">
      <c r="A1242" s="78">
        <v>46898</v>
      </c>
      <c r="B1242" s="77">
        <f>+PT!A1244</f>
        <v>0</v>
      </c>
      <c r="C1242" s="77">
        <f t="shared" si="22"/>
        <v>1241</v>
      </c>
    </row>
    <row r="1243" spans="1:3" x14ac:dyDescent="0.2">
      <c r="A1243" s="78">
        <v>46899</v>
      </c>
      <c r="B1243" s="77">
        <f>+PT!A1245</f>
        <v>0</v>
      </c>
      <c r="C1243" s="77">
        <f t="shared" si="22"/>
        <v>1242</v>
      </c>
    </row>
    <row r="1244" spans="1:3" x14ac:dyDescent="0.2">
      <c r="A1244" s="78">
        <v>46900</v>
      </c>
      <c r="B1244" s="77">
        <f>+PT!A1246</f>
        <v>0</v>
      </c>
      <c r="C1244" s="77">
        <f t="shared" si="22"/>
        <v>1243</v>
      </c>
    </row>
    <row r="1245" spans="1:3" x14ac:dyDescent="0.2">
      <c r="A1245" s="78">
        <v>46901</v>
      </c>
      <c r="B1245" s="77">
        <f>+PT!A1247</f>
        <v>0</v>
      </c>
      <c r="C1245" s="77">
        <f t="shared" si="22"/>
        <v>1244</v>
      </c>
    </row>
    <row r="1246" spans="1:3" x14ac:dyDescent="0.2">
      <c r="A1246" s="78">
        <v>46902</v>
      </c>
      <c r="B1246" s="77">
        <f>+PT!A1248</f>
        <v>0</v>
      </c>
      <c r="C1246" s="77">
        <f t="shared" si="22"/>
        <v>1245</v>
      </c>
    </row>
    <row r="1247" spans="1:3" x14ac:dyDescent="0.2">
      <c r="A1247" s="78">
        <v>46903</v>
      </c>
      <c r="B1247" s="77">
        <f>+PT!A1249</f>
        <v>0</v>
      </c>
      <c r="C1247" s="77">
        <f t="shared" si="22"/>
        <v>1246</v>
      </c>
    </row>
    <row r="1248" spans="1:3" x14ac:dyDescent="0.2">
      <c r="A1248" s="78">
        <v>46904</v>
      </c>
      <c r="B1248" s="77">
        <f>+PT!A1250</f>
        <v>0</v>
      </c>
      <c r="C1248" s="77">
        <f t="shared" si="22"/>
        <v>1247</v>
      </c>
    </row>
    <row r="1249" spans="1:3" x14ac:dyDescent="0.2">
      <c r="A1249" s="78">
        <v>46905</v>
      </c>
      <c r="B1249" s="77">
        <f>+PT!A1251</f>
        <v>0</v>
      </c>
      <c r="C1249" s="77">
        <f t="shared" si="22"/>
        <v>1248</v>
      </c>
    </row>
    <row r="1250" spans="1:3" x14ac:dyDescent="0.2">
      <c r="A1250" s="78">
        <v>46906</v>
      </c>
      <c r="B1250" s="77">
        <f>+PT!A1252</f>
        <v>0</v>
      </c>
      <c r="C1250" s="77">
        <f t="shared" si="22"/>
        <v>1249</v>
      </c>
    </row>
    <row r="1251" spans="1:3" x14ac:dyDescent="0.2">
      <c r="A1251" s="78">
        <v>46907</v>
      </c>
      <c r="B1251" s="77">
        <f>+PT!A1253</f>
        <v>0</v>
      </c>
      <c r="C1251" s="77">
        <f t="shared" si="22"/>
        <v>1250</v>
      </c>
    </row>
    <row r="1252" spans="1:3" x14ac:dyDescent="0.2">
      <c r="A1252" s="78">
        <v>46908</v>
      </c>
      <c r="B1252" s="77">
        <f>+PT!A1254</f>
        <v>0</v>
      </c>
      <c r="C1252" s="77">
        <f t="shared" si="22"/>
        <v>1251</v>
      </c>
    </row>
    <row r="1253" spans="1:3" x14ac:dyDescent="0.2">
      <c r="A1253" s="78">
        <v>46909</v>
      </c>
      <c r="B1253" s="77">
        <f>+PT!A1255</f>
        <v>0</v>
      </c>
      <c r="C1253" s="77">
        <f t="shared" si="22"/>
        <v>1252</v>
      </c>
    </row>
    <row r="1254" spans="1:3" x14ac:dyDescent="0.2">
      <c r="A1254" s="78">
        <v>46910</v>
      </c>
      <c r="B1254" s="77">
        <f>+PT!A1256</f>
        <v>0</v>
      </c>
      <c r="C1254" s="77">
        <f t="shared" si="22"/>
        <v>1253</v>
      </c>
    </row>
    <row r="1255" spans="1:3" x14ac:dyDescent="0.2">
      <c r="A1255" s="78">
        <v>46911</v>
      </c>
      <c r="B1255" s="77">
        <f>+PT!A1257</f>
        <v>0</v>
      </c>
      <c r="C1255" s="77">
        <f t="shared" si="22"/>
        <v>1254</v>
      </c>
    </row>
    <row r="1256" spans="1:3" x14ac:dyDescent="0.2">
      <c r="A1256" s="78">
        <v>46912</v>
      </c>
      <c r="B1256" s="77">
        <f>+PT!A1258</f>
        <v>0</v>
      </c>
      <c r="C1256" s="77">
        <f t="shared" si="22"/>
        <v>1255</v>
      </c>
    </row>
    <row r="1257" spans="1:3" x14ac:dyDescent="0.2">
      <c r="A1257" s="78">
        <v>46913</v>
      </c>
      <c r="B1257" s="77">
        <f>+PT!A1259</f>
        <v>0</v>
      </c>
      <c r="C1257" s="77">
        <f t="shared" si="22"/>
        <v>1256</v>
      </c>
    </row>
    <row r="1258" spans="1:3" x14ac:dyDescent="0.2">
      <c r="A1258" s="78">
        <v>46914</v>
      </c>
      <c r="B1258" s="77">
        <f>+PT!A1260</f>
        <v>0</v>
      </c>
      <c r="C1258" s="77">
        <f t="shared" si="22"/>
        <v>1257</v>
      </c>
    </row>
    <row r="1259" spans="1:3" x14ac:dyDescent="0.2">
      <c r="A1259" s="78">
        <v>46915</v>
      </c>
      <c r="B1259" s="77">
        <f>+PT!A1261</f>
        <v>0</v>
      </c>
      <c r="C1259" s="77">
        <f t="shared" si="22"/>
        <v>1258</v>
      </c>
    </row>
    <row r="1260" spans="1:3" x14ac:dyDescent="0.2">
      <c r="A1260" s="78">
        <v>46916</v>
      </c>
      <c r="B1260" s="77">
        <f>+PT!A1262</f>
        <v>0</v>
      </c>
      <c r="C1260" s="77">
        <f t="shared" si="22"/>
        <v>1259</v>
      </c>
    </row>
    <row r="1261" spans="1:3" x14ac:dyDescent="0.2">
      <c r="A1261" s="78">
        <v>46917</v>
      </c>
      <c r="B1261" s="77">
        <f>+PT!A1263</f>
        <v>0</v>
      </c>
      <c r="C1261" s="77">
        <f t="shared" si="22"/>
        <v>1260</v>
      </c>
    </row>
    <row r="1262" spans="1:3" x14ac:dyDescent="0.2">
      <c r="A1262" s="78">
        <v>46918</v>
      </c>
      <c r="B1262" s="77">
        <f>+PT!A1264</f>
        <v>0</v>
      </c>
      <c r="C1262" s="77">
        <f t="shared" si="22"/>
        <v>1261</v>
      </c>
    </row>
    <row r="1263" spans="1:3" x14ac:dyDescent="0.2">
      <c r="A1263" s="78">
        <v>46919</v>
      </c>
      <c r="B1263" s="77">
        <f>+PT!A1265</f>
        <v>0</v>
      </c>
      <c r="C1263" s="77">
        <f t="shared" si="22"/>
        <v>1262</v>
      </c>
    </row>
    <row r="1264" spans="1:3" x14ac:dyDescent="0.2">
      <c r="A1264" s="78">
        <v>46920</v>
      </c>
      <c r="B1264" s="77">
        <f>+PT!A1266</f>
        <v>0</v>
      </c>
      <c r="C1264" s="77">
        <f t="shared" si="22"/>
        <v>1263</v>
      </c>
    </row>
    <row r="1265" spans="1:3" x14ac:dyDescent="0.2">
      <c r="A1265" s="78">
        <v>46921</v>
      </c>
      <c r="B1265" s="77">
        <f>+PT!A1267</f>
        <v>0</v>
      </c>
      <c r="C1265" s="77">
        <f t="shared" si="22"/>
        <v>1264</v>
      </c>
    </row>
    <row r="1266" spans="1:3" x14ac:dyDescent="0.2">
      <c r="A1266" s="78">
        <v>46922</v>
      </c>
      <c r="B1266" s="77">
        <f>+PT!A1268</f>
        <v>0</v>
      </c>
      <c r="C1266" s="77">
        <f t="shared" si="22"/>
        <v>1265</v>
      </c>
    </row>
    <row r="1267" spans="1:3" x14ac:dyDescent="0.2">
      <c r="A1267" s="78">
        <v>46923</v>
      </c>
      <c r="B1267" s="77">
        <f>+PT!A1269</f>
        <v>0</v>
      </c>
      <c r="C1267" s="77">
        <f t="shared" si="22"/>
        <v>1266</v>
      </c>
    </row>
    <row r="1268" spans="1:3" x14ac:dyDescent="0.2">
      <c r="A1268" s="78">
        <v>46924</v>
      </c>
      <c r="B1268" s="77">
        <f>+PT!A1270</f>
        <v>0</v>
      </c>
      <c r="C1268" s="77">
        <f t="shared" si="22"/>
        <v>1267</v>
      </c>
    </row>
    <row r="1269" spans="1:3" x14ac:dyDescent="0.2">
      <c r="A1269" s="78">
        <v>46925</v>
      </c>
      <c r="B1269" s="77">
        <f>+PT!A1271</f>
        <v>0</v>
      </c>
      <c r="C1269" s="77">
        <f t="shared" si="22"/>
        <v>1268</v>
      </c>
    </row>
    <row r="1270" spans="1:3" x14ac:dyDescent="0.2">
      <c r="A1270" s="78">
        <v>46926</v>
      </c>
      <c r="B1270" s="77">
        <f>+PT!A1272</f>
        <v>0</v>
      </c>
      <c r="C1270" s="77">
        <f t="shared" si="22"/>
        <v>1269</v>
      </c>
    </row>
    <row r="1271" spans="1:3" x14ac:dyDescent="0.2">
      <c r="A1271" s="78">
        <v>46927</v>
      </c>
      <c r="B1271" s="77">
        <f>+PT!A1273</f>
        <v>0</v>
      </c>
      <c r="C1271" s="77">
        <f t="shared" si="22"/>
        <v>1270</v>
      </c>
    </row>
    <row r="1272" spans="1:3" x14ac:dyDescent="0.2">
      <c r="A1272" s="78">
        <v>46928</v>
      </c>
      <c r="B1272" s="77">
        <f>+PT!A1274</f>
        <v>0</v>
      </c>
      <c r="C1272" s="77">
        <f t="shared" si="22"/>
        <v>1271</v>
      </c>
    </row>
    <row r="1273" spans="1:3" x14ac:dyDescent="0.2">
      <c r="A1273" s="78">
        <v>46929</v>
      </c>
      <c r="B1273" s="77">
        <f>+PT!A1275</f>
        <v>0</v>
      </c>
      <c r="C1273" s="77">
        <f t="shared" si="22"/>
        <v>1272</v>
      </c>
    </row>
    <row r="1274" spans="1:3" x14ac:dyDescent="0.2">
      <c r="A1274" s="78">
        <v>46930</v>
      </c>
      <c r="B1274" s="77">
        <f>+PT!A1276</f>
        <v>0</v>
      </c>
      <c r="C1274" s="77">
        <f t="shared" si="22"/>
        <v>1273</v>
      </c>
    </row>
    <row r="1275" spans="1:3" x14ac:dyDescent="0.2">
      <c r="A1275" s="78">
        <v>46931</v>
      </c>
      <c r="B1275" s="77">
        <f>+PT!A1277</f>
        <v>0</v>
      </c>
      <c r="C1275" s="77">
        <f t="shared" si="22"/>
        <v>1274</v>
      </c>
    </row>
    <row r="1276" spans="1:3" x14ac:dyDescent="0.2">
      <c r="A1276" s="78">
        <v>46932</v>
      </c>
      <c r="B1276" s="77">
        <f>+PT!A1278</f>
        <v>0</v>
      </c>
      <c r="C1276" s="77">
        <f t="shared" si="22"/>
        <v>1275</v>
      </c>
    </row>
    <row r="1277" spans="1:3" x14ac:dyDescent="0.2">
      <c r="A1277" s="78">
        <v>46933</v>
      </c>
      <c r="B1277" s="77">
        <f>+PT!A1279</f>
        <v>0</v>
      </c>
      <c r="C1277" s="77">
        <f t="shared" si="22"/>
        <v>1276</v>
      </c>
    </row>
    <row r="1278" spans="1:3" x14ac:dyDescent="0.2">
      <c r="A1278" s="78">
        <v>46934</v>
      </c>
      <c r="B1278" s="77">
        <f>+PT!A1280</f>
        <v>0</v>
      </c>
      <c r="C1278" s="77">
        <f t="shared" si="22"/>
        <v>1277</v>
      </c>
    </row>
    <row r="1279" spans="1:3" x14ac:dyDescent="0.2">
      <c r="A1279" s="78">
        <v>46935</v>
      </c>
      <c r="B1279" s="77">
        <f>+PT!A1281</f>
        <v>0</v>
      </c>
      <c r="C1279" s="77">
        <f t="shared" si="22"/>
        <v>1278</v>
      </c>
    </row>
    <row r="1280" spans="1:3" x14ac:dyDescent="0.2">
      <c r="A1280" s="78">
        <v>46936</v>
      </c>
      <c r="B1280" s="77">
        <f>+PT!A1282</f>
        <v>0</v>
      </c>
      <c r="C1280" s="77">
        <f t="shared" si="22"/>
        <v>1279</v>
      </c>
    </row>
    <row r="1281" spans="1:3" x14ac:dyDescent="0.2">
      <c r="A1281" s="78">
        <v>46937</v>
      </c>
      <c r="B1281" s="77">
        <f>+PT!A1283</f>
        <v>0</v>
      </c>
      <c r="C1281" s="77">
        <f t="shared" si="22"/>
        <v>1280</v>
      </c>
    </row>
    <row r="1282" spans="1:3" x14ac:dyDescent="0.2">
      <c r="A1282" s="78">
        <v>46938</v>
      </c>
      <c r="B1282" s="77">
        <f>+PT!A1284</f>
        <v>0</v>
      </c>
      <c r="C1282" s="77">
        <f t="shared" si="22"/>
        <v>1281</v>
      </c>
    </row>
    <row r="1283" spans="1:3" x14ac:dyDescent="0.2">
      <c r="A1283" s="78">
        <v>46939</v>
      </c>
      <c r="B1283" s="77">
        <f>+PT!A1285</f>
        <v>0</v>
      </c>
      <c r="C1283" s="77">
        <f t="shared" si="22"/>
        <v>1282</v>
      </c>
    </row>
    <row r="1284" spans="1:3" x14ac:dyDescent="0.2">
      <c r="A1284" s="78">
        <v>46940</v>
      </c>
      <c r="B1284" s="77">
        <f>+PT!A1286</f>
        <v>0</v>
      </c>
      <c r="C1284" s="77">
        <f t="shared" ref="C1284:C1347" si="23">+C1283+1</f>
        <v>1283</v>
      </c>
    </row>
    <row r="1285" spans="1:3" x14ac:dyDescent="0.2">
      <c r="A1285" s="78">
        <v>46941</v>
      </c>
      <c r="B1285" s="77">
        <f>+PT!A1287</f>
        <v>0</v>
      </c>
      <c r="C1285" s="77">
        <f t="shared" si="23"/>
        <v>1284</v>
      </c>
    </row>
    <row r="1286" spans="1:3" x14ac:dyDescent="0.2">
      <c r="A1286" s="78">
        <v>46942</v>
      </c>
      <c r="B1286" s="77">
        <f>+PT!A1288</f>
        <v>0</v>
      </c>
      <c r="C1286" s="77">
        <f t="shared" si="23"/>
        <v>1285</v>
      </c>
    </row>
    <row r="1287" spans="1:3" x14ac:dyDescent="0.2">
      <c r="A1287" s="78">
        <v>46943</v>
      </c>
      <c r="B1287" s="77">
        <f>+PT!A1289</f>
        <v>0</v>
      </c>
      <c r="C1287" s="77">
        <f t="shared" si="23"/>
        <v>1286</v>
      </c>
    </row>
    <row r="1288" spans="1:3" x14ac:dyDescent="0.2">
      <c r="A1288" s="78">
        <v>46944</v>
      </c>
      <c r="B1288" s="77">
        <f>+PT!A1290</f>
        <v>0</v>
      </c>
      <c r="C1288" s="77">
        <f t="shared" si="23"/>
        <v>1287</v>
      </c>
    </row>
    <row r="1289" spans="1:3" x14ac:dyDescent="0.2">
      <c r="A1289" s="78">
        <v>46945</v>
      </c>
      <c r="B1289" s="77">
        <f>+PT!A1291</f>
        <v>0</v>
      </c>
      <c r="C1289" s="77">
        <f t="shared" si="23"/>
        <v>1288</v>
      </c>
    </row>
    <row r="1290" spans="1:3" x14ac:dyDescent="0.2">
      <c r="A1290" s="78">
        <v>46946</v>
      </c>
      <c r="B1290" s="77">
        <f>+PT!A1292</f>
        <v>0</v>
      </c>
      <c r="C1290" s="77">
        <f t="shared" si="23"/>
        <v>1289</v>
      </c>
    </row>
    <row r="1291" spans="1:3" x14ac:dyDescent="0.2">
      <c r="A1291" s="78">
        <v>46947</v>
      </c>
      <c r="B1291" s="77">
        <f>+PT!A1293</f>
        <v>0</v>
      </c>
      <c r="C1291" s="77">
        <f t="shared" si="23"/>
        <v>1290</v>
      </c>
    </row>
    <row r="1292" spans="1:3" x14ac:dyDescent="0.2">
      <c r="A1292" s="78">
        <v>46948</v>
      </c>
      <c r="B1292" s="77">
        <f>+PT!A1294</f>
        <v>0</v>
      </c>
      <c r="C1292" s="77">
        <f t="shared" si="23"/>
        <v>1291</v>
      </c>
    </row>
    <row r="1293" spans="1:3" x14ac:dyDescent="0.2">
      <c r="A1293" s="78">
        <v>46949</v>
      </c>
      <c r="B1293" s="77">
        <f>+PT!A1295</f>
        <v>0</v>
      </c>
      <c r="C1293" s="77">
        <f t="shared" si="23"/>
        <v>1292</v>
      </c>
    </row>
    <row r="1294" spans="1:3" x14ac:dyDescent="0.2">
      <c r="A1294" s="78">
        <v>46950</v>
      </c>
      <c r="B1294" s="77">
        <f>+PT!A1296</f>
        <v>0</v>
      </c>
      <c r="C1294" s="77">
        <f t="shared" si="23"/>
        <v>1293</v>
      </c>
    </row>
    <row r="1295" spans="1:3" x14ac:dyDescent="0.2">
      <c r="A1295" s="78">
        <v>46951</v>
      </c>
      <c r="B1295" s="77">
        <f>+PT!A1297</f>
        <v>0</v>
      </c>
      <c r="C1295" s="77">
        <f t="shared" si="23"/>
        <v>1294</v>
      </c>
    </row>
    <row r="1296" spans="1:3" x14ac:dyDescent="0.2">
      <c r="A1296" s="78">
        <v>46952</v>
      </c>
      <c r="B1296" s="77">
        <f>+PT!A1298</f>
        <v>0</v>
      </c>
      <c r="C1296" s="77">
        <f t="shared" si="23"/>
        <v>1295</v>
      </c>
    </row>
    <row r="1297" spans="1:3" x14ac:dyDescent="0.2">
      <c r="A1297" s="78">
        <v>46953</v>
      </c>
      <c r="B1297" s="77">
        <f>+PT!A1299</f>
        <v>0</v>
      </c>
      <c r="C1297" s="77">
        <f t="shared" si="23"/>
        <v>1296</v>
      </c>
    </row>
    <row r="1298" spans="1:3" x14ac:dyDescent="0.2">
      <c r="A1298" s="78">
        <v>46954</v>
      </c>
      <c r="B1298" s="77">
        <f>+PT!A1300</f>
        <v>0</v>
      </c>
      <c r="C1298" s="77">
        <f t="shared" si="23"/>
        <v>1297</v>
      </c>
    </row>
    <row r="1299" spans="1:3" x14ac:dyDescent="0.2">
      <c r="A1299" s="78">
        <v>46955</v>
      </c>
      <c r="B1299" s="77">
        <f>+PT!A1301</f>
        <v>0</v>
      </c>
      <c r="C1299" s="77">
        <f t="shared" si="23"/>
        <v>1298</v>
      </c>
    </row>
    <row r="1300" spans="1:3" x14ac:dyDescent="0.2">
      <c r="A1300" s="78">
        <v>46956</v>
      </c>
      <c r="B1300" s="77">
        <f>+PT!A1302</f>
        <v>0</v>
      </c>
      <c r="C1300" s="77">
        <f t="shared" si="23"/>
        <v>1299</v>
      </c>
    </row>
    <row r="1301" spans="1:3" x14ac:dyDescent="0.2">
      <c r="A1301" s="78">
        <v>46957</v>
      </c>
      <c r="B1301" s="77">
        <f>+PT!A1303</f>
        <v>0</v>
      </c>
      <c r="C1301" s="77">
        <f t="shared" si="23"/>
        <v>1300</v>
      </c>
    </row>
    <row r="1302" spans="1:3" x14ac:dyDescent="0.2">
      <c r="A1302" s="78">
        <v>46958</v>
      </c>
      <c r="B1302" s="77">
        <f>+PT!A1304</f>
        <v>0</v>
      </c>
      <c r="C1302" s="77">
        <f t="shared" si="23"/>
        <v>1301</v>
      </c>
    </row>
    <row r="1303" spans="1:3" x14ac:dyDescent="0.2">
      <c r="A1303" s="78">
        <v>46959</v>
      </c>
      <c r="B1303" s="77">
        <f>+PT!A1305</f>
        <v>0</v>
      </c>
      <c r="C1303" s="77">
        <f t="shared" si="23"/>
        <v>1302</v>
      </c>
    </row>
    <row r="1304" spans="1:3" x14ac:dyDescent="0.2">
      <c r="A1304" s="78">
        <v>46960</v>
      </c>
      <c r="B1304" s="77">
        <f>+PT!A1306</f>
        <v>0</v>
      </c>
      <c r="C1304" s="77">
        <f t="shared" si="23"/>
        <v>1303</v>
      </c>
    </row>
    <row r="1305" spans="1:3" x14ac:dyDescent="0.2">
      <c r="A1305" s="78">
        <v>46961</v>
      </c>
      <c r="B1305" s="77">
        <f>+PT!A1307</f>
        <v>0</v>
      </c>
      <c r="C1305" s="77">
        <f t="shared" si="23"/>
        <v>1304</v>
      </c>
    </row>
    <row r="1306" spans="1:3" x14ac:dyDescent="0.2">
      <c r="A1306" s="78">
        <v>46962</v>
      </c>
      <c r="B1306" s="77">
        <f>+PT!A1308</f>
        <v>0</v>
      </c>
      <c r="C1306" s="77">
        <f t="shared" si="23"/>
        <v>1305</v>
      </c>
    </row>
    <row r="1307" spans="1:3" x14ac:dyDescent="0.2">
      <c r="A1307" s="78">
        <v>46963</v>
      </c>
      <c r="B1307" s="77">
        <f>+PT!A1309</f>
        <v>0</v>
      </c>
      <c r="C1307" s="77">
        <f t="shared" si="23"/>
        <v>1306</v>
      </c>
    </row>
    <row r="1308" spans="1:3" x14ac:dyDescent="0.2">
      <c r="A1308" s="78">
        <v>46964</v>
      </c>
      <c r="B1308" s="77">
        <f>+PT!A1310</f>
        <v>0</v>
      </c>
      <c r="C1308" s="77">
        <f t="shared" si="23"/>
        <v>1307</v>
      </c>
    </row>
    <row r="1309" spans="1:3" x14ac:dyDescent="0.2">
      <c r="A1309" s="78">
        <v>46965</v>
      </c>
      <c r="B1309" s="77">
        <f>+PT!A1311</f>
        <v>0</v>
      </c>
      <c r="C1309" s="77">
        <f t="shared" si="23"/>
        <v>1308</v>
      </c>
    </row>
    <row r="1310" spans="1:3" x14ac:dyDescent="0.2">
      <c r="A1310" s="78">
        <v>46966</v>
      </c>
      <c r="B1310" s="77">
        <f>+PT!A1312</f>
        <v>0</v>
      </c>
      <c r="C1310" s="77">
        <f t="shared" si="23"/>
        <v>1309</v>
      </c>
    </row>
    <row r="1311" spans="1:3" x14ac:dyDescent="0.2">
      <c r="A1311" s="78">
        <v>46967</v>
      </c>
      <c r="B1311" s="77">
        <f>+PT!A1313</f>
        <v>0</v>
      </c>
      <c r="C1311" s="77">
        <f t="shared" si="23"/>
        <v>1310</v>
      </c>
    </row>
    <row r="1312" spans="1:3" x14ac:dyDescent="0.2">
      <c r="A1312" s="78">
        <v>46968</v>
      </c>
      <c r="B1312" s="77">
        <f>+PT!A1314</f>
        <v>0</v>
      </c>
      <c r="C1312" s="77">
        <f t="shared" si="23"/>
        <v>1311</v>
      </c>
    </row>
    <row r="1313" spans="1:3" x14ac:dyDescent="0.2">
      <c r="A1313" s="78">
        <v>46969</v>
      </c>
      <c r="B1313" s="77">
        <f>+PT!A1315</f>
        <v>0</v>
      </c>
      <c r="C1313" s="77">
        <f t="shared" si="23"/>
        <v>1312</v>
      </c>
    </row>
    <row r="1314" spans="1:3" x14ac:dyDescent="0.2">
      <c r="A1314" s="78">
        <v>46970</v>
      </c>
      <c r="B1314" s="77">
        <f>+PT!A1316</f>
        <v>0</v>
      </c>
      <c r="C1314" s="77">
        <f t="shared" si="23"/>
        <v>1313</v>
      </c>
    </row>
    <row r="1315" spans="1:3" x14ac:dyDescent="0.2">
      <c r="A1315" s="78">
        <v>46971</v>
      </c>
      <c r="B1315" s="77">
        <f>+PT!A1317</f>
        <v>0</v>
      </c>
      <c r="C1315" s="77">
        <f t="shared" si="23"/>
        <v>1314</v>
      </c>
    </row>
    <row r="1316" spans="1:3" x14ac:dyDescent="0.2">
      <c r="A1316" s="78">
        <v>46972</v>
      </c>
      <c r="B1316" s="77">
        <f>+PT!A1318</f>
        <v>0</v>
      </c>
      <c r="C1316" s="77">
        <f t="shared" si="23"/>
        <v>1315</v>
      </c>
    </row>
    <row r="1317" spans="1:3" x14ac:dyDescent="0.2">
      <c r="A1317" s="78">
        <v>46973</v>
      </c>
      <c r="B1317" s="77">
        <f>+PT!A1319</f>
        <v>0</v>
      </c>
      <c r="C1317" s="77">
        <f t="shared" si="23"/>
        <v>1316</v>
      </c>
    </row>
    <row r="1318" spans="1:3" x14ac:dyDescent="0.2">
      <c r="A1318" s="78">
        <v>46974</v>
      </c>
      <c r="B1318" s="77">
        <f>+PT!A1320</f>
        <v>0</v>
      </c>
      <c r="C1318" s="77">
        <f t="shared" si="23"/>
        <v>1317</v>
      </c>
    </row>
    <row r="1319" spans="1:3" x14ac:dyDescent="0.2">
      <c r="A1319" s="78">
        <v>46975</v>
      </c>
      <c r="B1319" s="77">
        <f>+PT!A1321</f>
        <v>0</v>
      </c>
      <c r="C1319" s="77">
        <f t="shared" si="23"/>
        <v>1318</v>
      </c>
    </row>
    <row r="1320" spans="1:3" x14ac:dyDescent="0.2">
      <c r="A1320" s="78">
        <v>46976</v>
      </c>
      <c r="B1320" s="77">
        <f>+PT!A1322</f>
        <v>0</v>
      </c>
      <c r="C1320" s="77">
        <f t="shared" si="23"/>
        <v>1319</v>
      </c>
    </row>
    <row r="1321" spans="1:3" x14ac:dyDescent="0.2">
      <c r="A1321" s="78">
        <v>46977</v>
      </c>
      <c r="B1321" s="77">
        <f>+PT!A1323</f>
        <v>0</v>
      </c>
      <c r="C1321" s="77">
        <f t="shared" si="23"/>
        <v>1320</v>
      </c>
    </row>
    <row r="1322" spans="1:3" x14ac:dyDescent="0.2">
      <c r="A1322" s="78">
        <v>46978</v>
      </c>
      <c r="B1322" s="77">
        <f>+PT!A1324</f>
        <v>0</v>
      </c>
      <c r="C1322" s="77">
        <f t="shared" si="23"/>
        <v>1321</v>
      </c>
    </row>
    <row r="1323" spans="1:3" x14ac:dyDescent="0.2">
      <c r="A1323" s="78">
        <v>46979</v>
      </c>
      <c r="B1323" s="77">
        <f>+PT!A1325</f>
        <v>0</v>
      </c>
      <c r="C1323" s="77">
        <f t="shared" si="23"/>
        <v>1322</v>
      </c>
    </row>
    <row r="1324" spans="1:3" x14ac:dyDescent="0.2">
      <c r="A1324" s="78">
        <v>46980</v>
      </c>
      <c r="B1324" s="77">
        <f>+PT!A1326</f>
        <v>0</v>
      </c>
      <c r="C1324" s="77">
        <f t="shared" si="23"/>
        <v>1323</v>
      </c>
    </row>
    <row r="1325" spans="1:3" x14ac:dyDescent="0.2">
      <c r="A1325" s="78">
        <v>46981</v>
      </c>
      <c r="B1325" s="77">
        <f>+PT!A1327</f>
        <v>0</v>
      </c>
      <c r="C1325" s="77">
        <f t="shared" si="23"/>
        <v>1324</v>
      </c>
    </row>
    <row r="1326" spans="1:3" x14ac:dyDescent="0.2">
      <c r="A1326" s="78">
        <v>46982</v>
      </c>
      <c r="B1326" s="77">
        <f>+PT!A1328</f>
        <v>0</v>
      </c>
      <c r="C1326" s="77">
        <f t="shared" si="23"/>
        <v>1325</v>
      </c>
    </row>
    <row r="1327" spans="1:3" x14ac:dyDescent="0.2">
      <c r="A1327" s="78">
        <v>46983</v>
      </c>
      <c r="B1327" s="77">
        <f>+PT!A1329</f>
        <v>0</v>
      </c>
      <c r="C1327" s="77">
        <f t="shared" si="23"/>
        <v>1326</v>
      </c>
    </row>
    <row r="1328" spans="1:3" x14ac:dyDescent="0.2">
      <c r="A1328" s="78">
        <v>46984</v>
      </c>
      <c r="B1328" s="77">
        <f>+PT!A1330</f>
        <v>0</v>
      </c>
      <c r="C1328" s="77">
        <f t="shared" si="23"/>
        <v>1327</v>
      </c>
    </row>
    <row r="1329" spans="1:3" x14ac:dyDescent="0.2">
      <c r="A1329" s="78">
        <v>46985</v>
      </c>
      <c r="B1329" s="77">
        <f>+PT!A1331</f>
        <v>0</v>
      </c>
      <c r="C1329" s="77">
        <f t="shared" si="23"/>
        <v>1328</v>
      </c>
    </row>
    <row r="1330" spans="1:3" x14ac:dyDescent="0.2">
      <c r="A1330" s="78">
        <v>46986</v>
      </c>
      <c r="B1330" s="77">
        <f>+PT!A1332</f>
        <v>0</v>
      </c>
      <c r="C1330" s="77">
        <f t="shared" si="23"/>
        <v>1329</v>
      </c>
    </row>
    <row r="1331" spans="1:3" x14ac:dyDescent="0.2">
      <c r="A1331" s="78">
        <v>46987</v>
      </c>
      <c r="B1331" s="77">
        <f>+PT!A1333</f>
        <v>0</v>
      </c>
      <c r="C1331" s="77">
        <f t="shared" si="23"/>
        <v>1330</v>
      </c>
    </row>
    <row r="1332" spans="1:3" x14ac:dyDescent="0.2">
      <c r="A1332" s="78">
        <v>46988</v>
      </c>
      <c r="B1332" s="77">
        <f>+PT!A1334</f>
        <v>0</v>
      </c>
      <c r="C1332" s="77">
        <f t="shared" si="23"/>
        <v>1331</v>
      </c>
    </row>
    <row r="1333" spans="1:3" x14ac:dyDescent="0.2">
      <c r="A1333" s="78">
        <v>46989</v>
      </c>
      <c r="B1333" s="77">
        <f>+PT!A1335</f>
        <v>0</v>
      </c>
      <c r="C1333" s="77">
        <f t="shared" si="23"/>
        <v>1332</v>
      </c>
    </row>
    <row r="1334" spans="1:3" x14ac:dyDescent="0.2">
      <c r="A1334" s="78">
        <v>46990</v>
      </c>
      <c r="B1334" s="77">
        <f>+PT!A1336</f>
        <v>0</v>
      </c>
      <c r="C1334" s="77">
        <f t="shared" si="23"/>
        <v>1333</v>
      </c>
    </row>
    <row r="1335" spans="1:3" x14ac:dyDescent="0.2">
      <c r="A1335" s="78">
        <v>46991</v>
      </c>
      <c r="B1335" s="77">
        <f>+PT!A1337</f>
        <v>0</v>
      </c>
      <c r="C1335" s="77">
        <f t="shared" si="23"/>
        <v>1334</v>
      </c>
    </row>
    <row r="1336" spans="1:3" x14ac:dyDescent="0.2">
      <c r="A1336" s="78">
        <v>46992</v>
      </c>
      <c r="B1336" s="77">
        <f>+PT!A1338</f>
        <v>0</v>
      </c>
      <c r="C1336" s="77">
        <f t="shared" si="23"/>
        <v>1335</v>
      </c>
    </row>
    <row r="1337" spans="1:3" x14ac:dyDescent="0.2">
      <c r="A1337" s="78">
        <v>46993</v>
      </c>
      <c r="B1337" s="77">
        <f>+PT!A1339</f>
        <v>0</v>
      </c>
      <c r="C1337" s="77">
        <f t="shared" si="23"/>
        <v>1336</v>
      </c>
    </row>
    <row r="1338" spans="1:3" x14ac:dyDescent="0.2">
      <c r="A1338" s="78">
        <v>46994</v>
      </c>
      <c r="B1338" s="77">
        <f>+PT!A1340</f>
        <v>0</v>
      </c>
      <c r="C1338" s="77">
        <f t="shared" si="23"/>
        <v>1337</v>
      </c>
    </row>
    <row r="1339" spans="1:3" x14ac:dyDescent="0.2">
      <c r="A1339" s="78">
        <v>46995</v>
      </c>
      <c r="B1339" s="77">
        <f>+PT!A1341</f>
        <v>0</v>
      </c>
      <c r="C1339" s="77">
        <f t="shared" si="23"/>
        <v>1338</v>
      </c>
    </row>
    <row r="1340" spans="1:3" x14ac:dyDescent="0.2">
      <c r="A1340" s="78">
        <v>46996</v>
      </c>
      <c r="B1340" s="77">
        <f>+PT!A1342</f>
        <v>0</v>
      </c>
      <c r="C1340" s="77">
        <f t="shared" si="23"/>
        <v>1339</v>
      </c>
    </row>
    <row r="1341" spans="1:3" x14ac:dyDescent="0.2">
      <c r="A1341" s="78">
        <v>46997</v>
      </c>
      <c r="B1341" s="77">
        <f>+PT!A1343</f>
        <v>0</v>
      </c>
      <c r="C1341" s="77">
        <f t="shared" si="23"/>
        <v>1340</v>
      </c>
    </row>
    <row r="1342" spans="1:3" x14ac:dyDescent="0.2">
      <c r="A1342" s="78">
        <v>46998</v>
      </c>
      <c r="B1342" s="77">
        <f>+PT!A1344</f>
        <v>0</v>
      </c>
      <c r="C1342" s="77">
        <f t="shared" si="23"/>
        <v>1341</v>
      </c>
    </row>
    <row r="1343" spans="1:3" x14ac:dyDescent="0.2">
      <c r="A1343" s="78">
        <v>46999</v>
      </c>
      <c r="B1343" s="77">
        <f>+PT!A1345</f>
        <v>0</v>
      </c>
      <c r="C1343" s="77">
        <f t="shared" si="23"/>
        <v>1342</v>
      </c>
    </row>
    <row r="1344" spans="1:3" x14ac:dyDescent="0.2">
      <c r="A1344" s="78">
        <v>47000</v>
      </c>
      <c r="B1344" s="77">
        <f>+PT!A1346</f>
        <v>0</v>
      </c>
      <c r="C1344" s="77">
        <f t="shared" si="23"/>
        <v>1343</v>
      </c>
    </row>
    <row r="1345" spans="1:3" x14ac:dyDescent="0.2">
      <c r="A1345" s="78">
        <v>47001</v>
      </c>
      <c r="B1345" s="77">
        <f>+PT!A1347</f>
        <v>0</v>
      </c>
      <c r="C1345" s="77">
        <f t="shared" si="23"/>
        <v>1344</v>
      </c>
    </row>
    <row r="1346" spans="1:3" x14ac:dyDescent="0.2">
      <c r="A1346" s="78">
        <v>47002</v>
      </c>
      <c r="B1346" s="77">
        <f>+PT!A1348</f>
        <v>0</v>
      </c>
      <c r="C1346" s="77">
        <f t="shared" si="23"/>
        <v>1345</v>
      </c>
    </row>
    <row r="1347" spans="1:3" x14ac:dyDescent="0.2">
      <c r="A1347" s="78">
        <v>47003</v>
      </c>
      <c r="B1347" s="77">
        <f>+PT!A1349</f>
        <v>0</v>
      </c>
      <c r="C1347" s="77">
        <f t="shared" si="23"/>
        <v>1346</v>
      </c>
    </row>
    <row r="1348" spans="1:3" x14ac:dyDescent="0.2">
      <c r="A1348" s="78">
        <v>47004</v>
      </c>
      <c r="B1348" s="77">
        <f>+PT!A1350</f>
        <v>0</v>
      </c>
      <c r="C1348" s="77">
        <f t="shared" ref="C1348:C1411" si="24">+C1347+1</f>
        <v>1347</v>
      </c>
    </row>
    <row r="1349" spans="1:3" x14ac:dyDescent="0.2">
      <c r="A1349" s="78">
        <v>47005</v>
      </c>
      <c r="B1349" s="77">
        <f>+PT!A1351</f>
        <v>0</v>
      </c>
      <c r="C1349" s="77">
        <f t="shared" si="24"/>
        <v>1348</v>
      </c>
    </row>
    <row r="1350" spans="1:3" x14ac:dyDescent="0.2">
      <c r="A1350" s="78">
        <v>47006</v>
      </c>
      <c r="B1350" s="77">
        <f>+PT!A1352</f>
        <v>0</v>
      </c>
      <c r="C1350" s="77">
        <f t="shared" si="24"/>
        <v>1349</v>
      </c>
    </row>
    <row r="1351" spans="1:3" x14ac:dyDescent="0.2">
      <c r="A1351" s="78">
        <v>47007</v>
      </c>
      <c r="B1351" s="77">
        <f>+PT!A1353</f>
        <v>0</v>
      </c>
      <c r="C1351" s="77">
        <f t="shared" si="24"/>
        <v>1350</v>
      </c>
    </row>
    <row r="1352" spans="1:3" x14ac:dyDescent="0.2">
      <c r="A1352" s="78">
        <v>47008</v>
      </c>
      <c r="B1352" s="77">
        <f>+PT!A1354</f>
        <v>0</v>
      </c>
      <c r="C1352" s="77">
        <f t="shared" si="24"/>
        <v>1351</v>
      </c>
    </row>
    <row r="1353" spans="1:3" x14ac:dyDescent="0.2">
      <c r="A1353" s="78">
        <v>47009</v>
      </c>
      <c r="B1353" s="77">
        <f>+PT!A1355</f>
        <v>0</v>
      </c>
      <c r="C1353" s="77">
        <f t="shared" si="24"/>
        <v>1352</v>
      </c>
    </row>
    <row r="1354" spans="1:3" x14ac:dyDescent="0.2">
      <c r="A1354" s="78">
        <v>47010</v>
      </c>
      <c r="B1354" s="77">
        <f>+PT!A1356</f>
        <v>0</v>
      </c>
      <c r="C1354" s="77">
        <f t="shared" si="24"/>
        <v>1353</v>
      </c>
    </row>
    <row r="1355" spans="1:3" x14ac:dyDescent="0.2">
      <c r="A1355" s="78">
        <v>47011</v>
      </c>
      <c r="B1355" s="77">
        <f>+PT!A1357</f>
        <v>0</v>
      </c>
      <c r="C1355" s="77">
        <f t="shared" si="24"/>
        <v>1354</v>
      </c>
    </row>
    <row r="1356" spans="1:3" x14ac:dyDescent="0.2">
      <c r="A1356" s="78">
        <v>47012</v>
      </c>
      <c r="B1356" s="77">
        <f>+PT!A1358</f>
        <v>0</v>
      </c>
      <c r="C1356" s="77">
        <f t="shared" si="24"/>
        <v>1355</v>
      </c>
    </row>
    <row r="1357" spans="1:3" x14ac:dyDescent="0.2">
      <c r="A1357" s="78">
        <v>47013</v>
      </c>
      <c r="B1357" s="77">
        <f>+PT!A1359</f>
        <v>0</v>
      </c>
      <c r="C1357" s="77">
        <f t="shared" si="24"/>
        <v>1356</v>
      </c>
    </row>
    <row r="1358" spans="1:3" x14ac:dyDescent="0.2">
      <c r="A1358" s="78">
        <v>47014</v>
      </c>
      <c r="B1358" s="77">
        <f>+PT!A1360</f>
        <v>0</v>
      </c>
      <c r="C1358" s="77">
        <f t="shared" si="24"/>
        <v>1357</v>
      </c>
    </row>
    <row r="1359" spans="1:3" x14ac:dyDescent="0.2">
      <c r="A1359" s="78">
        <v>47015</v>
      </c>
      <c r="B1359" s="77">
        <f>+PT!A1361</f>
        <v>0</v>
      </c>
      <c r="C1359" s="77">
        <f t="shared" si="24"/>
        <v>1358</v>
      </c>
    </row>
    <row r="1360" spans="1:3" x14ac:dyDescent="0.2">
      <c r="A1360" s="78">
        <v>47016</v>
      </c>
      <c r="B1360" s="77">
        <f>+PT!A1362</f>
        <v>0</v>
      </c>
      <c r="C1360" s="77">
        <f t="shared" si="24"/>
        <v>1359</v>
      </c>
    </row>
    <row r="1361" spans="1:3" x14ac:dyDescent="0.2">
      <c r="A1361" s="78">
        <v>47017</v>
      </c>
      <c r="B1361" s="77">
        <f>+PT!A1363</f>
        <v>0</v>
      </c>
      <c r="C1361" s="77">
        <f t="shared" si="24"/>
        <v>1360</v>
      </c>
    </row>
    <row r="1362" spans="1:3" x14ac:dyDescent="0.2">
      <c r="A1362" s="78">
        <v>47018</v>
      </c>
      <c r="B1362" s="77">
        <f>+PT!A1364</f>
        <v>0</v>
      </c>
      <c r="C1362" s="77">
        <f t="shared" si="24"/>
        <v>1361</v>
      </c>
    </row>
    <row r="1363" spans="1:3" x14ac:dyDescent="0.2">
      <c r="A1363" s="78">
        <v>47019</v>
      </c>
      <c r="B1363" s="77">
        <f>+PT!A1365</f>
        <v>0</v>
      </c>
      <c r="C1363" s="77">
        <f t="shared" si="24"/>
        <v>1362</v>
      </c>
    </row>
    <row r="1364" spans="1:3" x14ac:dyDescent="0.2">
      <c r="A1364" s="78">
        <v>47020</v>
      </c>
      <c r="B1364" s="77">
        <f>+PT!A1366</f>
        <v>0</v>
      </c>
      <c r="C1364" s="77">
        <f t="shared" si="24"/>
        <v>1363</v>
      </c>
    </row>
    <row r="1365" spans="1:3" x14ac:dyDescent="0.2">
      <c r="A1365" s="78">
        <v>47021</v>
      </c>
      <c r="B1365" s="77">
        <f>+PT!A1367</f>
        <v>0</v>
      </c>
      <c r="C1365" s="77">
        <f t="shared" si="24"/>
        <v>1364</v>
      </c>
    </row>
    <row r="1366" spans="1:3" x14ac:dyDescent="0.2">
      <c r="A1366" s="78">
        <v>47022</v>
      </c>
      <c r="B1366" s="77">
        <f>+PT!A1368</f>
        <v>0</v>
      </c>
      <c r="C1366" s="77">
        <f t="shared" si="24"/>
        <v>1365</v>
      </c>
    </row>
    <row r="1367" spans="1:3" x14ac:dyDescent="0.2">
      <c r="A1367" s="78">
        <v>47023</v>
      </c>
      <c r="B1367" s="77">
        <f>+PT!A1369</f>
        <v>0</v>
      </c>
      <c r="C1367" s="77">
        <f t="shared" si="24"/>
        <v>1366</v>
      </c>
    </row>
    <row r="1368" spans="1:3" x14ac:dyDescent="0.2">
      <c r="A1368" s="78">
        <v>47024</v>
      </c>
      <c r="B1368" s="77">
        <f>+PT!A1370</f>
        <v>0</v>
      </c>
      <c r="C1368" s="77">
        <f t="shared" si="24"/>
        <v>1367</v>
      </c>
    </row>
    <row r="1369" spans="1:3" x14ac:dyDescent="0.2">
      <c r="A1369" s="78">
        <v>47025</v>
      </c>
      <c r="B1369" s="77">
        <f>+PT!A1371</f>
        <v>0</v>
      </c>
      <c r="C1369" s="77">
        <f t="shared" si="24"/>
        <v>1368</v>
      </c>
    </row>
    <row r="1370" spans="1:3" x14ac:dyDescent="0.2">
      <c r="A1370" s="78">
        <v>47026</v>
      </c>
      <c r="B1370" s="77">
        <f>+PT!A1372</f>
        <v>0</v>
      </c>
      <c r="C1370" s="77">
        <f t="shared" si="24"/>
        <v>1369</v>
      </c>
    </row>
    <row r="1371" spans="1:3" x14ac:dyDescent="0.2">
      <c r="A1371" s="78">
        <v>47027</v>
      </c>
      <c r="B1371" s="77">
        <f>+PT!A1373</f>
        <v>0</v>
      </c>
      <c r="C1371" s="77">
        <f t="shared" si="24"/>
        <v>1370</v>
      </c>
    </row>
    <row r="1372" spans="1:3" x14ac:dyDescent="0.2">
      <c r="A1372" s="78">
        <v>47028</v>
      </c>
      <c r="B1372" s="77">
        <f>+PT!A1374</f>
        <v>0</v>
      </c>
      <c r="C1372" s="77">
        <f t="shared" si="24"/>
        <v>1371</v>
      </c>
    </row>
    <row r="1373" spans="1:3" x14ac:dyDescent="0.2">
      <c r="A1373" s="78">
        <v>47029</v>
      </c>
      <c r="B1373" s="77">
        <f>+PT!A1375</f>
        <v>0</v>
      </c>
      <c r="C1373" s="77">
        <f t="shared" si="24"/>
        <v>1372</v>
      </c>
    </row>
    <row r="1374" spans="1:3" x14ac:dyDescent="0.2">
      <c r="A1374" s="78">
        <v>47030</v>
      </c>
      <c r="B1374" s="77">
        <f>+PT!A1376</f>
        <v>0</v>
      </c>
      <c r="C1374" s="77">
        <f t="shared" si="24"/>
        <v>1373</v>
      </c>
    </row>
    <row r="1375" spans="1:3" x14ac:dyDescent="0.2">
      <c r="A1375" s="78">
        <v>47031</v>
      </c>
      <c r="B1375" s="77">
        <f>+PT!A1377</f>
        <v>0</v>
      </c>
      <c r="C1375" s="77">
        <f t="shared" si="24"/>
        <v>1374</v>
      </c>
    </row>
    <row r="1376" spans="1:3" x14ac:dyDescent="0.2">
      <c r="A1376" s="78">
        <v>47032</v>
      </c>
      <c r="B1376" s="77">
        <f>+PT!A1378</f>
        <v>0</v>
      </c>
      <c r="C1376" s="77">
        <f t="shared" si="24"/>
        <v>1375</v>
      </c>
    </row>
    <row r="1377" spans="1:3" x14ac:dyDescent="0.2">
      <c r="A1377" s="78">
        <v>47033</v>
      </c>
      <c r="B1377" s="77">
        <f>+PT!A1379</f>
        <v>0</v>
      </c>
      <c r="C1377" s="77">
        <f t="shared" si="24"/>
        <v>1376</v>
      </c>
    </row>
    <row r="1378" spans="1:3" x14ac:dyDescent="0.2">
      <c r="A1378" s="78">
        <v>47034</v>
      </c>
      <c r="B1378" s="77">
        <f>+PT!A1380</f>
        <v>0</v>
      </c>
      <c r="C1378" s="77">
        <f t="shared" si="24"/>
        <v>1377</v>
      </c>
    </row>
    <row r="1379" spans="1:3" x14ac:dyDescent="0.2">
      <c r="A1379" s="78">
        <v>47035</v>
      </c>
      <c r="B1379" s="77">
        <f>+PT!A1381</f>
        <v>0</v>
      </c>
      <c r="C1379" s="77">
        <f t="shared" si="24"/>
        <v>1378</v>
      </c>
    </row>
    <row r="1380" spans="1:3" x14ac:dyDescent="0.2">
      <c r="A1380" s="78">
        <v>47036</v>
      </c>
      <c r="B1380" s="77">
        <f>+PT!A1382</f>
        <v>0</v>
      </c>
      <c r="C1380" s="77">
        <f t="shared" si="24"/>
        <v>1379</v>
      </c>
    </row>
    <row r="1381" spans="1:3" x14ac:dyDescent="0.2">
      <c r="A1381" s="78">
        <v>47037</v>
      </c>
      <c r="B1381" s="77">
        <f>+PT!A1383</f>
        <v>0</v>
      </c>
      <c r="C1381" s="77">
        <f t="shared" si="24"/>
        <v>1380</v>
      </c>
    </row>
    <row r="1382" spans="1:3" x14ac:dyDescent="0.2">
      <c r="A1382" s="78">
        <v>47038</v>
      </c>
      <c r="B1382" s="77">
        <f>+PT!A1384</f>
        <v>0</v>
      </c>
      <c r="C1382" s="77">
        <f t="shared" si="24"/>
        <v>1381</v>
      </c>
    </row>
    <row r="1383" spans="1:3" x14ac:dyDescent="0.2">
      <c r="A1383" s="78">
        <v>47039</v>
      </c>
      <c r="B1383" s="77">
        <f>+PT!A1385</f>
        <v>0</v>
      </c>
      <c r="C1383" s="77">
        <f t="shared" si="24"/>
        <v>1382</v>
      </c>
    </row>
    <row r="1384" spans="1:3" x14ac:dyDescent="0.2">
      <c r="A1384" s="78">
        <v>47040</v>
      </c>
      <c r="B1384" s="77">
        <f>+PT!A1386</f>
        <v>0</v>
      </c>
      <c r="C1384" s="77">
        <f t="shared" si="24"/>
        <v>1383</v>
      </c>
    </row>
    <row r="1385" spans="1:3" x14ac:dyDescent="0.2">
      <c r="A1385" s="78">
        <v>47041</v>
      </c>
      <c r="B1385" s="77">
        <f>+PT!A1387</f>
        <v>0</v>
      </c>
      <c r="C1385" s="77">
        <f t="shared" si="24"/>
        <v>1384</v>
      </c>
    </row>
    <row r="1386" spans="1:3" x14ac:dyDescent="0.2">
      <c r="A1386" s="78">
        <v>47042</v>
      </c>
      <c r="B1386" s="77">
        <f>+PT!A1388</f>
        <v>0</v>
      </c>
      <c r="C1386" s="77">
        <f t="shared" si="24"/>
        <v>1385</v>
      </c>
    </row>
    <row r="1387" spans="1:3" x14ac:dyDescent="0.2">
      <c r="A1387" s="78">
        <v>47043</v>
      </c>
      <c r="B1387" s="77">
        <f>+PT!A1389</f>
        <v>0</v>
      </c>
      <c r="C1387" s="77">
        <f t="shared" si="24"/>
        <v>1386</v>
      </c>
    </row>
    <row r="1388" spans="1:3" x14ac:dyDescent="0.2">
      <c r="A1388" s="78">
        <v>47044</v>
      </c>
      <c r="B1388" s="77">
        <f>+PT!A1390</f>
        <v>0</v>
      </c>
      <c r="C1388" s="77">
        <f t="shared" si="24"/>
        <v>1387</v>
      </c>
    </row>
    <row r="1389" spans="1:3" x14ac:dyDescent="0.2">
      <c r="A1389" s="78">
        <v>47045</v>
      </c>
      <c r="B1389" s="77">
        <f>+PT!A1391</f>
        <v>0</v>
      </c>
      <c r="C1389" s="77">
        <f t="shared" si="24"/>
        <v>1388</v>
      </c>
    </row>
    <row r="1390" spans="1:3" x14ac:dyDescent="0.2">
      <c r="A1390" s="78">
        <v>47046</v>
      </c>
      <c r="B1390" s="77">
        <f>+PT!A1392</f>
        <v>0</v>
      </c>
      <c r="C1390" s="77">
        <f t="shared" si="24"/>
        <v>1389</v>
      </c>
    </row>
    <row r="1391" spans="1:3" x14ac:dyDescent="0.2">
      <c r="A1391" s="78">
        <v>47047</v>
      </c>
      <c r="B1391" s="77">
        <f>+PT!A1393</f>
        <v>0</v>
      </c>
      <c r="C1391" s="77">
        <f t="shared" si="24"/>
        <v>1390</v>
      </c>
    </row>
    <row r="1392" spans="1:3" x14ac:dyDescent="0.2">
      <c r="A1392" s="78">
        <v>47048</v>
      </c>
      <c r="B1392" s="77">
        <f>+PT!A1394</f>
        <v>0</v>
      </c>
      <c r="C1392" s="77">
        <f t="shared" si="24"/>
        <v>1391</v>
      </c>
    </row>
    <row r="1393" spans="1:3" x14ac:dyDescent="0.2">
      <c r="A1393" s="78">
        <v>47049</v>
      </c>
      <c r="B1393" s="77">
        <f>+PT!A1395</f>
        <v>0</v>
      </c>
      <c r="C1393" s="77">
        <f t="shared" si="24"/>
        <v>1392</v>
      </c>
    </row>
    <row r="1394" spans="1:3" x14ac:dyDescent="0.2">
      <c r="A1394" s="78">
        <v>47050</v>
      </c>
      <c r="B1394" s="77">
        <f>+PT!A1396</f>
        <v>0</v>
      </c>
      <c r="C1394" s="77">
        <f t="shared" si="24"/>
        <v>1393</v>
      </c>
    </row>
    <row r="1395" spans="1:3" x14ac:dyDescent="0.2">
      <c r="A1395" s="78">
        <v>47051</v>
      </c>
      <c r="B1395" s="77">
        <f>+PT!A1397</f>
        <v>0</v>
      </c>
      <c r="C1395" s="77">
        <f t="shared" si="24"/>
        <v>1394</v>
      </c>
    </row>
    <row r="1396" spans="1:3" x14ac:dyDescent="0.2">
      <c r="A1396" s="78">
        <v>47052</v>
      </c>
      <c r="B1396" s="77">
        <f>+PT!A1398</f>
        <v>0</v>
      </c>
      <c r="C1396" s="77">
        <f t="shared" si="24"/>
        <v>1395</v>
      </c>
    </row>
    <row r="1397" spans="1:3" x14ac:dyDescent="0.2">
      <c r="A1397" s="78">
        <v>47053</v>
      </c>
      <c r="B1397" s="77">
        <f>+PT!A1399</f>
        <v>0</v>
      </c>
      <c r="C1397" s="77">
        <f t="shared" si="24"/>
        <v>1396</v>
      </c>
    </row>
    <row r="1398" spans="1:3" x14ac:dyDescent="0.2">
      <c r="A1398" s="78">
        <v>47054</v>
      </c>
      <c r="B1398" s="77">
        <f>+PT!A1400</f>
        <v>0</v>
      </c>
      <c r="C1398" s="77">
        <f t="shared" si="24"/>
        <v>1397</v>
      </c>
    </row>
    <row r="1399" spans="1:3" x14ac:dyDescent="0.2">
      <c r="A1399" s="78">
        <v>47055</v>
      </c>
      <c r="B1399" s="77">
        <f>+PT!A1401</f>
        <v>0</v>
      </c>
      <c r="C1399" s="77">
        <f t="shared" si="24"/>
        <v>1398</v>
      </c>
    </row>
    <row r="1400" spans="1:3" x14ac:dyDescent="0.2">
      <c r="A1400" s="78">
        <v>47056</v>
      </c>
      <c r="B1400" s="77">
        <f>+PT!A1402</f>
        <v>0</v>
      </c>
      <c r="C1400" s="77">
        <f t="shared" si="24"/>
        <v>1399</v>
      </c>
    </row>
    <row r="1401" spans="1:3" x14ac:dyDescent="0.2">
      <c r="A1401" s="78">
        <v>47057</v>
      </c>
      <c r="B1401" s="77">
        <f>+PT!A1403</f>
        <v>0</v>
      </c>
      <c r="C1401" s="77">
        <f t="shared" si="24"/>
        <v>1400</v>
      </c>
    </row>
    <row r="1402" spans="1:3" x14ac:dyDescent="0.2">
      <c r="A1402" s="78">
        <v>47058</v>
      </c>
      <c r="B1402" s="77">
        <f>+PT!A1404</f>
        <v>0</v>
      </c>
      <c r="C1402" s="77">
        <f t="shared" si="24"/>
        <v>1401</v>
      </c>
    </row>
    <row r="1403" spans="1:3" x14ac:dyDescent="0.2">
      <c r="A1403" s="78">
        <v>47059</v>
      </c>
      <c r="B1403" s="77">
        <f>+PT!A1405</f>
        <v>0</v>
      </c>
      <c r="C1403" s="77">
        <f t="shared" si="24"/>
        <v>1402</v>
      </c>
    </row>
    <row r="1404" spans="1:3" x14ac:dyDescent="0.2">
      <c r="A1404" s="78">
        <v>47060</v>
      </c>
      <c r="B1404" s="77">
        <f>+PT!A1406</f>
        <v>0</v>
      </c>
      <c r="C1404" s="77">
        <f t="shared" si="24"/>
        <v>1403</v>
      </c>
    </row>
    <row r="1405" spans="1:3" x14ac:dyDescent="0.2">
      <c r="A1405" s="78">
        <v>47061</v>
      </c>
      <c r="B1405" s="77">
        <f>+PT!A1407</f>
        <v>0</v>
      </c>
      <c r="C1405" s="77">
        <f t="shared" si="24"/>
        <v>1404</v>
      </c>
    </row>
    <row r="1406" spans="1:3" x14ac:dyDescent="0.2">
      <c r="A1406" s="78">
        <v>47062</v>
      </c>
      <c r="B1406" s="77">
        <f>+PT!A1408</f>
        <v>0</v>
      </c>
      <c r="C1406" s="77">
        <f t="shared" si="24"/>
        <v>1405</v>
      </c>
    </row>
    <row r="1407" spans="1:3" x14ac:dyDescent="0.2">
      <c r="A1407" s="78">
        <v>47063</v>
      </c>
      <c r="B1407" s="77">
        <f>+PT!A1409</f>
        <v>0</v>
      </c>
      <c r="C1407" s="77">
        <f t="shared" si="24"/>
        <v>1406</v>
      </c>
    </row>
    <row r="1408" spans="1:3" x14ac:dyDescent="0.2">
      <c r="A1408" s="78">
        <v>47064</v>
      </c>
      <c r="B1408" s="77">
        <f>+PT!A1410</f>
        <v>0</v>
      </c>
      <c r="C1408" s="77">
        <f t="shared" si="24"/>
        <v>1407</v>
      </c>
    </row>
    <row r="1409" spans="1:3" x14ac:dyDescent="0.2">
      <c r="A1409" s="78">
        <v>47065</v>
      </c>
      <c r="B1409" s="77">
        <f>+PT!A1411</f>
        <v>0</v>
      </c>
      <c r="C1409" s="77">
        <f t="shared" si="24"/>
        <v>1408</v>
      </c>
    </row>
    <row r="1410" spans="1:3" x14ac:dyDescent="0.2">
      <c r="A1410" s="78">
        <v>47066</v>
      </c>
      <c r="B1410" s="77">
        <f>+PT!A1412</f>
        <v>0</v>
      </c>
      <c r="C1410" s="77">
        <f t="shared" si="24"/>
        <v>1409</v>
      </c>
    </row>
    <row r="1411" spans="1:3" x14ac:dyDescent="0.2">
      <c r="A1411" s="78">
        <v>47067</v>
      </c>
      <c r="B1411" s="77">
        <f>+PT!A1413</f>
        <v>0</v>
      </c>
      <c r="C1411" s="77">
        <f t="shared" si="24"/>
        <v>1410</v>
      </c>
    </row>
    <row r="1412" spans="1:3" x14ac:dyDescent="0.2">
      <c r="A1412" s="78">
        <v>47068</v>
      </c>
      <c r="B1412" s="77">
        <f>+PT!A1414</f>
        <v>0</v>
      </c>
      <c r="C1412" s="77">
        <f t="shared" ref="C1412:C1475" si="25">+C1411+1</f>
        <v>1411</v>
      </c>
    </row>
    <row r="1413" spans="1:3" x14ac:dyDescent="0.2">
      <c r="A1413" s="78">
        <v>47069</v>
      </c>
      <c r="B1413" s="77">
        <f>+PT!A1415</f>
        <v>0</v>
      </c>
      <c r="C1413" s="77">
        <f t="shared" si="25"/>
        <v>1412</v>
      </c>
    </row>
    <row r="1414" spans="1:3" x14ac:dyDescent="0.2">
      <c r="A1414" s="78">
        <v>47070</v>
      </c>
      <c r="B1414" s="77">
        <f>+PT!A1416</f>
        <v>0</v>
      </c>
      <c r="C1414" s="77">
        <f t="shared" si="25"/>
        <v>1413</v>
      </c>
    </row>
    <row r="1415" spans="1:3" x14ac:dyDescent="0.2">
      <c r="A1415" s="78">
        <v>47071</v>
      </c>
      <c r="B1415" s="77">
        <f>+PT!A1417</f>
        <v>0</v>
      </c>
      <c r="C1415" s="77">
        <f t="shared" si="25"/>
        <v>1414</v>
      </c>
    </row>
    <row r="1416" spans="1:3" x14ac:dyDescent="0.2">
      <c r="A1416" s="78">
        <v>47072</v>
      </c>
      <c r="B1416" s="77">
        <f>+PT!A1418</f>
        <v>0</v>
      </c>
      <c r="C1416" s="77">
        <f t="shared" si="25"/>
        <v>1415</v>
      </c>
    </row>
    <row r="1417" spans="1:3" x14ac:dyDescent="0.2">
      <c r="A1417" s="78">
        <v>47073</v>
      </c>
      <c r="B1417" s="77">
        <f>+PT!A1419</f>
        <v>0</v>
      </c>
      <c r="C1417" s="77">
        <f t="shared" si="25"/>
        <v>1416</v>
      </c>
    </row>
    <row r="1418" spans="1:3" x14ac:dyDescent="0.2">
      <c r="A1418" s="78">
        <v>47074</v>
      </c>
      <c r="B1418" s="77">
        <f>+PT!A1420</f>
        <v>0</v>
      </c>
      <c r="C1418" s="77">
        <f t="shared" si="25"/>
        <v>1417</v>
      </c>
    </row>
    <row r="1419" spans="1:3" x14ac:dyDescent="0.2">
      <c r="A1419" s="78">
        <v>47075</v>
      </c>
      <c r="B1419" s="77">
        <f>+PT!A1421</f>
        <v>0</v>
      </c>
      <c r="C1419" s="77">
        <f t="shared" si="25"/>
        <v>1418</v>
      </c>
    </row>
    <row r="1420" spans="1:3" x14ac:dyDescent="0.2">
      <c r="A1420" s="78">
        <v>47076</v>
      </c>
      <c r="B1420" s="77">
        <f>+PT!A1422</f>
        <v>0</v>
      </c>
      <c r="C1420" s="77">
        <f t="shared" si="25"/>
        <v>1419</v>
      </c>
    </row>
    <row r="1421" spans="1:3" x14ac:dyDescent="0.2">
      <c r="A1421" s="78">
        <v>47077</v>
      </c>
      <c r="B1421" s="77">
        <f>+PT!A1423</f>
        <v>0</v>
      </c>
      <c r="C1421" s="77">
        <f t="shared" si="25"/>
        <v>1420</v>
      </c>
    </row>
    <row r="1422" spans="1:3" x14ac:dyDescent="0.2">
      <c r="A1422" s="78">
        <v>47078</v>
      </c>
      <c r="B1422" s="77">
        <f>+PT!A1424</f>
        <v>0</v>
      </c>
      <c r="C1422" s="77">
        <f t="shared" si="25"/>
        <v>1421</v>
      </c>
    </row>
    <row r="1423" spans="1:3" x14ac:dyDescent="0.2">
      <c r="A1423" s="78">
        <v>47079</v>
      </c>
      <c r="B1423" s="77">
        <f>+PT!A1425</f>
        <v>0</v>
      </c>
      <c r="C1423" s="77">
        <f t="shared" si="25"/>
        <v>1422</v>
      </c>
    </row>
    <row r="1424" spans="1:3" x14ac:dyDescent="0.2">
      <c r="A1424" s="78">
        <v>47080</v>
      </c>
      <c r="B1424" s="77">
        <f>+PT!A1426</f>
        <v>0</v>
      </c>
      <c r="C1424" s="77">
        <f t="shared" si="25"/>
        <v>1423</v>
      </c>
    </row>
    <row r="1425" spans="1:3" x14ac:dyDescent="0.2">
      <c r="A1425" s="78">
        <v>47081</v>
      </c>
      <c r="B1425" s="77">
        <f>+PT!A1427</f>
        <v>0</v>
      </c>
      <c r="C1425" s="77">
        <f t="shared" si="25"/>
        <v>1424</v>
      </c>
    </row>
    <row r="1426" spans="1:3" x14ac:dyDescent="0.2">
      <c r="A1426" s="78">
        <v>47082</v>
      </c>
      <c r="B1426" s="77">
        <f>+PT!A1428</f>
        <v>0</v>
      </c>
      <c r="C1426" s="77">
        <f t="shared" si="25"/>
        <v>1425</v>
      </c>
    </row>
    <row r="1427" spans="1:3" x14ac:dyDescent="0.2">
      <c r="A1427" s="78">
        <v>47083</v>
      </c>
      <c r="B1427" s="77">
        <f>+PT!A1429</f>
        <v>0</v>
      </c>
      <c r="C1427" s="77">
        <f t="shared" si="25"/>
        <v>1426</v>
      </c>
    </row>
    <row r="1428" spans="1:3" x14ac:dyDescent="0.2">
      <c r="A1428" s="78">
        <v>47084</v>
      </c>
      <c r="B1428" s="77">
        <f>+PT!A1430</f>
        <v>0</v>
      </c>
      <c r="C1428" s="77">
        <f t="shared" si="25"/>
        <v>1427</v>
      </c>
    </row>
    <row r="1429" spans="1:3" x14ac:dyDescent="0.2">
      <c r="A1429" s="78">
        <v>47085</v>
      </c>
      <c r="B1429" s="77">
        <f>+PT!A1431</f>
        <v>0</v>
      </c>
      <c r="C1429" s="77">
        <f t="shared" si="25"/>
        <v>1428</v>
      </c>
    </row>
    <row r="1430" spans="1:3" x14ac:dyDescent="0.2">
      <c r="A1430" s="78">
        <v>47086</v>
      </c>
      <c r="B1430" s="77">
        <f>+PT!A1432</f>
        <v>0</v>
      </c>
      <c r="C1430" s="77">
        <f t="shared" si="25"/>
        <v>1429</v>
      </c>
    </row>
    <row r="1431" spans="1:3" x14ac:dyDescent="0.2">
      <c r="A1431" s="78">
        <v>47087</v>
      </c>
      <c r="B1431" s="77">
        <f>+PT!A1433</f>
        <v>0</v>
      </c>
      <c r="C1431" s="77">
        <f t="shared" si="25"/>
        <v>1430</v>
      </c>
    </row>
    <row r="1432" spans="1:3" x14ac:dyDescent="0.2">
      <c r="A1432" s="78">
        <v>47088</v>
      </c>
      <c r="B1432" s="77">
        <f>+PT!A1434</f>
        <v>0</v>
      </c>
      <c r="C1432" s="77">
        <f t="shared" si="25"/>
        <v>1431</v>
      </c>
    </row>
    <row r="1433" spans="1:3" x14ac:dyDescent="0.2">
      <c r="A1433" s="78">
        <v>47089</v>
      </c>
      <c r="B1433" s="77">
        <f>+PT!A1435</f>
        <v>0</v>
      </c>
      <c r="C1433" s="77">
        <f t="shared" si="25"/>
        <v>1432</v>
      </c>
    </row>
    <row r="1434" spans="1:3" x14ac:dyDescent="0.2">
      <c r="A1434" s="78">
        <v>47090</v>
      </c>
      <c r="B1434" s="77">
        <f>+PT!A1436</f>
        <v>0</v>
      </c>
      <c r="C1434" s="77">
        <f t="shared" si="25"/>
        <v>1433</v>
      </c>
    </row>
    <row r="1435" spans="1:3" x14ac:dyDescent="0.2">
      <c r="A1435" s="78">
        <v>47091</v>
      </c>
      <c r="B1435" s="77">
        <f>+PT!A1437</f>
        <v>0</v>
      </c>
      <c r="C1435" s="77">
        <f t="shared" si="25"/>
        <v>1434</v>
      </c>
    </row>
    <row r="1436" spans="1:3" x14ac:dyDescent="0.2">
      <c r="A1436" s="78">
        <v>47092</v>
      </c>
      <c r="B1436" s="77">
        <f>+PT!A1438</f>
        <v>0</v>
      </c>
      <c r="C1436" s="77">
        <f t="shared" si="25"/>
        <v>1435</v>
      </c>
    </row>
    <row r="1437" spans="1:3" x14ac:dyDescent="0.2">
      <c r="A1437" s="78">
        <v>47093</v>
      </c>
      <c r="B1437" s="77">
        <f>+PT!A1439</f>
        <v>0</v>
      </c>
      <c r="C1437" s="77">
        <f t="shared" si="25"/>
        <v>1436</v>
      </c>
    </row>
    <row r="1438" spans="1:3" x14ac:dyDescent="0.2">
      <c r="A1438" s="78">
        <v>47094</v>
      </c>
      <c r="B1438" s="77">
        <f>+PT!A1440</f>
        <v>0</v>
      </c>
      <c r="C1438" s="77">
        <f t="shared" si="25"/>
        <v>1437</v>
      </c>
    </row>
    <row r="1439" spans="1:3" x14ac:dyDescent="0.2">
      <c r="A1439" s="78">
        <v>47095</v>
      </c>
      <c r="B1439" s="77">
        <f>+PT!A1441</f>
        <v>0</v>
      </c>
      <c r="C1439" s="77">
        <f t="shared" si="25"/>
        <v>1438</v>
      </c>
    </row>
    <row r="1440" spans="1:3" x14ac:dyDescent="0.2">
      <c r="A1440" s="78">
        <v>47096</v>
      </c>
      <c r="B1440" s="77">
        <f>+PT!A1442</f>
        <v>0</v>
      </c>
      <c r="C1440" s="77">
        <f t="shared" si="25"/>
        <v>1439</v>
      </c>
    </row>
    <row r="1441" spans="1:3" x14ac:dyDescent="0.2">
      <c r="A1441" s="78">
        <v>47097</v>
      </c>
      <c r="B1441" s="77">
        <f>+PT!A1443</f>
        <v>0</v>
      </c>
      <c r="C1441" s="77">
        <f t="shared" si="25"/>
        <v>1440</v>
      </c>
    </row>
    <row r="1442" spans="1:3" x14ac:dyDescent="0.2">
      <c r="A1442" s="78">
        <v>47098</v>
      </c>
      <c r="B1442" s="77">
        <f>+PT!A1444</f>
        <v>0</v>
      </c>
      <c r="C1442" s="77">
        <f t="shared" si="25"/>
        <v>1441</v>
      </c>
    </row>
    <row r="1443" spans="1:3" x14ac:dyDescent="0.2">
      <c r="A1443" s="78">
        <v>47099</v>
      </c>
      <c r="B1443" s="77">
        <f>+PT!A1445</f>
        <v>0</v>
      </c>
      <c r="C1443" s="77">
        <f t="shared" si="25"/>
        <v>1442</v>
      </c>
    </row>
    <row r="1444" spans="1:3" x14ac:dyDescent="0.2">
      <c r="A1444" s="78">
        <v>47100</v>
      </c>
      <c r="B1444" s="77">
        <f>+PT!A1446</f>
        <v>0</v>
      </c>
      <c r="C1444" s="77">
        <f t="shared" si="25"/>
        <v>1443</v>
      </c>
    </row>
    <row r="1445" spans="1:3" x14ac:dyDescent="0.2">
      <c r="A1445" s="78">
        <v>47101</v>
      </c>
      <c r="B1445" s="77">
        <f>+PT!A1447</f>
        <v>0</v>
      </c>
      <c r="C1445" s="77">
        <f t="shared" si="25"/>
        <v>1444</v>
      </c>
    </row>
    <row r="1446" spans="1:3" x14ac:dyDescent="0.2">
      <c r="A1446" s="78">
        <v>47102</v>
      </c>
      <c r="B1446" s="77">
        <f>+PT!A1448</f>
        <v>0</v>
      </c>
      <c r="C1446" s="77">
        <f t="shared" si="25"/>
        <v>1445</v>
      </c>
    </row>
    <row r="1447" spans="1:3" x14ac:dyDescent="0.2">
      <c r="A1447" s="78">
        <v>47103</v>
      </c>
      <c r="B1447" s="77">
        <f>+PT!A1449</f>
        <v>0</v>
      </c>
      <c r="C1447" s="77">
        <f t="shared" si="25"/>
        <v>1446</v>
      </c>
    </row>
    <row r="1448" spans="1:3" x14ac:dyDescent="0.2">
      <c r="A1448" s="78">
        <v>47104</v>
      </c>
      <c r="B1448" s="77">
        <f>+PT!A1450</f>
        <v>0</v>
      </c>
      <c r="C1448" s="77">
        <f t="shared" si="25"/>
        <v>1447</v>
      </c>
    </row>
    <row r="1449" spans="1:3" x14ac:dyDescent="0.2">
      <c r="A1449" s="78">
        <v>47105</v>
      </c>
      <c r="B1449" s="77">
        <f>+PT!A1451</f>
        <v>0</v>
      </c>
      <c r="C1449" s="77">
        <f t="shared" si="25"/>
        <v>1448</v>
      </c>
    </row>
    <row r="1450" spans="1:3" x14ac:dyDescent="0.2">
      <c r="A1450" s="78">
        <v>47106</v>
      </c>
      <c r="B1450" s="77">
        <f>+PT!A1452</f>
        <v>0</v>
      </c>
      <c r="C1450" s="77">
        <f t="shared" si="25"/>
        <v>1449</v>
      </c>
    </row>
    <row r="1451" spans="1:3" x14ac:dyDescent="0.2">
      <c r="A1451" s="78">
        <v>47107</v>
      </c>
      <c r="B1451" s="77">
        <f>+PT!A1453</f>
        <v>0</v>
      </c>
      <c r="C1451" s="77">
        <f t="shared" si="25"/>
        <v>1450</v>
      </c>
    </row>
    <row r="1452" spans="1:3" x14ac:dyDescent="0.2">
      <c r="A1452" s="78">
        <v>47108</v>
      </c>
      <c r="B1452" s="77">
        <f>+PT!A1454</f>
        <v>0</v>
      </c>
      <c r="C1452" s="77">
        <f t="shared" si="25"/>
        <v>1451</v>
      </c>
    </row>
    <row r="1453" spans="1:3" x14ac:dyDescent="0.2">
      <c r="A1453" s="78">
        <v>47109</v>
      </c>
      <c r="B1453" s="77">
        <f>+PT!A1455</f>
        <v>0</v>
      </c>
      <c r="C1453" s="77">
        <f t="shared" si="25"/>
        <v>1452</v>
      </c>
    </row>
    <row r="1454" spans="1:3" x14ac:dyDescent="0.2">
      <c r="A1454" s="78">
        <v>47110</v>
      </c>
      <c r="B1454" s="77">
        <f>+PT!A1456</f>
        <v>0</v>
      </c>
      <c r="C1454" s="77">
        <f t="shared" si="25"/>
        <v>1453</v>
      </c>
    </row>
    <row r="1455" spans="1:3" x14ac:dyDescent="0.2">
      <c r="A1455" s="78">
        <v>47111</v>
      </c>
      <c r="B1455" s="77">
        <f>+PT!A1457</f>
        <v>0</v>
      </c>
      <c r="C1455" s="77">
        <f t="shared" si="25"/>
        <v>1454</v>
      </c>
    </row>
    <row r="1456" spans="1:3" x14ac:dyDescent="0.2">
      <c r="A1456" s="78">
        <v>47112</v>
      </c>
      <c r="B1456" s="77">
        <f>+PT!A1458</f>
        <v>0</v>
      </c>
      <c r="C1456" s="77">
        <f t="shared" si="25"/>
        <v>1455</v>
      </c>
    </row>
    <row r="1457" spans="1:3" x14ac:dyDescent="0.2">
      <c r="A1457" s="78">
        <v>47113</v>
      </c>
      <c r="B1457" s="77">
        <f>+PT!A1459</f>
        <v>0</v>
      </c>
      <c r="C1457" s="77">
        <f t="shared" si="25"/>
        <v>1456</v>
      </c>
    </row>
    <row r="1458" spans="1:3" x14ac:dyDescent="0.2">
      <c r="A1458" s="78">
        <v>47114</v>
      </c>
      <c r="B1458" s="77">
        <f>+PT!A1460</f>
        <v>0</v>
      </c>
      <c r="C1458" s="77">
        <f t="shared" si="25"/>
        <v>1457</v>
      </c>
    </row>
    <row r="1459" spans="1:3" x14ac:dyDescent="0.2">
      <c r="A1459" s="78">
        <v>47115</v>
      </c>
      <c r="B1459" s="77">
        <f>+PT!A1461</f>
        <v>0</v>
      </c>
      <c r="C1459" s="77">
        <f t="shared" si="25"/>
        <v>1458</v>
      </c>
    </row>
    <row r="1460" spans="1:3" x14ac:dyDescent="0.2">
      <c r="A1460" s="78">
        <v>47116</v>
      </c>
      <c r="B1460" s="77">
        <f>+PT!A1462</f>
        <v>0</v>
      </c>
      <c r="C1460" s="77">
        <f t="shared" si="25"/>
        <v>1459</v>
      </c>
    </row>
    <row r="1461" spans="1:3" x14ac:dyDescent="0.2">
      <c r="A1461" s="78">
        <v>47117</v>
      </c>
      <c r="B1461" s="77">
        <f>+PT!A1463</f>
        <v>0</v>
      </c>
      <c r="C1461" s="77">
        <f t="shared" si="25"/>
        <v>1460</v>
      </c>
    </row>
    <row r="1462" spans="1:3" x14ac:dyDescent="0.2">
      <c r="A1462" s="78">
        <v>47118</v>
      </c>
      <c r="B1462" s="77">
        <f>+PT!A1464</f>
        <v>0</v>
      </c>
      <c r="C1462" s="77">
        <f t="shared" si="25"/>
        <v>1461</v>
      </c>
    </row>
    <row r="1463" spans="1:3" x14ac:dyDescent="0.2">
      <c r="A1463" s="78">
        <v>47119</v>
      </c>
      <c r="B1463" s="77">
        <f>+PT!A1465</f>
        <v>0</v>
      </c>
      <c r="C1463" s="77">
        <f t="shared" si="25"/>
        <v>1462</v>
      </c>
    </row>
    <row r="1464" spans="1:3" x14ac:dyDescent="0.2">
      <c r="A1464" s="78">
        <v>47120</v>
      </c>
      <c r="B1464" s="77">
        <f>+PT!A1466</f>
        <v>0</v>
      </c>
      <c r="C1464" s="77">
        <f t="shared" si="25"/>
        <v>1463</v>
      </c>
    </row>
    <row r="1465" spans="1:3" x14ac:dyDescent="0.2">
      <c r="A1465" s="78">
        <v>47121</v>
      </c>
      <c r="B1465" s="77">
        <f>+PT!A1467</f>
        <v>0</v>
      </c>
      <c r="C1465" s="77">
        <f t="shared" si="25"/>
        <v>1464</v>
      </c>
    </row>
    <row r="1466" spans="1:3" x14ac:dyDescent="0.2">
      <c r="A1466" s="78">
        <v>47122</v>
      </c>
      <c r="B1466" s="77">
        <f>+PT!A1468</f>
        <v>0</v>
      </c>
      <c r="C1466" s="77">
        <f t="shared" si="25"/>
        <v>1465</v>
      </c>
    </row>
    <row r="1467" spans="1:3" x14ac:dyDescent="0.2">
      <c r="A1467" s="78">
        <v>47123</v>
      </c>
      <c r="B1467" s="77">
        <f>+PT!A1469</f>
        <v>0</v>
      </c>
      <c r="C1467" s="77">
        <f t="shared" si="25"/>
        <v>1466</v>
      </c>
    </row>
    <row r="1468" spans="1:3" x14ac:dyDescent="0.2">
      <c r="A1468" s="78">
        <v>47124</v>
      </c>
      <c r="B1468" s="77">
        <f>+PT!A1470</f>
        <v>0</v>
      </c>
      <c r="C1468" s="77">
        <f t="shared" si="25"/>
        <v>1467</v>
      </c>
    </row>
    <row r="1469" spans="1:3" x14ac:dyDescent="0.2">
      <c r="A1469" s="78">
        <v>47125</v>
      </c>
      <c r="B1469" s="77">
        <f>+PT!A1471</f>
        <v>0</v>
      </c>
      <c r="C1469" s="77">
        <f t="shared" si="25"/>
        <v>1468</v>
      </c>
    </row>
    <row r="1470" spans="1:3" x14ac:dyDescent="0.2">
      <c r="A1470" s="78">
        <v>47126</v>
      </c>
      <c r="B1470" s="77">
        <f>+PT!A1472</f>
        <v>0</v>
      </c>
      <c r="C1470" s="77">
        <f t="shared" si="25"/>
        <v>1469</v>
      </c>
    </row>
    <row r="1471" spans="1:3" x14ac:dyDescent="0.2">
      <c r="A1471" s="78">
        <v>47127</v>
      </c>
      <c r="B1471" s="77">
        <f>+PT!A1473</f>
        <v>0</v>
      </c>
      <c r="C1471" s="77">
        <f t="shared" si="25"/>
        <v>1470</v>
      </c>
    </row>
    <row r="1472" spans="1:3" x14ac:dyDescent="0.2">
      <c r="A1472" s="78">
        <v>47128</v>
      </c>
      <c r="B1472" s="77">
        <f>+PT!A1474</f>
        <v>0</v>
      </c>
      <c r="C1472" s="77">
        <f t="shared" si="25"/>
        <v>1471</v>
      </c>
    </row>
    <row r="1473" spans="1:3" x14ac:dyDescent="0.2">
      <c r="A1473" s="78">
        <v>47129</v>
      </c>
      <c r="B1473" s="77">
        <f>+PT!A1475</f>
        <v>0</v>
      </c>
      <c r="C1473" s="77">
        <f t="shared" si="25"/>
        <v>1472</v>
      </c>
    </row>
    <row r="1474" spans="1:3" x14ac:dyDescent="0.2">
      <c r="A1474" s="78">
        <v>47130</v>
      </c>
      <c r="B1474" s="77">
        <f>+PT!A1476</f>
        <v>0</v>
      </c>
      <c r="C1474" s="77">
        <f t="shared" si="25"/>
        <v>1473</v>
      </c>
    </row>
    <row r="1475" spans="1:3" x14ac:dyDescent="0.2">
      <c r="A1475" s="78">
        <v>47131</v>
      </c>
      <c r="B1475" s="77">
        <f>+PT!A1477</f>
        <v>0</v>
      </c>
      <c r="C1475" s="77">
        <f t="shared" si="25"/>
        <v>1474</v>
      </c>
    </row>
    <row r="1476" spans="1:3" x14ac:dyDescent="0.2">
      <c r="A1476" s="78">
        <v>47132</v>
      </c>
      <c r="B1476" s="77">
        <f>+PT!A1478</f>
        <v>0</v>
      </c>
      <c r="C1476" s="77">
        <f t="shared" ref="C1476:C1539" si="26">+C1475+1</f>
        <v>1475</v>
      </c>
    </row>
    <row r="1477" spans="1:3" x14ac:dyDescent="0.2">
      <c r="A1477" s="78">
        <v>47133</v>
      </c>
      <c r="B1477" s="77">
        <f>+PT!A1479</f>
        <v>0</v>
      </c>
      <c r="C1477" s="77">
        <f t="shared" si="26"/>
        <v>1476</v>
      </c>
    </row>
    <row r="1478" spans="1:3" x14ac:dyDescent="0.2">
      <c r="A1478" s="78">
        <v>47134</v>
      </c>
      <c r="B1478" s="77">
        <f>+PT!A1480</f>
        <v>0</v>
      </c>
      <c r="C1478" s="77">
        <f t="shared" si="26"/>
        <v>1477</v>
      </c>
    </row>
    <row r="1479" spans="1:3" x14ac:dyDescent="0.2">
      <c r="A1479" s="78">
        <v>47135</v>
      </c>
      <c r="B1479" s="77">
        <f>+PT!A1481</f>
        <v>0</v>
      </c>
      <c r="C1479" s="77">
        <f t="shared" si="26"/>
        <v>1478</v>
      </c>
    </row>
    <row r="1480" spans="1:3" x14ac:dyDescent="0.2">
      <c r="A1480" s="78">
        <v>47136</v>
      </c>
      <c r="B1480" s="77">
        <f>+PT!A1482</f>
        <v>0</v>
      </c>
      <c r="C1480" s="77">
        <f t="shared" si="26"/>
        <v>1479</v>
      </c>
    </row>
    <row r="1481" spans="1:3" x14ac:dyDescent="0.2">
      <c r="A1481" s="78">
        <v>47137</v>
      </c>
      <c r="B1481" s="77">
        <f>+PT!A1483</f>
        <v>0</v>
      </c>
      <c r="C1481" s="77">
        <f t="shared" si="26"/>
        <v>1480</v>
      </c>
    </row>
    <row r="1482" spans="1:3" x14ac:dyDescent="0.2">
      <c r="A1482" s="78">
        <v>47138</v>
      </c>
      <c r="B1482" s="77">
        <f>+PT!A1484</f>
        <v>0</v>
      </c>
      <c r="C1482" s="77">
        <f t="shared" si="26"/>
        <v>1481</v>
      </c>
    </row>
    <row r="1483" spans="1:3" x14ac:dyDescent="0.2">
      <c r="A1483" s="78">
        <v>47139</v>
      </c>
      <c r="B1483" s="77">
        <f>+PT!A1485</f>
        <v>0</v>
      </c>
      <c r="C1483" s="77">
        <f t="shared" si="26"/>
        <v>1482</v>
      </c>
    </row>
    <row r="1484" spans="1:3" x14ac:dyDescent="0.2">
      <c r="A1484" s="78">
        <v>47140</v>
      </c>
      <c r="B1484" s="77">
        <f>+PT!A1486</f>
        <v>0</v>
      </c>
      <c r="C1484" s="77">
        <f t="shared" si="26"/>
        <v>1483</v>
      </c>
    </row>
    <row r="1485" spans="1:3" x14ac:dyDescent="0.2">
      <c r="A1485" s="78">
        <v>47141</v>
      </c>
      <c r="B1485" s="77">
        <f>+PT!A1487</f>
        <v>0</v>
      </c>
      <c r="C1485" s="77">
        <f t="shared" si="26"/>
        <v>1484</v>
      </c>
    </row>
    <row r="1486" spans="1:3" x14ac:dyDescent="0.2">
      <c r="A1486" s="78">
        <v>47142</v>
      </c>
      <c r="B1486" s="77">
        <f>+PT!A1488</f>
        <v>0</v>
      </c>
      <c r="C1486" s="77">
        <f t="shared" si="26"/>
        <v>1485</v>
      </c>
    </row>
    <row r="1487" spans="1:3" x14ac:dyDescent="0.2">
      <c r="A1487" s="78">
        <v>47143</v>
      </c>
      <c r="B1487" s="77">
        <f>+PT!A1489</f>
        <v>0</v>
      </c>
      <c r="C1487" s="77">
        <f t="shared" si="26"/>
        <v>1486</v>
      </c>
    </row>
    <row r="1488" spans="1:3" x14ac:dyDescent="0.2">
      <c r="A1488" s="78">
        <v>47144</v>
      </c>
      <c r="B1488" s="77">
        <f>+PT!A1490</f>
        <v>0</v>
      </c>
      <c r="C1488" s="77">
        <f t="shared" si="26"/>
        <v>1487</v>
      </c>
    </row>
    <row r="1489" spans="1:3" x14ac:dyDescent="0.2">
      <c r="A1489" s="78">
        <v>47145</v>
      </c>
      <c r="B1489" s="77">
        <f>+PT!A1491</f>
        <v>0</v>
      </c>
      <c r="C1489" s="77">
        <f t="shared" si="26"/>
        <v>1488</v>
      </c>
    </row>
    <row r="1490" spans="1:3" x14ac:dyDescent="0.2">
      <c r="A1490" s="78">
        <v>47146</v>
      </c>
      <c r="B1490" s="77">
        <f>+PT!A1492</f>
        <v>0</v>
      </c>
      <c r="C1490" s="77">
        <f t="shared" si="26"/>
        <v>1489</v>
      </c>
    </row>
    <row r="1491" spans="1:3" x14ac:dyDescent="0.2">
      <c r="A1491" s="78">
        <v>47147</v>
      </c>
      <c r="B1491" s="77">
        <f>+PT!A1493</f>
        <v>0</v>
      </c>
      <c r="C1491" s="77">
        <f t="shared" si="26"/>
        <v>1490</v>
      </c>
    </row>
    <row r="1492" spans="1:3" x14ac:dyDescent="0.2">
      <c r="A1492" s="78">
        <v>47148</v>
      </c>
      <c r="B1492" s="77">
        <f>+PT!A1494</f>
        <v>0</v>
      </c>
      <c r="C1492" s="77">
        <f t="shared" si="26"/>
        <v>1491</v>
      </c>
    </row>
    <row r="1493" spans="1:3" x14ac:dyDescent="0.2">
      <c r="A1493" s="78">
        <v>47149</v>
      </c>
      <c r="B1493" s="77">
        <f>+PT!A1495</f>
        <v>0</v>
      </c>
      <c r="C1493" s="77">
        <f t="shared" si="26"/>
        <v>1492</v>
      </c>
    </row>
    <row r="1494" spans="1:3" x14ac:dyDescent="0.2">
      <c r="A1494" s="78">
        <v>47150</v>
      </c>
      <c r="B1494" s="77">
        <f>+PT!A1496</f>
        <v>0</v>
      </c>
      <c r="C1494" s="77">
        <f t="shared" si="26"/>
        <v>1493</v>
      </c>
    </row>
    <row r="1495" spans="1:3" x14ac:dyDescent="0.2">
      <c r="A1495" s="78">
        <v>47151</v>
      </c>
      <c r="B1495" s="77">
        <f>+PT!A1497</f>
        <v>0</v>
      </c>
      <c r="C1495" s="77">
        <f t="shared" si="26"/>
        <v>1494</v>
      </c>
    </row>
    <row r="1496" spans="1:3" x14ac:dyDescent="0.2">
      <c r="A1496" s="78">
        <v>47152</v>
      </c>
      <c r="B1496" s="77">
        <f>+PT!A1498</f>
        <v>0</v>
      </c>
      <c r="C1496" s="77">
        <f t="shared" si="26"/>
        <v>1495</v>
      </c>
    </row>
    <row r="1497" spans="1:3" x14ac:dyDescent="0.2">
      <c r="A1497" s="78">
        <v>47153</v>
      </c>
      <c r="B1497" s="77">
        <f>+PT!A1499</f>
        <v>0</v>
      </c>
      <c r="C1497" s="77">
        <f t="shared" si="26"/>
        <v>1496</v>
      </c>
    </row>
    <row r="1498" spans="1:3" x14ac:dyDescent="0.2">
      <c r="A1498" s="78">
        <v>47154</v>
      </c>
      <c r="B1498" s="77">
        <f>+PT!A1500</f>
        <v>0</v>
      </c>
      <c r="C1498" s="77">
        <f t="shared" si="26"/>
        <v>1497</v>
      </c>
    </row>
    <row r="1499" spans="1:3" x14ac:dyDescent="0.2">
      <c r="A1499" s="78">
        <v>47155</v>
      </c>
      <c r="B1499" s="77">
        <f>+PT!A1501</f>
        <v>0</v>
      </c>
      <c r="C1499" s="77">
        <f t="shared" si="26"/>
        <v>1498</v>
      </c>
    </row>
    <row r="1500" spans="1:3" x14ac:dyDescent="0.2">
      <c r="A1500" s="78">
        <v>47156</v>
      </c>
      <c r="B1500" s="77">
        <f>+PT!A1502</f>
        <v>0</v>
      </c>
      <c r="C1500" s="77">
        <f t="shared" si="26"/>
        <v>1499</v>
      </c>
    </row>
    <row r="1501" spans="1:3" x14ac:dyDescent="0.2">
      <c r="A1501" s="78">
        <v>47157</v>
      </c>
      <c r="B1501" s="77">
        <f>+PT!A1503</f>
        <v>0</v>
      </c>
      <c r="C1501" s="77">
        <f t="shared" si="26"/>
        <v>1500</v>
      </c>
    </row>
    <row r="1502" spans="1:3" x14ac:dyDescent="0.2">
      <c r="A1502" s="78">
        <v>47158</v>
      </c>
      <c r="B1502" s="77">
        <f>+PT!A1504</f>
        <v>0</v>
      </c>
      <c r="C1502" s="77">
        <f t="shared" si="26"/>
        <v>1501</v>
      </c>
    </row>
    <row r="1503" spans="1:3" x14ac:dyDescent="0.2">
      <c r="A1503" s="78">
        <v>47159</v>
      </c>
      <c r="B1503" s="77">
        <f>+PT!A1505</f>
        <v>0</v>
      </c>
      <c r="C1503" s="77">
        <f t="shared" si="26"/>
        <v>1502</v>
      </c>
    </row>
    <row r="1504" spans="1:3" x14ac:dyDescent="0.2">
      <c r="A1504" s="78">
        <v>47160</v>
      </c>
      <c r="B1504" s="77">
        <f>+PT!A1506</f>
        <v>0</v>
      </c>
      <c r="C1504" s="77">
        <f t="shared" si="26"/>
        <v>1503</v>
      </c>
    </row>
    <row r="1505" spans="1:3" x14ac:dyDescent="0.2">
      <c r="A1505" s="78">
        <v>47161</v>
      </c>
      <c r="B1505" s="77">
        <f>+PT!A1507</f>
        <v>0</v>
      </c>
      <c r="C1505" s="77">
        <f t="shared" si="26"/>
        <v>1504</v>
      </c>
    </row>
    <row r="1506" spans="1:3" x14ac:dyDescent="0.2">
      <c r="A1506" s="78">
        <v>47162</v>
      </c>
      <c r="B1506" s="77">
        <f>+PT!A1508</f>
        <v>0</v>
      </c>
      <c r="C1506" s="77">
        <f t="shared" si="26"/>
        <v>1505</v>
      </c>
    </row>
    <row r="1507" spans="1:3" x14ac:dyDescent="0.2">
      <c r="A1507" s="78">
        <v>47163</v>
      </c>
      <c r="B1507" s="77">
        <f>+PT!A1509</f>
        <v>0</v>
      </c>
      <c r="C1507" s="77">
        <f t="shared" si="26"/>
        <v>1506</v>
      </c>
    </row>
    <row r="1508" spans="1:3" x14ac:dyDescent="0.2">
      <c r="A1508" s="78">
        <v>47164</v>
      </c>
      <c r="B1508" s="77">
        <f>+PT!A1510</f>
        <v>0</v>
      </c>
      <c r="C1508" s="77">
        <f t="shared" si="26"/>
        <v>1507</v>
      </c>
    </row>
    <row r="1509" spans="1:3" x14ac:dyDescent="0.2">
      <c r="A1509" s="78">
        <v>47165</v>
      </c>
      <c r="B1509" s="77">
        <f>+PT!A1511</f>
        <v>0</v>
      </c>
      <c r="C1509" s="77">
        <f t="shared" si="26"/>
        <v>1508</v>
      </c>
    </row>
    <row r="1510" spans="1:3" x14ac:dyDescent="0.2">
      <c r="A1510" s="78">
        <v>47166</v>
      </c>
      <c r="B1510" s="77">
        <f>+PT!A1512</f>
        <v>0</v>
      </c>
      <c r="C1510" s="77">
        <f t="shared" si="26"/>
        <v>1509</v>
      </c>
    </row>
    <row r="1511" spans="1:3" x14ac:dyDescent="0.2">
      <c r="A1511" s="78">
        <v>47167</v>
      </c>
      <c r="B1511" s="77">
        <f>+PT!A1513</f>
        <v>0</v>
      </c>
      <c r="C1511" s="77">
        <f t="shared" si="26"/>
        <v>1510</v>
      </c>
    </row>
    <row r="1512" spans="1:3" x14ac:dyDescent="0.2">
      <c r="A1512" s="78">
        <v>47168</v>
      </c>
      <c r="B1512" s="77">
        <f>+PT!A1514</f>
        <v>0</v>
      </c>
      <c r="C1512" s="77">
        <f t="shared" si="26"/>
        <v>1511</v>
      </c>
    </row>
    <row r="1513" spans="1:3" x14ac:dyDescent="0.2">
      <c r="A1513" s="78">
        <v>47169</v>
      </c>
      <c r="B1513" s="77">
        <f>+PT!A1515</f>
        <v>0</v>
      </c>
      <c r="C1513" s="77">
        <f t="shared" si="26"/>
        <v>1512</v>
      </c>
    </row>
    <row r="1514" spans="1:3" x14ac:dyDescent="0.2">
      <c r="A1514" s="78">
        <v>47170</v>
      </c>
      <c r="B1514" s="77">
        <f>+PT!A1516</f>
        <v>0</v>
      </c>
      <c r="C1514" s="77">
        <f t="shared" si="26"/>
        <v>1513</v>
      </c>
    </row>
    <row r="1515" spans="1:3" x14ac:dyDescent="0.2">
      <c r="A1515" s="78">
        <v>47171</v>
      </c>
      <c r="B1515" s="77">
        <f>+PT!A1517</f>
        <v>0</v>
      </c>
      <c r="C1515" s="77">
        <f t="shared" si="26"/>
        <v>1514</v>
      </c>
    </row>
    <row r="1516" spans="1:3" x14ac:dyDescent="0.2">
      <c r="A1516" s="78">
        <v>47172</v>
      </c>
      <c r="B1516" s="77">
        <f>+PT!A1518</f>
        <v>0</v>
      </c>
      <c r="C1516" s="77">
        <f t="shared" si="26"/>
        <v>1515</v>
      </c>
    </row>
    <row r="1517" spans="1:3" x14ac:dyDescent="0.2">
      <c r="A1517" s="78">
        <v>47173</v>
      </c>
      <c r="B1517" s="77">
        <f>+PT!A1519</f>
        <v>0</v>
      </c>
      <c r="C1517" s="77">
        <f t="shared" si="26"/>
        <v>1516</v>
      </c>
    </row>
    <row r="1518" spans="1:3" x14ac:dyDescent="0.2">
      <c r="A1518" s="78">
        <v>47174</v>
      </c>
      <c r="B1518" s="77">
        <f>+PT!A1520</f>
        <v>0</v>
      </c>
      <c r="C1518" s="77">
        <f t="shared" si="26"/>
        <v>1517</v>
      </c>
    </row>
    <row r="1519" spans="1:3" x14ac:dyDescent="0.2">
      <c r="A1519" s="78">
        <v>47175</v>
      </c>
      <c r="B1519" s="77">
        <f>+PT!A1521</f>
        <v>0</v>
      </c>
      <c r="C1519" s="77">
        <f t="shared" si="26"/>
        <v>1518</v>
      </c>
    </row>
    <row r="1520" spans="1:3" x14ac:dyDescent="0.2">
      <c r="A1520" s="78">
        <v>47176</v>
      </c>
      <c r="B1520" s="77">
        <f>+PT!A1522</f>
        <v>0</v>
      </c>
      <c r="C1520" s="77">
        <f t="shared" si="26"/>
        <v>1519</v>
      </c>
    </row>
    <row r="1521" spans="1:3" x14ac:dyDescent="0.2">
      <c r="A1521" s="78">
        <v>47177</v>
      </c>
      <c r="B1521" s="77">
        <f>+PT!A1523</f>
        <v>0</v>
      </c>
      <c r="C1521" s="77">
        <f t="shared" si="26"/>
        <v>1520</v>
      </c>
    </row>
    <row r="1522" spans="1:3" x14ac:dyDescent="0.2">
      <c r="A1522" s="78">
        <v>47178</v>
      </c>
      <c r="B1522" s="77">
        <f>+PT!A1524</f>
        <v>0</v>
      </c>
      <c r="C1522" s="77">
        <f t="shared" si="26"/>
        <v>1521</v>
      </c>
    </row>
    <row r="1523" spans="1:3" x14ac:dyDescent="0.2">
      <c r="A1523" s="78">
        <v>47179</v>
      </c>
      <c r="B1523" s="77">
        <f>+PT!A1525</f>
        <v>0</v>
      </c>
      <c r="C1523" s="77">
        <f t="shared" si="26"/>
        <v>1522</v>
      </c>
    </row>
    <row r="1524" spans="1:3" x14ac:dyDescent="0.2">
      <c r="A1524" s="78">
        <v>47180</v>
      </c>
      <c r="B1524" s="77">
        <f>+PT!A1526</f>
        <v>0</v>
      </c>
      <c r="C1524" s="77">
        <f t="shared" si="26"/>
        <v>1523</v>
      </c>
    </row>
    <row r="1525" spans="1:3" x14ac:dyDescent="0.2">
      <c r="A1525" s="78">
        <v>47181</v>
      </c>
      <c r="B1525" s="77">
        <f>+PT!A1527</f>
        <v>0</v>
      </c>
      <c r="C1525" s="77">
        <f t="shared" si="26"/>
        <v>1524</v>
      </c>
    </row>
    <row r="1526" spans="1:3" x14ac:dyDescent="0.2">
      <c r="A1526" s="78">
        <v>47182</v>
      </c>
      <c r="B1526" s="77">
        <f>+PT!A1528</f>
        <v>0</v>
      </c>
      <c r="C1526" s="77">
        <f t="shared" si="26"/>
        <v>1525</v>
      </c>
    </row>
    <row r="1527" spans="1:3" x14ac:dyDescent="0.2">
      <c r="A1527" s="78">
        <v>47183</v>
      </c>
      <c r="B1527" s="77">
        <f>+PT!A1529</f>
        <v>0</v>
      </c>
      <c r="C1527" s="77">
        <f t="shared" si="26"/>
        <v>1526</v>
      </c>
    </row>
    <row r="1528" spans="1:3" x14ac:dyDescent="0.2">
      <c r="A1528" s="78">
        <v>47184</v>
      </c>
      <c r="B1528" s="77">
        <f>+PT!A1530</f>
        <v>0</v>
      </c>
      <c r="C1528" s="77">
        <f t="shared" si="26"/>
        <v>1527</v>
      </c>
    </row>
    <row r="1529" spans="1:3" x14ac:dyDescent="0.2">
      <c r="A1529" s="78">
        <v>47185</v>
      </c>
      <c r="B1529" s="77">
        <f>+PT!A1531</f>
        <v>0</v>
      </c>
      <c r="C1529" s="77">
        <f t="shared" si="26"/>
        <v>1528</v>
      </c>
    </row>
    <row r="1530" spans="1:3" x14ac:dyDescent="0.2">
      <c r="A1530" s="78">
        <v>47186</v>
      </c>
      <c r="B1530" s="77">
        <f>+PT!A1532</f>
        <v>0</v>
      </c>
      <c r="C1530" s="77">
        <f t="shared" si="26"/>
        <v>1529</v>
      </c>
    </row>
    <row r="1531" spans="1:3" x14ac:dyDescent="0.2">
      <c r="A1531" s="78">
        <v>47187</v>
      </c>
      <c r="B1531" s="77">
        <f>+PT!A1533</f>
        <v>0</v>
      </c>
      <c r="C1531" s="77">
        <f t="shared" si="26"/>
        <v>1530</v>
      </c>
    </row>
    <row r="1532" spans="1:3" x14ac:dyDescent="0.2">
      <c r="A1532" s="78">
        <v>47188</v>
      </c>
      <c r="B1532" s="77">
        <f>+PT!A1534</f>
        <v>0</v>
      </c>
      <c r="C1532" s="77">
        <f t="shared" si="26"/>
        <v>1531</v>
      </c>
    </row>
    <row r="1533" spans="1:3" x14ac:dyDescent="0.2">
      <c r="A1533" s="78">
        <v>47189</v>
      </c>
      <c r="B1533" s="77">
        <f>+PT!A1535</f>
        <v>0</v>
      </c>
      <c r="C1533" s="77">
        <f t="shared" si="26"/>
        <v>1532</v>
      </c>
    </row>
    <row r="1534" spans="1:3" x14ac:dyDescent="0.2">
      <c r="A1534" s="78">
        <v>47190</v>
      </c>
      <c r="B1534" s="77">
        <f>+PT!A1536</f>
        <v>0</v>
      </c>
      <c r="C1534" s="77">
        <f t="shared" si="26"/>
        <v>1533</v>
      </c>
    </row>
    <row r="1535" spans="1:3" x14ac:dyDescent="0.2">
      <c r="A1535" s="78">
        <v>47191</v>
      </c>
      <c r="B1535" s="77">
        <f>+PT!A1537</f>
        <v>0</v>
      </c>
      <c r="C1535" s="77">
        <f t="shared" si="26"/>
        <v>1534</v>
      </c>
    </row>
    <row r="1536" spans="1:3" x14ac:dyDescent="0.2">
      <c r="A1536" s="78">
        <v>47192</v>
      </c>
      <c r="B1536" s="77">
        <f>+PT!A1538</f>
        <v>0</v>
      </c>
      <c r="C1536" s="77">
        <f t="shared" si="26"/>
        <v>1535</v>
      </c>
    </row>
    <row r="1537" spans="1:3" x14ac:dyDescent="0.2">
      <c r="A1537" s="78">
        <v>47193</v>
      </c>
      <c r="B1537" s="77">
        <f>+PT!A1539</f>
        <v>0</v>
      </c>
      <c r="C1537" s="77">
        <f t="shared" si="26"/>
        <v>1536</v>
      </c>
    </row>
    <row r="1538" spans="1:3" x14ac:dyDescent="0.2">
      <c r="A1538" s="78">
        <v>47194</v>
      </c>
      <c r="B1538" s="77">
        <f>+PT!A1540</f>
        <v>0</v>
      </c>
      <c r="C1538" s="77">
        <f t="shared" si="26"/>
        <v>1537</v>
      </c>
    </row>
    <row r="1539" spans="1:3" x14ac:dyDescent="0.2">
      <c r="A1539" s="78">
        <v>47195</v>
      </c>
      <c r="B1539" s="77">
        <f>+PT!A1541</f>
        <v>0</v>
      </c>
      <c r="C1539" s="77">
        <f t="shared" si="26"/>
        <v>1538</v>
      </c>
    </row>
    <row r="1540" spans="1:3" x14ac:dyDescent="0.2">
      <c r="A1540" s="78">
        <v>47196</v>
      </c>
      <c r="B1540" s="77">
        <f>+PT!A1542</f>
        <v>0</v>
      </c>
      <c r="C1540" s="77">
        <f t="shared" ref="C1540:C1603" si="27">+C1539+1</f>
        <v>1539</v>
      </c>
    </row>
    <row r="1541" spans="1:3" x14ac:dyDescent="0.2">
      <c r="A1541" s="78">
        <v>47197</v>
      </c>
      <c r="B1541" s="77">
        <f>+PT!A1543</f>
        <v>0</v>
      </c>
      <c r="C1541" s="77">
        <f t="shared" si="27"/>
        <v>1540</v>
      </c>
    </row>
    <row r="1542" spans="1:3" x14ac:dyDescent="0.2">
      <c r="A1542" s="78">
        <v>47198</v>
      </c>
      <c r="B1542" s="77">
        <f>+PT!A1544</f>
        <v>0</v>
      </c>
      <c r="C1542" s="77">
        <f t="shared" si="27"/>
        <v>1541</v>
      </c>
    </row>
    <row r="1543" spans="1:3" x14ac:dyDescent="0.2">
      <c r="A1543" s="78">
        <v>47199</v>
      </c>
      <c r="B1543" s="77">
        <f>+PT!A1545</f>
        <v>0</v>
      </c>
      <c r="C1543" s="77">
        <f t="shared" si="27"/>
        <v>1542</v>
      </c>
    </row>
    <row r="1544" spans="1:3" x14ac:dyDescent="0.2">
      <c r="A1544" s="78">
        <v>47200</v>
      </c>
      <c r="B1544" s="77">
        <f>+PT!A1546</f>
        <v>0</v>
      </c>
      <c r="C1544" s="77">
        <f t="shared" si="27"/>
        <v>1543</v>
      </c>
    </row>
    <row r="1545" spans="1:3" x14ac:dyDescent="0.2">
      <c r="A1545" s="78">
        <v>47201</v>
      </c>
      <c r="B1545" s="77">
        <f>+PT!A1547</f>
        <v>0</v>
      </c>
      <c r="C1545" s="77">
        <f t="shared" si="27"/>
        <v>1544</v>
      </c>
    </row>
    <row r="1546" spans="1:3" x14ac:dyDescent="0.2">
      <c r="A1546" s="78">
        <v>47202</v>
      </c>
      <c r="B1546" s="77">
        <f>+PT!A1548</f>
        <v>0</v>
      </c>
      <c r="C1546" s="77">
        <f t="shared" si="27"/>
        <v>1545</v>
      </c>
    </row>
    <row r="1547" spans="1:3" x14ac:dyDescent="0.2">
      <c r="A1547" s="78">
        <v>47203</v>
      </c>
      <c r="B1547" s="77">
        <f>+PT!A1549</f>
        <v>0</v>
      </c>
      <c r="C1547" s="77">
        <f t="shared" si="27"/>
        <v>1546</v>
      </c>
    </row>
    <row r="1548" spans="1:3" x14ac:dyDescent="0.2">
      <c r="A1548" s="78">
        <v>47204</v>
      </c>
      <c r="B1548" s="77">
        <f>+PT!A1550</f>
        <v>0</v>
      </c>
      <c r="C1548" s="77">
        <f t="shared" si="27"/>
        <v>1547</v>
      </c>
    </row>
    <row r="1549" spans="1:3" x14ac:dyDescent="0.2">
      <c r="A1549" s="78">
        <v>47205</v>
      </c>
      <c r="B1549" s="77">
        <f>+PT!A1551</f>
        <v>0</v>
      </c>
      <c r="C1549" s="77">
        <f t="shared" si="27"/>
        <v>1548</v>
      </c>
    </row>
    <row r="1550" spans="1:3" x14ac:dyDescent="0.2">
      <c r="A1550" s="78">
        <v>47206</v>
      </c>
      <c r="B1550" s="77">
        <f>+PT!A1552</f>
        <v>0</v>
      </c>
      <c r="C1550" s="77">
        <f t="shared" si="27"/>
        <v>1549</v>
      </c>
    </row>
    <row r="1551" spans="1:3" x14ac:dyDescent="0.2">
      <c r="A1551" s="78">
        <v>47207</v>
      </c>
      <c r="B1551" s="77">
        <f>+PT!A1553</f>
        <v>0</v>
      </c>
      <c r="C1551" s="77">
        <f t="shared" si="27"/>
        <v>1550</v>
      </c>
    </row>
    <row r="1552" spans="1:3" x14ac:dyDescent="0.2">
      <c r="A1552" s="78">
        <v>47208</v>
      </c>
      <c r="B1552" s="77">
        <f>+PT!A1554</f>
        <v>0</v>
      </c>
      <c r="C1552" s="77">
        <f t="shared" si="27"/>
        <v>1551</v>
      </c>
    </row>
    <row r="1553" spans="1:3" x14ac:dyDescent="0.2">
      <c r="A1553" s="78">
        <v>47209</v>
      </c>
      <c r="B1553" s="77">
        <f>+PT!A1555</f>
        <v>0</v>
      </c>
      <c r="C1553" s="77">
        <f t="shared" si="27"/>
        <v>1552</v>
      </c>
    </row>
    <row r="1554" spans="1:3" x14ac:dyDescent="0.2">
      <c r="A1554" s="78">
        <v>47210</v>
      </c>
      <c r="B1554" s="77">
        <f>+PT!A1556</f>
        <v>0</v>
      </c>
      <c r="C1554" s="77">
        <f t="shared" si="27"/>
        <v>1553</v>
      </c>
    </row>
    <row r="1555" spans="1:3" x14ac:dyDescent="0.2">
      <c r="A1555" s="78">
        <v>47211</v>
      </c>
      <c r="B1555" s="77">
        <f>+PT!A1557</f>
        <v>0</v>
      </c>
      <c r="C1555" s="77">
        <f t="shared" si="27"/>
        <v>1554</v>
      </c>
    </row>
    <row r="1556" spans="1:3" x14ac:dyDescent="0.2">
      <c r="A1556" s="78">
        <v>47212</v>
      </c>
      <c r="B1556" s="77">
        <f>+PT!A1558</f>
        <v>0</v>
      </c>
      <c r="C1556" s="77">
        <f t="shared" si="27"/>
        <v>1555</v>
      </c>
    </row>
    <row r="1557" spans="1:3" x14ac:dyDescent="0.2">
      <c r="A1557" s="78">
        <v>47213</v>
      </c>
      <c r="B1557" s="77">
        <f>+PT!A1559</f>
        <v>0</v>
      </c>
      <c r="C1557" s="77">
        <f t="shared" si="27"/>
        <v>1556</v>
      </c>
    </row>
    <row r="1558" spans="1:3" x14ac:dyDescent="0.2">
      <c r="A1558" s="78">
        <v>47214</v>
      </c>
      <c r="B1558" s="77">
        <f>+PT!A1560</f>
        <v>0</v>
      </c>
      <c r="C1558" s="77">
        <f t="shared" si="27"/>
        <v>1557</v>
      </c>
    </row>
    <row r="1559" spans="1:3" x14ac:dyDescent="0.2">
      <c r="A1559" s="78">
        <v>47215</v>
      </c>
      <c r="B1559" s="77">
        <f>+PT!A1561</f>
        <v>0</v>
      </c>
      <c r="C1559" s="77">
        <f t="shared" si="27"/>
        <v>1558</v>
      </c>
    </row>
    <row r="1560" spans="1:3" x14ac:dyDescent="0.2">
      <c r="A1560" s="78">
        <v>47216</v>
      </c>
      <c r="B1560" s="77">
        <f>+PT!A1562</f>
        <v>0</v>
      </c>
      <c r="C1560" s="77">
        <f t="shared" si="27"/>
        <v>1559</v>
      </c>
    </row>
    <row r="1561" spans="1:3" x14ac:dyDescent="0.2">
      <c r="A1561" s="78">
        <v>47217</v>
      </c>
      <c r="B1561" s="77">
        <f>+PT!A1563</f>
        <v>0</v>
      </c>
      <c r="C1561" s="77">
        <f t="shared" si="27"/>
        <v>1560</v>
      </c>
    </row>
    <row r="1562" spans="1:3" x14ac:dyDescent="0.2">
      <c r="A1562" s="78">
        <v>47218</v>
      </c>
      <c r="B1562" s="77">
        <f>+PT!A1564</f>
        <v>0</v>
      </c>
      <c r="C1562" s="77">
        <f t="shared" si="27"/>
        <v>1561</v>
      </c>
    </row>
    <row r="1563" spans="1:3" x14ac:dyDescent="0.2">
      <c r="A1563" s="78">
        <v>47219</v>
      </c>
      <c r="B1563" s="77">
        <f>+PT!A1565</f>
        <v>0</v>
      </c>
      <c r="C1563" s="77">
        <f t="shared" si="27"/>
        <v>1562</v>
      </c>
    </row>
    <row r="1564" spans="1:3" x14ac:dyDescent="0.2">
      <c r="A1564" s="78">
        <v>47220</v>
      </c>
      <c r="B1564" s="77">
        <f>+PT!A1566</f>
        <v>0</v>
      </c>
      <c r="C1564" s="77">
        <f t="shared" si="27"/>
        <v>1563</v>
      </c>
    </row>
    <row r="1565" spans="1:3" x14ac:dyDescent="0.2">
      <c r="A1565" s="78">
        <v>47221</v>
      </c>
      <c r="B1565" s="77">
        <f>+PT!A1567</f>
        <v>0</v>
      </c>
      <c r="C1565" s="77">
        <f t="shared" si="27"/>
        <v>1564</v>
      </c>
    </row>
    <row r="1566" spans="1:3" x14ac:dyDescent="0.2">
      <c r="A1566" s="78">
        <v>47222</v>
      </c>
      <c r="B1566" s="77">
        <f>+PT!A1568</f>
        <v>0</v>
      </c>
      <c r="C1566" s="77">
        <f t="shared" si="27"/>
        <v>1565</v>
      </c>
    </row>
    <row r="1567" spans="1:3" x14ac:dyDescent="0.2">
      <c r="A1567" s="78">
        <v>47223</v>
      </c>
      <c r="B1567" s="77">
        <f>+PT!A1569</f>
        <v>0</v>
      </c>
      <c r="C1567" s="77">
        <f t="shared" si="27"/>
        <v>1566</v>
      </c>
    </row>
    <row r="1568" spans="1:3" x14ac:dyDescent="0.2">
      <c r="A1568" s="78">
        <v>47224</v>
      </c>
      <c r="B1568" s="77">
        <f>+PT!A1570</f>
        <v>0</v>
      </c>
      <c r="C1568" s="77">
        <f t="shared" si="27"/>
        <v>1567</v>
      </c>
    </row>
    <row r="1569" spans="1:3" x14ac:dyDescent="0.2">
      <c r="A1569" s="78">
        <v>47225</v>
      </c>
      <c r="B1569" s="77">
        <f>+PT!A1571</f>
        <v>0</v>
      </c>
      <c r="C1569" s="77">
        <f t="shared" si="27"/>
        <v>1568</v>
      </c>
    </row>
    <row r="1570" spans="1:3" x14ac:dyDescent="0.2">
      <c r="A1570" s="78">
        <v>47226</v>
      </c>
      <c r="B1570" s="77">
        <f>+PT!A1572</f>
        <v>0</v>
      </c>
      <c r="C1570" s="77">
        <f t="shared" si="27"/>
        <v>1569</v>
      </c>
    </row>
    <row r="1571" spans="1:3" x14ac:dyDescent="0.2">
      <c r="A1571" s="78">
        <v>47227</v>
      </c>
      <c r="B1571" s="77">
        <f>+PT!A1573</f>
        <v>0</v>
      </c>
      <c r="C1571" s="77">
        <f t="shared" si="27"/>
        <v>1570</v>
      </c>
    </row>
    <row r="1572" spans="1:3" x14ac:dyDescent="0.2">
      <c r="A1572" s="78">
        <v>47228</v>
      </c>
      <c r="B1572" s="77">
        <f>+PT!A1574</f>
        <v>0</v>
      </c>
      <c r="C1572" s="77">
        <f t="shared" si="27"/>
        <v>1571</v>
      </c>
    </row>
    <row r="1573" spans="1:3" x14ac:dyDescent="0.2">
      <c r="A1573" s="78">
        <v>47229</v>
      </c>
      <c r="B1573" s="77">
        <f>+PT!A1575</f>
        <v>0</v>
      </c>
      <c r="C1573" s="77">
        <f t="shared" si="27"/>
        <v>1572</v>
      </c>
    </row>
    <row r="1574" spans="1:3" x14ac:dyDescent="0.2">
      <c r="A1574" s="78">
        <v>47230</v>
      </c>
      <c r="B1574" s="77">
        <f>+PT!A1576</f>
        <v>0</v>
      </c>
      <c r="C1574" s="77">
        <f t="shared" si="27"/>
        <v>1573</v>
      </c>
    </row>
    <row r="1575" spans="1:3" x14ac:dyDescent="0.2">
      <c r="A1575" s="78">
        <v>47231</v>
      </c>
      <c r="B1575" s="77">
        <f>+PT!A1577</f>
        <v>0</v>
      </c>
      <c r="C1575" s="77">
        <f t="shared" si="27"/>
        <v>1574</v>
      </c>
    </row>
    <row r="1576" spans="1:3" x14ac:dyDescent="0.2">
      <c r="A1576" s="78">
        <v>47232</v>
      </c>
      <c r="B1576" s="77">
        <f>+PT!A1578</f>
        <v>0</v>
      </c>
      <c r="C1576" s="77">
        <f t="shared" si="27"/>
        <v>1575</v>
      </c>
    </row>
    <row r="1577" spans="1:3" x14ac:dyDescent="0.2">
      <c r="A1577" s="78">
        <v>47233</v>
      </c>
      <c r="B1577" s="77">
        <f>+PT!A1579</f>
        <v>0</v>
      </c>
      <c r="C1577" s="77">
        <f t="shared" si="27"/>
        <v>1576</v>
      </c>
    </row>
    <row r="1578" spans="1:3" x14ac:dyDescent="0.2">
      <c r="A1578" s="78">
        <v>47234</v>
      </c>
      <c r="B1578" s="77">
        <f>+PT!A1580</f>
        <v>0</v>
      </c>
      <c r="C1578" s="77">
        <f t="shared" si="27"/>
        <v>1577</v>
      </c>
    </row>
    <row r="1579" spans="1:3" x14ac:dyDescent="0.2">
      <c r="A1579" s="78">
        <v>47235</v>
      </c>
      <c r="B1579" s="77">
        <f>+PT!A1581</f>
        <v>0</v>
      </c>
      <c r="C1579" s="77">
        <f t="shared" si="27"/>
        <v>1578</v>
      </c>
    </row>
    <row r="1580" spans="1:3" x14ac:dyDescent="0.2">
      <c r="A1580" s="78">
        <v>47236</v>
      </c>
      <c r="B1580" s="77">
        <f>+PT!A1582</f>
        <v>0</v>
      </c>
      <c r="C1580" s="77">
        <f t="shared" si="27"/>
        <v>1579</v>
      </c>
    </row>
    <row r="1581" spans="1:3" x14ac:dyDescent="0.2">
      <c r="A1581" s="78">
        <v>47237</v>
      </c>
      <c r="B1581" s="77">
        <f>+PT!A1583</f>
        <v>0</v>
      </c>
      <c r="C1581" s="77">
        <f t="shared" si="27"/>
        <v>1580</v>
      </c>
    </row>
    <row r="1582" spans="1:3" x14ac:dyDescent="0.2">
      <c r="A1582" s="78">
        <v>47238</v>
      </c>
      <c r="B1582" s="77">
        <f>+PT!A1584</f>
        <v>0</v>
      </c>
      <c r="C1582" s="77">
        <f t="shared" si="27"/>
        <v>1581</v>
      </c>
    </row>
    <row r="1583" spans="1:3" x14ac:dyDescent="0.2">
      <c r="A1583" s="78">
        <v>47239</v>
      </c>
      <c r="B1583" s="77">
        <f>+PT!A1585</f>
        <v>0</v>
      </c>
      <c r="C1583" s="77">
        <f t="shared" si="27"/>
        <v>1582</v>
      </c>
    </row>
    <row r="1584" spans="1:3" x14ac:dyDescent="0.2">
      <c r="A1584" s="78">
        <v>47240</v>
      </c>
      <c r="B1584" s="77">
        <f>+PT!A1586</f>
        <v>0</v>
      </c>
      <c r="C1584" s="77">
        <f t="shared" si="27"/>
        <v>1583</v>
      </c>
    </row>
    <row r="1585" spans="1:3" x14ac:dyDescent="0.2">
      <c r="A1585" s="78">
        <v>47241</v>
      </c>
      <c r="B1585" s="77">
        <f>+PT!A1587</f>
        <v>0</v>
      </c>
      <c r="C1585" s="77">
        <f t="shared" si="27"/>
        <v>1584</v>
      </c>
    </row>
    <row r="1586" spans="1:3" x14ac:dyDescent="0.2">
      <c r="A1586" s="78">
        <v>47242</v>
      </c>
      <c r="B1586" s="77">
        <f>+PT!A1588</f>
        <v>0</v>
      </c>
      <c r="C1586" s="77">
        <f t="shared" si="27"/>
        <v>1585</v>
      </c>
    </row>
    <row r="1587" spans="1:3" x14ac:dyDescent="0.2">
      <c r="A1587" s="78">
        <v>47243</v>
      </c>
      <c r="B1587" s="77">
        <f>+PT!A1589</f>
        <v>0</v>
      </c>
      <c r="C1587" s="77">
        <f t="shared" si="27"/>
        <v>1586</v>
      </c>
    </row>
    <row r="1588" spans="1:3" x14ac:dyDescent="0.2">
      <c r="A1588" s="78">
        <v>47244</v>
      </c>
      <c r="B1588" s="77">
        <f>+PT!A1590</f>
        <v>0</v>
      </c>
      <c r="C1588" s="77">
        <f t="shared" si="27"/>
        <v>1587</v>
      </c>
    </row>
    <row r="1589" spans="1:3" x14ac:dyDescent="0.2">
      <c r="A1589" s="78">
        <v>47245</v>
      </c>
      <c r="B1589" s="77">
        <f>+PT!A1591</f>
        <v>0</v>
      </c>
      <c r="C1589" s="77">
        <f t="shared" si="27"/>
        <v>1588</v>
      </c>
    </row>
    <row r="1590" spans="1:3" x14ac:dyDescent="0.2">
      <c r="A1590" s="78">
        <v>47246</v>
      </c>
      <c r="B1590" s="77">
        <f>+PT!A1592</f>
        <v>0</v>
      </c>
      <c r="C1590" s="77">
        <f t="shared" si="27"/>
        <v>1589</v>
      </c>
    </row>
    <row r="1591" spans="1:3" x14ac:dyDescent="0.2">
      <c r="A1591" s="78">
        <v>47247</v>
      </c>
      <c r="B1591" s="77">
        <f>+PT!A1593</f>
        <v>0</v>
      </c>
      <c r="C1591" s="77">
        <f t="shared" si="27"/>
        <v>1590</v>
      </c>
    </row>
    <row r="1592" spans="1:3" x14ac:dyDescent="0.2">
      <c r="A1592" s="78">
        <v>47248</v>
      </c>
      <c r="B1592" s="77">
        <f>+PT!A1594</f>
        <v>0</v>
      </c>
      <c r="C1592" s="77">
        <f t="shared" si="27"/>
        <v>1591</v>
      </c>
    </row>
    <row r="1593" spans="1:3" x14ac:dyDescent="0.2">
      <c r="A1593" s="78">
        <v>47249</v>
      </c>
      <c r="B1593" s="77">
        <f>+PT!A1595</f>
        <v>0</v>
      </c>
      <c r="C1593" s="77">
        <f t="shared" si="27"/>
        <v>1592</v>
      </c>
    </row>
    <row r="1594" spans="1:3" x14ac:dyDescent="0.2">
      <c r="A1594" s="78">
        <v>47250</v>
      </c>
      <c r="B1594" s="77">
        <f>+PT!A1596</f>
        <v>0</v>
      </c>
      <c r="C1594" s="77">
        <f t="shared" si="27"/>
        <v>1593</v>
      </c>
    </row>
    <row r="1595" spans="1:3" x14ac:dyDescent="0.2">
      <c r="A1595" s="78">
        <v>47251</v>
      </c>
      <c r="B1595" s="77">
        <f>+PT!A1597</f>
        <v>0</v>
      </c>
      <c r="C1595" s="77">
        <f t="shared" si="27"/>
        <v>1594</v>
      </c>
    </row>
    <row r="1596" spans="1:3" x14ac:dyDescent="0.2">
      <c r="A1596" s="78">
        <v>47252</v>
      </c>
      <c r="B1596" s="77">
        <f>+PT!A1598</f>
        <v>0</v>
      </c>
      <c r="C1596" s="77">
        <f t="shared" si="27"/>
        <v>1595</v>
      </c>
    </row>
    <row r="1597" spans="1:3" x14ac:dyDescent="0.2">
      <c r="A1597" s="78">
        <v>47253</v>
      </c>
      <c r="B1597" s="77">
        <f>+PT!A1599</f>
        <v>0</v>
      </c>
      <c r="C1597" s="77">
        <f t="shared" si="27"/>
        <v>1596</v>
      </c>
    </row>
    <row r="1598" spans="1:3" x14ac:dyDescent="0.2">
      <c r="A1598" s="78">
        <v>47254</v>
      </c>
      <c r="B1598" s="77">
        <f>+PT!A1600</f>
        <v>0</v>
      </c>
      <c r="C1598" s="77">
        <f t="shared" si="27"/>
        <v>1597</v>
      </c>
    </row>
    <row r="1599" spans="1:3" x14ac:dyDescent="0.2">
      <c r="A1599" s="78">
        <v>47255</v>
      </c>
      <c r="B1599" s="77">
        <f>+PT!A1601</f>
        <v>0</v>
      </c>
      <c r="C1599" s="77">
        <f t="shared" si="27"/>
        <v>1598</v>
      </c>
    </row>
    <row r="1600" spans="1:3" x14ac:dyDescent="0.2">
      <c r="A1600" s="78">
        <v>47256</v>
      </c>
      <c r="B1600" s="77">
        <f>+PT!A1602</f>
        <v>0</v>
      </c>
      <c r="C1600" s="77">
        <f t="shared" si="27"/>
        <v>1599</v>
      </c>
    </row>
    <row r="1601" spans="1:3" x14ac:dyDescent="0.2">
      <c r="A1601" s="78">
        <v>47257</v>
      </c>
      <c r="B1601" s="77">
        <f>+PT!A1603</f>
        <v>0</v>
      </c>
      <c r="C1601" s="77">
        <f t="shared" si="27"/>
        <v>1600</v>
      </c>
    </row>
    <row r="1602" spans="1:3" x14ac:dyDescent="0.2">
      <c r="A1602" s="78">
        <v>47258</v>
      </c>
      <c r="B1602" s="77">
        <f>+PT!A1604</f>
        <v>0</v>
      </c>
      <c r="C1602" s="77">
        <f t="shared" si="27"/>
        <v>1601</v>
      </c>
    </row>
    <row r="1603" spans="1:3" x14ac:dyDescent="0.2">
      <c r="A1603" s="78">
        <v>47259</v>
      </c>
      <c r="B1603" s="77">
        <f>+PT!A1605</f>
        <v>0</v>
      </c>
      <c r="C1603" s="77">
        <f t="shared" si="27"/>
        <v>1602</v>
      </c>
    </row>
    <row r="1604" spans="1:3" x14ac:dyDescent="0.2">
      <c r="A1604" s="78">
        <v>47260</v>
      </c>
      <c r="B1604" s="77">
        <f>+PT!A1606</f>
        <v>0</v>
      </c>
      <c r="C1604" s="77">
        <f t="shared" ref="C1604:C1667" si="28">+C1603+1</f>
        <v>1603</v>
      </c>
    </row>
    <row r="1605" spans="1:3" x14ac:dyDescent="0.2">
      <c r="A1605" s="78">
        <v>47261</v>
      </c>
      <c r="B1605" s="77">
        <f>+PT!A1607</f>
        <v>0</v>
      </c>
      <c r="C1605" s="77">
        <f t="shared" si="28"/>
        <v>1604</v>
      </c>
    </row>
    <row r="1606" spans="1:3" x14ac:dyDescent="0.2">
      <c r="A1606" s="78">
        <v>47262</v>
      </c>
      <c r="B1606" s="77">
        <f>+PT!A1608</f>
        <v>0</v>
      </c>
      <c r="C1606" s="77">
        <f t="shared" si="28"/>
        <v>1605</v>
      </c>
    </row>
    <row r="1607" spans="1:3" x14ac:dyDescent="0.2">
      <c r="A1607" s="78">
        <v>47263</v>
      </c>
      <c r="B1607" s="77">
        <f>+PT!A1609</f>
        <v>0</v>
      </c>
      <c r="C1607" s="77">
        <f t="shared" si="28"/>
        <v>1606</v>
      </c>
    </row>
    <row r="1608" spans="1:3" x14ac:dyDescent="0.2">
      <c r="A1608" s="78">
        <v>47264</v>
      </c>
      <c r="B1608" s="77">
        <f>+PT!A1610</f>
        <v>0</v>
      </c>
      <c r="C1608" s="77">
        <f t="shared" si="28"/>
        <v>1607</v>
      </c>
    </row>
    <row r="1609" spans="1:3" x14ac:dyDescent="0.2">
      <c r="A1609" s="78">
        <v>47265</v>
      </c>
      <c r="B1609" s="77">
        <f>+PT!A1611</f>
        <v>0</v>
      </c>
      <c r="C1609" s="77">
        <f t="shared" si="28"/>
        <v>1608</v>
      </c>
    </row>
    <row r="1610" spans="1:3" x14ac:dyDescent="0.2">
      <c r="A1610" s="78">
        <v>47266</v>
      </c>
      <c r="B1610" s="77">
        <f>+PT!A1612</f>
        <v>0</v>
      </c>
      <c r="C1610" s="77">
        <f t="shared" si="28"/>
        <v>1609</v>
      </c>
    </row>
    <row r="1611" spans="1:3" x14ac:dyDescent="0.2">
      <c r="A1611" s="78">
        <v>47267</v>
      </c>
      <c r="B1611" s="77">
        <f>+PT!A1613</f>
        <v>0</v>
      </c>
      <c r="C1611" s="77">
        <f t="shared" si="28"/>
        <v>1610</v>
      </c>
    </row>
    <row r="1612" spans="1:3" x14ac:dyDescent="0.2">
      <c r="A1612" s="78">
        <v>47268</v>
      </c>
      <c r="B1612" s="77">
        <f>+PT!A1614</f>
        <v>0</v>
      </c>
      <c r="C1612" s="77">
        <f t="shared" si="28"/>
        <v>1611</v>
      </c>
    </row>
    <row r="1613" spans="1:3" x14ac:dyDescent="0.2">
      <c r="A1613" s="78">
        <v>47269</v>
      </c>
      <c r="B1613" s="77">
        <f>+PT!A1615</f>
        <v>0</v>
      </c>
      <c r="C1613" s="77">
        <f t="shared" si="28"/>
        <v>1612</v>
      </c>
    </row>
    <row r="1614" spans="1:3" x14ac:dyDescent="0.2">
      <c r="A1614" s="78">
        <v>47270</v>
      </c>
      <c r="B1614" s="77">
        <f>+PT!A1616</f>
        <v>0</v>
      </c>
      <c r="C1614" s="77">
        <f t="shared" si="28"/>
        <v>1613</v>
      </c>
    </row>
    <row r="1615" spans="1:3" x14ac:dyDescent="0.2">
      <c r="A1615" s="78">
        <v>47271</v>
      </c>
      <c r="B1615" s="77">
        <f>+PT!A1617</f>
        <v>0</v>
      </c>
      <c r="C1615" s="77">
        <f t="shared" si="28"/>
        <v>1614</v>
      </c>
    </row>
    <row r="1616" spans="1:3" x14ac:dyDescent="0.2">
      <c r="A1616" s="78">
        <v>47272</v>
      </c>
      <c r="B1616" s="77">
        <f>+PT!A1618</f>
        <v>0</v>
      </c>
      <c r="C1616" s="77">
        <f t="shared" si="28"/>
        <v>1615</v>
      </c>
    </row>
    <row r="1617" spans="1:3" x14ac:dyDescent="0.2">
      <c r="A1617" s="78">
        <v>47273</v>
      </c>
      <c r="B1617" s="77">
        <f>+PT!A1619</f>
        <v>0</v>
      </c>
      <c r="C1617" s="77">
        <f t="shared" si="28"/>
        <v>1616</v>
      </c>
    </row>
    <row r="1618" spans="1:3" x14ac:dyDescent="0.2">
      <c r="A1618" s="78">
        <v>47274</v>
      </c>
      <c r="B1618" s="77">
        <f>+PT!A1620</f>
        <v>0</v>
      </c>
      <c r="C1618" s="77">
        <f t="shared" si="28"/>
        <v>1617</v>
      </c>
    </row>
    <row r="1619" spans="1:3" x14ac:dyDescent="0.2">
      <c r="A1619" s="78">
        <v>47275</v>
      </c>
      <c r="B1619" s="77">
        <f>+PT!A1621</f>
        <v>0</v>
      </c>
      <c r="C1619" s="77">
        <f t="shared" si="28"/>
        <v>1618</v>
      </c>
    </row>
    <row r="1620" spans="1:3" x14ac:dyDescent="0.2">
      <c r="A1620" s="78">
        <v>47276</v>
      </c>
      <c r="B1620" s="77">
        <f>+PT!A1622</f>
        <v>0</v>
      </c>
      <c r="C1620" s="77">
        <f t="shared" si="28"/>
        <v>1619</v>
      </c>
    </row>
    <row r="1621" spans="1:3" x14ac:dyDescent="0.2">
      <c r="A1621" s="78">
        <v>47277</v>
      </c>
      <c r="B1621" s="77">
        <f>+PT!A1623</f>
        <v>0</v>
      </c>
      <c r="C1621" s="77">
        <f t="shared" si="28"/>
        <v>1620</v>
      </c>
    </row>
    <row r="1622" spans="1:3" x14ac:dyDescent="0.2">
      <c r="A1622" s="78">
        <v>47278</v>
      </c>
      <c r="B1622" s="77">
        <f>+PT!A1624</f>
        <v>0</v>
      </c>
      <c r="C1622" s="77">
        <f t="shared" si="28"/>
        <v>1621</v>
      </c>
    </row>
    <row r="1623" spans="1:3" x14ac:dyDescent="0.2">
      <c r="A1623" s="78">
        <v>47279</v>
      </c>
      <c r="B1623" s="77">
        <f>+PT!A1625</f>
        <v>0</v>
      </c>
      <c r="C1623" s="77">
        <f t="shared" si="28"/>
        <v>1622</v>
      </c>
    </row>
    <row r="1624" spans="1:3" x14ac:dyDescent="0.2">
      <c r="A1624" s="78">
        <v>47280</v>
      </c>
      <c r="B1624" s="77">
        <f>+PT!A1626</f>
        <v>0</v>
      </c>
      <c r="C1624" s="77">
        <f t="shared" si="28"/>
        <v>1623</v>
      </c>
    </row>
    <row r="1625" spans="1:3" x14ac:dyDescent="0.2">
      <c r="A1625" s="78">
        <v>47281</v>
      </c>
      <c r="B1625" s="77">
        <f>+PT!A1627</f>
        <v>0</v>
      </c>
      <c r="C1625" s="77">
        <f t="shared" si="28"/>
        <v>1624</v>
      </c>
    </row>
    <row r="1626" spans="1:3" x14ac:dyDescent="0.2">
      <c r="A1626" s="78">
        <v>47282</v>
      </c>
      <c r="B1626" s="77">
        <f>+PT!A1628</f>
        <v>0</v>
      </c>
      <c r="C1626" s="77">
        <f t="shared" si="28"/>
        <v>1625</v>
      </c>
    </row>
    <row r="1627" spans="1:3" x14ac:dyDescent="0.2">
      <c r="A1627" s="78">
        <v>47283</v>
      </c>
      <c r="B1627" s="77">
        <f>+PT!A1629</f>
        <v>0</v>
      </c>
      <c r="C1627" s="77">
        <f t="shared" si="28"/>
        <v>1626</v>
      </c>
    </row>
    <row r="1628" spans="1:3" x14ac:dyDescent="0.2">
      <c r="A1628" s="78">
        <v>47284</v>
      </c>
      <c r="B1628" s="77">
        <f>+PT!A1630</f>
        <v>0</v>
      </c>
      <c r="C1628" s="77">
        <f t="shared" si="28"/>
        <v>1627</v>
      </c>
    </row>
    <row r="1629" spans="1:3" x14ac:dyDescent="0.2">
      <c r="A1629" s="78">
        <v>47285</v>
      </c>
      <c r="B1629" s="77">
        <f>+PT!A1631</f>
        <v>0</v>
      </c>
      <c r="C1629" s="77">
        <f t="shared" si="28"/>
        <v>1628</v>
      </c>
    </row>
    <row r="1630" spans="1:3" x14ac:dyDescent="0.2">
      <c r="A1630" s="78">
        <v>47286</v>
      </c>
      <c r="B1630" s="77">
        <f>+PT!A1632</f>
        <v>0</v>
      </c>
      <c r="C1630" s="77">
        <f t="shared" si="28"/>
        <v>1629</v>
      </c>
    </row>
    <row r="1631" spans="1:3" x14ac:dyDescent="0.2">
      <c r="A1631" s="78">
        <v>47287</v>
      </c>
      <c r="B1631" s="77">
        <f>+PT!A1633</f>
        <v>0</v>
      </c>
      <c r="C1631" s="77">
        <f t="shared" si="28"/>
        <v>1630</v>
      </c>
    </row>
    <row r="1632" spans="1:3" x14ac:dyDescent="0.2">
      <c r="A1632" s="78">
        <v>47288</v>
      </c>
      <c r="B1632" s="77">
        <f>+PT!A1634</f>
        <v>0</v>
      </c>
      <c r="C1632" s="77">
        <f t="shared" si="28"/>
        <v>1631</v>
      </c>
    </row>
    <row r="1633" spans="1:3" x14ac:dyDescent="0.2">
      <c r="A1633" s="78">
        <v>47289</v>
      </c>
      <c r="B1633" s="77">
        <f>+PT!A1635</f>
        <v>0</v>
      </c>
      <c r="C1633" s="77">
        <f t="shared" si="28"/>
        <v>1632</v>
      </c>
    </row>
    <row r="1634" spans="1:3" x14ac:dyDescent="0.2">
      <c r="A1634" s="78">
        <v>47290</v>
      </c>
      <c r="B1634" s="77">
        <f>+PT!A1636</f>
        <v>0</v>
      </c>
      <c r="C1634" s="77">
        <f t="shared" si="28"/>
        <v>1633</v>
      </c>
    </row>
    <row r="1635" spans="1:3" x14ac:dyDescent="0.2">
      <c r="A1635" s="78">
        <v>47291</v>
      </c>
      <c r="B1635" s="77">
        <f>+PT!A1637</f>
        <v>0</v>
      </c>
      <c r="C1635" s="77">
        <f t="shared" si="28"/>
        <v>1634</v>
      </c>
    </row>
    <row r="1636" spans="1:3" x14ac:dyDescent="0.2">
      <c r="A1636" s="78">
        <v>47292</v>
      </c>
      <c r="B1636" s="77">
        <f>+PT!A1638</f>
        <v>0</v>
      </c>
      <c r="C1636" s="77">
        <f t="shared" si="28"/>
        <v>1635</v>
      </c>
    </row>
    <row r="1637" spans="1:3" x14ac:dyDescent="0.2">
      <c r="A1637" s="78">
        <v>47293</v>
      </c>
      <c r="B1637" s="77">
        <f>+PT!A1639</f>
        <v>0</v>
      </c>
      <c r="C1637" s="77">
        <f t="shared" si="28"/>
        <v>1636</v>
      </c>
    </row>
    <row r="1638" spans="1:3" x14ac:dyDescent="0.2">
      <c r="A1638" s="78">
        <v>47294</v>
      </c>
      <c r="B1638" s="77">
        <f>+PT!A1640</f>
        <v>0</v>
      </c>
      <c r="C1638" s="77">
        <f t="shared" si="28"/>
        <v>1637</v>
      </c>
    </row>
    <row r="1639" spans="1:3" x14ac:dyDescent="0.2">
      <c r="A1639" s="78">
        <v>47295</v>
      </c>
      <c r="B1639" s="77">
        <f>+PT!A1641</f>
        <v>0</v>
      </c>
      <c r="C1639" s="77">
        <f t="shared" si="28"/>
        <v>1638</v>
      </c>
    </row>
    <row r="1640" spans="1:3" x14ac:dyDescent="0.2">
      <c r="A1640" s="78">
        <v>47296</v>
      </c>
      <c r="B1640" s="77">
        <f>+PT!A1642</f>
        <v>0</v>
      </c>
      <c r="C1640" s="77">
        <f t="shared" si="28"/>
        <v>1639</v>
      </c>
    </row>
    <row r="1641" spans="1:3" x14ac:dyDescent="0.2">
      <c r="A1641" s="78">
        <v>47297</v>
      </c>
      <c r="B1641" s="77">
        <f>+PT!A1643</f>
        <v>0</v>
      </c>
      <c r="C1641" s="77">
        <f t="shared" si="28"/>
        <v>1640</v>
      </c>
    </row>
    <row r="1642" spans="1:3" x14ac:dyDescent="0.2">
      <c r="A1642" s="78">
        <v>47298</v>
      </c>
      <c r="B1642" s="77">
        <f>+PT!A1644</f>
        <v>0</v>
      </c>
      <c r="C1642" s="77">
        <f t="shared" si="28"/>
        <v>1641</v>
      </c>
    </row>
    <row r="1643" spans="1:3" x14ac:dyDescent="0.2">
      <c r="A1643" s="78">
        <v>47299</v>
      </c>
      <c r="B1643" s="77">
        <f>+PT!A1645</f>
        <v>0</v>
      </c>
      <c r="C1643" s="77">
        <f t="shared" si="28"/>
        <v>1642</v>
      </c>
    </row>
    <row r="1644" spans="1:3" x14ac:dyDescent="0.2">
      <c r="A1644" s="78">
        <v>47300</v>
      </c>
      <c r="B1644" s="77">
        <f>+PT!A1646</f>
        <v>0</v>
      </c>
      <c r="C1644" s="77">
        <f t="shared" si="28"/>
        <v>1643</v>
      </c>
    </row>
    <row r="1645" spans="1:3" x14ac:dyDescent="0.2">
      <c r="A1645" s="78">
        <v>47301</v>
      </c>
      <c r="B1645" s="77">
        <f>+PT!A1647</f>
        <v>0</v>
      </c>
      <c r="C1645" s="77">
        <f t="shared" si="28"/>
        <v>1644</v>
      </c>
    </row>
    <row r="1646" spans="1:3" x14ac:dyDescent="0.2">
      <c r="A1646" s="78">
        <v>47302</v>
      </c>
      <c r="B1646" s="77">
        <f>+PT!A1648</f>
        <v>0</v>
      </c>
      <c r="C1646" s="77">
        <f t="shared" si="28"/>
        <v>1645</v>
      </c>
    </row>
    <row r="1647" spans="1:3" x14ac:dyDescent="0.2">
      <c r="A1647" s="78">
        <v>47303</v>
      </c>
      <c r="B1647" s="77">
        <f>+PT!A1649</f>
        <v>0</v>
      </c>
      <c r="C1647" s="77">
        <f t="shared" si="28"/>
        <v>1646</v>
      </c>
    </row>
    <row r="1648" spans="1:3" x14ac:dyDescent="0.2">
      <c r="A1648" s="78">
        <v>47304</v>
      </c>
      <c r="B1648" s="77">
        <f>+PT!A1650</f>
        <v>0</v>
      </c>
      <c r="C1648" s="77">
        <f t="shared" si="28"/>
        <v>1647</v>
      </c>
    </row>
    <row r="1649" spans="1:3" x14ac:dyDescent="0.2">
      <c r="A1649" s="78">
        <v>47305</v>
      </c>
      <c r="B1649" s="77">
        <f>+PT!A1651</f>
        <v>0</v>
      </c>
      <c r="C1649" s="77">
        <f t="shared" si="28"/>
        <v>1648</v>
      </c>
    </row>
    <row r="1650" spans="1:3" x14ac:dyDescent="0.2">
      <c r="A1650" s="78">
        <v>47306</v>
      </c>
      <c r="B1650" s="77">
        <f>+PT!A1652</f>
        <v>0</v>
      </c>
      <c r="C1650" s="77">
        <f t="shared" si="28"/>
        <v>1649</v>
      </c>
    </row>
    <row r="1651" spans="1:3" x14ac:dyDescent="0.2">
      <c r="A1651" s="78">
        <v>47307</v>
      </c>
      <c r="B1651" s="77">
        <f>+PT!A1653</f>
        <v>0</v>
      </c>
      <c r="C1651" s="77">
        <f t="shared" si="28"/>
        <v>1650</v>
      </c>
    </row>
    <row r="1652" spans="1:3" x14ac:dyDescent="0.2">
      <c r="A1652" s="78">
        <v>47308</v>
      </c>
      <c r="B1652" s="77">
        <f>+PT!A1654</f>
        <v>0</v>
      </c>
      <c r="C1652" s="77">
        <f t="shared" si="28"/>
        <v>1651</v>
      </c>
    </row>
    <row r="1653" spans="1:3" x14ac:dyDescent="0.2">
      <c r="A1653" s="78">
        <v>47309</v>
      </c>
      <c r="B1653" s="77">
        <f>+PT!A1655</f>
        <v>0</v>
      </c>
      <c r="C1653" s="77">
        <f t="shared" si="28"/>
        <v>1652</v>
      </c>
    </row>
    <row r="1654" spans="1:3" x14ac:dyDescent="0.2">
      <c r="A1654" s="78">
        <v>47310</v>
      </c>
      <c r="B1654" s="77">
        <f>+PT!A1656</f>
        <v>0</v>
      </c>
      <c r="C1654" s="77">
        <f t="shared" si="28"/>
        <v>1653</v>
      </c>
    </row>
    <row r="1655" spans="1:3" x14ac:dyDescent="0.2">
      <c r="A1655" s="78">
        <v>47311</v>
      </c>
      <c r="B1655" s="77">
        <f>+PT!A1657</f>
        <v>0</v>
      </c>
      <c r="C1655" s="77">
        <f t="shared" si="28"/>
        <v>1654</v>
      </c>
    </row>
    <row r="1656" spans="1:3" x14ac:dyDescent="0.2">
      <c r="A1656" s="78">
        <v>47312</v>
      </c>
      <c r="B1656" s="77">
        <f>+PT!A1658</f>
        <v>0</v>
      </c>
      <c r="C1656" s="77">
        <f t="shared" si="28"/>
        <v>1655</v>
      </c>
    </row>
    <row r="1657" spans="1:3" x14ac:dyDescent="0.2">
      <c r="A1657" s="78">
        <v>47313</v>
      </c>
      <c r="B1657" s="77">
        <f>+PT!A1659</f>
        <v>0</v>
      </c>
      <c r="C1657" s="77">
        <f t="shared" si="28"/>
        <v>1656</v>
      </c>
    </row>
    <row r="1658" spans="1:3" x14ac:dyDescent="0.2">
      <c r="A1658" s="78">
        <v>47314</v>
      </c>
      <c r="B1658" s="77">
        <f>+PT!A1660</f>
        <v>0</v>
      </c>
      <c r="C1658" s="77">
        <f t="shared" si="28"/>
        <v>1657</v>
      </c>
    </row>
    <row r="1659" spans="1:3" x14ac:dyDescent="0.2">
      <c r="A1659" s="78">
        <v>47315</v>
      </c>
      <c r="B1659" s="77">
        <f>+PT!A1661</f>
        <v>0</v>
      </c>
      <c r="C1659" s="77">
        <f t="shared" si="28"/>
        <v>1658</v>
      </c>
    </row>
    <row r="1660" spans="1:3" x14ac:dyDescent="0.2">
      <c r="A1660" s="78">
        <v>47316</v>
      </c>
      <c r="B1660" s="77">
        <f>+PT!A1662</f>
        <v>0</v>
      </c>
      <c r="C1660" s="77">
        <f t="shared" si="28"/>
        <v>1659</v>
      </c>
    </row>
    <row r="1661" spans="1:3" x14ac:dyDescent="0.2">
      <c r="A1661" s="78">
        <v>47317</v>
      </c>
      <c r="B1661" s="77">
        <f>+PT!A1663</f>
        <v>0</v>
      </c>
      <c r="C1661" s="77">
        <f t="shared" si="28"/>
        <v>1660</v>
      </c>
    </row>
    <row r="1662" spans="1:3" x14ac:dyDescent="0.2">
      <c r="A1662" s="78">
        <v>47318</v>
      </c>
      <c r="B1662" s="77">
        <f>+PT!A1664</f>
        <v>0</v>
      </c>
      <c r="C1662" s="77">
        <f t="shared" si="28"/>
        <v>1661</v>
      </c>
    </row>
    <row r="1663" spans="1:3" x14ac:dyDescent="0.2">
      <c r="A1663" s="78">
        <v>47319</v>
      </c>
      <c r="B1663" s="77">
        <f>+PT!A1665</f>
        <v>0</v>
      </c>
      <c r="C1663" s="77">
        <f t="shared" si="28"/>
        <v>1662</v>
      </c>
    </row>
    <row r="1664" spans="1:3" x14ac:dyDescent="0.2">
      <c r="A1664" s="78">
        <v>47320</v>
      </c>
      <c r="B1664" s="77">
        <f>+PT!A1666</f>
        <v>0</v>
      </c>
      <c r="C1664" s="77">
        <f t="shared" si="28"/>
        <v>1663</v>
      </c>
    </row>
    <row r="1665" spans="1:3" x14ac:dyDescent="0.2">
      <c r="A1665" s="78">
        <v>47321</v>
      </c>
      <c r="B1665" s="77">
        <f>+PT!A1667</f>
        <v>0</v>
      </c>
      <c r="C1665" s="77">
        <f t="shared" si="28"/>
        <v>1664</v>
      </c>
    </row>
    <row r="1666" spans="1:3" x14ac:dyDescent="0.2">
      <c r="A1666" s="78">
        <v>47322</v>
      </c>
      <c r="B1666" s="77">
        <f>+PT!A1668</f>
        <v>0</v>
      </c>
      <c r="C1666" s="77">
        <f t="shared" si="28"/>
        <v>1665</v>
      </c>
    </row>
    <row r="1667" spans="1:3" x14ac:dyDescent="0.2">
      <c r="A1667" s="78">
        <v>47323</v>
      </c>
      <c r="B1667" s="77">
        <f>+PT!A1669</f>
        <v>0</v>
      </c>
      <c r="C1667" s="77">
        <f t="shared" si="28"/>
        <v>1666</v>
      </c>
    </row>
    <row r="1668" spans="1:3" x14ac:dyDescent="0.2">
      <c r="A1668" s="78">
        <v>47324</v>
      </c>
      <c r="B1668" s="77">
        <f>+PT!A1670</f>
        <v>0</v>
      </c>
      <c r="C1668" s="77">
        <f t="shared" ref="C1668:C1731" si="29">+C1667+1</f>
        <v>1667</v>
      </c>
    </row>
    <row r="1669" spans="1:3" x14ac:dyDescent="0.2">
      <c r="A1669" s="78">
        <v>47325</v>
      </c>
      <c r="B1669" s="77">
        <f>+PT!A1671</f>
        <v>0</v>
      </c>
      <c r="C1669" s="77">
        <f t="shared" si="29"/>
        <v>1668</v>
      </c>
    </row>
    <row r="1670" spans="1:3" x14ac:dyDescent="0.2">
      <c r="A1670" s="78">
        <v>47326</v>
      </c>
      <c r="B1670" s="77">
        <f>+PT!A1672</f>
        <v>0</v>
      </c>
      <c r="C1670" s="77">
        <f t="shared" si="29"/>
        <v>1669</v>
      </c>
    </row>
    <row r="1671" spans="1:3" x14ac:dyDescent="0.2">
      <c r="A1671" s="78">
        <v>47327</v>
      </c>
      <c r="B1671" s="77">
        <f>+PT!A1673</f>
        <v>0</v>
      </c>
      <c r="C1671" s="77">
        <f t="shared" si="29"/>
        <v>1670</v>
      </c>
    </row>
    <row r="1672" spans="1:3" x14ac:dyDescent="0.2">
      <c r="A1672" s="78">
        <v>47328</v>
      </c>
      <c r="B1672" s="77">
        <f>+PT!A1674</f>
        <v>0</v>
      </c>
      <c r="C1672" s="77">
        <f t="shared" si="29"/>
        <v>1671</v>
      </c>
    </row>
    <row r="1673" spans="1:3" x14ac:dyDescent="0.2">
      <c r="A1673" s="78">
        <v>47329</v>
      </c>
      <c r="B1673" s="77">
        <f>+PT!A1675</f>
        <v>0</v>
      </c>
      <c r="C1673" s="77">
        <f t="shared" si="29"/>
        <v>1672</v>
      </c>
    </row>
    <row r="1674" spans="1:3" x14ac:dyDescent="0.2">
      <c r="A1674" s="78">
        <v>47330</v>
      </c>
      <c r="B1674" s="77">
        <f>+PT!A1676</f>
        <v>0</v>
      </c>
      <c r="C1674" s="77">
        <f t="shared" si="29"/>
        <v>1673</v>
      </c>
    </row>
    <row r="1675" spans="1:3" x14ac:dyDescent="0.2">
      <c r="A1675" s="78">
        <v>47331</v>
      </c>
      <c r="B1675" s="77">
        <f>+PT!A1677</f>
        <v>0</v>
      </c>
      <c r="C1675" s="77">
        <f t="shared" si="29"/>
        <v>1674</v>
      </c>
    </row>
    <row r="1676" spans="1:3" x14ac:dyDescent="0.2">
      <c r="A1676" s="78">
        <v>47332</v>
      </c>
      <c r="B1676" s="77">
        <f>+PT!A1678</f>
        <v>0</v>
      </c>
      <c r="C1676" s="77">
        <f t="shared" si="29"/>
        <v>1675</v>
      </c>
    </row>
    <row r="1677" spans="1:3" x14ac:dyDescent="0.2">
      <c r="A1677" s="78">
        <v>47333</v>
      </c>
      <c r="B1677" s="77">
        <f>+PT!A1679</f>
        <v>0</v>
      </c>
      <c r="C1677" s="77">
        <f t="shared" si="29"/>
        <v>1676</v>
      </c>
    </row>
    <row r="1678" spans="1:3" x14ac:dyDescent="0.2">
      <c r="A1678" s="78">
        <v>47334</v>
      </c>
      <c r="B1678" s="77">
        <f>+PT!A1680</f>
        <v>0</v>
      </c>
      <c r="C1678" s="77">
        <f t="shared" si="29"/>
        <v>1677</v>
      </c>
    </row>
    <row r="1679" spans="1:3" x14ac:dyDescent="0.2">
      <c r="A1679" s="78">
        <v>47335</v>
      </c>
      <c r="B1679" s="77">
        <f>+PT!A1681</f>
        <v>0</v>
      </c>
      <c r="C1679" s="77">
        <f t="shared" si="29"/>
        <v>1678</v>
      </c>
    </row>
    <row r="1680" spans="1:3" x14ac:dyDescent="0.2">
      <c r="A1680" s="78">
        <v>47336</v>
      </c>
      <c r="B1680" s="77">
        <f>+PT!A1682</f>
        <v>0</v>
      </c>
      <c r="C1680" s="77">
        <f t="shared" si="29"/>
        <v>1679</v>
      </c>
    </row>
    <row r="1681" spans="1:3" x14ac:dyDescent="0.2">
      <c r="A1681" s="78">
        <v>47337</v>
      </c>
      <c r="B1681" s="77">
        <f>+PT!A1683</f>
        <v>0</v>
      </c>
      <c r="C1681" s="77">
        <f t="shared" si="29"/>
        <v>1680</v>
      </c>
    </row>
    <row r="1682" spans="1:3" x14ac:dyDescent="0.2">
      <c r="A1682" s="78">
        <v>47338</v>
      </c>
      <c r="B1682" s="77">
        <f>+PT!A1684</f>
        <v>0</v>
      </c>
      <c r="C1682" s="77">
        <f t="shared" si="29"/>
        <v>1681</v>
      </c>
    </row>
    <row r="1683" spans="1:3" x14ac:dyDescent="0.2">
      <c r="A1683" s="78">
        <v>47339</v>
      </c>
      <c r="B1683" s="77">
        <f>+PT!A1685</f>
        <v>0</v>
      </c>
      <c r="C1683" s="77">
        <f t="shared" si="29"/>
        <v>1682</v>
      </c>
    </row>
    <row r="1684" spans="1:3" x14ac:dyDescent="0.2">
      <c r="A1684" s="78">
        <v>47340</v>
      </c>
      <c r="B1684" s="77">
        <f>+PT!A1686</f>
        <v>0</v>
      </c>
      <c r="C1684" s="77">
        <f t="shared" si="29"/>
        <v>1683</v>
      </c>
    </row>
    <row r="1685" spans="1:3" x14ac:dyDescent="0.2">
      <c r="A1685" s="78">
        <v>47341</v>
      </c>
      <c r="B1685" s="77">
        <f>+PT!A1687</f>
        <v>0</v>
      </c>
      <c r="C1685" s="77">
        <f t="shared" si="29"/>
        <v>1684</v>
      </c>
    </row>
    <row r="1686" spans="1:3" x14ac:dyDescent="0.2">
      <c r="A1686" s="78">
        <v>47342</v>
      </c>
      <c r="B1686" s="77">
        <f>+PT!A1688</f>
        <v>0</v>
      </c>
      <c r="C1686" s="77">
        <f t="shared" si="29"/>
        <v>1685</v>
      </c>
    </row>
    <row r="1687" spans="1:3" x14ac:dyDescent="0.2">
      <c r="A1687" s="78">
        <v>47343</v>
      </c>
      <c r="B1687" s="77">
        <f>+PT!A1689</f>
        <v>0</v>
      </c>
      <c r="C1687" s="77">
        <f t="shared" si="29"/>
        <v>1686</v>
      </c>
    </row>
    <row r="1688" spans="1:3" x14ac:dyDescent="0.2">
      <c r="A1688" s="78">
        <v>47344</v>
      </c>
      <c r="B1688" s="77">
        <f>+PT!A1690</f>
        <v>0</v>
      </c>
      <c r="C1688" s="77">
        <f t="shared" si="29"/>
        <v>1687</v>
      </c>
    </row>
    <row r="1689" spans="1:3" x14ac:dyDescent="0.2">
      <c r="A1689" s="78">
        <v>47345</v>
      </c>
      <c r="B1689" s="77">
        <f>+PT!A1691</f>
        <v>0</v>
      </c>
      <c r="C1689" s="77">
        <f t="shared" si="29"/>
        <v>1688</v>
      </c>
    </row>
    <row r="1690" spans="1:3" x14ac:dyDescent="0.2">
      <c r="A1690" s="78">
        <v>47346</v>
      </c>
      <c r="B1690" s="77">
        <f>+PT!A1692</f>
        <v>0</v>
      </c>
      <c r="C1690" s="77">
        <f t="shared" si="29"/>
        <v>1689</v>
      </c>
    </row>
    <row r="1691" spans="1:3" x14ac:dyDescent="0.2">
      <c r="A1691" s="78">
        <v>47347</v>
      </c>
      <c r="B1691" s="77">
        <f>+PT!A1693</f>
        <v>0</v>
      </c>
      <c r="C1691" s="77">
        <f t="shared" si="29"/>
        <v>1690</v>
      </c>
    </row>
    <row r="1692" spans="1:3" x14ac:dyDescent="0.2">
      <c r="A1692" s="78">
        <v>47348</v>
      </c>
      <c r="B1692" s="77">
        <f>+PT!A1694</f>
        <v>0</v>
      </c>
      <c r="C1692" s="77">
        <f t="shared" si="29"/>
        <v>1691</v>
      </c>
    </row>
    <row r="1693" spans="1:3" x14ac:dyDescent="0.2">
      <c r="A1693" s="78">
        <v>47349</v>
      </c>
      <c r="B1693" s="77">
        <f>+PT!A1695</f>
        <v>0</v>
      </c>
      <c r="C1693" s="77">
        <f t="shared" si="29"/>
        <v>1692</v>
      </c>
    </row>
    <row r="1694" spans="1:3" x14ac:dyDescent="0.2">
      <c r="A1694" s="78">
        <v>47350</v>
      </c>
      <c r="B1694" s="77">
        <f>+PT!A1696</f>
        <v>0</v>
      </c>
      <c r="C1694" s="77">
        <f t="shared" si="29"/>
        <v>1693</v>
      </c>
    </row>
    <row r="1695" spans="1:3" x14ac:dyDescent="0.2">
      <c r="A1695" s="78">
        <v>47351</v>
      </c>
      <c r="B1695" s="77">
        <f>+PT!A1697</f>
        <v>0</v>
      </c>
      <c r="C1695" s="77">
        <f t="shared" si="29"/>
        <v>1694</v>
      </c>
    </row>
    <row r="1696" spans="1:3" x14ac:dyDescent="0.2">
      <c r="A1696" s="78">
        <v>47352</v>
      </c>
      <c r="B1696" s="77">
        <f>+PT!A1698</f>
        <v>0</v>
      </c>
      <c r="C1696" s="77">
        <f t="shared" si="29"/>
        <v>1695</v>
      </c>
    </row>
    <row r="1697" spans="1:3" x14ac:dyDescent="0.2">
      <c r="A1697" s="78">
        <v>47353</v>
      </c>
      <c r="B1697" s="77">
        <f>+PT!A1699</f>
        <v>0</v>
      </c>
      <c r="C1697" s="77">
        <f t="shared" si="29"/>
        <v>1696</v>
      </c>
    </row>
    <row r="1698" spans="1:3" x14ac:dyDescent="0.2">
      <c r="A1698" s="78">
        <v>47354</v>
      </c>
      <c r="B1698" s="77">
        <f>+PT!A1700</f>
        <v>0</v>
      </c>
      <c r="C1698" s="77">
        <f t="shared" si="29"/>
        <v>1697</v>
      </c>
    </row>
    <row r="1699" spans="1:3" x14ac:dyDescent="0.2">
      <c r="A1699" s="78">
        <v>47355</v>
      </c>
      <c r="B1699" s="77">
        <f>+PT!A1701</f>
        <v>0</v>
      </c>
      <c r="C1699" s="77">
        <f t="shared" si="29"/>
        <v>1698</v>
      </c>
    </row>
    <row r="1700" spans="1:3" x14ac:dyDescent="0.2">
      <c r="A1700" s="78">
        <v>47356</v>
      </c>
      <c r="B1700" s="77">
        <f>+PT!A1702</f>
        <v>0</v>
      </c>
      <c r="C1700" s="77">
        <f t="shared" si="29"/>
        <v>1699</v>
      </c>
    </row>
    <row r="1701" spans="1:3" x14ac:dyDescent="0.2">
      <c r="A1701" s="78">
        <v>47357</v>
      </c>
      <c r="B1701" s="77">
        <f>+PT!A1703</f>
        <v>0</v>
      </c>
      <c r="C1701" s="77">
        <f t="shared" si="29"/>
        <v>1700</v>
      </c>
    </row>
    <row r="1702" spans="1:3" x14ac:dyDescent="0.2">
      <c r="A1702" s="78">
        <v>47358</v>
      </c>
      <c r="B1702" s="77">
        <f>+PT!A1704</f>
        <v>0</v>
      </c>
      <c r="C1702" s="77">
        <f t="shared" si="29"/>
        <v>1701</v>
      </c>
    </row>
    <row r="1703" spans="1:3" x14ac:dyDescent="0.2">
      <c r="A1703" s="78">
        <v>47359</v>
      </c>
      <c r="B1703" s="77">
        <f>+PT!A1705</f>
        <v>0</v>
      </c>
      <c r="C1703" s="77">
        <f t="shared" si="29"/>
        <v>1702</v>
      </c>
    </row>
    <row r="1704" spans="1:3" x14ac:dyDescent="0.2">
      <c r="A1704" s="78">
        <v>47360</v>
      </c>
      <c r="B1704" s="77">
        <f>+PT!A1706</f>
        <v>0</v>
      </c>
      <c r="C1704" s="77">
        <f t="shared" si="29"/>
        <v>1703</v>
      </c>
    </row>
    <row r="1705" spans="1:3" x14ac:dyDescent="0.2">
      <c r="A1705" s="78">
        <v>47361</v>
      </c>
      <c r="B1705" s="77">
        <f>+PT!A1707</f>
        <v>0</v>
      </c>
      <c r="C1705" s="77">
        <f t="shared" si="29"/>
        <v>1704</v>
      </c>
    </row>
    <row r="1706" spans="1:3" x14ac:dyDescent="0.2">
      <c r="A1706" s="78">
        <v>47362</v>
      </c>
      <c r="B1706" s="77">
        <f>+PT!A1708</f>
        <v>0</v>
      </c>
      <c r="C1706" s="77">
        <f t="shared" si="29"/>
        <v>1705</v>
      </c>
    </row>
    <row r="1707" spans="1:3" x14ac:dyDescent="0.2">
      <c r="A1707" s="78">
        <v>47363</v>
      </c>
      <c r="B1707" s="77">
        <f>+PT!A1709</f>
        <v>0</v>
      </c>
      <c r="C1707" s="77">
        <f t="shared" si="29"/>
        <v>1706</v>
      </c>
    </row>
    <row r="1708" spans="1:3" x14ac:dyDescent="0.2">
      <c r="A1708" s="78">
        <v>47364</v>
      </c>
      <c r="B1708" s="77">
        <f>+PT!A1710</f>
        <v>0</v>
      </c>
      <c r="C1708" s="77">
        <f t="shared" si="29"/>
        <v>1707</v>
      </c>
    </row>
    <row r="1709" spans="1:3" x14ac:dyDescent="0.2">
      <c r="A1709" s="78">
        <v>47365</v>
      </c>
      <c r="B1709" s="77">
        <f>+PT!A1711</f>
        <v>0</v>
      </c>
      <c r="C1709" s="77">
        <f t="shared" si="29"/>
        <v>1708</v>
      </c>
    </row>
    <row r="1710" spans="1:3" x14ac:dyDescent="0.2">
      <c r="A1710" s="78">
        <v>47366</v>
      </c>
      <c r="B1710" s="77">
        <f>+PT!A1712</f>
        <v>0</v>
      </c>
      <c r="C1710" s="77">
        <f t="shared" si="29"/>
        <v>1709</v>
      </c>
    </row>
    <row r="1711" spans="1:3" x14ac:dyDescent="0.2">
      <c r="A1711" s="78">
        <v>47367</v>
      </c>
      <c r="B1711" s="77">
        <f>+PT!A1713</f>
        <v>0</v>
      </c>
      <c r="C1711" s="77">
        <f t="shared" si="29"/>
        <v>1710</v>
      </c>
    </row>
    <row r="1712" spans="1:3" x14ac:dyDescent="0.2">
      <c r="A1712" s="78">
        <v>47368</v>
      </c>
      <c r="B1712" s="77">
        <f>+PT!A1714</f>
        <v>0</v>
      </c>
      <c r="C1712" s="77">
        <f t="shared" si="29"/>
        <v>1711</v>
      </c>
    </row>
    <row r="1713" spans="1:3" x14ac:dyDescent="0.2">
      <c r="A1713" s="78">
        <v>47369</v>
      </c>
      <c r="B1713" s="77">
        <f>+PT!A1715</f>
        <v>0</v>
      </c>
      <c r="C1713" s="77">
        <f t="shared" si="29"/>
        <v>1712</v>
      </c>
    </row>
    <row r="1714" spans="1:3" x14ac:dyDescent="0.2">
      <c r="A1714" s="78">
        <v>47370</v>
      </c>
      <c r="B1714" s="77">
        <f>+PT!A1716</f>
        <v>0</v>
      </c>
      <c r="C1714" s="77">
        <f t="shared" si="29"/>
        <v>1713</v>
      </c>
    </row>
    <row r="1715" spans="1:3" x14ac:dyDescent="0.2">
      <c r="A1715" s="78">
        <v>47371</v>
      </c>
      <c r="B1715" s="77">
        <f>+PT!A1717</f>
        <v>0</v>
      </c>
      <c r="C1715" s="77">
        <f t="shared" si="29"/>
        <v>1714</v>
      </c>
    </row>
    <row r="1716" spans="1:3" x14ac:dyDescent="0.2">
      <c r="A1716" s="78">
        <v>47372</v>
      </c>
      <c r="B1716" s="77">
        <f>+PT!A1718</f>
        <v>0</v>
      </c>
      <c r="C1716" s="77">
        <f t="shared" si="29"/>
        <v>1715</v>
      </c>
    </row>
    <row r="1717" spans="1:3" x14ac:dyDescent="0.2">
      <c r="A1717" s="78">
        <v>47373</v>
      </c>
      <c r="B1717" s="77">
        <f>+PT!A1719</f>
        <v>0</v>
      </c>
      <c r="C1717" s="77">
        <f t="shared" si="29"/>
        <v>1716</v>
      </c>
    </row>
    <row r="1718" spans="1:3" x14ac:dyDescent="0.2">
      <c r="A1718" s="78">
        <v>47374</v>
      </c>
      <c r="B1718" s="77">
        <f>+PT!A1720</f>
        <v>0</v>
      </c>
      <c r="C1718" s="77">
        <f t="shared" si="29"/>
        <v>1717</v>
      </c>
    </row>
    <row r="1719" spans="1:3" x14ac:dyDescent="0.2">
      <c r="A1719" s="78">
        <v>47375</v>
      </c>
      <c r="B1719" s="77">
        <f>+PT!A1721</f>
        <v>0</v>
      </c>
      <c r="C1719" s="77">
        <f t="shared" si="29"/>
        <v>1718</v>
      </c>
    </row>
    <row r="1720" spans="1:3" x14ac:dyDescent="0.2">
      <c r="A1720" s="78">
        <v>47376</v>
      </c>
      <c r="B1720" s="77">
        <f>+PT!A1722</f>
        <v>0</v>
      </c>
      <c r="C1720" s="77">
        <f t="shared" si="29"/>
        <v>1719</v>
      </c>
    </row>
    <row r="1721" spans="1:3" x14ac:dyDescent="0.2">
      <c r="A1721" s="78">
        <v>47377</v>
      </c>
      <c r="B1721" s="77">
        <f>+PT!A1723</f>
        <v>0</v>
      </c>
      <c r="C1721" s="77">
        <f t="shared" si="29"/>
        <v>1720</v>
      </c>
    </row>
    <row r="1722" spans="1:3" x14ac:dyDescent="0.2">
      <c r="A1722" s="78">
        <v>47378</v>
      </c>
      <c r="B1722" s="77">
        <f>+PT!A1724</f>
        <v>0</v>
      </c>
      <c r="C1722" s="77">
        <f t="shared" si="29"/>
        <v>1721</v>
      </c>
    </row>
    <row r="1723" spans="1:3" x14ac:dyDescent="0.2">
      <c r="A1723" s="78">
        <v>47379</v>
      </c>
      <c r="B1723" s="77">
        <f>+PT!A1725</f>
        <v>0</v>
      </c>
      <c r="C1723" s="77">
        <f t="shared" si="29"/>
        <v>1722</v>
      </c>
    </row>
    <row r="1724" spans="1:3" x14ac:dyDescent="0.2">
      <c r="A1724" s="78">
        <v>47380</v>
      </c>
      <c r="B1724" s="77">
        <f>+PT!A1726</f>
        <v>0</v>
      </c>
      <c r="C1724" s="77">
        <f t="shared" si="29"/>
        <v>1723</v>
      </c>
    </row>
    <row r="1725" spans="1:3" x14ac:dyDescent="0.2">
      <c r="A1725" s="78">
        <v>47381</v>
      </c>
      <c r="B1725" s="77">
        <f>+PT!A1727</f>
        <v>0</v>
      </c>
      <c r="C1725" s="77">
        <f t="shared" si="29"/>
        <v>1724</v>
      </c>
    </row>
    <row r="1726" spans="1:3" x14ac:dyDescent="0.2">
      <c r="A1726" s="78">
        <v>47382</v>
      </c>
      <c r="B1726" s="77">
        <f>+PT!A1728</f>
        <v>0</v>
      </c>
      <c r="C1726" s="77">
        <f t="shared" si="29"/>
        <v>1725</v>
      </c>
    </row>
    <row r="1727" spans="1:3" x14ac:dyDescent="0.2">
      <c r="A1727" s="78">
        <v>47383</v>
      </c>
      <c r="B1727" s="77">
        <f>+PT!A1729</f>
        <v>0</v>
      </c>
      <c r="C1727" s="77">
        <f t="shared" si="29"/>
        <v>1726</v>
      </c>
    </row>
    <row r="1728" spans="1:3" x14ac:dyDescent="0.2">
      <c r="A1728" s="78">
        <v>47384</v>
      </c>
      <c r="B1728" s="77">
        <f>+PT!A1730</f>
        <v>0</v>
      </c>
      <c r="C1728" s="77">
        <f t="shared" si="29"/>
        <v>1727</v>
      </c>
    </row>
    <row r="1729" spans="1:3" x14ac:dyDescent="0.2">
      <c r="A1729" s="78">
        <v>47385</v>
      </c>
      <c r="B1729" s="77">
        <f>+PT!A1731</f>
        <v>0</v>
      </c>
      <c r="C1729" s="77">
        <f t="shared" si="29"/>
        <v>1728</v>
      </c>
    </row>
    <row r="1730" spans="1:3" x14ac:dyDescent="0.2">
      <c r="A1730" s="78">
        <v>47386</v>
      </c>
      <c r="B1730" s="77">
        <f>+PT!A1732</f>
        <v>0</v>
      </c>
      <c r="C1730" s="77">
        <f t="shared" si="29"/>
        <v>1729</v>
      </c>
    </row>
    <row r="1731" spans="1:3" x14ac:dyDescent="0.2">
      <c r="A1731" s="78">
        <v>47387</v>
      </c>
      <c r="B1731" s="77">
        <f>+PT!A1733</f>
        <v>0</v>
      </c>
      <c r="C1731" s="77">
        <f t="shared" si="29"/>
        <v>1730</v>
      </c>
    </row>
    <row r="1732" spans="1:3" x14ac:dyDescent="0.2">
      <c r="A1732" s="78">
        <v>47388</v>
      </c>
      <c r="B1732" s="77">
        <f>+PT!A1734</f>
        <v>0</v>
      </c>
      <c r="C1732" s="77">
        <f t="shared" ref="C1732:C1795" si="30">+C1731+1</f>
        <v>1731</v>
      </c>
    </row>
    <row r="1733" spans="1:3" x14ac:dyDescent="0.2">
      <c r="A1733" s="78">
        <v>47389</v>
      </c>
      <c r="B1733" s="77">
        <f>+PT!A1735</f>
        <v>0</v>
      </c>
      <c r="C1733" s="77">
        <f t="shared" si="30"/>
        <v>1732</v>
      </c>
    </row>
    <row r="1734" spans="1:3" x14ac:dyDescent="0.2">
      <c r="A1734" s="78">
        <v>47390</v>
      </c>
      <c r="B1734" s="77">
        <f>+PT!A1736</f>
        <v>0</v>
      </c>
      <c r="C1734" s="77">
        <f t="shared" si="30"/>
        <v>1733</v>
      </c>
    </row>
    <row r="1735" spans="1:3" x14ac:dyDescent="0.2">
      <c r="A1735" s="78">
        <v>47391</v>
      </c>
      <c r="B1735" s="77">
        <f>+PT!A1737</f>
        <v>0</v>
      </c>
      <c r="C1735" s="77">
        <f t="shared" si="30"/>
        <v>1734</v>
      </c>
    </row>
    <row r="1736" spans="1:3" x14ac:dyDescent="0.2">
      <c r="A1736" s="78">
        <v>47392</v>
      </c>
      <c r="B1736" s="77">
        <f>+PT!A1738</f>
        <v>0</v>
      </c>
      <c r="C1736" s="77">
        <f t="shared" si="30"/>
        <v>1735</v>
      </c>
    </row>
    <row r="1737" spans="1:3" x14ac:dyDescent="0.2">
      <c r="A1737" s="78">
        <v>47393</v>
      </c>
      <c r="B1737" s="77">
        <f>+PT!A1739</f>
        <v>0</v>
      </c>
      <c r="C1737" s="77">
        <f t="shared" si="30"/>
        <v>1736</v>
      </c>
    </row>
    <row r="1738" spans="1:3" x14ac:dyDescent="0.2">
      <c r="A1738" s="78">
        <v>47394</v>
      </c>
      <c r="B1738" s="77">
        <f>+PT!A1740</f>
        <v>0</v>
      </c>
      <c r="C1738" s="77">
        <f t="shared" si="30"/>
        <v>1737</v>
      </c>
    </row>
    <row r="1739" spans="1:3" x14ac:dyDescent="0.2">
      <c r="A1739" s="78">
        <v>47395</v>
      </c>
      <c r="B1739" s="77">
        <f>+PT!A1741</f>
        <v>0</v>
      </c>
      <c r="C1739" s="77">
        <f t="shared" si="30"/>
        <v>1738</v>
      </c>
    </row>
    <row r="1740" spans="1:3" x14ac:dyDescent="0.2">
      <c r="A1740" s="78">
        <v>47396</v>
      </c>
      <c r="B1740" s="77">
        <f>+PT!A1742</f>
        <v>0</v>
      </c>
      <c r="C1740" s="77">
        <f t="shared" si="30"/>
        <v>1739</v>
      </c>
    </row>
    <row r="1741" spans="1:3" x14ac:dyDescent="0.2">
      <c r="A1741" s="78">
        <v>47397</v>
      </c>
      <c r="B1741" s="77">
        <f>+PT!A1743</f>
        <v>0</v>
      </c>
      <c r="C1741" s="77">
        <f t="shared" si="30"/>
        <v>1740</v>
      </c>
    </row>
    <row r="1742" spans="1:3" x14ac:dyDescent="0.2">
      <c r="A1742" s="78">
        <v>47398</v>
      </c>
      <c r="B1742" s="77">
        <f>+PT!A1744</f>
        <v>0</v>
      </c>
      <c r="C1742" s="77">
        <f t="shared" si="30"/>
        <v>1741</v>
      </c>
    </row>
    <row r="1743" spans="1:3" x14ac:dyDescent="0.2">
      <c r="A1743" s="78">
        <v>47399</v>
      </c>
      <c r="B1743" s="77">
        <f>+PT!A1745</f>
        <v>0</v>
      </c>
      <c r="C1743" s="77">
        <f t="shared" si="30"/>
        <v>1742</v>
      </c>
    </row>
    <row r="1744" spans="1:3" x14ac:dyDescent="0.2">
      <c r="A1744" s="78">
        <v>47400</v>
      </c>
      <c r="B1744" s="77">
        <f>+PT!A1746</f>
        <v>0</v>
      </c>
      <c r="C1744" s="77">
        <f t="shared" si="30"/>
        <v>1743</v>
      </c>
    </row>
    <row r="1745" spans="1:3" x14ac:dyDescent="0.2">
      <c r="A1745" s="78">
        <v>47401</v>
      </c>
      <c r="B1745" s="77">
        <f>+PT!A1747</f>
        <v>0</v>
      </c>
      <c r="C1745" s="77">
        <f t="shared" si="30"/>
        <v>1744</v>
      </c>
    </row>
    <row r="1746" spans="1:3" x14ac:dyDescent="0.2">
      <c r="A1746" s="78">
        <v>47402</v>
      </c>
      <c r="B1746" s="77">
        <f>+PT!A1748</f>
        <v>0</v>
      </c>
      <c r="C1746" s="77">
        <f t="shared" si="30"/>
        <v>1745</v>
      </c>
    </row>
    <row r="1747" spans="1:3" x14ac:dyDescent="0.2">
      <c r="A1747" s="78">
        <v>47403</v>
      </c>
      <c r="B1747" s="77">
        <f>+PT!A1749</f>
        <v>0</v>
      </c>
      <c r="C1747" s="77">
        <f t="shared" si="30"/>
        <v>1746</v>
      </c>
    </row>
    <row r="1748" spans="1:3" x14ac:dyDescent="0.2">
      <c r="A1748" s="78">
        <v>47404</v>
      </c>
      <c r="B1748" s="77">
        <f>+PT!A1750</f>
        <v>0</v>
      </c>
      <c r="C1748" s="77">
        <f t="shared" si="30"/>
        <v>1747</v>
      </c>
    </row>
    <row r="1749" spans="1:3" x14ac:dyDescent="0.2">
      <c r="A1749" s="78">
        <v>47405</v>
      </c>
      <c r="B1749" s="77">
        <f>+PT!A1751</f>
        <v>0</v>
      </c>
      <c r="C1749" s="77">
        <f t="shared" si="30"/>
        <v>1748</v>
      </c>
    </row>
    <row r="1750" spans="1:3" x14ac:dyDescent="0.2">
      <c r="A1750" s="78">
        <v>47406</v>
      </c>
      <c r="B1750" s="77">
        <f>+PT!A1752</f>
        <v>0</v>
      </c>
      <c r="C1750" s="77">
        <f t="shared" si="30"/>
        <v>1749</v>
      </c>
    </row>
    <row r="1751" spans="1:3" x14ac:dyDescent="0.2">
      <c r="A1751" s="78">
        <v>47407</v>
      </c>
      <c r="B1751" s="77">
        <f>+PT!A1753</f>
        <v>0</v>
      </c>
      <c r="C1751" s="77">
        <f t="shared" si="30"/>
        <v>1750</v>
      </c>
    </row>
    <row r="1752" spans="1:3" x14ac:dyDescent="0.2">
      <c r="A1752" s="78">
        <v>47408</v>
      </c>
      <c r="B1752" s="77">
        <f>+PT!A1754</f>
        <v>0</v>
      </c>
      <c r="C1752" s="77">
        <f t="shared" si="30"/>
        <v>1751</v>
      </c>
    </row>
    <row r="1753" spans="1:3" x14ac:dyDescent="0.2">
      <c r="A1753" s="78">
        <v>47409</v>
      </c>
      <c r="B1753" s="77">
        <f>+PT!A1755</f>
        <v>0</v>
      </c>
      <c r="C1753" s="77">
        <f t="shared" si="30"/>
        <v>1752</v>
      </c>
    </row>
    <row r="1754" spans="1:3" x14ac:dyDescent="0.2">
      <c r="A1754" s="78">
        <v>47410</v>
      </c>
      <c r="B1754" s="77">
        <f>+PT!A1756</f>
        <v>0</v>
      </c>
      <c r="C1754" s="77">
        <f t="shared" si="30"/>
        <v>1753</v>
      </c>
    </row>
    <row r="1755" spans="1:3" x14ac:dyDescent="0.2">
      <c r="A1755" s="78">
        <v>47411</v>
      </c>
      <c r="B1755" s="77">
        <f>+PT!A1757</f>
        <v>0</v>
      </c>
      <c r="C1755" s="77">
        <f t="shared" si="30"/>
        <v>1754</v>
      </c>
    </row>
    <row r="1756" spans="1:3" x14ac:dyDescent="0.2">
      <c r="A1756" s="78">
        <v>47412</v>
      </c>
      <c r="B1756" s="77">
        <f>+PT!A1758</f>
        <v>0</v>
      </c>
      <c r="C1756" s="77">
        <f t="shared" si="30"/>
        <v>1755</v>
      </c>
    </row>
    <row r="1757" spans="1:3" x14ac:dyDescent="0.2">
      <c r="A1757" s="78">
        <v>47413</v>
      </c>
      <c r="B1757" s="77">
        <f>+PT!A1759</f>
        <v>0</v>
      </c>
      <c r="C1757" s="77">
        <f t="shared" si="30"/>
        <v>1756</v>
      </c>
    </row>
    <row r="1758" spans="1:3" x14ac:dyDescent="0.2">
      <c r="A1758" s="78">
        <v>47414</v>
      </c>
      <c r="B1758" s="77">
        <f>+PT!A1760</f>
        <v>0</v>
      </c>
      <c r="C1758" s="77">
        <f t="shared" si="30"/>
        <v>1757</v>
      </c>
    </row>
    <row r="1759" spans="1:3" x14ac:dyDescent="0.2">
      <c r="A1759" s="78">
        <v>47415</v>
      </c>
      <c r="B1759" s="77">
        <f>+PT!A1761</f>
        <v>0</v>
      </c>
      <c r="C1759" s="77">
        <f t="shared" si="30"/>
        <v>1758</v>
      </c>
    </row>
    <row r="1760" spans="1:3" x14ac:dyDescent="0.2">
      <c r="A1760" s="78">
        <v>47416</v>
      </c>
      <c r="B1760" s="77">
        <f>+PT!A1762</f>
        <v>0</v>
      </c>
      <c r="C1760" s="77">
        <f t="shared" si="30"/>
        <v>1759</v>
      </c>
    </row>
    <row r="1761" spans="1:3" x14ac:dyDescent="0.2">
      <c r="A1761" s="78">
        <v>47417</v>
      </c>
      <c r="B1761" s="77">
        <f>+PT!A1763</f>
        <v>0</v>
      </c>
      <c r="C1761" s="77">
        <f t="shared" si="30"/>
        <v>1760</v>
      </c>
    </row>
    <row r="1762" spans="1:3" x14ac:dyDescent="0.2">
      <c r="A1762" s="78">
        <v>47418</v>
      </c>
      <c r="B1762" s="77">
        <f>+PT!A1764</f>
        <v>0</v>
      </c>
      <c r="C1762" s="77">
        <f t="shared" si="30"/>
        <v>1761</v>
      </c>
    </row>
    <row r="1763" spans="1:3" x14ac:dyDescent="0.2">
      <c r="A1763" s="78">
        <v>47419</v>
      </c>
      <c r="B1763" s="77">
        <f>+PT!A1765</f>
        <v>0</v>
      </c>
      <c r="C1763" s="77">
        <f t="shared" si="30"/>
        <v>1762</v>
      </c>
    </row>
    <row r="1764" spans="1:3" x14ac:dyDescent="0.2">
      <c r="A1764" s="78">
        <v>47420</v>
      </c>
      <c r="B1764" s="77">
        <f>+PT!A1766</f>
        <v>0</v>
      </c>
      <c r="C1764" s="77">
        <f t="shared" si="30"/>
        <v>1763</v>
      </c>
    </row>
    <row r="1765" spans="1:3" x14ac:dyDescent="0.2">
      <c r="A1765" s="78">
        <v>47421</v>
      </c>
      <c r="B1765" s="77">
        <f>+PT!A1767</f>
        <v>0</v>
      </c>
      <c r="C1765" s="77">
        <f t="shared" si="30"/>
        <v>1764</v>
      </c>
    </row>
    <row r="1766" spans="1:3" x14ac:dyDescent="0.2">
      <c r="A1766" s="78">
        <v>47422</v>
      </c>
      <c r="B1766" s="77">
        <f>+PT!A1768</f>
        <v>0</v>
      </c>
      <c r="C1766" s="77">
        <f t="shared" si="30"/>
        <v>1765</v>
      </c>
    </row>
    <row r="1767" spans="1:3" x14ac:dyDescent="0.2">
      <c r="A1767" s="78">
        <v>47423</v>
      </c>
      <c r="B1767" s="77">
        <f>+PT!A1769</f>
        <v>0</v>
      </c>
      <c r="C1767" s="77">
        <f t="shared" si="30"/>
        <v>1766</v>
      </c>
    </row>
    <row r="1768" spans="1:3" x14ac:dyDescent="0.2">
      <c r="A1768" s="78">
        <v>47424</v>
      </c>
      <c r="B1768" s="77">
        <f>+PT!A1770</f>
        <v>0</v>
      </c>
      <c r="C1768" s="77">
        <f t="shared" si="30"/>
        <v>1767</v>
      </c>
    </row>
    <row r="1769" spans="1:3" x14ac:dyDescent="0.2">
      <c r="A1769" s="78">
        <v>47425</v>
      </c>
      <c r="B1769" s="77">
        <f>+PT!A1771</f>
        <v>0</v>
      </c>
      <c r="C1769" s="77">
        <f t="shared" si="30"/>
        <v>1768</v>
      </c>
    </row>
    <row r="1770" spans="1:3" x14ac:dyDescent="0.2">
      <c r="A1770" s="78">
        <v>47426</v>
      </c>
      <c r="B1770" s="77">
        <f>+PT!A1772</f>
        <v>0</v>
      </c>
      <c r="C1770" s="77">
        <f t="shared" si="30"/>
        <v>1769</v>
      </c>
    </row>
    <row r="1771" spans="1:3" x14ac:dyDescent="0.2">
      <c r="A1771" s="78">
        <v>47427</v>
      </c>
      <c r="B1771" s="77">
        <f>+PT!A1773</f>
        <v>0</v>
      </c>
      <c r="C1771" s="77">
        <f t="shared" si="30"/>
        <v>1770</v>
      </c>
    </row>
    <row r="1772" spans="1:3" x14ac:dyDescent="0.2">
      <c r="A1772" s="78">
        <v>47428</v>
      </c>
      <c r="B1772" s="77">
        <f>+PT!A1774</f>
        <v>0</v>
      </c>
      <c r="C1772" s="77">
        <f t="shared" si="30"/>
        <v>1771</v>
      </c>
    </row>
    <row r="1773" spans="1:3" x14ac:dyDescent="0.2">
      <c r="A1773" s="78">
        <v>47429</v>
      </c>
      <c r="B1773" s="77">
        <f>+PT!A1775</f>
        <v>0</v>
      </c>
      <c r="C1773" s="77">
        <f t="shared" si="30"/>
        <v>1772</v>
      </c>
    </row>
    <row r="1774" spans="1:3" x14ac:dyDescent="0.2">
      <c r="A1774" s="78">
        <v>47430</v>
      </c>
      <c r="B1774" s="77">
        <f>+PT!A1776</f>
        <v>0</v>
      </c>
      <c r="C1774" s="77">
        <f t="shared" si="30"/>
        <v>1773</v>
      </c>
    </row>
    <row r="1775" spans="1:3" x14ac:dyDescent="0.2">
      <c r="A1775" s="78">
        <v>47431</v>
      </c>
      <c r="B1775" s="77">
        <f>+PT!A1777</f>
        <v>0</v>
      </c>
      <c r="C1775" s="77">
        <f t="shared" si="30"/>
        <v>1774</v>
      </c>
    </row>
    <row r="1776" spans="1:3" x14ac:dyDescent="0.2">
      <c r="A1776" s="78">
        <v>47432</v>
      </c>
      <c r="B1776" s="77">
        <f>+PT!A1778</f>
        <v>0</v>
      </c>
      <c r="C1776" s="77">
        <f t="shared" si="30"/>
        <v>1775</v>
      </c>
    </row>
    <row r="1777" spans="1:3" x14ac:dyDescent="0.2">
      <c r="A1777" s="78">
        <v>47433</v>
      </c>
      <c r="B1777" s="77">
        <f>+PT!A1779</f>
        <v>0</v>
      </c>
      <c r="C1777" s="77">
        <f t="shared" si="30"/>
        <v>1776</v>
      </c>
    </row>
    <row r="1778" spans="1:3" x14ac:dyDescent="0.2">
      <c r="A1778" s="78">
        <v>47434</v>
      </c>
      <c r="B1778" s="77">
        <f>+PT!A1780</f>
        <v>0</v>
      </c>
      <c r="C1778" s="77">
        <f t="shared" si="30"/>
        <v>1777</v>
      </c>
    </row>
    <row r="1779" spans="1:3" x14ac:dyDescent="0.2">
      <c r="A1779" s="78">
        <v>47435</v>
      </c>
      <c r="B1779" s="77">
        <f>+PT!A1781</f>
        <v>0</v>
      </c>
      <c r="C1779" s="77">
        <f t="shared" si="30"/>
        <v>1778</v>
      </c>
    </row>
    <row r="1780" spans="1:3" x14ac:dyDescent="0.2">
      <c r="A1780" s="78">
        <v>47436</v>
      </c>
      <c r="B1780" s="77">
        <f>+PT!A1782</f>
        <v>0</v>
      </c>
      <c r="C1780" s="77">
        <f t="shared" si="30"/>
        <v>1779</v>
      </c>
    </row>
    <row r="1781" spans="1:3" x14ac:dyDescent="0.2">
      <c r="A1781" s="78">
        <v>47437</v>
      </c>
      <c r="B1781" s="77">
        <f>+PT!A1783</f>
        <v>0</v>
      </c>
      <c r="C1781" s="77">
        <f t="shared" si="30"/>
        <v>1780</v>
      </c>
    </row>
    <row r="1782" spans="1:3" x14ac:dyDescent="0.2">
      <c r="A1782" s="78">
        <v>47438</v>
      </c>
      <c r="B1782" s="77">
        <f>+PT!A1784</f>
        <v>0</v>
      </c>
      <c r="C1782" s="77">
        <f t="shared" si="30"/>
        <v>1781</v>
      </c>
    </row>
    <row r="1783" spans="1:3" x14ac:dyDescent="0.2">
      <c r="A1783" s="78">
        <v>47439</v>
      </c>
      <c r="B1783" s="77">
        <f>+PT!A1785</f>
        <v>0</v>
      </c>
      <c r="C1783" s="77">
        <f t="shared" si="30"/>
        <v>1782</v>
      </c>
    </row>
    <row r="1784" spans="1:3" x14ac:dyDescent="0.2">
      <c r="A1784" s="78">
        <v>47440</v>
      </c>
      <c r="B1784" s="77">
        <f>+PT!A1786</f>
        <v>0</v>
      </c>
      <c r="C1784" s="77">
        <f t="shared" si="30"/>
        <v>1783</v>
      </c>
    </row>
    <row r="1785" spans="1:3" x14ac:dyDescent="0.2">
      <c r="A1785" s="78">
        <v>47441</v>
      </c>
      <c r="B1785" s="77">
        <f>+PT!A1787</f>
        <v>0</v>
      </c>
      <c r="C1785" s="77">
        <f t="shared" si="30"/>
        <v>1784</v>
      </c>
    </row>
    <row r="1786" spans="1:3" x14ac:dyDescent="0.2">
      <c r="A1786" s="78">
        <v>47442</v>
      </c>
      <c r="B1786" s="77">
        <f>+PT!A1788</f>
        <v>0</v>
      </c>
      <c r="C1786" s="77">
        <f t="shared" si="30"/>
        <v>1785</v>
      </c>
    </row>
    <row r="1787" spans="1:3" x14ac:dyDescent="0.2">
      <c r="A1787" s="78">
        <v>47443</v>
      </c>
      <c r="B1787" s="77">
        <f>+PT!A1789</f>
        <v>0</v>
      </c>
      <c r="C1787" s="77">
        <f t="shared" si="30"/>
        <v>1786</v>
      </c>
    </row>
    <row r="1788" spans="1:3" x14ac:dyDescent="0.2">
      <c r="A1788" s="78">
        <v>47444</v>
      </c>
      <c r="B1788" s="77">
        <f>+PT!A1790</f>
        <v>0</v>
      </c>
      <c r="C1788" s="77">
        <f t="shared" si="30"/>
        <v>1787</v>
      </c>
    </row>
    <row r="1789" spans="1:3" x14ac:dyDescent="0.2">
      <c r="A1789" s="78">
        <v>47445</v>
      </c>
      <c r="B1789" s="77">
        <f>+PT!A1791</f>
        <v>0</v>
      </c>
      <c r="C1789" s="77">
        <f t="shared" si="30"/>
        <v>1788</v>
      </c>
    </row>
    <row r="1790" spans="1:3" x14ac:dyDescent="0.2">
      <c r="A1790" s="78">
        <v>47446</v>
      </c>
      <c r="B1790" s="77">
        <f>+PT!A1792</f>
        <v>0</v>
      </c>
      <c r="C1790" s="77">
        <f t="shared" si="30"/>
        <v>1789</v>
      </c>
    </row>
    <row r="1791" spans="1:3" x14ac:dyDescent="0.2">
      <c r="A1791" s="78">
        <v>47447</v>
      </c>
      <c r="B1791" s="77">
        <f>+PT!A1793</f>
        <v>0</v>
      </c>
      <c r="C1791" s="77">
        <f t="shared" si="30"/>
        <v>1790</v>
      </c>
    </row>
    <row r="1792" spans="1:3" x14ac:dyDescent="0.2">
      <c r="A1792" s="78">
        <v>47448</v>
      </c>
      <c r="B1792" s="77">
        <f>+PT!A1794</f>
        <v>0</v>
      </c>
      <c r="C1792" s="77">
        <f t="shared" si="30"/>
        <v>1791</v>
      </c>
    </row>
    <row r="1793" spans="1:3" x14ac:dyDescent="0.2">
      <c r="A1793" s="78">
        <v>47449</v>
      </c>
      <c r="B1793" s="77">
        <f>+PT!A1795</f>
        <v>0</v>
      </c>
      <c r="C1793" s="77">
        <f t="shared" si="30"/>
        <v>1792</v>
      </c>
    </row>
    <row r="1794" spans="1:3" x14ac:dyDescent="0.2">
      <c r="A1794" s="78">
        <v>47450</v>
      </c>
      <c r="B1794" s="77">
        <f>+PT!A1796</f>
        <v>0</v>
      </c>
      <c r="C1794" s="77">
        <f t="shared" si="30"/>
        <v>1793</v>
      </c>
    </row>
    <row r="1795" spans="1:3" x14ac:dyDescent="0.2">
      <c r="A1795" s="78">
        <v>47451</v>
      </c>
      <c r="B1795" s="77">
        <f>+PT!A1797</f>
        <v>0</v>
      </c>
      <c r="C1795" s="77">
        <f t="shared" si="30"/>
        <v>1794</v>
      </c>
    </row>
    <row r="1796" spans="1:3" x14ac:dyDescent="0.2">
      <c r="A1796" s="78">
        <v>47452</v>
      </c>
      <c r="B1796" s="77">
        <f>+PT!A1798</f>
        <v>0</v>
      </c>
      <c r="C1796" s="77">
        <f t="shared" ref="C1796:C1859" si="31">+C1795+1</f>
        <v>1795</v>
      </c>
    </row>
    <row r="1797" spans="1:3" x14ac:dyDescent="0.2">
      <c r="A1797" s="78">
        <v>47453</v>
      </c>
      <c r="B1797" s="77">
        <f>+PT!A1799</f>
        <v>0</v>
      </c>
      <c r="C1797" s="77">
        <f t="shared" si="31"/>
        <v>1796</v>
      </c>
    </row>
    <row r="1798" spans="1:3" x14ac:dyDescent="0.2">
      <c r="A1798" s="78">
        <v>47454</v>
      </c>
      <c r="B1798" s="77">
        <f>+PT!A1800</f>
        <v>0</v>
      </c>
      <c r="C1798" s="77">
        <f t="shared" si="31"/>
        <v>1797</v>
      </c>
    </row>
    <row r="1799" spans="1:3" x14ac:dyDescent="0.2">
      <c r="A1799" s="78">
        <v>47455</v>
      </c>
      <c r="B1799" s="77">
        <f>+PT!A1801</f>
        <v>0</v>
      </c>
      <c r="C1799" s="77">
        <f t="shared" si="31"/>
        <v>1798</v>
      </c>
    </row>
    <row r="1800" spans="1:3" x14ac:dyDescent="0.2">
      <c r="A1800" s="78">
        <v>47456</v>
      </c>
      <c r="B1800" s="77">
        <f>+PT!A1802</f>
        <v>0</v>
      </c>
      <c r="C1800" s="77">
        <f t="shared" si="31"/>
        <v>1799</v>
      </c>
    </row>
    <row r="1801" spans="1:3" x14ac:dyDescent="0.2">
      <c r="A1801" s="78">
        <v>47457</v>
      </c>
      <c r="B1801" s="77">
        <f>+PT!A1803</f>
        <v>0</v>
      </c>
      <c r="C1801" s="77">
        <f t="shared" si="31"/>
        <v>1800</v>
      </c>
    </row>
    <row r="1802" spans="1:3" x14ac:dyDescent="0.2">
      <c r="A1802" s="78">
        <v>47458</v>
      </c>
      <c r="B1802" s="77">
        <f>+PT!A1804</f>
        <v>0</v>
      </c>
      <c r="C1802" s="77">
        <f t="shared" si="31"/>
        <v>1801</v>
      </c>
    </row>
    <row r="1803" spans="1:3" x14ac:dyDescent="0.2">
      <c r="A1803" s="78">
        <v>47459</v>
      </c>
      <c r="B1803" s="77">
        <f>+PT!A1805</f>
        <v>0</v>
      </c>
      <c r="C1803" s="77">
        <f t="shared" si="31"/>
        <v>1802</v>
      </c>
    </row>
    <row r="1804" spans="1:3" x14ac:dyDescent="0.2">
      <c r="A1804" s="78">
        <v>47460</v>
      </c>
      <c r="B1804" s="77">
        <f>+PT!A1806</f>
        <v>0</v>
      </c>
      <c r="C1804" s="77">
        <f t="shared" si="31"/>
        <v>1803</v>
      </c>
    </row>
    <row r="1805" spans="1:3" x14ac:dyDescent="0.2">
      <c r="A1805" s="78">
        <v>47461</v>
      </c>
      <c r="B1805" s="77">
        <f>+PT!A1807</f>
        <v>0</v>
      </c>
      <c r="C1805" s="77">
        <f t="shared" si="31"/>
        <v>1804</v>
      </c>
    </row>
    <row r="1806" spans="1:3" x14ac:dyDescent="0.2">
      <c r="A1806" s="78">
        <v>47462</v>
      </c>
      <c r="B1806" s="77">
        <f>+PT!A1808</f>
        <v>0</v>
      </c>
      <c r="C1806" s="77">
        <f t="shared" si="31"/>
        <v>1805</v>
      </c>
    </row>
    <row r="1807" spans="1:3" x14ac:dyDescent="0.2">
      <c r="A1807" s="78">
        <v>47463</v>
      </c>
      <c r="B1807" s="77">
        <f>+PT!A1809</f>
        <v>0</v>
      </c>
      <c r="C1807" s="77">
        <f t="shared" si="31"/>
        <v>1806</v>
      </c>
    </row>
    <row r="1808" spans="1:3" x14ac:dyDescent="0.2">
      <c r="A1808" s="78">
        <v>47464</v>
      </c>
      <c r="B1808" s="77">
        <f>+PT!A1810</f>
        <v>0</v>
      </c>
      <c r="C1808" s="77">
        <f t="shared" si="31"/>
        <v>1807</v>
      </c>
    </row>
    <row r="1809" spans="1:3" x14ac:dyDescent="0.2">
      <c r="A1809" s="78">
        <v>47465</v>
      </c>
      <c r="B1809" s="77">
        <f>+PT!A1811</f>
        <v>0</v>
      </c>
      <c r="C1809" s="77">
        <f t="shared" si="31"/>
        <v>1808</v>
      </c>
    </row>
    <row r="1810" spans="1:3" x14ac:dyDescent="0.2">
      <c r="A1810" s="78">
        <v>47466</v>
      </c>
      <c r="B1810" s="77">
        <f>+PT!A1812</f>
        <v>0</v>
      </c>
      <c r="C1810" s="77">
        <f t="shared" si="31"/>
        <v>1809</v>
      </c>
    </row>
    <row r="1811" spans="1:3" x14ac:dyDescent="0.2">
      <c r="A1811" s="78">
        <v>47467</v>
      </c>
      <c r="B1811" s="77">
        <f>+PT!A1813</f>
        <v>0</v>
      </c>
      <c r="C1811" s="77">
        <f t="shared" si="31"/>
        <v>1810</v>
      </c>
    </row>
    <row r="1812" spans="1:3" x14ac:dyDescent="0.2">
      <c r="A1812" s="78">
        <v>47468</v>
      </c>
      <c r="B1812" s="77">
        <f>+PT!A1814</f>
        <v>0</v>
      </c>
      <c r="C1812" s="77">
        <f t="shared" si="31"/>
        <v>1811</v>
      </c>
    </row>
    <row r="1813" spans="1:3" x14ac:dyDescent="0.2">
      <c r="A1813" s="78">
        <v>47469</v>
      </c>
      <c r="B1813" s="77">
        <f>+PT!A1815</f>
        <v>0</v>
      </c>
      <c r="C1813" s="77">
        <f t="shared" si="31"/>
        <v>1812</v>
      </c>
    </row>
    <row r="1814" spans="1:3" x14ac:dyDescent="0.2">
      <c r="A1814" s="78">
        <v>47470</v>
      </c>
      <c r="B1814" s="77">
        <f>+PT!A1816</f>
        <v>0</v>
      </c>
      <c r="C1814" s="77">
        <f t="shared" si="31"/>
        <v>1813</v>
      </c>
    </row>
    <row r="1815" spans="1:3" x14ac:dyDescent="0.2">
      <c r="A1815" s="78">
        <v>47471</v>
      </c>
      <c r="B1815" s="77">
        <f>+PT!A1817</f>
        <v>0</v>
      </c>
      <c r="C1815" s="77">
        <f t="shared" si="31"/>
        <v>1814</v>
      </c>
    </row>
    <row r="1816" spans="1:3" x14ac:dyDescent="0.2">
      <c r="A1816" s="78">
        <v>47472</v>
      </c>
      <c r="B1816" s="77">
        <f>+PT!A1818</f>
        <v>0</v>
      </c>
      <c r="C1816" s="77">
        <f t="shared" si="31"/>
        <v>1815</v>
      </c>
    </row>
    <row r="1817" spans="1:3" x14ac:dyDescent="0.2">
      <c r="A1817" s="78">
        <v>47473</v>
      </c>
      <c r="B1817" s="77">
        <f>+PT!A1819</f>
        <v>0</v>
      </c>
      <c r="C1817" s="77">
        <f t="shared" si="31"/>
        <v>1816</v>
      </c>
    </row>
    <row r="1818" spans="1:3" x14ac:dyDescent="0.2">
      <c r="A1818" s="78">
        <v>47474</v>
      </c>
      <c r="B1818" s="77">
        <f>+PT!A1820</f>
        <v>0</v>
      </c>
      <c r="C1818" s="77">
        <f t="shared" si="31"/>
        <v>1817</v>
      </c>
    </row>
    <row r="1819" spans="1:3" x14ac:dyDescent="0.2">
      <c r="A1819" s="78">
        <v>47475</v>
      </c>
      <c r="B1819" s="77">
        <f>+PT!A1821</f>
        <v>0</v>
      </c>
      <c r="C1819" s="77">
        <f t="shared" si="31"/>
        <v>1818</v>
      </c>
    </row>
    <row r="1820" spans="1:3" x14ac:dyDescent="0.2">
      <c r="A1820" s="78">
        <v>47476</v>
      </c>
      <c r="B1820" s="77">
        <f>+PT!A1822</f>
        <v>0</v>
      </c>
      <c r="C1820" s="77">
        <f t="shared" si="31"/>
        <v>1819</v>
      </c>
    </row>
    <row r="1821" spans="1:3" x14ac:dyDescent="0.2">
      <c r="A1821" s="78">
        <v>47477</v>
      </c>
      <c r="B1821" s="77">
        <f>+PT!A1823</f>
        <v>0</v>
      </c>
      <c r="C1821" s="77">
        <f t="shared" si="31"/>
        <v>1820</v>
      </c>
    </row>
    <row r="1822" spans="1:3" x14ac:dyDescent="0.2">
      <c r="A1822" s="78">
        <v>47478</v>
      </c>
      <c r="B1822" s="77">
        <f>+PT!A1824</f>
        <v>0</v>
      </c>
      <c r="C1822" s="77">
        <f t="shared" si="31"/>
        <v>1821</v>
      </c>
    </row>
    <row r="1823" spans="1:3" x14ac:dyDescent="0.2">
      <c r="A1823" s="78">
        <v>47479</v>
      </c>
      <c r="B1823" s="77">
        <f>+PT!A1825</f>
        <v>0</v>
      </c>
      <c r="C1823" s="77">
        <f t="shared" si="31"/>
        <v>1822</v>
      </c>
    </row>
    <row r="1824" spans="1:3" x14ac:dyDescent="0.2">
      <c r="A1824" s="78">
        <v>47480</v>
      </c>
      <c r="B1824" s="77">
        <f>+PT!A1826</f>
        <v>0</v>
      </c>
      <c r="C1824" s="77">
        <f t="shared" si="31"/>
        <v>1823</v>
      </c>
    </row>
    <row r="1825" spans="1:3" x14ac:dyDescent="0.2">
      <c r="A1825" s="78">
        <v>47481</v>
      </c>
      <c r="B1825" s="77">
        <f>+PT!A1827</f>
        <v>0</v>
      </c>
      <c r="C1825" s="77">
        <f t="shared" si="31"/>
        <v>1824</v>
      </c>
    </row>
    <row r="1826" spans="1:3" x14ac:dyDescent="0.2">
      <c r="A1826" s="78">
        <v>47482</v>
      </c>
      <c r="B1826" s="77">
        <f>+PT!A1828</f>
        <v>0</v>
      </c>
      <c r="C1826" s="77">
        <f t="shared" si="31"/>
        <v>1825</v>
      </c>
    </row>
    <row r="1827" spans="1:3" x14ac:dyDescent="0.2">
      <c r="A1827" s="78">
        <v>47483</v>
      </c>
      <c r="B1827" s="77">
        <f>+PT!A1829</f>
        <v>0</v>
      </c>
      <c r="C1827" s="77">
        <f t="shared" si="31"/>
        <v>1826</v>
      </c>
    </row>
    <row r="1828" spans="1:3" x14ac:dyDescent="0.2">
      <c r="A1828" s="78">
        <v>47484</v>
      </c>
      <c r="B1828" s="77">
        <f>+PT!A1830</f>
        <v>0</v>
      </c>
      <c r="C1828" s="77">
        <f t="shared" si="31"/>
        <v>1827</v>
      </c>
    </row>
    <row r="1829" spans="1:3" x14ac:dyDescent="0.2">
      <c r="A1829" s="78">
        <v>47485</v>
      </c>
      <c r="B1829" s="77">
        <f>+PT!A1831</f>
        <v>0</v>
      </c>
      <c r="C1829" s="77">
        <f t="shared" si="31"/>
        <v>1828</v>
      </c>
    </row>
    <row r="1830" spans="1:3" x14ac:dyDescent="0.2">
      <c r="A1830" s="78">
        <v>47486</v>
      </c>
      <c r="B1830" s="77">
        <f>+PT!A1832</f>
        <v>0</v>
      </c>
      <c r="C1830" s="77">
        <f t="shared" si="31"/>
        <v>1829</v>
      </c>
    </row>
    <row r="1831" spans="1:3" x14ac:dyDescent="0.2">
      <c r="A1831" s="78">
        <v>47487</v>
      </c>
      <c r="B1831" s="77">
        <f>+PT!A1833</f>
        <v>0</v>
      </c>
      <c r="C1831" s="77">
        <f t="shared" si="31"/>
        <v>1830</v>
      </c>
    </row>
    <row r="1832" spans="1:3" x14ac:dyDescent="0.2">
      <c r="A1832" s="78">
        <v>47488</v>
      </c>
      <c r="B1832" s="77">
        <f>+PT!A1834</f>
        <v>0</v>
      </c>
      <c r="C1832" s="77">
        <f t="shared" si="31"/>
        <v>1831</v>
      </c>
    </row>
    <row r="1833" spans="1:3" x14ac:dyDescent="0.2">
      <c r="A1833" s="78">
        <v>47489</v>
      </c>
      <c r="B1833" s="77">
        <f>+PT!A1835</f>
        <v>0</v>
      </c>
      <c r="C1833" s="77">
        <f t="shared" si="31"/>
        <v>1832</v>
      </c>
    </row>
    <row r="1834" spans="1:3" x14ac:dyDescent="0.2">
      <c r="A1834" s="78">
        <v>47490</v>
      </c>
      <c r="B1834" s="77">
        <f>+PT!A1836</f>
        <v>0</v>
      </c>
      <c r="C1834" s="77">
        <f t="shared" si="31"/>
        <v>1833</v>
      </c>
    </row>
    <row r="1835" spans="1:3" x14ac:dyDescent="0.2">
      <c r="A1835" s="78">
        <v>47491</v>
      </c>
      <c r="B1835" s="77">
        <f>+PT!A1837</f>
        <v>0</v>
      </c>
      <c r="C1835" s="77">
        <f t="shared" si="31"/>
        <v>1834</v>
      </c>
    </row>
    <row r="1836" spans="1:3" x14ac:dyDescent="0.2">
      <c r="A1836" s="78">
        <v>47492</v>
      </c>
      <c r="B1836" s="77">
        <f>+PT!A1838</f>
        <v>0</v>
      </c>
      <c r="C1836" s="77">
        <f t="shared" si="31"/>
        <v>1835</v>
      </c>
    </row>
    <row r="1837" spans="1:3" x14ac:dyDescent="0.2">
      <c r="A1837" s="78">
        <v>47493</v>
      </c>
      <c r="B1837" s="77">
        <f>+PT!A1839</f>
        <v>0</v>
      </c>
      <c r="C1837" s="77">
        <f t="shared" si="31"/>
        <v>1836</v>
      </c>
    </row>
    <row r="1838" spans="1:3" x14ac:dyDescent="0.2">
      <c r="A1838" s="78">
        <v>47494</v>
      </c>
      <c r="B1838" s="77">
        <f>+PT!A1840</f>
        <v>0</v>
      </c>
      <c r="C1838" s="77">
        <f t="shared" si="31"/>
        <v>1837</v>
      </c>
    </row>
    <row r="1839" spans="1:3" x14ac:dyDescent="0.2">
      <c r="A1839" s="78">
        <v>47495</v>
      </c>
      <c r="B1839" s="77">
        <f>+PT!A1841</f>
        <v>0</v>
      </c>
      <c r="C1839" s="77">
        <f t="shared" si="31"/>
        <v>1838</v>
      </c>
    </row>
    <row r="1840" spans="1:3" x14ac:dyDescent="0.2">
      <c r="A1840" s="78">
        <v>47496</v>
      </c>
      <c r="B1840" s="77">
        <f>+PT!A1842</f>
        <v>0</v>
      </c>
      <c r="C1840" s="77">
        <f t="shared" si="31"/>
        <v>1839</v>
      </c>
    </row>
    <row r="1841" spans="1:3" x14ac:dyDescent="0.2">
      <c r="A1841" s="78">
        <v>47497</v>
      </c>
      <c r="B1841" s="77">
        <f>+PT!A1843</f>
        <v>0</v>
      </c>
      <c r="C1841" s="77">
        <f t="shared" si="31"/>
        <v>1840</v>
      </c>
    </row>
    <row r="1842" spans="1:3" x14ac:dyDescent="0.2">
      <c r="A1842" s="78">
        <v>47498</v>
      </c>
      <c r="B1842" s="77">
        <f>+PT!A1844</f>
        <v>0</v>
      </c>
      <c r="C1842" s="77">
        <f t="shared" si="31"/>
        <v>1841</v>
      </c>
    </row>
    <row r="1843" spans="1:3" x14ac:dyDescent="0.2">
      <c r="A1843" s="78">
        <v>47499</v>
      </c>
      <c r="B1843" s="77">
        <f>+PT!A1845</f>
        <v>0</v>
      </c>
      <c r="C1843" s="77">
        <f t="shared" si="31"/>
        <v>1842</v>
      </c>
    </row>
    <row r="1844" spans="1:3" x14ac:dyDescent="0.2">
      <c r="A1844" s="78">
        <v>47500</v>
      </c>
      <c r="B1844" s="77">
        <f>+PT!A1846</f>
        <v>0</v>
      </c>
      <c r="C1844" s="77">
        <f t="shared" si="31"/>
        <v>1843</v>
      </c>
    </row>
    <row r="1845" spans="1:3" x14ac:dyDescent="0.2">
      <c r="A1845" s="78">
        <v>47501</v>
      </c>
      <c r="B1845" s="77">
        <f>+PT!A1847</f>
        <v>0</v>
      </c>
      <c r="C1845" s="77">
        <f t="shared" si="31"/>
        <v>1844</v>
      </c>
    </row>
    <row r="1846" spans="1:3" x14ac:dyDescent="0.2">
      <c r="A1846" s="78">
        <v>47502</v>
      </c>
      <c r="B1846" s="77">
        <f>+PT!A1848</f>
        <v>0</v>
      </c>
      <c r="C1846" s="77">
        <f t="shared" si="31"/>
        <v>1845</v>
      </c>
    </row>
    <row r="1847" spans="1:3" x14ac:dyDescent="0.2">
      <c r="A1847" s="78">
        <v>47503</v>
      </c>
      <c r="B1847" s="77">
        <f>+PT!A1849</f>
        <v>0</v>
      </c>
      <c r="C1847" s="77">
        <f t="shared" si="31"/>
        <v>1846</v>
      </c>
    </row>
    <row r="1848" spans="1:3" x14ac:dyDescent="0.2">
      <c r="A1848" s="78">
        <v>47504</v>
      </c>
      <c r="B1848" s="77">
        <f>+PT!A1850</f>
        <v>0</v>
      </c>
      <c r="C1848" s="77">
        <f t="shared" si="31"/>
        <v>1847</v>
      </c>
    </row>
    <row r="1849" spans="1:3" x14ac:dyDescent="0.2">
      <c r="A1849" s="78">
        <v>47505</v>
      </c>
      <c r="B1849" s="77">
        <f>+PT!A1851</f>
        <v>0</v>
      </c>
      <c r="C1849" s="77">
        <f t="shared" si="31"/>
        <v>1848</v>
      </c>
    </row>
    <row r="1850" spans="1:3" x14ac:dyDescent="0.2">
      <c r="A1850" s="78">
        <v>47506</v>
      </c>
      <c r="B1850" s="77">
        <f>+PT!A1852</f>
        <v>0</v>
      </c>
      <c r="C1850" s="77">
        <f t="shared" si="31"/>
        <v>1849</v>
      </c>
    </row>
    <row r="1851" spans="1:3" x14ac:dyDescent="0.2">
      <c r="A1851" s="78">
        <v>47507</v>
      </c>
      <c r="B1851" s="77">
        <f>+PT!A1853</f>
        <v>0</v>
      </c>
      <c r="C1851" s="77">
        <f t="shared" si="31"/>
        <v>1850</v>
      </c>
    </row>
    <row r="1852" spans="1:3" x14ac:dyDescent="0.2">
      <c r="A1852" s="78">
        <v>47508</v>
      </c>
      <c r="B1852" s="77">
        <f>+PT!A1854</f>
        <v>0</v>
      </c>
      <c r="C1852" s="77">
        <f t="shared" si="31"/>
        <v>1851</v>
      </c>
    </row>
    <row r="1853" spans="1:3" x14ac:dyDescent="0.2">
      <c r="A1853" s="78">
        <v>47509</v>
      </c>
      <c r="B1853" s="77">
        <f>+PT!A1855</f>
        <v>0</v>
      </c>
      <c r="C1853" s="77">
        <f t="shared" si="31"/>
        <v>1852</v>
      </c>
    </row>
    <row r="1854" spans="1:3" x14ac:dyDescent="0.2">
      <c r="A1854" s="78">
        <v>47510</v>
      </c>
      <c r="B1854" s="77">
        <f>+PT!A1856</f>
        <v>0</v>
      </c>
      <c r="C1854" s="77">
        <f t="shared" si="31"/>
        <v>1853</v>
      </c>
    </row>
    <row r="1855" spans="1:3" x14ac:dyDescent="0.2">
      <c r="A1855" s="78">
        <v>47511</v>
      </c>
      <c r="B1855" s="77">
        <f>+PT!A1857</f>
        <v>0</v>
      </c>
      <c r="C1855" s="77">
        <f t="shared" si="31"/>
        <v>1854</v>
      </c>
    </row>
    <row r="1856" spans="1:3" x14ac:dyDescent="0.2">
      <c r="A1856" s="78">
        <v>47512</v>
      </c>
      <c r="B1856" s="77">
        <f>+PT!A1858</f>
        <v>0</v>
      </c>
      <c r="C1856" s="77">
        <f t="shared" si="31"/>
        <v>1855</v>
      </c>
    </row>
    <row r="1857" spans="1:3" x14ac:dyDescent="0.2">
      <c r="A1857" s="78">
        <v>47513</v>
      </c>
      <c r="B1857" s="77">
        <f>+PT!A1859</f>
        <v>0</v>
      </c>
      <c r="C1857" s="77">
        <f t="shared" si="31"/>
        <v>1856</v>
      </c>
    </row>
    <row r="1858" spans="1:3" x14ac:dyDescent="0.2">
      <c r="A1858" s="78">
        <v>47514</v>
      </c>
      <c r="B1858" s="77">
        <f>+PT!A1860</f>
        <v>0</v>
      </c>
      <c r="C1858" s="77">
        <f t="shared" si="31"/>
        <v>1857</v>
      </c>
    </row>
    <row r="1859" spans="1:3" x14ac:dyDescent="0.2">
      <c r="A1859" s="78">
        <v>47515</v>
      </c>
      <c r="B1859" s="77">
        <f>+PT!A1861</f>
        <v>0</v>
      </c>
      <c r="C1859" s="77">
        <f t="shared" si="31"/>
        <v>1858</v>
      </c>
    </row>
    <row r="1860" spans="1:3" x14ac:dyDescent="0.2">
      <c r="A1860" s="78">
        <v>47516</v>
      </c>
      <c r="B1860" s="77">
        <f>+PT!A1862</f>
        <v>0</v>
      </c>
      <c r="C1860" s="77">
        <f t="shared" ref="C1860:C1923" si="32">+C1859+1</f>
        <v>1859</v>
      </c>
    </row>
    <row r="1861" spans="1:3" x14ac:dyDescent="0.2">
      <c r="A1861" s="78">
        <v>47517</v>
      </c>
      <c r="B1861" s="77">
        <f>+PT!A1863</f>
        <v>0</v>
      </c>
      <c r="C1861" s="77">
        <f t="shared" si="32"/>
        <v>1860</v>
      </c>
    </row>
    <row r="1862" spans="1:3" x14ac:dyDescent="0.2">
      <c r="A1862" s="78">
        <v>47518</v>
      </c>
      <c r="B1862" s="77">
        <f>+PT!A1864</f>
        <v>0</v>
      </c>
      <c r="C1862" s="77">
        <f t="shared" si="32"/>
        <v>1861</v>
      </c>
    </row>
    <row r="1863" spans="1:3" x14ac:dyDescent="0.2">
      <c r="A1863" s="78">
        <v>47519</v>
      </c>
      <c r="B1863" s="77">
        <f>+PT!A1865</f>
        <v>0</v>
      </c>
      <c r="C1863" s="77">
        <f t="shared" si="32"/>
        <v>1862</v>
      </c>
    </row>
    <row r="1864" spans="1:3" x14ac:dyDescent="0.2">
      <c r="A1864" s="78">
        <v>47520</v>
      </c>
      <c r="B1864" s="77">
        <f>+PT!A1866</f>
        <v>0</v>
      </c>
      <c r="C1864" s="77">
        <f t="shared" si="32"/>
        <v>1863</v>
      </c>
    </row>
    <row r="1865" spans="1:3" x14ac:dyDescent="0.2">
      <c r="A1865" s="78">
        <v>47521</v>
      </c>
      <c r="B1865" s="77">
        <f>+PT!A1867</f>
        <v>0</v>
      </c>
      <c r="C1865" s="77">
        <f t="shared" si="32"/>
        <v>1864</v>
      </c>
    </row>
    <row r="1866" spans="1:3" x14ac:dyDescent="0.2">
      <c r="A1866" s="78">
        <v>47522</v>
      </c>
      <c r="B1866" s="77">
        <f>+PT!A1868</f>
        <v>0</v>
      </c>
      <c r="C1866" s="77">
        <f t="shared" si="32"/>
        <v>1865</v>
      </c>
    </row>
    <row r="1867" spans="1:3" x14ac:dyDescent="0.2">
      <c r="A1867" s="78">
        <v>47523</v>
      </c>
      <c r="B1867" s="77">
        <f>+PT!A1869</f>
        <v>0</v>
      </c>
      <c r="C1867" s="77">
        <f t="shared" si="32"/>
        <v>1866</v>
      </c>
    </row>
    <row r="1868" spans="1:3" x14ac:dyDescent="0.2">
      <c r="A1868" s="78">
        <v>47524</v>
      </c>
      <c r="B1868" s="77">
        <f>+PT!A1870</f>
        <v>0</v>
      </c>
      <c r="C1868" s="77">
        <f t="shared" si="32"/>
        <v>1867</v>
      </c>
    </row>
    <row r="1869" spans="1:3" x14ac:dyDescent="0.2">
      <c r="A1869" s="78">
        <v>47525</v>
      </c>
      <c r="B1869" s="77">
        <f>+PT!A1871</f>
        <v>0</v>
      </c>
      <c r="C1869" s="77">
        <f t="shared" si="32"/>
        <v>1868</v>
      </c>
    </row>
    <row r="1870" spans="1:3" x14ac:dyDescent="0.2">
      <c r="A1870" s="78">
        <v>47526</v>
      </c>
      <c r="B1870" s="77">
        <f>+PT!A1872</f>
        <v>0</v>
      </c>
      <c r="C1870" s="77">
        <f t="shared" si="32"/>
        <v>1869</v>
      </c>
    </row>
    <row r="1871" spans="1:3" x14ac:dyDescent="0.2">
      <c r="A1871" s="78">
        <v>47527</v>
      </c>
      <c r="B1871" s="77">
        <f>+PT!A1873</f>
        <v>0</v>
      </c>
      <c r="C1871" s="77">
        <f t="shared" si="32"/>
        <v>1870</v>
      </c>
    </row>
    <row r="1872" spans="1:3" x14ac:dyDescent="0.2">
      <c r="A1872" s="78">
        <v>47528</v>
      </c>
      <c r="B1872" s="77">
        <f>+PT!A1874</f>
        <v>0</v>
      </c>
      <c r="C1872" s="77">
        <f t="shared" si="32"/>
        <v>1871</v>
      </c>
    </row>
    <row r="1873" spans="1:3" x14ac:dyDescent="0.2">
      <c r="A1873" s="78">
        <v>47529</v>
      </c>
      <c r="B1873" s="77">
        <f>+PT!A1875</f>
        <v>0</v>
      </c>
      <c r="C1873" s="77">
        <f t="shared" si="32"/>
        <v>1872</v>
      </c>
    </row>
    <row r="1874" spans="1:3" x14ac:dyDescent="0.2">
      <c r="A1874" s="78">
        <v>47530</v>
      </c>
      <c r="B1874" s="77">
        <f>+PT!A1876</f>
        <v>0</v>
      </c>
      <c r="C1874" s="77">
        <f t="shared" si="32"/>
        <v>1873</v>
      </c>
    </row>
    <row r="1875" spans="1:3" x14ac:dyDescent="0.2">
      <c r="A1875" s="78">
        <v>47531</v>
      </c>
      <c r="B1875" s="77">
        <f>+PT!A1877</f>
        <v>0</v>
      </c>
      <c r="C1875" s="77">
        <f t="shared" si="32"/>
        <v>1874</v>
      </c>
    </row>
    <row r="1876" spans="1:3" x14ac:dyDescent="0.2">
      <c r="A1876" s="78">
        <v>47532</v>
      </c>
      <c r="B1876" s="77">
        <f>+PT!A1878</f>
        <v>0</v>
      </c>
      <c r="C1876" s="77">
        <f t="shared" si="32"/>
        <v>1875</v>
      </c>
    </row>
    <row r="1877" spans="1:3" x14ac:dyDescent="0.2">
      <c r="A1877" s="78">
        <v>47533</v>
      </c>
      <c r="B1877" s="77">
        <f>+PT!A1879</f>
        <v>0</v>
      </c>
      <c r="C1877" s="77">
        <f t="shared" si="32"/>
        <v>1876</v>
      </c>
    </row>
    <row r="1878" spans="1:3" x14ac:dyDescent="0.2">
      <c r="A1878" s="78">
        <v>47534</v>
      </c>
      <c r="B1878" s="77">
        <f>+PT!A1880</f>
        <v>0</v>
      </c>
      <c r="C1878" s="77">
        <f t="shared" si="32"/>
        <v>1877</v>
      </c>
    </row>
    <row r="1879" spans="1:3" x14ac:dyDescent="0.2">
      <c r="A1879" s="78">
        <v>47535</v>
      </c>
      <c r="B1879" s="77">
        <f>+PT!A1881</f>
        <v>0</v>
      </c>
      <c r="C1879" s="77">
        <f t="shared" si="32"/>
        <v>1878</v>
      </c>
    </row>
    <row r="1880" spans="1:3" x14ac:dyDescent="0.2">
      <c r="A1880" s="78">
        <v>47536</v>
      </c>
      <c r="B1880" s="77">
        <f>+PT!A1882</f>
        <v>0</v>
      </c>
      <c r="C1880" s="77">
        <f t="shared" si="32"/>
        <v>1879</v>
      </c>
    </row>
    <row r="1881" spans="1:3" x14ac:dyDescent="0.2">
      <c r="A1881" s="78">
        <v>47537</v>
      </c>
      <c r="B1881" s="77">
        <f>+PT!A1883</f>
        <v>0</v>
      </c>
      <c r="C1881" s="77">
        <f t="shared" si="32"/>
        <v>1880</v>
      </c>
    </row>
    <row r="1882" spans="1:3" x14ac:dyDescent="0.2">
      <c r="A1882" s="78">
        <v>47538</v>
      </c>
      <c r="B1882" s="77">
        <f>+PT!A1884</f>
        <v>0</v>
      </c>
      <c r="C1882" s="77">
        <f t="shared" si="32"/>
        <v>1881</v>
      </c>
    </row>
    <row r="1883" spans="1:3" x14ac:dyDescent="0.2">
      <c r="A1883" s="78">
        <v>47539</v>
      </c>
      <c r="B1883" s="77">
        <f>+PT!A1885</f>
        <v>0</v>
      </c>
      <c r="C1883" s="77">
        <f t="shared" si="32"/>
        <v>1882</v>
      </c>
    </row>
    <row r="1884" spans="1:3" x14ac:dyDescent="0.2">
      <c r="A1884" s="78">
        <v>47540</v>
      </c>
      <c r="B1884" s="77">
        <f>+PT!A1886</f>
        <v>0</v>
      </c>
      <c r="C1884" s="77">
        <f t="shared" si="32"/>
        <v>1883</v>
      </c>
    </row>
    <row r="1885" spans="1:3" x14ac:dyDescent="0.2">
      <c r="A1885" s="78">
        <v>47541</v>
      </c>
      <c r="B1885" s="77">
        <f>+PT!A1887</f>
        <v>0</v>
      </c>
      <c r="C1885" s="77">
        <f t="shared" si="32"/>
        <v>1884</v>
      </c>
    </row>
    <row r="1886" spans="1:3" x14ac:dyDescent="0.2">
      <c r="A1886" s="78">
        <v>47542</v>
      </c>
      <c r="B1886" s="77">
        <f>+PT!A1888</f>
        <v>0</v>
      </c>
      <c r="C1886" s="77">
        <f t="shared" si="32"/>
        <v>1885</v>
      </c>
    </row>
    <row r="1887" spans="1:3" x14ac:dyDescent="0.2">
      <c r="A1887" s="78">
        <v>47543</v>
      </c>
      <c r="B1887" s="77">
        <f>+PT!A1889</f>
        <v>0</v>
      </c>
      <c r="C1887" s="77">
        <f t="shared" si="32"/>
        <v>1886</v>
      </c>
    </row>
    <row r="1888" spans="1:3" x14ac:dyDescent="0.2">
      <c r="A1888" s="78">
        <v>47544</v>
      </c>
      <c r="B1888" s="77">
        <f>+PT!A1890</f>
        <v>0</v>
      </c>
      <c r="C1888" s="77">
        <f t="shared" si="32"/>
        <v>1887</v>
      </c>
    </row>
    <row r="1889" spans="1:3" x14ac:dyDescent="0.2">
      <c r="A1889" s="78">
        <v>47545</v>
      </c>
      <c r="B1889" s="77">
        <f>+PT!A1891</f>
        <v>0</v>
      </c>
      <c r="C1889" s="77">
        <f t="shared" si="32"/>
        <v>1888</v>
      </c>
    </row>
    <row r="1890" spans="1:3" x14ac:dyDescent="0.2">
      <c r="A1890" s="78">
        <v>47546</v>
      </c>
      <c r="B1890" s="77">
        <f>+PT!A1892</f>
        <v>0</v>
      </c>
      <c r="C1890" s="77">
        <f t="shared" si="32"/>
        <v>1889</v>
      </c>
    </row>
    <row r="1891" spans="1:3" x14ac:dyDescent="0.2">
      <c r="A1891" s="78">
        <v>47547</v>
      </c>
      <c r="B1891" s="77">
        <f>+PT!A1893</f>
        <v>0</v>
      </c>
      <c r="C1891" s="77">
        <f t="shared" si="32"/>
        <v>1890</v>
      </c>
    </row>
    <row r="1892" spans="1:3" x14ac:dyDescent="0.2">
      <c r="A1892" s="78">
        <v>47548</v>
      </c>
      <c r="B1892" s="77">
        <f>+PT!A1894</f>
        <v>0</v>
      </c>
      <c r="C1892" s="77">
        <f t="shared" si="32"/>
        <v>1891</v>
      </c>
    </row>
    <row r="1893" spans="1:3" x14ac:dyDescent="0.2">
      <c r="A1893" s="78">
        <v>47549</v>
      </c>
      <c r="B1893" s="77">
        <f>+PT!A1895</f>
        <v>0</v>
      </c>
      <c r="C1893" s="77">
        <f t="shared" si="32"/>
        <v>1892</v>
      </c>
    </row>
    <row r="1894" spans="1:3" x14ac:dyDescent="0.2">
      <c r="A1894" s="78">
        <v>47550</v>
      </c>
      <c r="B1894" s="77">
        <f>+PT!A1896</f>
        <v>0</v>
      </c>
      <c r="C1894" s="77">
        <f t="shared" si="32"/>
        <v>1893</v>
      </c>
    </row>
    <row r="1895" spans="1:3" x14ac:dyDescent="0.2">
      <c r="A1895" s="78">
        <v>47551</v>
      </c>
      <c r="B1895" s="77">
        <f>+PT!A1897</f>
        <v>0</v>
      </c>
      <c r="C1895" s="77">
        <f t="shared" si="32"/>
        <v>1894</v>
      </c>
    </row>
    <row r="1896" spans="1:3" x14ac:dyDescent="0.2">
      <c r="A1896" s="78">
        <v>47552</v>
      </c>
      <c r="B1896" s="77">
        <f>+PT!A1898</f>
        <v>0</v>
      </c>
      <c r="C1896" s="77">
        <f t="shared" si="32"/>
        <v>1895</v>
      </c>
    </row>
    <row r="1897" spans="1:3" x14ac:dyDescent="0.2">
      <c r="A1897" s="78">
        <v>47553</v>
      </c>
      <c r="B1897" s="77">
        <f>+PT!A1899</f>
        <v>0</v>
      </c>
      <c r="C1897" s="77">
        <f t="shared" si="32"/>
        <v>1896</v>
      </c>
    </row>
    <row r="1898" spans="1:3" x14ac:dyDescent="0.2">
      <c r="A1898" s="78">
        <v>47554</v>
      </c>
      <c r="B1898" s="77">
        <f>+PT!A1900</f>
        <v>0</v>
      </c>
      <c r="C1898" s="77">
        <f t="shared" si="32"/>
        <v>1897</v>
      </c>
    </row>
    <row r="1899" spans="1:3" x14ac:dyDescent="0.2">
      <c r="A1899" s="78">
        <v>47555</v>
      </c>
      <c r="B1899" s="77">
        <f>+PT!A1901</f>
        <v>0</v>
      </c>
      <c r="C1899" s="77">
        <f t="shared" si="32"/>
        <v>1898</v>
      </c>
    </row>
    <row r="1900" spans="1:3" x14ac:dyDescent="0.2">
      <c r="A1900" s="78">
        <v>47556</v>
      </c>
      <c r="B1900" s="77">
        <f>+PT!A1902</f>
        <v>0</v>
      </c>
      <c r="C1900" s="77">
        <f t="shared" si="32"/>
        <v>1899</v>
      </c>
    </row>
    <row r="1901" spans="1:3" x14ac:dyDescent="0.2">
      <c r="A1901" s="78">
        <v>47557</v>
      </c>
      <c r="B1901" s="77">
        <f>+PT!A1903</f>
        <v>0</v>
      </c>
      <c r="C1901" s="77">
        <f t="shared" si="32"/>
        <v>1900</v>
      </c>
    </row>
    <row r="1902" spans="1:3" x14ac:dyDescent="0.2">
      <c r="A1902" s="78">
        <v>47558</v>
      </c>
      <c r="B1902" s="77">
        <f>+PT!A1904</f>
        <v>0</v>
      </c>
      <c r="C1902" s="77">
        <f t="shared" si="32"/>
        <v>1901</v>
      </c>
    </row>
    <row r="1903" spans="1:3" x14ac:dyDescent="0.2">
      <c r="A1903" s="78">
        <v>47559</v>
      </c>
      <c r="B1903" s="77">
        <f>+PT!A1905</f>
        <v>0</v>
      </c>
      <c r="C1903" s="77">
        <f t="shared" si="32"/>
        <v>1902</v>
      </c>
    </row>
    <row r="1904" spans="1:3" x14ac:dyDescent="0.2">
      <c r="A1904" s="78">
        <v>47560</v>
      </c>
      <c r="B1904" s="77">
        <f>+PT!A1906</f>
        <v>0</v>
      </c>
      <c r="C1904" s="77">
        <f t="shared" si="32"/>
        <v>1903</v>
      </c>
    </row>
    <row r="1905" spans="1:3" x14ac:dyDescent="0.2">
      <c r="A1905" s="78">
        <v>47561</v>
      </c>
      <c r="B1905" s="77">
        <f>+PT!A1907</f>
        <v>0</v>
      </c>
      <c r="C1905" s="77">
        <f t="shared" si="32"/>
        <v>1904</v>
      </c>
    </row>
    <row r="1906" spans="1:3" x14ac:dyDescent="0.2">
      <c r="A1906" s="78">
        <v>47562</v>
      </c>
      <c r="B1906" s="77">
        <f>+PT!A1908</f>
        <v>0</v>
      </c>
      <c r="C1906" s="77">
        <f t="shared" si="32"/>
        <v>1905</v>
      </c>
    </row>
    <row r="1907" spans="1:3" x14ac:dyDescent="0.2">
      <c r="A1907" s="78">
        <v>47563</v>
      </c>
      <c r="B1907" s="77">
        <f>+PT!A1909</f>
        <v>0</v>
      </c>
      <c r="C1907" s="77">
        <f t="shared" si="32"/>
        <v>1906</v>
      </c>
    </row>
    <row r="1908" spans="1:3" x14ac:dyDescent="0.2">
      <c r="A1908" s="78">
        <v>47564</v>
      </c>
      <c r="B1908" s="77">
        <f>+PT!A1910</f>
        <v>0</v>
      </c>
      <c r="C1908" s="77">
        <f t="shared" si="32"/>
        <v>1907</v>
      </c>
    </row>
    <row r="1909" spans="1:3" x14ac:dyDescent="0.2">
      <c r="A1909" s="78">
        <v>47565</v>
      </c>
      <c r="B1909" s="77">
        <f>+PT!A1911</f>
        <v>0</v>
      </c>
      <c r="C1909" s="77">
        <f t="shared" si="32"/>
        <v>1908</v>
      </c>
    </row>
    <row r="1910" spans="1:3" x14ac:dyDescent="0.2">
      <c r="A1910" s="78">
        <v>47566</v>
      </c>
      <c r="B1910" s="77">
        <f>+PT!A1912</f>
        <v>0</v>
      </c>
      <c r="C1910" s="77">
        <f t="shared" si="32"/>
        <v>1909</v>
      </c>
    </row>
    <row r="1911" spans="1:3" x14ac:dyDescent="0.2">
      <c r="A1911" s="78">
        <v>47567</v>
      </c>
      <c r="B1911" s="77">
        <f>+PT!A1913</f>
        <v>0</v>
      </c>
      <c r="C1911" s="77">
        <f t="shared" si="32"/>
        <v>1910</v>
      </c>
    </row>
    <row r="1912" spans="1:3" x14ac:dyDescent="0.2">
      <c r="A1912" s="78">
        <v>47568</v>
      </c>
      <c r="B1912" s="77">
        <f>+PT!A1914</f>
        <v>0</v>
      </c>
      <c r="C1912" s="77">
        <f t="shared" si="32"/>
        <v>1911</v>
      </c>
    </row>
    <row r="1913" spans="1:3" x14ac:dyDescent="0.2">
      <c r="A1913" s="78">
        <v>47569</v>
      </c>
      <c r="B1913" s="77">
        <f>+PT!A1915</f>
        <v>0</v>
      </c>
      <c r="C1913" s="77">
        <f t="shared" si="32"/>
        <v>1912</v>
      </c>
    </row>
    <row r="1914" spans="1:3" x14ac:dyDescent="0.2">
      <c r="A1914" s="78">
        <v>47570</v>
      </c>
      <c r="B1914" s="77">
        <f>+PT!A1916</f>
        <v>0</v>
      </c>
      <c r="C1914" s="77">
        <f t="shared" si="32"/>
        <v>1913</v>
      </c>
    </row>
    <row r="1915" spans="1:3" x14ac:dyDescent="0.2">
      <c r="A1915" s="78">
        <v>47571</v>
      </c>
      <c r="B1915" s="77">
        <f>+PT!A1917</f>
        <v>0</v>
      </c>
      <c r="C1915" s="77">
        <f t="shared" si="32"/>
        <v>1914</v>
      </c>
    </row>
    <row r="1916" spans="1:3" x14ac:dyDescent="0.2">
      <c r="A1916" s="78">
        <v>47572</v>
      </c>
      <c r="B1916" s="77">
        <f>+PT!A1918</f>
        <v>0</v>
      </c>
      <c r="C1916" s="77">
        <f t="shared" si="32"/>
        <v>1915</v>
      </c>
    </row>
    <row r="1917" spans="1:3" x14ac:dyDescent="0.2">
      <c r="A1917" s="78">
        <v>47573</v>
      </c>
      <c r="B1917" s="77">
        <f>+PT!A1919</f>
        <v>0</v>
      </c>
      <c r="C1917" s="77">
        <f t="shared" si="32"/>
        <v>1916</v>
      </c>
    </row>
    <row r="1918" spans="1:3" x14ac:dyDescent="0.2">
      <c r="A1918" s="78">
        <v>47574</v>
      </c>
      <c r="B1918" s="77">
        <f>+PT!A1920</f>
        <v>0</v>
      </c>
      <c r="C1918" s="77">
        <f t="shared" si="32"/>
        <v>1917</v>
      </c>
    </row>
    <row r="1919" spans="1:3" x14ac:dyDescent="0.2">
      <c r="A1919" s="78">
        <v>47575</v>
      </c>
      <c r="B1919" s="77">
        <f>+PT!A1921</f>
        <v>0</v>
      </c>
      <c r="C1919" s="77">
        <f t="shared" si="32"/>
        <v>1918</v>
      </c>
    </row>
    <row r="1920" spans="1:3" x14ac:dyDescent="0.2">
      <c r="A1920" s="78">
        <v>47576</v>
      </c>
      <c r="B1920" s="77">
        <f>+PT!A1922</f>
        <v>0</v>
      </c>
      <c r="C1920" s="77">
        <f t="shared" si="32"/>
        <v>1919</v>
      </c>
    </row>
    <row r="1921" spans="1:3" x14ac:dyDescent="0.2">
      <c r="A1921" s="78">
        <v>47577</v>
      </c>
      <c r="B1921" s="77">
        <f>+PT!A1923</f>
        <v>0</v>
      </c>
      <c r="C1921" s="77">
        <f t="shared" si="32"/>
        <v>1920</v>
      </c>
    </row>
    <row r="1922" spans="1:3" x14ac:dyDescent="0.2">
      <c r="A1922" s="78">
        <v>47578</v>
      </c>
      <c r="B1922" s="77">
        <f>+PT!A1924</f>
        <v>0</v>
      </c>
      <c r="C1922" s="77">
        <f t="shared" si="32"/>
        <v>1921</v>
      </c>
    </row>
    <row r="1923" spans="1:3" x14ac:dyDescent="0.2">
      <c r="A1923" s="78">
        <v>47579</v>
      </c>
      <c r="B1923" s="77">
        <f>+PT!A1925</f>
        <v>0</v>
      </c>
      <c r="C1923" s="77">
        <f t="shared" si="32"/>
        <v>1922</v>
      </c>
    </row>
    <row r="1924" spans="1:3" x14ac:dyDescent="0.2">
      <c r="A1924" s="78">
        <v>47580</v>
      </c>
      <c r="B1924" s="77">
        <f>+PT!A1926</f>
        <v>0</v>
      </c>
      <c r="C1924" s="77">
        <f t="shared" ref="C1924:C1987" si="33">+C1923+1</f>
        <v>1923</v>
      </c>
    </row>
    <row r="1925" spans="1:3" x14ac:dyDescent="0.2">
      <c r="A1925" s="78">
        <v>47581</v>
      </c>
      <c r="B1925" s="77">
        <f>+PT!A1927</f>
        <v>0</v>
      </c>
      <c r="C1925" s="77">
        <f t="shared" si="33"/>
        <v>1924</v>
      </c>
    </row>
    <row r="1926" spans="1:3" x14ac:dyDescent="0.2">
      <c r="A1926" s="78">
        <v>47582</v>
      </c>
      <c r="B1926" s="77">
        <f>+PT!A1928</f>
        <v>0</v>
      </c>
      <c r="C1926" s="77">
        <f t="shared" si="33"/>
        <v>1925</v>
      </c>
    </row>
    <row r="1927" spans="1:3" x14ac:dyDescent="0.2">
      <c r="A1927" s="78">
        <v>47583</v>
      </c>
      <c r="B1927" s="77">
        <f>+PT!A1929</f>
        <v>0</v>
      </c>
      <c r="C1927" s="77">
        <f t="shared" si="33"/>
        <v>1926</v>
      </c>
    </row>
    <row r="1928" spans="1:3" x14ac:dyDescent="0.2">
      <c r="A1928" s="78">
        <v>47584</v>
      </c>
      <c r="B1928" s="77">
        <f>+PT!A1930</f>
        <v>0</v>
      </c>
      <c r="C1928" s="77">
        <f t="shared" si="33"/>
        <v>1927</v>
      </c>
    </row>
    <row r="1929" spans="1:3" x14ac:dyDescent="0.2">
      <c r="A1929" s="78">
        <v>47585</v>
      </c>
      <c r="B1929" s="77">
        <f>+PT!A1931</f>
        <v>0</v>
      </c>
      <c r="C1929" s="77">
        <f t="shared" si="33"/>
        <v>1928</v>
      </c>
    </row>
    <row r="1930" spans="1:3" x14ac:dyDescent="0.2">
      <c r="A1930" s="78">
        <v>47586</v>
      </c>
      <c r="B1930" s="77">
        <f>+PT!A1932</f>
        <v>0</v>
      </c>
      <c r="C1930" s="77">
        <f t="shared" si="33"/>
        <v>1929</v>
      </c>
    </row>
    <row r="1931" spans="1:3" x14ac:dyDescent="0.2">
      <c r="A1931" s="78">
        <v>47587</v>
      </c>
      <c r="B1931" s="77">
        <f>+PT!A1933</f>
        <v>0</v>
      </c>
      <c r="C1931" s="77">
        <f t="shared" si="33"/>
        <v>1930</v>
      </c>
    </row>
    <row r="1932" spans="1:3" x14ac:dyDescent="0.2">
      <c r="A1932" s="78">
        <v>47588</v>
      </c>
      <c r="B1932" s="77">
        <f>+PT!A1934</f>
        <v>0</v>
      </c>
      <c r="C1932" s="77">
        <f t="shared" si="33"/>
        <v>1931</v>
      </c>
    </row>
    <row r="1933" spans="1:3" x14ac:dyDescent="0.2">
      <c r="A1933" s="78">
        <v>47589</v>
      </c>
      <c r="B1933" s="77">
        <f>+PT!A1935</f>
        <v>0</v>
      </c>
      <c r="C1933" s="77">
        <f t="shared" si="33"/>
        <v>1932</v>
      </c>
    </row>
    <row r="1934" spans="1:3" x14ac:dyDescent="0.2">
      <c r="A1934" s="78">
        <v>47590</v>
      </c>
      <c r="B1934" s="77">
        <f>+PT!A1936</f>
        <v>0</v>
      </c>
      <c r="C1934" s="77">
        <f t="shared" si="33"/>
        <v>1933</v>
      </c>
    </row>
    <row r="1935" spans="1:3" x14ac:dyDescent="0.2">
      <c r="A1935" s="78">
        <v>47591</v>
      </c>
      <c r="B1935" s="77">
        <f>+PT!A1937</f>
        <v>0</v>
      </c>
      <c r="C1935" s="77">
        <f t="shared" si="33"/>
        <v>1934</v>
      </c>
    </row>
    <row r="1936" spans="1:3" x14ac:dyDescent="0.2">
      <c r="A1936" s="78">
        <v>47592</v>
      </c>
      <c r="B1936" s="77">
        <f>+PT!A1938</f>
        <v>0</v>
      </c>
      <c r="C1936" s="77">
        <f t="shared" si="33"/>
        <v>1935</v>
      </c>
    </row>
    <row r="1937" spans="1:3" x14ac:dyDescent="0.2">
      <c r="A1937" s="78">
        <v>47593</v>
      </c>
      <c r="B1937" s="77">
        <f>+PT!A1939</f>
        <v>0</v>
      </c>
      <c r="C1937" s="77">
        <f t="shared" si="33"/>
        <v>1936</v>
      </c>
    </row>
    <row r="1938" spans="1:3" x14ac:dyDescent="0.2">
      <c r="A1938" s="78">
        <v>47594</v>
      </c>
      <c r="B1938" s="77">
        <f>+PT!A1940</f>
        <v>0</v>
      </c>
      <c r="C1938" s="77">
        <f t="shared" si="33"/>
        <v>1937</v>
      </c>
    </row>
    <row r="1939" spans="1:3" x14ac:dyDescent="0.2">
      <c r="A1939" s="78">
        <v>47595</v>
      </c>
      <c r="B1939" s="77">
        <f>+PT!A1941</f>
        <v>0</v>
      </c>
      <c r="C1939" s="77">
        <f t="shared" si="33"/>
        <v>1938</v>
      </c>
    </row>
    <row r="1940" spans="1:3" x14ac:dyDescent="0.2">
      <c r="A1940" s="78">
        <v>47596</v>
      </c>
      <c r="B1940" s="77">
        <f>+PT!A1942</f>
        <v>0</v>
      </c>
      <c r="C1940" s="77">
        <f t="shared" si="33"/>
        <v>1939</v>
      </c>
    </row>
    <row r="1941" spans="1:3" x14ac:dyDescent="0.2">
      <c r="A1941" s="78">
        <v>47597</v>
      </c>
      <c r="B1941" s="77">
        <f>+PT!A1943</f>
        <v>0</v>
      </c>
      <c r="C1941" s="77">
        <f t="shared" si="33"/>
        <v>1940</v>
      </c>
    </row>
    <row r="1942" spans="1:3" x14ac:dyDescent="0.2">
      <c r="A1942" s="78">
        <v>47598</v>
      </c>
      <c r="B1942" s="77">
        <f>+PT!A1944</f>
        <v>0</v>
      </c>
      <c r="C1942" s="77">
        <f t="shared" si="33"/>
        <v>1941</v>
      </c>
    </row>
    <row r="1943" spans="1:3" x14ac:dyDescent="0.2">
      <c r="A1943" s="78">
        <v>47599</v>
      </c>
      <c r="B1943" s="77">
        <f>+PT!A1945</f>
        <v>0</v>
      </c>
      <c r="C1943" s="77">
        <f t="shared" si="33"/>
        <v>1942</v>
      </c>
    </row>
    <row r="1944" spans="1:3" x14ac:dyDescent="0.2">
      <c r="A1944" s="78">
        <v>47600</v>
      </c>
      <c r="B1944" s="77">
        <f>+PT!A1946</f>
        <v>0</v>
      </c>
      <c r="C1944" s="77">
        <f t="shared" si="33"/>
        <v>1943</v>
      </c>
    </row>
    <row r="1945" spans="1:3" x14ac:dyDescent="0.2">
      <c r="A1945" s="78">
        <v>47601</v>
      </c>
      <c r="B1945" s="77">
        <f>+PT!A1947</f>
        <v>0</v>
      </c>
      <c r="C1945" s="77">
        <f t="shared" si="33"/>
        <v>1944</v>
      </c>
    </row>
    <row r="1946" spans="1:3" x14ac:dyDescent="0.2">
      <c r="A1946" s="78">
        <v>47602</v>
      </c>
      <c r="B1946" s="77">
        <f>+PT!A1948</f>
        <v>0</v>
      </c>
      <c r="C1946" s="77">
        <f t="shared" si="33"/>
        <v>1945</v>
      </c>
    </row>
    <row r="1947" spans="1:3" x14ac:dyDescent="0.2">
      <c r="A1947" s="78">
        <v>47603</v>
      </c>
      <c r="B1947" s="77">
        <f>+PT!A1949</f>
        <v>0</v>
      </c>
      <c r="C1947" s="77">
        <f t="shared" si="33"/>
        <v>1946</v>
      </c>
    </row>
    <row r="1948" spans="1:3" x14ac:dyDescent="0.2">
      <c r="A1948" s="78">
        <v>47604</v>
      </c>
      <c r="B1948" s="77">
        <f>+PT!A1950</f>
        <v>0</v>
      </c>
      <c r="C1948" s="77">
        <f t="shared" si="33"/>
        <v>1947</v>
      </c>
    </row>
    <row r="1949" spans="1:3" x14ac:dyDescent="0.2">
      <c r="A1949" s="78">
        <v>47605</v>
      </c>
      <c r="B1949" s="77">
        <f>+PT!A1951</f>
        <v>0</v>
      </c>
      <c r="C1949" s="77">
        <f t="shared" si="33"/>
        <v>1948</v>
      </c>
    </row>
    <row r="1950" spans="1:3" x14ac:dyDescent="0.2">
      <c r="A1950" s="78">
        <v>47606</v>
      </c>
      <c r="B1950" s="77">
        <f>+PT!A1952</f>
        <v>0</v>
      </c>
      <c r="C1950" s="77">
        <f t="shared" si="33"/>
        <v>1949</v>
      </c>
    </row>
    <row r="1951" spans="1:3" x14ac:dyDescent="0.2">
      <c r="A1951" s="78">
        <v>47607</v>
      </c>
      <c r="B1951" s="77">
        <f>+PT!A1953</f>
        <v>0</v>
      </c>
      <c r="C1951" s="77">
        <f t="shared" si="33"/>
        <v>1950</v>
      </c>
    </row>
    <row r="1952" spans="1:3" x14ac:dyDescent="0.2">
      <c r="A1952" s="78">
        <v>47608</v>
      </c>
      <c r="B1952" s="77">
        <f>+PT!A1954</f>
        <v>0</v>
      </c>
      <c r="C1952" s="77">
        <f t="shared" si="33"/>
        <v>1951</v>
      </c>
    </row>
    <row r="1953" spans="1:3" x14ac:dyDescent="0.2">
      <c r="A1953" s="78">
        <v>47609</v>
      </c>
      <c r="B1953" s="77">
        <f>+PT!A1955</f>
        <v>0</v>
      </c>
      <c r="C1953" s="77">
        <f t="shared" si="33"/>
        <v>1952</v>
      </c>
    </row>
    <row r="1954" spans="1:3" x14ac:dyDescent="0.2">
      <c r="A1954" s="78">
        <v>47610</v>
      </c>
      <c r="B1954" s="77">
        <f>+PT!A1956</f>
        <v>0</v>
      </c>
      <c r="C1954" s="77">
        <f t="shared" si="33"/>
        <v>1953</v>
      </c>
    </row>
    <row r="1955" spans="1:3" x14ac:dyDescent="0.2">
      <c r="A1955" s="78">
        <v>47611</v>
      </c>
      <c r="B1955" s="77">
        <f>+PT!A1957</f>
        <v>0</v>
      </c>
      <c r="C1955" s="77">
        <f t="shared" si="33"/>
        <v>1954</v>
      </c>
    </row>
    <row r="1956" spans="1:3" x14ac:dyDescent="0.2">
      <c r="A1956" s="78">
        <v>47612</v>
      </c>
      <c r="B1956" s="77">
        <f>+PT!A1958</f>
        <v>0</v>
      </c>
      <c r="C1956" s="77">
        <f t="shared" si="33"/>
        <v>1955</v>
      </c>
    </row>
    <row r="1957" spans="1:3" x14ac:dyDescent="0.2">
      <c r="A1957" s="78">
        <v>47613</v>
      </c>
      <c r="B1957" s="77">
        <f>+PT!A1959</f>
        <v>0</v>
      </c>
      <c r="C1957" s="77">
        <f t="shared" si="33"/>
        <v>1956</v>
      </c>
    </row>
    <row r="1958" spans="1:3" x14ac:dyDescent="0.2">
      <c r="A1958" s="78">
        <v>47614</v>
      </c>
      <c r="B1958" s="77">
        <f>+PT!A1960</f>
        <v>0</v>
      </c>
      <c r="C1958" s="77">
        <f t="shared" si="33"/>
        <v>1957</v>
      </c>
    </row>
    <row r="1959" spans="1:3" x14ac:dyDescent="0.2">
      <c r="A1959" s="78">
        <v>47615</v>
      </c>
      <c r="B1959" s="77">
        <f>+PT!A1961</f>
        <v>0</v>
      </c>
      <c r="C1959" s="77">
        <f t="shared" si="33"/>
        <v>1958</v>
      </c>
    </row>
    <row r="1960" spans="1:3" x14ac:dyDescent="0.2">
      <c r="A1960" s="78">
        <v>47616</v>
      </c>
      <c r="B1960" s="77">
        <f>+PT!A1962</f>
        <v>0</v>
      </c>
      <c r="C1960" s="77">
        <f t="shared" si="33"/>
        <v>1959</v>
      </c>
    </row>
    <row r="1961" spans="1:3" x14ac:dyDescent="0.2">
      <c r="A1961" s="78">
        <v>47617</v>
      </c>
      <c r="B1961" s="77">
        <f>+PT!A1963</f>
        <v>0</v>
      </c>
      <c r="C1961" s="77">
        <f t="shared" si="33"/>
        <v>1960</v>
      </c>
    </row>
    <row r="1962" spans="1:3" x14ac:dyDescent="0.2">
      <c r="A1962" s="78">
        <v>47618</v>
      </c>
      <c r="B1962" s="77">
        <f>+PT!A1964</f>
        <v>0</v>
      </c>
      <c r="C1962" s="77">
        <f t="shared" si="33"/>
        <v>1961</v>
      </c>
    </row>
    <row r="1963" spans="1:3" x14ac:dyDescent="0.2">
      <c r="A1963" s="78">
        <v>47619</v>
      </c>
      <c r="B1963" s="77">
        <f>+PT!A1965</f>
        <v>0</v>
      </c>
      <c r="C1963" s="77">
        <f t="shared" si="33"/>
        <v>1962</v>
      </c>
    </row>
    <row r="1964" spans="1:3" x14ac:dyDescent="0.2">
      <c r="A1964" s="78">
        <v>47620</v>
      </c>
      <c r="B1964" s="77">
        <f>+PT!A1966</f>
        <v>0</v>
      </c>
      <c r="C1964" s="77">
        <f t="shared" si="33"/>
        <v>1963</v>
      </c>
    </row>
    <row r="1965" spans="1:3" x14ac:dyDescent="0.2">
      <c r="A1965" s="78">
        <v>47621</v>
      </c>
      <c r="B1965" s="77">
        <f>+PT!A1967</f>
        <v>0</v>
      </c>
      <c r="C1965" s="77">
        <f t="shared" si="33"/>
        <v>1964</v>
      </c>
    </row>
    <row r="1966" spans="1:3" x14ac:dyDescent="0.2">
      <c r="A1966" s="78">
        <v>47622</v>
      </c>
      <c r="B1966" s="77">
        <f>+PT!A1968</f>
        <v>0</v>
      </c>
      <c r="C1966" s="77">
        <f t="shared" si="33"/>
        <v>1965</v>
      </c>
    </row>
    <row r="1967" spans="1:3" x14ac:dyDescent="0.2">
      <c r="A1967" s="78">
        <v>47623</v>
      </c>
      <c r="B1967" s="77">
        <f>+PT!A1969</f>
        <v>0</v>
      </c>
      <c r="C1967" s="77">
        <f t="shared" si="33"/>
        <v>1966</v>
      </c>
    </row>
    <row r="1968" spans="1:3" x14ac:dyDescent="0.2">
      <c r="A1968" s="78">
        <v>47624</v>
      </c>
      <c r="B1968" s="77">
        <f>+PT!A1970</f>
        <v>0</v>
      </c>
      <c r="C1968" s="77">
        <f t="shared" si="33"/>
        <v>1967</v>
      </c>
    </row>
    <row r="1969" spans="1:3" x14ac:dyDescent="0.2">
      <c r="A1969" s="78">
        <v>47625</v>
      </c>
      <c r="B1969" s="77">
        <f>+PT!A1971</f>
        <v>0</v>
      </c>
      <c r="C1969" s="77">
        <f t="shared" si="33"/>
        <v>1968</v>
      </c>
    </row>
    <row r="1970" spans="1:3" x14ac:dyDescent="0.2">
      <c r="A1970" s="78">
        <v>47626</v>
      </c>
      <c r="B1970" s="77">
        <f>+PT!A1972</f>
        <v>0</v>
      </c>
      <c r="C1970" s="77">
        <f t="shared" si="33"/>
        <v>1969</v>
      </c>
    </row>
    <row r="1971" spans="1:3" x14ac:dyDescent="0.2">
      <c r="A1971" s="78">
        <v>47627</v>
      </c>
      <c r="B1971" s="77">
        <f>+PT!A1973</f>
        <v>0</v>
      </c>
      <c r="C1971" s="77">
        <f t="shared" si="33"/>
        <v>1970</v>
      </c>
    </row>
    <row r="1972" spans="1:3" x14ac:dyDescent="0.2">
      <c r="A1972" s="78">
        <v>47628</v>
      </c>
      <c r="B1972" s="77">
        <f>+PT!A1974</f>
        <v>0</v>
      </c>
      <c r="C1972" s="77">
        <f t="shared" si="33"/>
        <v>1971</v>
      </c>
    </row>
    <row r="1973" spans="1:3" x14ac:dyDescent="0.2">
      <c r="A1973" s="78">
        <v>47629</v>
      </c>
      <c r="B1973" s="77">
        <f>+PT!A1975</f>
        <v>0</v>
      </c>
      <c r="C1973" s="77">
        <f t="shared" si="33"/>
        <v>1972</v>
      </c>
    </row>
    <row r="1974" spans="1:3" x14ac:dyDescent="0.2">
      <c r="A1974" s="78">
        <v>47630</v>
      </c>
      <c r="B1974" s="77">
        <f>+PT!A1976</f>
        <v>0</v>
      </c>
      <c r="C1974" s="77">
        <f t="shared" si="33"/>
        <v>1973</v>
      </c>
    </row>
    <row r="1975" spans="1:3" x14ac:dyDescent="0.2">
      <c r="A1975" s="78">
        <v>47631</v>
      </c>
      <c r="B1975" s="77">
        <f>+PT!A1977</f>
        <v>0</v>
      </c>
      <c r="C1975" s="77">
        <f t="shared" si="33"/>
        <v>1974</v>
      </c>
    </row>
    <row r="1976" spans="1:3" x14ac:dyDescent="0.2">
      <c r="A1976" s="78">
        <v>47632</v>
      </c>
      <c r="B1976" s="77">
        <f>+PT!A1978</f>
        <v>0</v>
      </c>
      <c r="C1976" s="77">
        <f t="shared" si="33"/>
        <v>1975</v>
      </c>
    </row>
    <row r="1977" spans="1:3" x14ac:dyDescent="0.2">
      <c r="A1977" s="78">
        <v>47633</v>
      </c>
      <c r="B1977" s="77">
        <f>+PT!A1979</f>
        <v>0</v>
      </c>
      <c r="C1977" s="77">
        <f t="shared" si="33"/>
        <v>1976</v>
      </c>
    </row>
    <row r="1978" spans="1:3" x14ac:dyDescent="0.2">
      <c r="A1978" s="78">
        <v>47634</v>
      </c>
      <c r="B1978" s="77">
        <f>+PT!A1980</f>
        <v>0</v>
      </c>
      <c r="C1978" s="77">
        <f t="shared" si="33"/>
        <v>1977</v>
      </c>
    </row>
    <row r="1979" spans="1:3" x14ac:dyDescent="0.2">
      <c r="A1979" s="78">
        <v>47635</v>
      </c>
      <c r="B1979" s="77">
        <f>+PT!A1981</f>
        <v>0</v>
      </c>
      <c r="C1979" s="77">
        <f t="shared" si="33"/>
        <v>1978</v>
      </c>
    </row>
    <row r="1980" spans="1:3" x14ac:dyDescent="0.2">
      <c r="A1980" s="78">
        <v>47636</v>
      </c>
      <c r="B1980" s="77">
        <f>+PT!A1982</f>
        <v>0</v>
      </c>
      <c r="C1980" s="77">
        <f t="shared" si="33"/>
        <v>1979</v>
      </c>
    </row>
    <row r="1981" spans="1:3" x14ac:dyDescent="0.2">
      <c r="A1981" s="78">
        <v>47637</v>
      </c>
      <c r="B1981" s="77">
        <f>+PT!A1983</f>
        <v>0</v>
      </c>
      <c r="C1981" s="77">
        <f t="shared" si="33"/>
        <v>1980</v>
      </c>
    </row>
    <row r="1982" spans="1:3" x14ac:dyDescent="0.2">
      <c r="A1982" s="78">
        <v>47638</v>
      </c>
      <c r="B1982" s="77">
        <f>+PT!A1984</f>
        <v>0</v>
      </c>
      <c r="C1982" s="77">
        <f t="shared" si="33"/>
        <v>1981</v>
      </c>
    </row>
    <row r="1983" spans="1:3" x14ac:dyDescent="0.2">
      <c r="A1983" s="78">
        <v>47639</v>
      </c>
      <c r="B1983" s="77">
        <f>+PT!A1985</f>
        <v>0</v>
      </c>
      <c r="C1983" s="77">
        <f t="shared" si="33"/>
        <v>1982</v>
      </c>
    </row>
    <row r="1984" spans="1:3" x14ac:dyDescent="0.2">
      <c r="A1984" s="78">
        <v>47640</v>
      </c>
      <c r="B1984" s="77">
        <f>+PT!A1986</f>
        <v>0</v>
      </c>
      <c r="C1984" s="77">
        <f t="shared" si="33"/>
        <v>1983</v>
      </c>
    </row>
    <row r="1985" spans="1:3" x14ac:dyDescent="0.2">
      <c r="A1985" s="78">
        <v>47641</v>
      </c>
      <c r="B1985" s="77">
        <f>+PT!A1987</f>
        <v>0</v>
      </c>
      <c r="C1985" s="77">
        <f t="shared" si="33"/>
        <v>1984</v>
      </c>
    </row>
    <row r="1986" spans="1:3" x14ac:dyDescent="0.2">
      <c r="A1986" s="78">
        <v>47642</v>
      </c>
      <c r="B1986" s="77">
        <f>+PT!A1988</f>
        <v>0</v>
      </c>
      <c r="C1986" s="77">
        <f t="shared" si="33"/>
        <v>1985</v>
      </c>
    </row>
    <row r="1987" spans="1:3" x14ac:dyDescent="0.2">
      <c r="A1987" s="78">
        <v>47643</v>
      </c>
      <c r="B1987" s="77">
        <f>+PT!A1989</f>
        <v>0</v>
      </c>
      <c r="C1987" s="77">
        <f t="shared" si="33"/>
        <v>1986</v>
      </c>
    </row>
    <row r="1988" spans="1:3" x14ac:dyDescent="0.2">
      <c r="A1988" s="78">
        <v>47644</v>
      </c>
      <c r="B1988" s="77">
        <f>+PT!A1990</f>
        <v>0</v>
      </c>
      <c r="C1988" s="77">
        <f t="shared" ref="C1988:C2051" si="34">+C1987+1</f>
        <v>1987</v>
      </c>
    </row>
    <row r="1989" spans="1:3" x14ac:dyDescent="0.2">
      <c r="A1989" s="78">
        <v>47645</v>
      </c>
      <c r="B1989" s="77">
        <f>+PT!A1991</f>
        <v>0</v>
      </c>
      <c r="C1989" s="77">
        <f t="shared" si="34"/>
        <v>1988</v>
      </c>
    </row>
    <row r="1990" spans="1:3" x14ac:dyDescent="0.2">
      <c r="A1990" s="78">
        <v>47646</v>
      </c>
      <c r="B1990" s="77">
        <f>+PT!A1992</f>
        <v>0</v>
      </c>
      <c r="C1990" s="77">
        <f t="shared" si="34"/>
        <v>1989</v>
      </c>
    </row>
    <row r="1991" spans="1:3" x14ac:dyDescent="0.2">
      <c r="A1991" s="78">
        <v>47647</v>
      </c>
      <c r="B1991" s="77">
        <f>+PT!A1993</f>
        <v>0</v>
      </c>
      <c r="C1991" s="77">
        <f t="shared" si="34"/>
        <v>1990</v>
      </c>
    </row>
    <row r="1992" spans="1:3" x14ac:dyDescent="0.2">
      <c r="A1992" s="78">
        <v>47648</v>
      </c>
      <c r="B1992" s="77">
        <f>+PT!A1994</f>
        <v>0</v>
      </c>
      <c r="C1992" s="77">
        <f t="shared" si="34"/>
        <v>1991</v>
      </c>
    </row>
    <row r="1993" spans="1:3" x14ac:dyDescent="0.2">
      <c r="A1993" s="78">
        <v>47649</v>
      </c>
      <c r="B1993" s="77">
        <f>+PT!A1995</f>
        <v>0</v>
      </c>
      <c r="C1993" s="77">
        <f t="shared" si="34"/>
        <v>1992</v>
      </c>
    </row>
    <row r="1994" spans="1:3" x14ac:dyDescent="0.2">
      <c r="A1994" s="78">
        <v>47650</v>
      </c>
      <c r="B1994" s="77">
        <f>+PT!A1996</f>
        <v>0</v>
      </c>
      <c r="C1994" s="77">
        <f t="shared" si="34"/>
        <v>1993</v>
      </c>
    </row>
    <row r="1995" spans="1:3" x14ac:dyDescent="0.2">
      <c r="A1995" s="78">
        <v>47651</v>
      </c>
      <c r="B1995" s="77">
        <f>+PT!A1997</f>
        <v>0</v>
      </c>
      <c r="C1995" s="77">
        <f t="shared" si="34"/>
        <v>1994</v>
      </c>
    </row>
    <row r="1996" spans="1:3" x14ac:dyDescent="0.2">
      <c r="A1996" s="78">
        <v>47652</v>
      </c>
      <c r="B1996" s="77">
        <f>+PT!A1998</f>
        <v>0</v>
      </c>
      <c r="C1996" s="77">
        <f t="shared" si="34"/>
        <v>1995</v>
      </c>
    </row>
    <row r="1997" spans="1:3" x14ac:dyDescent="0.2">
      <c r="A1997" s="78">
        <v>47653</v>
      </c>
      <c r="B1997" s="77">
        <f>+PT!A1999</f>
        <v>0</v>
      </c>
      <c r="C1997" s="77">
        <f t="shared" si="34"/>
        <v>1996</v>
      </c>
    </row>
    <row r="1998" spans="1:3" x14ac:dyDescent="0.2">
      <c r="A1998" s="78">
        <v>47654</v>
      </c>
      <c r="B1998" s="77">
        <f>+PT!A2000</f>
        <v>0</v>
      </c>
      <c r="C1998" s="77">
        <f t="shared" si="34"/>
        <v>1997</v>
      </c>
    </row>
    <row r="1999" spans="1:3" x14ac:dyDescent="0.2">
      <c r="A1999" s="78">
        <v>47655</v>
      </c>
      <c r="B1999" s="77">
        <f>+PT!A2001</f>
        <v>0</v>
      </c>
      <c r="C1999" s="77">
        <f t="shared" si="34"/>
        <v>1998</v>
      </c>
    </row>
    <row r="2000" spans="1:3" x14ac:dyDescent="0.2">
      <c r="A2000" s="78">
        <v>47656</v>
      </c>
      <c r="B2000" s="77">
        <f>+PT!A2002</f>
        <v>0</v>
      </c>
      <c r="C2000" s="77">
        <f t="shared" si="34"/>
        <v>1999</v>
      </c>
    </row>
    <row r="2001" spans="1:3" x14ac:dyDescent="0.2">
      <c r="A2001" s="78">
        <v>47657</v>
      </c>
      <c r="B2001" s="77">
        <f>+PT!A2003</f>
        <v>0</v>
      </c>
      <c r="C2001" s="77">
        <f t="shared" si="34"/>
        <v>2000</v>
      </c>
    </row>
    <row r="2002" spans="1:3" x14ac:dyDescent="0.2">
      <c r="A2002" s="78">
        <v>47658</v>
      </c>
      <c r="B2002" s="77">
        <f>+PT!A2004</f>
        <v>0</v>
      </c>
      <c r="C2002" s="77">
        <f t="shared" si="34"/>
        <v>2001</v>
      </c>
    </row>
    <row r="2003" spans="1:3" x14ac:dyDescent="0.2">
      <c r="A2003" s="78">
        <v>47659</v>
      </c>
      <c r="B2003" s="77">
        <f>+PT!A2005</f>
        <v>0</v>
      </c>
      <c r="C2003" s="77">
        <f t="shared" si="34"/>
        <v>2002</v>
      </c>
    </row>
    <row r="2004" spans="1:3" x14ac:dyDescent="0.2">
      <c r="A2004" s="78">
        <v>47660</v>
      </c>
      <c r="B2004" s="77">
        <f>+PT!A2006</f>
        <v>0</v>
      </c>
      <c r="C2004" s="77">
        <f t="shared" si="34"/>
        <v>2003</v>
      </c>
    </row>
    <row r="2005" spans="1:3" x14ac:dyDescent="0.2">
      <c r="A2005" s="78">
        <v>47661</v>
      </c>
      <c r="B2005" s="77">
        <f>+PT!A2007</f>
        <v>0</v>
      </c>
      <c r="C2005" s="77">
        <f t="shared" si="34"/>
        <v>2004</v>
      </c>
    </row>
    <row r="2006" spans="1:3" x14ac:dyDescent="0.2">
      <c r="A2006" s="78">
        <v>47662</v>
      </c>
      <c r="B2006" s="77">
        <f>+PT!A2008</f>
        <v>0</v>
      </c>
      <c r="C2006" s="77">
        <f t="shared" si="34"/>
        <v>2005</v>
      </c>
    </row>
    <row r="2007" spans="1:3" x14ac:dyDescent="0.2">
      <c r="A2007" s="78">
        <v>47663</v>
      </c>
      <c r="B2007" s="77">
        <f>+PT!A2009</f>
        <v>0</v>
      </c>
      <c r="C2007" s="77">
        <f t="shared" si="34"/>
        <v>2006</v>
      </c>
    </row>
    <row r="2008" spans="1:3" x14ac:dyDescent="0.2">
      <c r="A2008" s="78">
        <v>47664</v>
      </c>
      <c r="B2008" s="77">
        <f>+PT!A2010</f>
        <v>0</v>
      </c>
      <c r="C2008" s="77">
        <f t="shared" si="34"/>
        <v>2007</v>
      </c>
    </row>
    <row r="2009" spans="1:3" x14ac:dyDescent="0.2">
      <c r="A2009" s="78">
        <v>47665</v>
      </c>
      <c r="B2009" s="77">
        <f>+PT!A2011</f>
        <v>0</v>
      </c>
      <c r="C2009" s="77">
        <f t="shared" si="34"/>
        <v>2008</v>
      </c>
    </row>
    <row r="2010" spans="1:3" x14ac:dyDescent="0.2">
      <c r="A2010" s="78">
        <v>47666</v>
      </c>
      <c r="B2010" s="77">
        <f>+PT!A2012</f>
        <v>0</v>
      </c>
      <c r="C2010" s="77">
        <f t="shared" si="34"/>
        <v>2009</v>
      </c>
    </row>
    <row r="2011" spans="1:3" x14ac:dyDescent="0.2">
      <c r="A2011" s="78">
        <v>47667</v>
      </c>
      <c r="B2011" s="77">
        <f>+PT!A2013</f>
        <v>0</v>
      </c>
      <c r="C2011" s="77">
        <f t="shared" si="34"/>
        <v>2010</v>
      </c>
    </row>
    <row r="2012" spans="1:3" x14ac:dyDescent="0.2">
      <c r="A2012" s="78">
        <v>47668</v>
      </c>
      <c r="B2012" s="77">
        <f>+PT!A2014</f>
        <v>0</v>
      </c>
      <c r="C2012" s="77">
        <f t="shared" si="34"/>
        <v>2011</v>
      </c>
    </row>
    <row r="2013" spans="1:3" x14ac:dyDescent="0.2">
      <c r="A2013" s="78">
        <v>47669</v>
      </c>
      <c r="B2013" s="77">
        <f>+PT!A2015</f>
        <v>0</v>
      </c>
      <c r="C2013" s="77">
        <f t="shared" si="34"/>
        <v>2012</v>
      </c>
    </row>
    <row r="2014" spans="1:3" x14ac:dyDescent="0.2">
      <c r="A2014" s="78">
        <v>47670</v>
      </c>
      <c r="B2014" s="77">
        <f>+PT!A2016</f>
        <v>0</v>
      </c>
      <c r="C2014" s="77">
        <f t="shared" si="34"/>
        <v>2013</v>
      </c>
    </row>
    <row r="2015" spans="1:3" x14ac:dyDescent="0.2">
      <c r="A2015" s="78">
        <v>47671</v>
      </c>
      <c r="B2015" s="77">
        <f>+PT!A2017</f>
        <v>0</v>
      </c>
      <c r="C2015" s="77">
        <f t="shared" si="34"/>
        <v>2014</v>
      </c>
    </row>
    <row r="2016" spans="1:3" x14ac:dyDescent="0.2">
      <c r="A2016" s="78">
        <v>47672</v>
      </c>
      <c r="B2016" s="77">
        <f>+PT!A2018</f>
        <v>0</v>
      </c>
      <c r="C2016" s="77">
        <f t="shared" si="34"/>
        <v>2015</v>
      </c>
    </row>
    <row r="2017" spans="1:3" x14ac:dyDescent="0.2">
      <c r="A2017" s="78">
        <v>47673</v>
      </c>
      <c r="B2017" s="77">
        <f>+PT!A2019</f>
        <v>0</v>
      </c>
      <c r="C2017" s="77">
        <f t="shared" si="34"/>
        <v>2016</v>
      </c>
    </row>
    <row r="2018" spans="1:3" x14ac:dyDescent="0.2">
      <c r="A2018" s="78">
        <v>47674</v>
      </c>
      <c r="B2018" s="77">
        <f>+PT!A2020</f>
        <v>0</v>
      </c>
      <c r="C2018" s="77">
        <f t="shared" si="34"/>
        <v>2017</v>
      </c>
    </row>
    <row r="2019" spans="1:3" x14ac:dyDescent="0.2">
      <c r="A2019" s="78">
        <v>47675</v>
      </c>
      <c r="B2019" s="77">
        <f>+PT!A2021</f>
        <v>0</v>
      </c>
      <c r="C2019" s="77">
        <f t="shared" si="34"/>
        <v>2018</v>
      </c>
    </row>
    <row r="2020" spans="1:3" x14ac:dyDescent="0.2">
      <c r="A2020" s="78">
        <v>47676</v>
      </c>
      <c r="B2020" s="77">
        <f>+PT!A2022</f>
        <v>0</v>
      </c>
      <c r="C2020" s="77">
        <f t="shared" si="34"/>
        <v>2019</v>
      </c>
    </row>
    <row r="2021" spans="1:3" x14ac:dyDescent="0.2">
      <c r="A2021" s="78">
        <v>47677</v>
      </c>
      <c r="B2021" s="77">
        <f>+PT!A2023</f>
        <v>0</v>
      </c>
      <c r="C2021" s="77">
        <f t="shared" si="34"/>
        <v>2020</v>
      </c>
    </row>
    <row r="2022" spans="1:3" x14ac:dyDescent="0.2">
      <c r="A2022" s="78">
        <v>47678</v>
      </c>
      <c r="B2022" s="77">
        <f>+PT!A2024</f>
        <v>0</v>
      </c>
      <c r="C2022" s="77">
        <f t="shared" si="34"/>
        <v>2021</v>
      </c>
    </row>
    <row r="2023" spans="1:3" x14ac:dyDescent="0.2">
      <c r="A2023" s="78">
        <v>47679</v>
      </c>
      <c r="B2023" s="77">
        <f>+PT!A2025</f>
        <v>0</v>
      </c>
      <c r="C2023" s="77">
        <f t="shared" si="34"/>
        <v>2022</v>
      </c>
    </row>
    <row r="2024" spans="1:3" x14ac:dyDescent="0.2">
      <c r="A2024" s="78">
        <v>47680</v>
      </c>
      <c r="B2024" s="77">
        <f>+PT!A2026</f>
        <v>0</v>
      </c>
      <c r="C2024" s="77">
        <f t="shared" si="34"/>
        <v>2023</v>
      </c>
    </row>
    <row r="2025" spans="1:3" x14ac:dyDescent="0.2">
      <c r="A2025" s="78">
        <v>47681</v>
      </c>
      <c r="B2025" s="77">
        <f>+PT!A2027</f>
        <v>0</v>
      </c>
      <c r="C2025" s="77">
        <f t="shared" si="34"/>
        <v>2024</v>
      </c>
    </row>
    <row r="2026" spans="1:3" x14ac:dyDescent="0.2">
      <c r="A2026" s="78">
        <v>47682</v>
      </c>
      <c r="B2026" s="77">
        <f>+PT!A2028</f>
        <v>0</v>
      </c>
      <c r="C2026" s="77">
        <f t="shared" si="34"/>
        <v>2025</v>
      </c>
    </row>
    <row r="2027" spans="1:3" x14ac:dyDescent="0.2">
      <c r="A2027" s="78">
        <v>47683</v>
      </c>
      <c r="B2027" s="77">
        <f>+PT!A2029</f>
        <v>0</v>
      </c>
      <c r="C2027" s="77">
        <f t="shared" si="34"/>
        <v>2026</v>
      </c>
    </row>
    <row r="2028" spans="1:3" x14ac:dyDescent="0.2">
      <c r="A2028" s="78">
        <v>47684</v>
      </c>
      <c r="B2028" s="77">
        <f>+PT!A2030</f>
        <v>0</v>
      </c>
      <c r="C2028" s="77">
        <f t="shared" si="34"/>
        <v>2027</v>
      </c>
    </row>
    <row r="2029" spans="1:3" x14ac:dyDescent="0.2">
      <c r="A2029" s="78">
        <v>47685</v>
      </c>
      <c r="B2029" s="77">
        <f>+PT!A2031</f>
        <v>0</v>
      </c>
      <c r="C2029" s="77">
        <f t="shared" si="34"/>
        <v>2028</v>
      </c>
    </row>
    <row r="2030" spans="1:3" x14ac:dyDescent="0.2">
      <c r="A2030" s="78">
        <v>47686</v>
      </c>
      <c r="B2030" s="77">
        <f>+PT!A2032</f>
        <v>0</v>
      </c>
      <c r="C2030" s="77">
        <f t="shared" si="34"/>
        <v>2029</v>
      </c>
    </row>
    <row r="2031" spans="1:3" x14ac:dyDescent="0.2">
      <c r="A2031" s="78">
        <v>47687</v>
      </c>
      <c r="B2031" s="77">
        <f>+PT!A2033</f>
        <v>0</v>
      </c>
      <c r="C2031" s="77">
        <f t="shared" si="34"/>
        <v>2030</v>
      </c>
    </row>
    <row r="2032" spans="1:3" x14ac:dyDescent="0.2">
      <c r="A2032" s="78">
        <v>47688</v>
      </c>
      <c r="B2032" s="77">
        <f>+PT!A2034</f>
        <v>0</v>
      </c>
      <c r="C2032" s="77">
        <f t="shared" si="34"/>
        <v>2031</v>
      </c>
    </row>
    <row r="2033" spans="1:3" x14ac:dyDescent="0.2">
      <c r="A2033" s="78">
        <v>47689</v>
      </c>
      <c r="B2033" s="77">
        <f>+PT!A2035</f>
        <v>0</v>
      </c>
      <c r="C2033" s="77">
        <f t="shared" si="34"/>
        <v>2032</v>
      </c>
    </row>
    <row r="2034" spans="1:3" x14ac:dyDescent="0.2">
      <c r="A2034" s="78">
        <v>47690</v>
      </c>
      <c r="B2034" s="77">
        <f>+PT!A2036</f>
        <v>0</v>
      </c>
      <c r="C2034" s="77">
        <f t="shared" si="34"/>
        <v>2033</v>
      </c>
    </row>
    <row r="2035" spans="1:3" x14ac:dyDescent="0.2">
      <c r="A2035" s="78">
        <v>47691</v>
      </c>
      <c r="B2035" s="77">
        <f>+PT!A2037</f>
        <v>0</v>
      </c>
      <c r="C2035" s="77">
        <f t="shared" si="34"/>
        <v>2034</v>
      </c>
    </row>
    <row r="2036" spans="1:3" x14ac:dyDescent="0.2">
      <c r="A2036" s="78">
        <v>47692</v>
      </c>
      <c r="B2036" s="77">
        <f>+PT!A2038</f>
        <v>0</v>
      </c>
      <c r="C2036" s="77">
        <f t="shared" si="34"/>
        <v>2035</v>
      </c>
    </row>
    <row r="2037" spans="1:3" x14ac:dyDescent="0.2">
      <c r="A2037" s="78">
        <v>47693</v>
      </c>
      <c r="B2037" s="77">
        <f>+PT!A2039</f>
        <v>0</v>
      </c>
      <c r="C2037" s="77">
        <f t="shared" si="34"/>
        <v>2036</v>
      </c>
    </row>
    <row r="2038" spans="1:3" x14ac:dyDescent="0.2">
      <c r="A2038" s="78">
        <v>47694</v>
      </c>
      <c r="B2038" s="77">
        <f>+PT!A2040</f>
        <v>0</v>
      </c>
      <c r="C2038" s="77">
        <f t="shared" si="34"/>
        <v>2037</v>
      </c>
    </row>
    <row r="2039" spans="1:3" x14ac:dyDescent="0.2">
      <c r="A2039" s="78">
        <v>47695</v>
      </c>
      <c r="B2039" s="77">
        <f>+PT!A2041</f>
        <v>0</v>
      </c>
      <c r="C2039" s="77">
        <f t="shared" si="34"/>
        <v>2038</v>
      </c>
    </row>
    <row r="2040" spans="1:3" x14ac:dyDescent="0.2">
      <c r="A2040" s="78">
        <v>47696</v>
      </c>
      <c r="B2040" s="77">
        <f>+PT!A2042</f>
        <v>0</v>
      </c>
      <c r="C2040" s="77">
        <f t="shared" si="34"/>
        <v>2039</v>
      </c>
    </row>
    <row r="2041" spans="1:3" x14ac:dyDescent="0.2">
      <c r="A2041" s="78">
        <v>47697</v>
      </c>
      <c r="B2041" s="77">
        <f>+PT!A2043</f>
        <v>0</v>
      </c>
      <c r="C2041" s="77">
        <f t="shared" si="34"/>
        <v>2040</v>
      </c>
    </row>
    <row r="2042" spans="1:3" x14ac:dyDescent="0.2">
      <c r="A2042" s="78">
        <v>47698</v>
      </c>
      <c r="B2042" s="77">
        <f>+PT!A2044</f>
        <v>0</v>
      </c>
      <c r="C2042" s="77">
        <f t="shared" si="34"/>
        <v>2041</v>
      </c>
    </row>
    <row r="2043" spans="1:3" x14ac:dyDescent="0.2">
      <c r="A2043" s="78">
        <v>47699</v>
      </c>
      <c r="B2043" s="77">
        <f>+PT!A2045</f>
        <v>0</v>
      </c>
      <c r="C2043" s="77">
        <f t="shared" si="34"/>
        <v>2042</v>
      </c>
    </row>
    <row r="2044" spans="1:3" x14ac:dyDescent="0.2">
      <c r="A2044" s="78">
        <v>47700</v>
      </c>
      <c r="B2044" s="77">
        <f>+PT!A2046</f>
        <v>0</v>
      </c>
      <c r="C2044" s="77">
        <f t="shared" si="34"/>
        <v>2043</v>
      </c>
    </row>
    <row r="2045" spans="1:3" x14ac:dyDescent="0.2">
      <c r="A2045" s="78">
        <v>47701</v>
      </c>
      <c r="B2045" s="77">
        <f>+PT!A2047</f>
        <v>0</v>
      </c>
      <c r="C2045" s="77">
        <f t="shared" si="34"/>
        <v>2044</v>
      </c>
    </row>
    <row r="2046" spans="1:3" x14ac:dyDescent="0.2">
      <c r="A2046" s="78">
        <v>47702</v>
      </c>
      <c r="B2046" s="77">
        <f>+PT!A2048</f>
        <v>0</v>
      </c>
      <c r="C2046" s="77">
        <f t="shared" si="34"/>
        <v>2045</v>
      </c>
    </row>
    <row r="2047" spans="1:3" x14ac:dyDescent="0.2">
      <c r="A2047" s="78">
        <v>47703</v>
      </c>
      <c r="B2047" s="77">
        <f>+PT!A2049</f>
        <v>0</v>
      </c>
      <c r="C2047" s="77">
        <f t="shared" si="34"/>
        <v>2046</v>
      </c>
    </row>
    <row r="2048" spans="1:3" x14ac:dyDescent="0.2">
      <c r="A2048" s="78">
        <v>47704</v>
      </c>
      <c r="B2048" s="77">
        <f>+PT!A2050</f>
        <v>0</v>
      </c>
      <c r="C2048" s="77">
        <f t="shared" si="34"/>
        <v>2047</v>
      </c>
    </row>
    <row r="2049" spans="1:3" x14ac:dyDescent="0.2">
      <c r="A2049" s="78">
        <v>47705</v>
      </c>
      <c r="B2049" s="77">
        <f>+PT!A2051</f>
        <v>0</v>
      </c>
      <c r="C2049" s="77">
        <f t="shared" si="34"/>
        <v>2048</v>
      </c>
    </row>
    <row r="2050" spans="1:3" x14ac:dyDescent="0.2">
      <c r="A2050" s="78">
        <v>47706</v>
      </c>
      <c r="B2050" s="77">
        <f>+PT!A2052</f>
        <v>0</v>
      </c>
      <c r="C2050" s="77">
        <f t="shared" si="34"/>
        <v>2049</v>
      </c>
    </row>
    <row r="2051" spans="1:3" x14ac:dyDescent="0.2">
      <c r="A2051" s="78">
        <v>47707</v>
      </c>
      <c r="B2051" s="77">
        <f>+PT!A2053</f>
        <v>0</v>
      </c>
      <c r="C2051" s="77">
        <f t="shared" si="34"/>
        <v>2050</v>
      </c>
    </row>
    <row r="2052" spans="1:3" x14ac:dyDescent="0.2">
      <c r="A2052" s="78">
        <v>47708</v>
      </c>
      <c r="B2052" s="77">
        <f>+PT!A2054</f>
        <v>0</v>
      </c>
      <c r="C2052" s="77">
        <f t="shared" ref="C2052:C2115" si="35">+C2051+1</f>
        <v>2051</v>
      </c>
    </row>
    <row r="2053" spans="1:3" x14ac:dyDescent="0.2">
      <c r="A2053" s="78">
        <v>47709</v>
      </c>
      <c r="B2053" s="77">
        <f>+PT!A2055</f>
        <v>0</v>
      </c>
      <c r="C2053" s="77">
        <f t="shared" si="35"/>
        <v>2052</v>
      </c>
    </row>
    <row r="2054" spans="1:3" x14ac:dyDescent="0.2">
      <c r="A2054" s="78">
        <v>47710</v>
      </c>
      <c r="B2054" s="77">
        <f>+PT!A2056</f>
        <v>0</v>
      </c>
      <c r="C2054" s="77">
        <f t="shared" si="35"/>
        <v>2053</v>
      </c>
    </row>
    <row r="2055" spans="1:3" x14ac:dyDescent="0.2">
      <c r="A2055" s="78">
        <v>47711</v>
      </c>
      <c r="B2055" s="77">
        <f>+PT!A2057</f>
        <v>0</v>
      </c>
      <c r="C2055" s="77">
        <f t="shared" si="35"/>
        <v>2054</v>
      </c>
    </row>
    <row r="2056" spans="1:3" x14ac:dyDescent="0.2">
      <c r="A2056" s="78">
        <v>47712</v>
      </c>
      <c r="B2056" s="77">
        <f>+PT!A2058</f>
        <v>0</v>
      </c>
      <c r="C2056" s="77">
        <f t="shared" si="35"/>
        <v>2055</v>
      </c>
    </row>
    <row r="2057" spans="1:3" x14ac:dyDescent="0.2">
      <c r="A2057" s="78">
        <v>47713</v>
      </c>
      <c r="B2057" s="77">
        <f>+PT!A2059</f>
        <v>0</v>
      </c>
      <c r="C2057" s="77">
        <f t="shared" si="35"/>
        <v>2056</v>
      </c>
    </row>
    <row r="2058" spans="1:3" x14ac:dyDescent="0.2">
      <c r="A2058" s="78">
        <v>47714</v>
      </c>
      <c r="B2058" s="77">
        <f>+PT!A2060</f>
        <v>0</v>
      </c>
      <c r="C2058" s="77">
        <f t="shared" si="35"/>
        <v>2057</v>
      </c>
    </row>
    <row r="2059" spans="1:3" x14ac:dyDescent="0.2">
      <c r="A2059" s="78">
        <v>47715</v>
      </c>
      <c r="B2059" s="77">
        <f>+PT!A2061</f>
        <v>0</v>
      </c>
      <c r="C2059" s="77">
        <f t="shared" si="35"/>
        <v>2058</v>
      </c>
    </row>
    <row r="2060" spans="1:3" x14ac:dyDescent="0.2">
      <c r="A2060" s="78">
        <v>47716</v>
      </c>
      <c r="B2060" s="77">
        <f>+PT!A2062</f>
        <v>0</v>
      </c>
      <c r="C2060" s="77">
        <f t="shared" si="35"/>
        <v>2059</v>
      </c>
    </row>
    <row r="2061" spans="1:3" x14ac:dyDescent="0.2">
      <c r="A2061" s="78">
        <v>47717</v>
      </c>
      <c r="B2061" s="77">
        <f>+PT!A2063</f>
        <v>0</v>
      </c>
      <c r="C2061" s="77">
        <f t="shared" si="35"/>
        <v>2060</v>
      </c>
    </row>
    <row r="2062" spans="1:3" x14ac:dyDescent="0.2">
      <c r="A2062" s="78">
        <v>47718</v>
      </c>
      <c r="B2062" s="77">
        <f>+PT!A2064</f>
        <v>0</v>
      </c>
      <c r="C2062" s="77">
        <f t="shared" si="35"/>
        <v>2061</v>
      </c>
    </row>
    <row r="2063" spans="1:3" x14ac:dyDescent="0.2">
      <c r="A2063" s="78">
        <v>47719</v>
      </c>
      <c r="B2063" s="77">
        <f>+PT!A2065</f>
        <v>0</v>
      </c>
      <c r="C2063" s="77">
        <f t="shared" si="35"/>
        <v>2062</v>
      </c>
    </row>
    <row r="2064" spans="1:3" x14ac:dyDescent="0.2">
      <c r="A2064" s="78">
        <v>47720</v>
      </c>
      <c r="B2064" s="77">
        <f>+PT!A2066</f>
        <v>0</v>
      </c>
      <c r="C2064" s="77">
        <f t="shared" si="35"/>
        <v>2063</v>
      </c>
    </row>
    <row r="2065" spans="1:3" x14ac:dyDescent="0.2">
      <c r="A2065" s="78">
        <v>47721</v>
      </c>
      <c r="B2065" s="77">
        <f>+PT!A2067</f>
        <v>0</v>
      </c>
      <c r="C2065" s="77">
        <f t="shared" si="35"/>
        <v>2064</v>
      </c>
    </row>
    <row r="2066" spans="1:3" x14ac:dyDescent="0.2">
      <c r="A2066" s="78">
        <v>47722</v>
      </c>
      <c r="B2066" s="77">
        <f>+PT!A2068</f>
        <v>0</v>
      </c>
      <c r="C2066" s="77">
        <f t="shared" si="35"/>
        <v>2065</v>
      </c>
    </row>
    <row r="2067" spans="1:3" x14ac:dyDescent="0.2">
      <c r="A2067" s="78">
        <v>47723</v>
      </c>
      <c r="B2067" s="77">
        <f>+PT!A2069</f>
        <v>0</v>
      </c>
      <c r="C2067" s="77">
        <f t="shared" si="35"/>
        <v>2066</v>
      </c>
    </row>
    <row r="2068" spans="1:3" x14ac:dyDescent="0.2">
      <c r="A2068" s="78">
        <v>47724</v>
      </c>
      <c r="B2068" s="77">
        <f>+PT!A2070</f>
        <v>0</v>
      </c>
      <c r="C2068" s="77">
        <f t="shared" si="35"/>
        <v>2067</v>
      </c>
    </row>
    <row r="2069" spans="1:3" x14ac:dyDescent="0.2">
      <c r="A2069" s="78">
        <v>47725</v>
      </c>
      <c r="B2069" s="77">
        <f>+PT!A2071</f>
        <v>0</v>
      </c>
      <c r="C2069" s="77">
        <f t="shared" si="35"/>
        <v>2068</v>
      </c>
    </row>
    <row r="2070" spans="1:3" x14ac:dyDescent="0.2">
      <c r="A2070" s="78">
        <v>47726</v>
      </c>
      <c r="B2070" s="77">
        <f>+PT!A2072</f>
        <v>0</v>
      </c>
      <c r="C2070" s="77">
        <f t="shared" si="35"/>
        <v>2069</v>
      </c>
    </row>
    <row r="2071" spans="1:3" x14ac:dyDescent="0.2">
      <c r="A2071" s="78">
        <v>47727</v>
      </c>
      <c r="B2071" s="77">
        <f>+PT!A2073</f>
        <v>0</v>
      </c>
      <c r="C2071" s="77">
        <f t="shared" si="35"/>
        <v>2070</v>
      </c>
    </row>
    <row r="2072" spans="1:3" x14ac:dyDescent="0.2">
      <c r="A2072" s="78">
        <v>47728</v>
      </c>
      <c r="B2072" s="77">
        <f>+PT!A2074</f>
        <v>0</v>
      </c>
      <c r="C2072" s="77">
        <f t="shared" si="35"/>
        <v>2071</v>
      </c>
    </row>
    <row r="2073" spans="1:3" x14ac:dyDescent="0.2">
      <c r="A2073" s="78">
        <v>47729</v>
      </c>
      <c r="B2073" s="77">
        <f>+PT!A2075</f>
        <v>0</v>
      </c>
      <c r="C2073" s="77">
        <f t="shared" si="35"/>
        <v>2072</v>
      </c>
    </row>
    <row r="2074" spans="1:3" x14ac:dyDescent="0.2">
      <c r="A2074" s="78">
        <v>47730</v>
      </c>
      <c r="B2074" s="77">
        <f>+PT!A2076</f>
        <v>0</v>
      </c>
      <c r="C2074" s="77">
        <f t="shared" si="35"/>
        <v>2073</v>
      </c>
    </row>
    <row r="2075" spans="1:3" x14ac:dyDescent="0.2">
      <c r="A2075" s="78">
        <v>47731</v>
      </c>
      <c r="B2075" s="77">
        <f>+PT!A2077</f>
        <v>0</v>
      </c>
      <c r="C2075" s="77">
        <f t="shared" si="35"/>
        <v>2074</v>
      </c>
    </row>
    <row r="2076" spans="1:3" x14ac:dyDescent="0.2">
      <c r="A2076" s="78">
        <v>47732</v>
      </c>
      <c r="B2076" s="77">
        <f>+PT!A2078</f>
        <v>0</v>
      </c>
      <c r="C2076" s="77">
        <f t="shared" si="35"/>
        <v>2075</v>
      </c>
    </row>
    <row r="2077" spans="1:3" x14ac:dyDescent="0.2">
      <c r="A2077" s="78">
        <v>47733</v>
      </c>
      <c r="B2077" s="77">
        <f>+PT!A2079</f>
        <v>0</v>
      </c>
      <c r="C2077" s="77">
        <f t="shared" si="35"/>
        <v>2076</v>
      </c>
    </row>
    <row r="2078" spans="1:3" x14ac:dyDescent="0.2">
      <c r="A2078" s="78">
        <v>47734</v>
      </c>
      <c r="B2078" s="77">
        <f>+PT!A2080</f>
        <v>0</v>
      </c>
      <c r="C2078" s="77">
        <f t="shared" si="35"/>
        <v>2077</v>
      </c>
    </row>
    <row r="2079" spans="1:3" x14ac:dyDescent="0.2">
      <c r="A2079" s="78">
        <v>47735</v>
      </c>
      <c r="B2079" s="77">
        <f>+PT!A2081</f>
        <v>0</v>
      </c>
      <c r="C2079" s="77">
        <f t="shared" si="35"/>
        <v>2078</v>
      </c>
    </row>
    <row r="2080" spans="1:3" x14ac:dyDescent="0.2">
      <c r="A2080" s="78">
        <v>47736</v>
      </c>
      <c r="B2080" s="77">
        <f>+PT!A2082</f>
        <v>0</v>
      </c>
      <c r="C2080" s="77">
        <f t="shared" si="35"/>
        <v>2079</v>
      </c>
    </row>
    <row r="2081" spans="1:3" x14ac:dyDescent="0.2">
      <c r="A2081" s="78">
        <v>47737</v>
      </c>
      <c r="B2081" s="77">
        <f>+PT!A2083</f>
        <v>0</v>
      </c>
      <c r="C2081" s="77">
        <f t="shared" si="35"/>
        <v>2080</v>
      </c>
    </row>
    <row r="2082" spans="1:3" x14ac:dyDescent="0.2">
      <c r="A2082" s="78">
        <v>47738</v>
      </c>
      <c r="B2082" s="77">
        <f>+PT!A2084</f>
        <v>0</v>
      </c>
      <c r="C2082" s="77">
        <f t="shared" si="35"/>
        <v>2081</v>
      </c>
    </row>
    <row r="2083" spans="1:3" x14ac:dyDescent="0.2">
      <c r="A2083" s="78">
        <v>47739</v>
      </c>
      <c r="B2083" s="77">
        <f>+PT!A2085</f>
        <v>0</v>
      </c>
      <c r="C2083" s="77">
        <f t="shared" si="35"/>
        <v>2082</v>
      </c>
    </row>
    <row r="2084" spans="1:3" x14ac:dyDescent="0.2">
      <c r="A2084" s="78">
        <v>47740</v>
      </c>
      <c r="B2084" s="77">
        <f>+PT!A2086</f>
        <v>0</v>
      </c>
      <c r="C2084" s="77">
        <f t="shared" si="35"/>
        <v>2083</v>
      </c>
    </row>
    <row r="2085" spans="1:3" x14ac:dyDescent="0.2">
      <c r="A2085" s="78">
        <v>47741</v>
      </c>
      <c r="B2085" s="77">
        <f>+PT!A2087</f>
        <v>0</v>
      </c>
      <c r="C2085" s="77">
        <f t="shared" si="35"/>
        <v>2084</v>
      </c>
    </row>
    <row r="2086" spans="1:3" x14ac:dyDescent="0.2">
      <c r="A2086" s="78">
        <v>47742</v>
      </c>
      <c r="B2086" s="77">
        <f>+PT!A2088</f>
        <v>0</v>
      </c>
      <c r="C2086" s="77">
        <f t="shared" si="35"/>
        <v>2085</v>
      </c>
    </row>
    <row r="2087" spans="1:3" x14ac:dyDescent="0.2">
      <c r="A2087" s="78">
        <v>47743</v>
      </c>
      <c r="B2087" s="77">
        <f>+PT!A2089</f>
        <v>0</v>
      </c>
      <c r="C2087" s="77">
        <f t="shared" si="35"/>
        <v>2086</v>
      </c>
    </row>
    <row r="2088" spans="1:3" x14ac:dyDescent="0.2">
      <c r="A2088" s="78">
        <v>47744</v>
      </c>
      <c r="B2088" s="77">
        <f>+PT!A2090</f>
        <v>0</v>
      </c>
      <c r="C2088" s="77">
        <f t="shared" si="35"/>
        <v>2087</v>
      </c>
    </row>
    <row r="2089" spans="1:3" x14ac:dyDescent="0.2">
      <c r="A2089" s="78">
        <v>47745</v>
      </c>
      <c r="B2089" s="77">
        <f>+PT!A2091</f>
        <v>0</v>
      </c>
      <c r="C2089" s="77">
        <f t="shared" si="35"/>
        <v>2088</v>
      </c>
    </row>
    <row r="2090" spans="1:3" x14ac:dyDescent="0.2">
      <c r="A2090" s="78">
        <v>47746</v>
      </c>
      <c r="B2090" s="77">
        <f>+PT!A2092</f>
        <v>0</v>
      </c>
      <c r="C2090" s="77">
        <f t="shared" si="35"/>
        <v>2089</v>
      </c>
    </row>
    <row r="2091" spans="1:3" x14ac:dyDescent="0.2">
      <c r="A2091" s="78">
        <v>47747</v>
      </c>
      <c r="B2091" s="77">
        <f>+PT!A2093</f>
        <v>0</v>
      </c>
      <c r="C2091" s="77">
        <f t="shared" si="35"/>
        <v>2090</v>
      </c>
    </row>
    <row r="2092" spans="1:3" x14ac:dyDescent="0.2">
      <c r="A2092" s="78">
        <v>47748</v>
      </c>
      <c r="B2092" s="77">
        <f>+PT!A2094</f>
        <v>0</v>
      </c>
      <c r="C2092" s="77">
        <f t="shared" si="35"/>
        <v>2091</v>
      </c>
    </row>
    <row r="2093" spans="1:3" x14ac:dyDescent="0.2">
      <c r="A2093" s="78">
        <v>47749</v>
      </c>
      <c r="B2093" s="77">
        <f>+PT!A2095</f>
        <v>0</v>
      </c>
      <c r="C2093" s="77">
        <f t="shared" si="35"/>
        <v>2092</v>
      </c>
    </row>
    <row r="2094" spans="1:3" x14ac:dyDescent="0.2">
      <c r="A2094" s="78">
        <v>47750</v>
      </c>
      <c r="B2094" s="77">
        <f>+PT!A2096</f>
        <v>0</v>
      </c>
      <c r="C2094" s="77">
        <f t="shared" si="35"/>
        <v>2093</v>
      </c>
    </row>
    <row r="2095" spans="1:3" x14ac:dyDescent="0.2">
      <c r="A2095" s="78">
        <v>47751</v>
      </c>
      <c r="B2095" s="77">
        <f>+PT!A2097</f>
        <v>0</v>
      </c>
      <c r="C2095" s="77">
        <f t="shared" si="35"/>
        <v>2094</v>
      </c>
    </row>
    <row r="2096" spans="1:3" x14ac:dyDescent="0.2">
      <c r="A2096" s="78">
        <v>47752</v>
      </c>
      <c r="B2096" s="77">
        <f>+PT!A2098</f>
        <v>0</v>
      </c>
      <c r="C2096" s="77">
        <f t="shared" si="35"/>
        <v>2095</v>
      </c>
    </row>
    <row r="2097" spans="1:3" x14ac:dyDescent="0.2">
      <c r="A2097" s="78">
        <v>47753</v>
      </c>
      <c r="B2097" s="77">
        <f>+PT!A2099</f>
        <v>0</v>
      </c>
      <c r="C2097" s="77">
        <f t="shared" si="35"/>
        <v>2096</v>
      </c>
    </row>
    <row r="2098" spans="1:3" x14ac:dyDescent="0.2">
      <c r="A2098" s="78">
        <v>47754</v>
      </c>
      <c r="B2098" s="77">
        <f>+PT!A2100</f>
        <v>0</v>
      </c>
      <c r="C2098" s="77">
        <f t="shared" si="35"/>
        <v>2097</v>
      </c>
    </row>
    <row r="2099" spans="1:3" x14ac:dyDescent="0.2">
      <c r="A2099" s="78">
        <v>47755</v>
      </c>
      <c r="B2099" s="77">
        <f>+PT!A2101</f>
        <v>0</v>
      </c>
      <c r="C2099" s="77">
        <f t="shared" si="35"/>
        <v>2098</v>
      </c>
    </row>
    <row r="2100" spans="1:3" x14ac:dyDescent="0.2">
      <c r="A2100" s="78">
        <v>47756</v>
      </c>
      <c r="B2100" s="77">
        <f>+PT!A2102</f>
        <v>0</v>
      </c>
      <c r="C2100" s="77">
        <f t="shared" si="35"/>
        <v>2099</v>
      </c>
    </row>
    <row r="2101" spans="1:3" x14ac:dyDescent="0.2">
      <c r="A2101" s="78">
        <v>47757</v>
      </c>
      <c r="B2101" s="77">
        <f>+PT!A2103</f>
        <v>0</v>
      </c>
      <c r="C2101" s="77">
        <f t="shared" si="35"/>
        <v>2100</v>
      </c>
    </row>
    <row r="2102" spans="1:3" x14ac:dyDescent="0.2">
      <c r="A2102" s="78">
        <v>47758</v>
      </c>
      <c r="B2102" s="77">
        <f>+PT!A2104</f>
        <v>0</v>
      </c>
      <c r="C2102" s="77">
        <f t="shared" si="35"/>
        <v>2101</v>
      </c>
    </row>
    <row r="2103" spans="1:3" x14ac:dyDescent="0.2">
      <c r="A2103" s="78">
        <v>47759</v>
      </c>
      <c r="B2103" s="77">
        <f>+PT!A2105</f>
        <v>0</v>
      </c>
      <c r="C2103" s="77">
        <f t="shared" si="35"/>
        <v>2102</v>
      </c>
    </row>
    <row r="2104" spans="1:3" x14ac:dyDescent="0.2">
      <c r="A2104" s="78">
        <v>47760</v>
      </c>
      <c r="B2104" s="77">
        <f>+PT!A2106</f>
        <v>0</v>
      </c>
      <c r="C2104" s="77">
        <f t="shared" si="35"/>
        <v>2103</v>
      </c>
    </row>
    <row r="2105" spans="1:3" x14ac:dyDescent="0.2">
      <c r="A2105" s="78">
        <v>47761</v>
      </c>
      <c r="B2105" s="77">
        <f>+PT!A2107</f>
        <v>0</v>
      </c>
      <c r="C2105" s="77">
        <f t="shared" si="35"/>
        <v>2104</v>
      </c>
    </row>
    <row r="2106" spans="1:3" x14ac:dyDescent="0.2">
      <c r="A2106" s="78">
        <v>47762</v>
      </c>
      <c r="B2106" s="77">
        <f>+PT!A2108</f>
        <v>0</v>
      </c>
      <c r="C2106" s="77">
        <f t="shared" si="35"/>
        <v>2105</v>
      </c>
    </row>
    <row r="2107" spans="1:3" x14ac:dyDescent="0.2">
      <c r="A2107" s="78">
        <v>47763</v>
      </c>
      <c r="B2107" s="77">
        <f>+PT!A2109</f>
        <v>0</v>
      </c>
      <c r="C2107" s="77">
        <f t="shared" si="35"/>
        <v>2106</v>
      </c>
    </row>
    <row r="2108" spans="1:3" x14ac:dyDescent="0.2">
      <c r="A2108" s="78">
        <v>47764</v>
      </c>
      <c r="B2108" s="77">
        <f>+PT!A2110</f>
        <v>0</v>
      </c>
      <c r="C2108" s="77">
        <f t="shared" si="35"/>
        <v>2107</v>
      </c>
    </row>
    <row r="2109" spans="1:3" x14ac:dyDescent="0.2">
      <c r="A2109" s="78">
        <v>47765</v>
      </c>
      <c r="B2109" s="77">
        <f>+PT!A2111</f>
        <v>0</v>
      </c>
      <c r="C2109" s="77">
        <f t="shared" si="35"/>
        <v>2108</v>
      </c>
    </row>
    <row r="2110" spans="1:3" x14ac:dyDescent="0.2">
      <c r="A2110" s="78">
        <v>47766</v>
      </c>
      <c r="B2110" s="77">
        <f>+PT!A2112</f>
        <v>0</v>
      </c>
      <c r="C2110" s="77">
        <f t="shared" si="35"/>
        <v>2109</v>
      </c>
    </row>
    <row r="2111" spans="1:3" x14ac:dyDescent="0.2">
      <c r="A2111" s="78">
        <v>47767</v>
      </c>
      <c r="B2111" s="77">
        <f>+PT!A2113</f>
        <v>0</v>
      </c>
      <c r="C2111" s="77">
        <f t="shared" si="35"/>
        <v>2110</v>
      </c>
    </row>
    <row r="2112" spans="1:3" x14ac:dyDescent="0.2">
      <c r="A2112" s="78">
        <v>47768</v>
      </c>
      <c r="B2112" s="77">
        <f>+PT!A2114</f>
        <v>0</v>
      </c>
      <c r="C2112" s="77">
        <f t="shared" si="35"/>
        <v>2111</v>
      </c>
    </row>
    <row r="2113" spans="1:3" x14ac:dyDescent="0.2">
      <c r="A2113" s="78">
        <v>47769</v>
      </c>
      <c r="B2113" s="77">
        <f>+PT!A2115</f>
        <v>0</v>
      </c>
      <c r="C2113" s="77">
        <f t="shared" si="35"/>
        <v>2112</v>
      </c>
    </row>
    <row r="2114" spans="1:3" x14ac:dyDescent="0.2">
      <c r="A2114" s="78">
        <v>47770</v>
      </c>
      <c r="B2114" s="77">
        <f>+PT!A2116</f>
        <v>0</v>
      </c>
      <c r="C2114" s="77">
        <f t="shared" si="35"/>
        <v>2113</v>
      </c>
    </row>
    <row r="2115" spans="1:3" x14ac:dyDescent="0.2">
      <c r="A2115" s="78">
        <v>47771</v>
      </c>
      <c r="B2115" s="77">
        <f>+PT!A2117</f>
        <v>0</v>
      </c>
      <c r="C2115" s="77">
        <f t="shared" si="35"/>
        <v>2114</v>
      </c>
    </row>
    <row r="2116" spans="1:3" x14ac:dyDescent="0.2">
      <c r="A2116" s="78">
        <v>47772</v>
      </c>
      <c r="B2116" s="77">
        <f>+PT!A2118</f>
        <v>0</v>
      </c>
      <c r="C2116" s="77">
        <f t="shared" ref="C2116:C2179" si="36">+C2115+1</f>
        <v>2115</v>
      </c>
    </row>
    <row r="2117" spans="1:3" x14ac:dyDescent="0.2">
      <c r="A2117" s="78">
        <v>47773</v>
      </c>
      <c r="B2117" s="77">
        <f>+PT!A2119</f>
        <v>0</v>
      </c>
      <c r="C2117" s="77">
        <f t="shared" si="36"/>
        <v>2116</v>
      </c>
    </row>
    <row r="2118" spans="1:3" x14ac:dyDescent="0.2">
      <c r="A2118" s="78">
        <v>47774</v>
      </c>
      <c r="B2118" s="77">
        <f>+PT!A2120</f>
        <v>0</v>
      </c>
      <c r="C2118" s="77">
        <f t="shared" si="36"/>
        <v>2117</v>
      </c>
    </row>
    <row r="2119" spans="1:3" x14ac:dyDescent="0.2">
      <c r="A2119" s="78">
        <v>47775</v>
      </c>
      <c r="B2119" s="77">
        <f>+PT!A2121</f>
        <v>0</v>
      </c>
      <c r="C2119" s="77">
        <f t="shared" si="36"/>
        <v>2118</v>
      </c>
    </row>
    <row r="2120" spans="1:3" x14ac:dyDescent="0.2">
      <c r="A2120" s="78">
        <v>47776</v>
      </c>
      <c r="B2120" s="77">
        <f>+PT!A2122</f>
        <v>0</v>
      </c>
      <c r="C2120" s="77">
        <f t="shared" si="36"/>
        <v>2119</v>
      </c>
    </row>
    <row r="2121" spans="1:3" x14ac:dyDescent="0.2">
      <c r="A2121" s="78">
        <v>47777</v>
      </c>
      <c r="B2121" s="77">
        <f>+PT!A2123</f>
        <v>0</v>
      </c>
      <c r="C2121" s="77">
        <f t="shared" si="36"/>
        <v>2120</v>
      </c>
    </row>
    <row r="2122" spans="1:3" x14ac:dyDescent="0.2">
      <c r="A2122" s="78">
        <v>47778</v>
      </c>
      <c r="B2122" s="77">
        <f>+PT!A2124</f>
        <v>0</v>
      </c>
      <c r="C2122" s="77">
        <f t="shared" si="36"/>
        <v>2121</v>
      </c>
    </row>
    <row r="2123" spans="1:3" x14ac:dyDescent="0.2">
      <c r="A2123" s="78">
        <v>47779</v>
      </c>
      <c r="B2123" s="77">
        <f>+PT!A2125</f>
        <v>0</v>
      </c>
      <c r="C2123" s="77">
        <f t="shared" si="36"/>
        <v>2122</v>
      </c>
    </row>
    <row r="2124" spans="1:3" x14ac:dyDescent="0.2">
      <c r="A2124" s="78">
        <v>47780</v>
      </c>
      <c r="B2124" s="77">
        <f>+PT!A2126</f>
        <v>0</v>
      </c>
      <c r="C2124" s="77">
        <f t="shared" si="36"/>
        <v>2123</v>
      </c>
    </row>
    <row r="2125" spans="1:3" x14ac:dyDescent="0.2">
      <c r="A2125" s="78">
        <v>47781</v>
      </c>
      <c r="B2125" s="77">
        <f>+PT!A2127</f>
        <v>0</v>
      </c>
      <c r="C2125" s="77">
        <f t="shared" si="36"/>
        <v>2124</v>
      </c>
    </row>
    <row r="2126" spans="1:3" x14ac:dyDescent="0.2">
      <c r="A2126" s="78">
        <v>47782</v>
      </c>
      <c r="B2126" s="77">
        <f>+PT!A2128</f>
        <v>0</v>
      </c>
      <c r="C2126" s="77">
        <f t="shared" si="36"/>
        <v>2125</v>
      </c>
    </row>
    <row r="2127" spans="1:3" x14ac:dyDescent="0.2">
      <c r="A2127" s="78">
        <v>47783</v>
      </c>
      <c r="B2127" s="77">
        <f>+PT!A2129</f>
        <v>0</v>
      </c>
      <c r="C2127" s="77">
        <f t="shared" si="36"/>
        <v>2126</v>
      </c>
    </row>
    <row r="2128" spans="1:3" x14ac:dyDescent="0.2">
      <c r="A2128" s="78">
        <v>47784</v>
      </c>
      <c r="B2128" s="77">
        <f>+PT!A2130</f>
        <v>0</v>
      </c>
      <c r="C2128" s="77">
        <f t="shared" si="36"/>
        <v>2127</v>
      </c>
    </row>
    <row r="2129" spans="1:3" x14ac:dyDescent="0.2">
      <c r="A2129" s="78">
        <v>47785</v>
      </c>
      <c r="B2129" s="77">
        <f>+PT!A2131</f>
        <v>0</v>
      </c>
      <c r="C2129" s="77">
        <f t="shared" si="36"/>
        <v>2128</v>
      </c>
    </row>
    <row r="2130" spans="1:3" x14ac:dyDescent="0.2">
      <c r="A2130" s="78">
        <v>47786</v>
      </c>
      <c r="B2130" s="77">
        <f>+PT!A2132</f>
        <v>0</v>
      </c>
      <c r="C2130" s="77">
        <f t="shared" si="36"/>
        <v>2129</v>
      </c>
    </row>
    <row r="2131" spans="1:3" x14ac:dyDescent="0.2">
      <c r="A2131" s="78">
        <v>47787</v>
      </c>
      <c r="B2131" s="77">
        <f>+PT!A2133</f>
        <v>0</v>
      </c>
      <c r="C2131" s="77">
        <f t="shared" si="36"/>
        <v>2130</v>
      </c>
    </row>
    <row r="2132" spans="1:3" x14ac:dyDescent="0.2">
      <c r="A2132" s="78">
        <v>47788</v>
      </c>
      <c r="B2132" s="77">
        <f>+PT!A2134</f>
        <v>0</v>
      </c>
      <c r="C2132" s="77">
        <f t="shared" si="36"/>
        <v>2131</v>
      </c>
    </row>
    <row r="2133" spans="1:3" x14ac:dyDescent="0.2">
      <c r="A2133" s="78">
        <v>47789</v>
      </c>
      <c r="B2133" s="77">
        <f>+PT!A2135</f>
        <v>0</v>
      </c>
      <c r="C2133" s="77">
        <f t="shared" si="36"/>
        <v>2132</v>
      </c>
    </row>
    <row r="2134" spans="1:3" x14ac:dyDescent="0.2">
      <c r="A2134" s="78">
        <v>47790</v>
      </c>
      <c r="B2134" s="77">
        <f>+PT!A2136</f>
        <v>0</v>
      </c>
      <c r="C2134" s="77">
        <f t="shared" si="36"/>
        <v>2133</v>
      </c>
    </row>
    <row r="2135" spans="1:3" x14ac:dyDescent="0.2">
      <c r="A2135" s="78">
        <v>47791</v>
      </c>
      <c r="B2135" s="77">
        <f>+PT!A2137</f>
        <v>0</v>
      </c>
      <c r="C2135" s="77">
        <f t="shared" si="36"/>
        <v>2134</v>
      </c>
    </row>
    <row r="2136" spans="1:3" x14ac:dyDescent="0.2">
      <c r="A2136" s="78">
        <v>47792</v>
      </c>
      <c r="B2136" s="77">
        <f>+PT!A2138</f>
        <v>0</v>
      </c>
      <c r="C2136" s="77">
        <f t="shared" si="36"/>
        <v>2135</v>
      </c>
    </row>
    <row r="2137" spans="1:3" x14ac:dyDescent="0.2">
      <c r="A2137" s="78">
        <v>47793</v>
      </c>
      <c r="B2137" s="77">
        <f>+PT!A2139</f>
        <v>0</v>
      </c>
      <c r="C2137" s="77">
        <f t="shared" si="36"/>
        <v>2136</v>
      </c>
    </row>
    <row r="2138" spans="1:3" x14ac:dyDescent="0.2">
      <c r="A2138" s="78">
        <v>47794</v>
      </c>
      <c r="B2138" s="77">
        <f>+PT!A2140</f>
        <v>0</v>
      </c>
      <c r="C2138" s="77">
        <f t="shared" si="36"/>
        <v>2137</v>
      </c>
    </row>
    <row r="2139" spans="1:3" x14ac:dyDescent="0.2">
      <c r="A2139" s="78">
        <v>47795</v>
      </c>
      <c r="B2139" s="77">
        <f>+PT!A2141</f>
        <v>0</v>
      </c>
      <c r="C2139" s="77">
        <f t="shared" si="36"/>
        <v>2138</v>
      </c>
    </row>
    <row r="2140" spans="1:3" x14ac:dyDescent="0.2">
      <c r="A2140" s="78">
        <v>47796</v>
      </c>
      <c r="B2140" s="77">
        <f>+PT!A2142</f>
        <v>0</v>
      </c>
      <c r="C2140" s="77">
        <f t="shared" si="36"/>
        <v>2139</v>
      </c>
    </row>
    <row r="2141" spans="1:3" x14ac:dyDescent="0.2">
      <c r="A2141" s="78">
        <v>47797</v>
      </c>
      <c r="B2141" s="77">
        <f>+PT!A2143</f>
        <v>0</v>
      </c>
      <c r="C2141" s="77">
        <f t="shared" si="36"/>
        <v>2140</v>
      </c>
    </row>
    <row r="2142" spans="1:3" x14ac:dyDescent="0.2">
      <c r="A2142" s="78">
        <v>47798</v>
      </c>
      <c r="B2142" s="77">
        <f>+PT!A2144</f>
        <v>0</v>
      </c>
      <c r="C2142" s="77">
        <f t="shared" si="36"/>
        <v>2141</v>
      </c>
    </row>
    <row r="2143" spans="1:3" x14ac:dyDescent="0.2">
      <c r="A2143" s="78">
        <v>47799</v>
      </c>
      <c r="B2143" s="77">
        <f>+PT!A2145</f>
        <v>0</v>
      </c>
      <c r="C2143" s="77">
        <f t="shared" si="36"/>
        <v>2142</v>
      </c>
    </row>
    <row r="2144" spans="1:3" x14ac:dyDescent="0.2">
      <c r="A2144" s="78">
        <v>47800</v>
      </c>
      <c r="B2144" s="77">
        <f>+PT!A2146</f>
        <v>0</v>
      </c>
      <c r="C2144" s="77">
        <f t="shared" si="36"/>
        <v>2143</v>
      </c>
    </row>
    <row r="2145" spans="1:3" x14ac:dyDescent="0.2">
      <c r="A2145" s="78">
        <v>47801</v>
      </c>
      <c r="B2145" s="77">
        <f>+PT!A2147</f>
        <v>0</v>
      </c>
      <c r="C2145" s="77">
        <f t="shared" si="36"/>
        <v>2144</v>
      </c>
    </row>
    <row r="2146" spans="1:3" x14ac:dyDescent="0.2">
      <c r="A2146" s="78">
        <v>47802</v>
      </c>
      <c r="B2146" s="77">
        <f>+PT!A2148</f>
        <v>0</v>
      </c>
      <c r="C2146" s="77">
        <f t="shared" si="36"/>
        <v>2145</v>
      </c>
    </row>
    <row r="2147" spans="1:3" x14ac:dyDescent="0.2">
      <c r="A2147" s="78">
        <v>47803</v>
      </c>
      <c r="B2147" s="77">
        <f>+PT!A2149</f>
        <v>0</v>
      </c>
      <c r="C2147" s="77">
        <f t="shared" si="36"/>
        <v>2146</v>
      </c>
    </row>
    <row r="2148" spans="1:3" x14ac:dyDescent="0.2">
      <c r="A2148" s="78">
        <v>47804</v>
      </c>
      <c r="B2148" s="77">
        <f>+PT!A2150</f>
        <v>0</v>
      </c>
      <c r="C2148" s="77">
        <f t="shared" si="36"/>
        <v>2147</v>
      </c>
    </row>
    <row r="2149" spans="1:3" x14ac:dyDescent="0.2">
      <c r="A2149" s="78">
        <v>47805</v>
      </c>
      <c r="B2149" s="77">
        <f>+PT!A2151</f>
        <v>0</v>
      </c>
      <c r="C2149" s="77">
        <f t="shared" si="36"/>
        <v>2148</v>
      </c>
    </row>
    <row r="2150" spans="1:3" x14ac:dyDescent="0.2">
      <c r="A2150" s="78">
        <v>47806</v>
      </c>
      <c r="B2150" s="77">
        <f>+PT!A2152</f>
        <v>0</v>
      </c>
      <c r="C2150" s="77">
        <f t="shared" si="36"/>
        <v>2149</v>
      </c>
    </row>
    <row r="2151" spans="1:3" x14ac:dyDescent="0.2">
      <c r="A2151" s="78">
        <v>47807</v>
      </c>
      <c r="B2151" s="77">
        <f>+PT!A2153</f>
        <v>0</v>
      </c>
      <c r="C2151" s="77">
        <f t="shared" si="36"/>
        <v>2150</v>
      </c>
    </row>
    <row r="2152" spans="1:3" x14ac:dyDescent="0.2">
      <c r="A2152" s="78">
        <v>47808</v>
      </c>
      <c r="B2152" s="77">
        <f>+PT!A2154</f>
        <v>0</v>
      </c>
      <c r="C2152" s="77">
        <f t="shared" si="36"/>
        <v>2151</v>
      </c>
    </row>
    <row r="2153" spans="1:3" x14ac:dyDescent="0.2">
      <c r="A2153" s="78">
        <v>47809</v>
      </c>
      <c r="B2153" s="77">
        <f>+PT!A2155</f>
        <v>0</v>
      </c>
      <c r="C2153" s="77">
        <f t="shared" si="36"/>
        <v>2152</v>
      </c>
    </row>
    <row r="2154" spans="1:3" x14ac:dyDescent="0.2">
      <c r="A2154" s="78">
        <v>47810</v>
      </c>
      <c r="B2154" s="77">
        <f>+PT!A2156</f>
        <v>0</v>
      </c>
      <c r="C2154" s="77">
        <f t="shared" si="36"/>
        <v>2153</v>
      </c>
    </row>
    <row r="2155" spans="1:3" x14ac:dyDescent="0.2">
      <c r="A2155" s="78">
        <v>47811</v>
      </c>
      <c r="B2155" s="77">
        <f>+PT!A2157</f>
        <v>0</v>
      </c>
      <c r="C2155" s="77">
        <f t="shared" si="36"/>
        <v>2154</v>
      </c>
    </row>
    <row r="2156" spans="1:3" x14ac:dyDescent="0.2">
      <c r="A2156" s="78">
        <v>47812</v>
      </c>
      <c r="B2156" s="77">
        <f>+PT!A2158</f>
        <v>0</v>
      </c>
      <c r="C2156" s="77">
        <f t="shared" si="36"/>
        <v>2155</v>
      </c>
    </row>
    <row r="2157" spans="1:3" x14ac:dyDescent="0.2">
      <c r="A2157" s="78">
        <v>47813</v>
      </c>
      <c r="B2157" s="77">
        <f>+PT!A2159</f>
        <v>0</v>
      </c>
      <c r="C2157" s="77">
        <f t="shared" si="36"/>
        <v>2156</v>
      </c>
    </row>
    <row r="2158" spans="1:3" x14ac:dyDescent="0.2">
      <c r="A2158" s="78">
        <v>47814</v>
      </c>
      <c r="B2158" s="77">
        <f>+PT!A2160</f>
        <v>0</v>
      </c>
      <c r="C2158" s="77">
        <f t="shared" si="36"/>
        <v>2157</v>
      </c>
    </row>
    <row r="2159" spans="1:3" x14ac:dyDescent="0.2">
      <c r="A2159" s="78">
        <v>47815</v>
      </c>
      <c r="B2159" s="77">
        <f>+PT!A2161</f>
        <v>0</v>
      </c>
      <c r="C2159" s="77">
        <f t="shared" si="36"/>
        <v>2158</v>
      </c>
    </row>
    <row r="2160" spans="1:3" x14ac:dyDescent="0.2">
      <c r="A2160" s="78">
        <v>47816</v>
      </c>
      <c r="B2160" s="77">
        <f>+PT!A2162</f>
        <v>0</v>
      </c>
      <c r="C2160" s="77">
        <f t="shared" si="36"/>
        <v>2159</v>
      </c>
    </row>
    <row r="2161" spans="1:3" x14ac:dyDescent="0.2">
      <c r="A2161" s="78">
        <v>47817</v>
      </c>
      <c r="B2161" s="77">
        <f>+PT!A2163</f>
        <v>0</v>
      </c>
      <c r="C2161" s="77">
        <f t="shared" si="36"/>
        <v>2160</v>
      </c>
    </row>
    <row r="2162" spans="1:3" x14ac:dyDescent="0.2">
      <c r="A2162" s="78">
        <v>47818</v>
      </c>
      <c r="B2162" s="77">
        <f>+PT!A2164</f>
        <v>0</v>
      </c>
      <c r="C2162" s="77">
        <f t="shared" si="36"/>
        <v>2161</v>
      </c>
    </row>
    <row r="2163" spans="1:3" x14ac:dyDescent="0.2">
      <c r="A2163" s="78">
        <v>47819</v>
      </c>
      <c r="B2163" s="77">
        <f>+PT!A2165</f>
        <v>0</v>
      </c>
      <c r="C2163" s="77">
        <f t="shared" si="36"/>
        <v>2162</v>
      </c>
    </row>
    <row r="2164" spans="1:3" x14ac:dyDescent="0.2">
      <c r="A2164" s="78">
        <v>47820</v>
      </c>
      <c r="B2164" s="77">
        <f>+PT!A2166</f>
        <v>0</v>
      </c>
      <c r="C2164" s="77">
        <f t="shared" si="36"/>
        <v>2163</v>
      </c>
    </row>
    <row r="2165" spans="1:3" x14ac:dyDescent="0.2">
      <c r="A2165" s="78">
        <v>47821</v>
      </c>
      <c r="B2165" s="77">
        <f>+PT!A2167</f>
        <v>0</v>
      </c>
      <c r="C2165" s="77">
        <f t="shared" si="36"/>
        <v>2164</v>
      </c>
    </row>
    <row r="2166" spans="1:3" x14ac:dyDescent="0.2">
      <c r="A2166" s="78">
        <v>47822</v>
      </c>
      <c r="B2166" s="77">
        <f>+PT!A2168</f>
        <v>0</v>
      </c>
      <c r="C2166" s="77">
        <f t="shared" si="36"/>
        <v>2165</v>
      </c>
    </row>
    <row r="2167" spans="1:3" x14ac:dyDescent="0.2">
      <c r="A2167" s="78">
        <v>47823</v>
      </c>
      <c r="B2167" s="77">
        <f>+PT!A2169</f>
        <v>0</v>
      </c>
      <c r="C2167" s="77">
        <f t="shared" si="36"/>
        <v>2166</v>
      </c>
    </row>
    <row r="2168" spans="1:3" x14ac:dyDescent="0.2">
      <c r="A2168" s="78">
        <v>47824</v>
      </c>
      <c r="B2168" s="77">
        <f>+PT!A2170</f>
        <v>0</v>
      </c>
      <c r="C2168" s="77">
        <f t="shared" si="36"/>
        <v>2167</v>
      </c>
    </row>
    <row r="2169" spans="1:3" x14ac:dyDescent="0.2">
      <c r="A2169" s="78">
        <v>47825</v>
      </c>
      <c r="B2169" s="77">
        <f>+PT!A2171</f>
        <v>0</v>
      </c>
      <c r="C2169" s="77">
        <f t="shared" si="36"/>
        <v>2168</v>
      </c>
    </row>
    <row r="2170" spans="1:3" x14ac:dyDescent="0.2">
      <c r="A2170" s="78">
        <v>47826</v>
      </c>
      <c r="B2170" s="77">
        <f>+PT!A2172</f>
        <v>0</v>
      </c>
      <c r="C2170" s="77">
        <f t="shared" si="36"/>
        <v>2169</v>
      </c>
    </row>
    <row r="2171" spans="1:3" x14ac:dyDescent="0.2">
      <c r="A2171" s="78">
        <v>47827</v>
      </c>
      <c r="B2171" s="77">
        <f>+PT!A2173</f>
        <v>0</v>
      </c>
      <c r="C2171" s="77">
        <f t="shared" si="36"/>
        <v>2170</v>
      </c>
    </row>
    <row r="2172" spans="1:3" x14ac:dyDescent="0.2">
      <c r="A2172" s="78">
        <v>47828</v>
      </c>
      <c r="B2172" s="77">
        <f>+PT!A2174</f>
        <v>0</v>
      </c>
      <c r="C2172" s="77">
        <f t="shared" si="36"/>
        <v>2171</v>
      </c>
    </row>
    <row r="2173" spans="1:3" x14ac:dyDescent="0.2">
      <c r="A2173" s="78">
        <v>47829</v>
      </c>
      <c r="B2173" s="77">
        <f>+PT!A2175</f>
        <v>0</v>
      </c>
      <c r="C2173" s="77">
        <f t="shared" si="36"/>
        <v>2172</v>
      </c>
    </row>
    <row r="2174" spans="1:3" x14ac:dyDescent="0.2">
      <c r="A2174" s="78">
        <v>47830</v>
      </c>
      <c r="B2174" s="77">
        <f>+PT!A2176</f>
        <v>0</v>
      </c>
      <c r="C2174" s="77">
        <f t="shared" si="36"/>
        <v>2173</v>
      </c>
    </row>
    <row r="2175" spans="1:3" x14ac:dyDescent="0.2">
      <c r="A2175" s="78">
        <v>47831</v>
      </c>
      <c r="B2175" s="77">
        <f>+PT!A2177</f>
        <v>0</v>
      </c>
      <c r="C2175" s="77">
        <f t="shared" si="36"/>
        <v>2174</v>
      </c>
    </row>
    <row r="2176" spans="1:3" x14ac:dyDescent="0.2">
      <c r="A2176" s="78">
        <v>47832</v>
      </c>
      <c r="B2176" s="77">
        <f>+PT!A2178</f>
        <v>0</v>
      </c>
      <c r="C2176" s="77">
        <f t="shared" si="36"/>
        <v>2175</v>
      </c>
    </row>
    <row r="2177" spans="1:3" x14ac:dyDescent="0.2">
      <c r="A2177" s="78">
        <v>47833</v>
      </c>
      <c r="B2177" s="77">
        <f>+PT!A2179</f>
        <v>0</v>
      </c>
      <c r="C2177" s="77">
        <f t="shared" si="36"/>
        <v>2176</v>
      </c>
    </row>
    <row r="2178" spans="1:3" x14ac:dyDescent="0.2">
      <c r="A2178" s="78">
        <v>47834</v>
      </c>
      <c r="B2178" s="77">
        <f>+PT!A2180</f>
        <v>0</v>
      </c>
      <c r="C2178" s="77">
        <f t="shared" si="36"/>
        <v>2177</v>
      </c>
    </row>
    <row r="2179" spans="1:3" x14ac:dyDescent="0.2">
      <c r="A2179" s="78">
        <v>47835</v>
      </c>
      <c r="B2179" s="77">
        <f>+PT!A2181</f>
        <v>0</v>
      </c>
      <c r="C2179" s="77">
        <f t="shared" si="36"/>
        <v>2178</v>
      </c>
    </row>
    <row r="2180" spans="1:3" x14ac:dyDescent="0.2">
      <c r="A2180" s="78">
        <v>47836</v>
      </c>
      <c r="B2180" s="77">
        <f>+PT!A2182</f>
        <v>0</v>
      </c>
      <c r="C2180" s="77">
        <f t="shared" ref="C2180:C2243" si="37">+C2179+1</f>
        <v>2179</v>
      </c>
    </row>
    <row r="2181" spans="1:3" x14ac:dyDescent="0.2">
      <c r="A2181" s="78">
        <v>47837</v>
      </c>
      <c r="B2181" s="77">
        <f>+PT!A2183</f>
        <v>0</v>
      </c>
      <c r="C2181" s="77">
        <f t="shared" si="37"/>
        <v>2180</v>
      </c>
    </row>
    <row r="2182" spans="1:3" x14ac:dyDescent="0.2">
      <c r="A2182" s="78">
        <v>47838</v>
      </c>
      <c r="B2182" s="77">
        <f>+PT!A2184</f>
        <v>0</v>
      </c>
      <c r="C2182" s="77">
        <f t="shared" si="37"/>
        <v>2181</v>
      </c>
    </row>
    <row r="2183" spans="1:3" x14ac:dyDescent="0.2">
      <c r="A2183" s="78">
        <v>47839</v>
      </c>
      <c r="B2183" s="77">
        <f>+PT!A2185</f>
        <v>0</v>
      </c>
      <c r="C2183" s="77">
        <f t="shared" si="37"/>
        <v>2182</v>
      </c>
    </row>
    <row r="2184" spans="1:3" x14ac:dyDescent="0.2">
      <c r="A2184" s="78">
        <v>47840</v>
      </c>
      <c r="B2184" s="77">
        <f>+PT!A2186</f>
        <v>0</v>
      </c>
      <c r="C2184" s="77">
        <f t="shared" si="37"/>
        <v>2183</v>
      </c>
    </row>
    <row r="2185" spans="1:3" x14ac:dyDescent="0.2">
      <c r="A2185" s="78">
        <v>47841</v>
      </c>
      <c r="B2185" s="77">
        <f>+PT!A2187</f>
        <v>0</v>
      </c>
      <c r="C2185" s="77">
        <f t="shared" si="37"/>
        <v>2184</v>
      </c>
    </row>
    <row r="2186" spans="1:3" x14ac:dyDescent="0.2">
      <c r="A2186" s="78">
        <v>47842</v>
      </c>
      <c r="B2186" s="77">
        <f>+PT!A2188</f>
        <v>0</v>
      </c>
      <c r="C2186" s="77">
        <f t="shared" si="37"/>
        <v>2185</v>
      </c>
    </row>
    <row r="2187" spans="1:3" x14ac:dyDescent="0.2">
      <c r="A2187" s="78">
        <v>47843</v>
      </c>
      <c r="B2187" s="77">
        <f>+PT!A2189</f>
        <v>0</v>
      </c>
      <c r="C2187" s="77">
        <f t="shared" si="37"/>
        <v>2186</v>
      </c>
    </row>
    <row r="2188" spans="1:3" x14ac:dyDescent="0.2">
      <c r="A2188" s="78">
        <v>47844</v>
      </c>
      <c r="B2188" s="77">
        <f>+PT!A2190</f>
        <v>0</v>
      </c>
      <c r="C2188" s="77">
        <f t="shared" si="37"/>
        <v>2187</v>
      </c>
    </row>
    <row r="2189" spans="1:3" x14ac:dyDescent="0.2">
      <c r="A2189" s="78">
        <v>47845</v>
      </c>
      <c r="B2189" s="77">
        <f>+PT!A2191</f>
        <v>0</v>
      </c>
      <c r="C2189" s="77">
        <f t="shared" si="37"/>
        <v>2188</v>
      </c>
    </row>
    <row r="2190" spans="1:3" x14ac:dyDescent="0.2">
      <c r="A2190" s="78">
        <v>47846</v>
      </c>
      <c r="B2190" s="77">
        <f>+PT!A2192</f>
        <v>0</v>
      </c>
      <c r="C2190" s="77">
        <f t="shared" si="37"/>
        <v>2189</v>
      </c>
    </row>
    <row r="2191" spans="1:3" x14ac:dyDescent="0.2">
      <c r="A2191" s="78">
        <v>47847</v>
      </c>
      <c r="B2191" s="77">
        <f>+PT!A2193</f>
        <v>0</v>
      </c>
      <c r="C2191" s="77">
        <f t="shared" si="37"/>
        <v>2190</v>
      </c>
    </row>
    <row r="2192" spans="1:3" x14ac:dyDescent="0.2">
      <c r="A2192" s="78">
        <v>47848</v>
      </c>
      <c r="B2192" s="77">
        <f>+PT!A2194</f>
        <v>0</v>
      </c>
      <c r="C2192" s="77">
        <f t="shared" si="37"/>
        <v>2191</v>
      </c>
    </row>
    <row r="2193" spans="1:3" x14ac:dyDescent="0.2">
      <c r="A2193" s="78">
        <v>47849</v>
      </c>
      <c r="B2193" s="77">
        <f>+PT!A2195</f>
        <v>0</v>
      </c>
      <c r="C2193" s="77">
        <f t="shared" si="37"/>
        <v>2192</v>
      </c>
    </row>
    <row r="2194" spans="1:3" x14ac:dyDescent="0.2">
      <c r="A2194" s="78">
        <v>47850</v>
      </c>
      <c r="B2194" s="77">
        <f>+PT!A2196</f>
        <v>0</v>
      </c>
      <c r="C2194" s="77">
        <f t="shared" si="37"/>
        <v>2193</v>
      </c>
    </row>
    <row r="2195" spans="1:3" x14ac:dyDescent="0.2">
      <c r="A2195" s="78">
        <v>47851</v>
      </c>
      <c r="B2195" s="77">
        <f>+PT!A2197</f>
        <v>0</v>
      </c>
      <c r="C2195" s="77">
        <f t="shared" si="37"/>
        <v>2194</v>
      </c>
    </row>
    <row r="2196" spans="1:3" x14ac:dyDescent="0.2">
      <c r="A2196" s="78">
        <v>47852</v>
      </c>
      <c r="B2196" s="77">
        <f>+PT!A2198</f>
        <v>0</v>
      </c>
      <c r="C2196" s="77">
        <f t="shared" si="37"/>
        <v>2195</v>
      </c>
    </row>
    <row r="2197" spans="1:3" x14ac:dyDescent="0.2">
      <c r="A2197" s="78">
        <v>47853</v>
      </c>
      <c r="B2197" s="77">
        <f>+PT!A2199</f>
        <v>0</v>
      </c>
      <c r="C2197" s="77">
        <f t="shared" si="37"/>
        <v>2196</v>
      </c>
    </row>
    <row r="2198" spans="1:3" x14ac:dyDescent="0.2">
      <c r="A2198" s="78">
        <v>47854</v>
      </c>
      <c r="B2198" s="77">
        <f>+PT!A2200</f>
        <v>0</v>
      </c>
      <c r="C2198" s="77">
        <f t="shared" si="37"/>
        <v>2197</v>
      </c>
    </row>
    <row r="2199" spans="1:3" x14ac:dyDescent="0.2">
      <c r="A2199" s="78">
        <v>47855</v>
      </c>
      <c r="B2199" s="77">
        <f>+PT!A2201</f>
        <v>0</v>
      </c>
      <c r="C2199" s="77">
        <f t="shared" si="37"/>
        <v>2198</v>
      </c>
    </row>
    <row r="2200" spans="1:3" x14ac:dyDescent="0.2">
      <c r="A2200" s="78">
        <v>47856</v>
      </c>
      <c r="B2200" s="77">
        <f>+PT!A2202</f>
        <v>0</v>
      </c>
      <c r="C2200" s="77">
        <f t="shared" si="37"/>
        <v>2199</v>
      </c>
    </row>
    <row r="2201" spans="1:3" x14ac:dyDescent="0.2">
      <c r="A2201" s="78">
        <v>47857</v>
      </c>
      <c r="B2201" s="77">
        <f>+PT!A2203</f>
        <v>0</v>
      </c>
      <c r="C2201" s="77">
        <f t="shared" si="37"/>
        <v>2200</v>
      </c>
    </row>
    <row r="2202" spans="1:3" x14ac:dyDescent="0.2">
      <c r="A2202" s="78">
        <v>47858</v>
      </c>
      <c r="B2202" s="77">
        <f>+PT!A2204</f>
        <v>0</v>
      </c>
      <c r="C2202" s="77">
        <f t="shared" si="37"/>
        <v>2201</v>
      </c>
    </row>
    <row r="2203" spans="1:3" x14ac:dyDescent="0.2">
      <c r="A2203" s="78">
        <v>47859</v>
      </c>
      <c r="B2203" s="77">
        <f>+PT!A2205</f>
        <v>0</v>
      </c>
      <c r="C2203" s="77">
        <f t="shared" si="37"/>
        <v>2202</v>
      </c>
    </row>
    <row r="2204" spans="1:3" x14ac:dyDescent="0.2">
      <c r="A2204" s="78">
        <v>47860</v>
      </c>
      <c r="B2204" s="77">
        <f>+PT!A2206</f>
        <v>0</v>
      </c>
      <c r="C2204" s="77">
        <f t="shared" si="37"/>
        <v>2203</v>
      </c>
    </row>
    <row r="2205" spans="1:3" x14ac:dyDescent="0.2">
      <c r="A2205" s="78">
        <v>47861</v>
      </c>
      <c r="B2205" s="77">
        <f>+PT!A2207</f>
        <v>0</v>
      </c>
      <c r="C2205" s="77">
        <f t="shared" si="37"/>
        <v>2204</v>
      </c>
    </row>
    <row r="2206" spans="1:3" x14ac:dyDescent="0.2">
      <c r="A2206" s="78">
        <v>47862</v>
      </c>
      <c r="B2206" s="77">
        <f>+PT!A2208</f>
        <v>0</v>
      </c>
      <c r="C2206" s="77">
        <f t="shared" si="37"/>
        <v>2205</v>
      </c>
    </row>
    <row r="2207" spans="1:3" x14ac:dyDescent="0.2">
      <c r="A2207" s="78">
        <v>47863</v>
      </c>
      <c r="B2207" s="77">
        <f>+PT!A2209</f>
        <v>0</v>
      </c>
      <c r="C2207" s="77">
        <f t="shared" si="37"/>
        <v>2206</v>
      </c>
    </row>
    <row r="2208" spans="1:3" x14ac:dyDescent="0.2">
      <c r="A2208" s="78">
        <v>47864</v>
      </c>
      <c r="B2208" s="77">
        <f>+PT!A2210</f>
        <v>0</v>
      </c>
      <c r="C2208" s="77">
        <f t="shared" si="37"/>
        <v>2207</v>
      </c>
    </row>
    <row r="2209" spans="1:3" x14ac:dyDescent="0.2">
      <c r="A2209" s="78">
        <v>47865</v>
      </c>
      <c r="B2209" s="77">
        <f>+PT!A2211</f>
        <v>0</v>
      </c>
      <c r="C2209" s="77">
        <f t="shared" si="37"/>
        <v>2208</v>
      </c>
    </row>
    <row r="2210" spans="1:3" x14ac:dyDescent="0.2">
      <c r="A2210" s="78">
        <v>47866</v>
      </c>
      <c r="B2210" s="77">
        <f>+PT!A2212</f>
        <v>0</v>
      </c>
      <c r="C2210" s="77">
        <f t="shared" si="37"/>
        <v>2209</v>
      </c>
    </row>
    <row r="2211" spans="1:3" x14ac:dyDescent="0.2">
      <c r="A2211" s="78">
        <v>47867</v>
      </c>
      <c r="B2211" s="77">
        <f>+PT!A2213</f>
        <v>0</v>
      </c>
      <c r="C2211" s="77">
        <f t="shared" si="37"/>
        <v>2210</v>
      </c>
    </row>
    <row r="2212" spans="1:3" x14ac:dyDescent="0.2">
      <c r="A2212" s="78">
        <v>47868</v>
      </c>
      <c r="B2212" s="77">
        <f>+PT!A2214</f>
        <v>0</v>
      </c>
      <c r="C2212" s="77">
        <f t="shared" si="37"/>
        <v>2211</v>
      </c>
    </row>
    <row r="2213" spans="1:3" x14ac:dyDescent="0.2">
      <c r="A2213" s="78">
        <v>47869</v>
      </c>
      <c r="B2213" s="77">
        <f>+PT!A2215</f>
        <v>0</v>
      </c>
      <c r="C2213" s="77">
        <f t="shared" si="37"/>
        <v>2212</v>
      </c>
    </row>
    <row r="2214" spans="1:3" x14ac:dyDescent="0.2">
      <c r="A2214" s="78">
        <v>47870</v>
      </c>
      <c r="B2214" s="77">
        <f>+PT!A2216</f>
        <v>0</v>
      </c>
      <c r="C2214" s="77">
        <f t="shared" si="37"/>
        <v>2213</v>
      </c>
    </row>
    <row r="2215" spans="1:3" x14ac:dyDescent="0.2">
      <c r="A2215" s="78">
        <v>47871</v>
      </c>
      <c r="B2215" s="77">
        <f>+PT!A2217</f>
        <v>0</v>
      </c>
      <c r="C2215" s="77">
        <f t="shared" si="37"/>
        <v>2214</v>
      </c>
    </row>
    <row r="2216" spans="1:3" x14ac:dyDescent="0.2">
      <c r="A2216" s="78">
        <v>47872</v>
      </c>
      <c r="B2216" s="77">
        <f>+PT!A2218</f>
        <v>0</v>
      </c>
      <c r="C2216" s="77">
        <f t="shared" si="37"/>
        <v>2215</v>
      </c>
    </row>
    <row r="2217" spans="1:3" x14ac:dyDescent="0.2">
      <c r="A2217" s="78">
        <v>47873</v>
      </c>
      <c r="B2217" s="77">
        <f>+PT!A2219</f>
        <v>0</v>
      </c>
      <c r="C2217" s="77">
        <f t="shared" si="37"/>
        <v>2216</v>
      </c>
    </row>
    <row r="2218" spans="1:3" x14ac:dyDescent="0.2">
      <c r="A2218" s="78">
        <v>47874</v>
      </c>
      <c r="B2218" s="77">
        <f>+PT!A2220</f>
        <v>0</v>
      </c>
      <c r="C2218" s="77">
        <f t="shared" si="37"/>
        <v>2217</v>
      </c>
    </row>
    <row r="2219" spans="1:3" x14ac:dyDescent="0.2">
      <c r="A2219" s="78">
        <v>47875</v>
      </c>
      <c r="B2219" s="77">
        <f>+PT!A2221</f>
        <v>0</v>
      </c>
      <c r="C2219" s="77">
        <f t="shared" si="37"/>
        <v>2218</v>
      </c>
    </row>
    <row r="2220" spans="1:3" x14ac:dyDescent="0.2">
      <c r="A2220" s="78">
        <v>47876</v>
      </c>
      <c r="B2220" s="77">
        <f>+PT!A2222</f>
        <v>0</v>
      </c>
      <c r="C2220" s="77">
        <f t="shared" si="37"/>
        <v>2219</v>
      </c>
    </row>
    <row r="2221" spans="1:3" x14ac:dyDescent="0.2">
      <c r="A2221" s="78">
        <v>47877</v>
      </c>
      <c r="B2221" s="77">
        <f>+PT!A2223</f>
        <v>0</v>
      </c>
      <c r="C2221" s="77">
        <f t="shared" si="37"/>
        <v>2220</v>
      </c>
    </row>
    <row r="2222" spans="1:3" x14ac:dyDescent="0.2">
      <c r="A2222" s="78">
        <v>47878</v>
      </c>
      <c r="B2222" s="77">
        <f>+PT!A2224</f>
        <v>0</v>
      </c>
      <c r="C2222" s="77">
        <f t="shared" si="37"/>
        <v>2221</v>
      </c>
    </row>
    <row r="2223" spans="1:3" x14ac:dyDescent="0.2">
      <c r="A2223" s="78">
        <v>47879</v>
      </c>
      <c r="B2223" s="77">
        <f>+PT!A2225</f>
        <v>0</v>
      </c>
      <c r="C2223" s="77">
        <f t="shared" si="37"/>
        <v>2222</v>
      </c>
    </row>
    <row r="2224" spans="1:3" x14ac:dyDescent="0.2">
      <c r="A2224" s="78">
        <v>47880</v>
      </c>
      <c r="B2224" s="77">
        <f>+PT!A2226</f>
        <v>0</v>
      </c>
      <c r="C2224" s="77">
        <f t="shared" si="37"/>
        <v>2223</v>
      </c>
    </row>
    <row r="2225" spans="1:3" x14ac:dyDescent="0.2">
      <c r="A2225" s="78">
        <v>47881</v>
      </c>
      <c r="B2225" s="77">
        <f>+PT!A2227</f>
        <v>0</v>
      </c>
      <c r="C2225" s="77">
        <f t="shared" si="37"/>
        <v>2224</v>
      </c>
    </row>
    <row r="2226" spans="1:3" x14ac:dyDescent="0.2">
      <c r="A2226" s="78">
        <v>47882</v>
      </c>
      <c r="B2226" s="77">
        <f>+PT!A2228</f>
        <v>0</v>
      </c>
      <c r="C2226" s="77">
        <f t="shared" si="37"/>
        <v>2225</v>
      </c>
    </row>
    <row r="2227" spans="1:3" x14ac:dyDescent="0.2">
      <c r="A2227" s="78">
        <v>47883</v>
      </c>
      <c r="B2227" s="77">
        <f>+PT!A2229</f>
        <v>0</v>
      </c>
      <c r="C2227" s="77">
        <f t="shared" si="37"/>
        <v>2226</v>
      </c>
    </row>
    <row r="2228" spans="1:3" x14ac:dyDescent="0.2">
      <c r="A2228" s="78">
        <v>47884</v>
      </c>
      <c r="B2228" s="77">
        <f>+PT!A2230</f>
        <v>0</v>
      </c>
      <c r="C2228" s="77">
        <f t="shared" si="37"/>
        <v>2227</v>
      </c>
    </row>
    <row r="2229" spans="1:3" x14ac:dyDescent="0.2">
      <c r="A2229" s="78">
        <v>47885</v>
      </c>
      <c r="B2229" s="77">
        <f>+PT!A2231</f>
        <v>0</v>
      </c>
      <c r="C2229" s="77">
        <f t="shared" si="37"/>
        <v>2228</v>
      </c>
    </row>
    <row r="2230" spans="1:3" x14ac:dyDescent="0.2">
      <c r="A2230" s="78">
        <v>47886</v>
      </c>
      <c r="B2230" s="77">
        <f>+PT!A2232</f>
        <v>0</v>
      </c>
      <c r="C2230" s="77">
        <f t="shared" si="37"/>
        <v>2229</v>
      </c>
    </row>
    <row r="2231" spans="1:3" x14ac:dyDescent="0.2">
      <c r="A2231" s="78">
        <v>47887</v>
      </c>
      <c r="B2231" s="77">
        <f>+PT!A2233</f>
        <v>0</v>
      </c>
      <c r="C2231" s="77">
        <f t="shared" si="37"/>
        <v>2230</v>
      </c>
    </row>
    <row r="2232" spans="1:3" x14ac:dyDescent="0.2">
      <c r="A2232" s="78">
        <v>47888</v>
      </c>
      <c r="B2232" s="77">
        <f>+PT!A2234</f>
        <v>0</v>
      </c>
      <c r="C2232" s="77">
        <f t="shared" si="37"/>
        <v>2231</v>
      </c>
    </row>
    <row r="2233" spans="1:3" x14ac:dyDescent="0.2">
      <c r="A2233" s="78">
        <v>47889</v>
      </c>
      <c r="B2233" s="77">
        <f>+PT!A2235</f>
        <v>0</v>
      </c>
      <c r="C2233" s="77">
        <f t="shared" si="37"/>
        <v>2232</v>
      </c>
    </row>
    <row r="2234" spans="1:3" x14ac:dyDescent="0.2">
      <c r="A2234" s="78">
        <v>47890</v>
      </c>
      <c r="B2234" s="77">
        <f>+PT!A2236</f>
        <v>0</v>
      </c>
      <c r="C2234" s="77">
        <f t="shared" si="37"/>
        <v>2233</v>
      </c>
    </row>
    <row r="2235" spans="1:3" x14ac:dyDescent="0.2">
      <c r="A2235" s="78">
        <v>47891</v>
      </c>
      <c r="B2235" s="77">
        <f>+PT!A2237</f>
        <v>0</v>
      </c>
      <c r="C2235" s="77">
        <f t="shared" si="37"/>
        <v>2234</v>
      </c>
    </row>
    <row r="2236" spans="1:3" x14ac:dyDescent="0.2">
      <c r="A2236" s="78">
        <v>47892</v>
      </c>
      <c r="B2236" s="77">
        <f>+PT!A2238</f>
        <v>0</v>
      </c>
      <c r="C2236" s="77">
        <f t="shared" si="37"/>
        <v>2235</v>
      </c>
    </row>
    <row r="2237" spans="1:3" x14ac:dyDescent="0.2">
      <c r="A2237" s="78">
        <v>47893</v>
      </c>
      <c r="B2237" s="77">
        <f>+PT!A2239</f>
        <v>0</v>
      </c>
      <c r="C2237" s="77">
        <f t="shared" si="37"/>
        <v>2236</v>
      </c>
    </row>
    <row r="2238" spans="1:3" x14ac:dyDescent="0.2">
      <c r="A2238" s="78">
        <v>47894</v>
      </c>
      <c r="B2238" s="77">
        <f>+PT!A2240</f>
        <v>0</v>
      </c>
      <c r="C2238" s="77">
        <f t="shared" si="37"/>
        <v>2237</v>
      </c>
    </row>
    <row r="2239" spans="1:3" x14ac:dyDescent="0.2">
      <c r="A2239" s="78">
        <v>47895</v>
      </c>
      <c r="B2239" s="77">
        <f>+PT!A2241</f>
        <v>0</v>
      </c>
      <c r="C2239" s="77">
        <f t="shared" si="37"/>
        <v>2238</v>
      </c>
    </row>
    <row r="2240" spans="1:3" x14ac:dyDescent="0.2">
      <c r="A2240" s="78">
        <v>47896</v>
      </c>
      <c r="B2240" s="77">
        <f>+PT!A2242</f>
        <v>0</v>
      </c>
      <c r="C2240" s="77">
        <f t="shared" si="37"/>
        <v>2239</v>
      </c>
    </row>
    <row r="2241" spans="1:3" x14ac:dyDescent="0.2">
      <c r="A2241" s="78">
        <v>47897</v>
      </c>
      <c r="B2241" s="77">
        <f>+PT!A2243</f>
        <v>0</v>
      </c>
      <c r="C2241" s="77">
        <f t="shared" si="37"/>
        <v>2240</v>
      </c>
    </row>
    <row r="2242" spans="1:3" x14ac:dyDescent="0.2">
      <c r="A2242" s="78">
        <v>47898</v>
      </c>
      <c r="B2242" s="77">
        <f>+PT!A2244</f>
        <v>0</v>
      </c>
      <c r="C2242" s="77">
        <f t="shared" si="37"/>
        <v>2241</v>
      </c>
    </row>
    <row r="2243" spans="1:3" x14ac:dyDescent="0.2">
      <c r="A2243" s="78">
        <v>47899</v>
      </c>
      <c r="B2243" s="77">
        <f>+PT!A2245</f>
        <v>0</v>
      </c>
      <c r="C2243" s="77">
        <f t="shared" si="37"/>
        <v>2242</v>
      </c>
    </row>
    <row r="2244" spans="1:3" x14ac:dyDescent="0.2">
      <c r="A2244" s="78">
        <v>47900</v>
      </c>
      <c r="B2244" s="77">
        <f>+PT!A2246</f>
        <v>0</v>
      </c>
      <c r="C2244" s="77">
        <f t="shared" ref="C2244:C2307" si="38">+C2243+1</f>
        <v>2243</v>
      </c>
    </row>
    <row r="2245" spans="1:3" x14ac:dyDescent="0.2">
      <c r="A2245" s="78">
        <v>47901</v>
      </c>
      <c r="B2245" s="77">
        <f>+PT!A2247</f>
        <v>0</v>
      </c>
      <c r="C2245" s="77">
        <f t="shared" si="38"/>
        <v>2244</v>
      </c>
    </row>
    <row r="2246" spans="1:3" x14ac:dyDescent="0.2">
      <c r="A2246" s="78">
        <v>47902</v>
      </c>
      <c r="B2246" s="77">
        <f>+PT!A2248</f>
        <v>0</v>
      </c>
      <c r="C2246" s="77">
        <f t="shared" si="38"/>
        <v>2245</v>
      </c>
    </row>
    <row r="2247" spans="1:3" x14ac:dyDescent="0.2">
      <c r="A2247" s="78">
        <v>47903</v>
      </c>
      <c r="B2247" s="77">
        <f>+PT!A2249</f>
        <v>0</v>
      </c>
      <c r="C2247" s="77">
        <f t="shared" si="38"/>
        <v>2246</v>
      </c>
    </row>
    <row r="2248" spans="1:3" x14ac:dyDescent="0.2">
      <c r="A2248" s="78">
        <v>47904</v>
      </c>
      <c r="B2248" s="77">
        <f>+PT!A2250</f>
        <v>0</v>
      </c>
      <c r="C2248" s="77">
        <f t="shared" si="38"/>
        <v>2247</v>
      </c>
    </row>
    <row r="2249" spans="1:3" x14ac:dyDescent="0.2">
      <c r="A2249" s="78">
        <v>47905</v>
      </c>
      <c r="B2249" s="77">
        <f>+PT!A2251</f>
        <v>0</v>
      </c>
      <c r="C2249" s="77">
        <f t="shared" si="38"/>
        <v>2248</v>
      </c>
    </row>
    <row r="2250" spans="1:3" x14ac:dyDescent="0.2">
      <c r="A2250" s="78">
        <v>47906</v>
      </c>
      <c r="B2250" s="77">
        <f>+PT!A2252</f>
        <v>0</v>
      </c>
      <c r="C2250" s="77">
        <f t="shared" si="38"/>
        <v>2249</v>
      </c>
    </row>
    <row r="2251" spans="1:3" x14ac:dyDescent="0.2">
      <c r="A2251" s="78">
        <v>47907</v>
      </c>
      <c r="B2251" s="77">
        <f>+PT!A2253</f>
        <v>0</v>
      </c>
      <c r="C2251" s="77">
        <f t="shared" si="38"/>
        <v>2250</v>
      </c>
    </row>
    <row r="2252" spans="1:3" x14ac:dyDescent="0.2">
      <c r="A2252" s="78">
        <v>47908</v>
      </c>
      <c r="B2252" s="77">
        <f>+PT!A2254</f>
        <v>0</v>
      </c>
      <c r="C2252" s="77">
        <f t="shared" si="38"/>
        <v>2251</v>
      </c>
    </row>
    <row r="2253" spans="1:3" x14ac:dyDescent="0.2">
      <c r="A2253" s="78">
        <v>47909</v>
      </c>
      <c r="B2253" s="77">
        <f>+PT!A2255</f>
        <v>0</v>
      </c>
      <c r="C2253" s="77">
        <f t="shared" si="38"/>
        <v>2252</v>
      </c>
    </row>
    <row r="2254" spans="1:3" x14ac:dyDescent="0.2">
      <c r="A2254" s="78">
        <v>47910</v>
      </c>
      <c r="B2254" s="77">
        <f>+PT!A2256</f>
        <v>0</v>
      </c>
      <c r="C2254" s="77">
        <f t="shared" si="38"/>
        <v>2253</v>
      </c>
    </row>
    <row r="2255" spans="1:3" x14ac:dyDescent="0.2">
      <c r="A2255" s="78">
        <v>47911</v>
      </c>
      <c r="B2255" s="77">
        <f>+PT!A2257</f>
        <v>0</v>
      </c>
      <c r="C2255" s="77">
        <f t="shared" si="38"/>
        <v>2254</v>
      </c>
    </row>
    <row r="2256" spans="1:3" x14ac:dyDescent="0.2">
      <c r="A2256" s="78">
        <v>47912</v>
      </c>
      <c r="B2256" s="77">
        <f>+PT!A2258</f>
        <v>0</v>
      </c>
      <c r="C2256" s="77">
        <f t="shared" si="38"/>
        <v>2255</v>
      </c>
    </row>
    <row r="2257" spans="1:3" x14ac:dyDescent="0.2">
      <c r="A2257" s="78">
        <v>47913</v>
      </c>
      <c r="B2257" s="77">
        <f>+PT!A2259</f>
        <v>0</v>
      </c>
      <c r="C2257" s="77">
        <f t="shared" si="38"/>
        <v>2256</v>
      </c>
    </row>
    <row r="2258" spans="1:3" x14ac:dyDescent="0.2">
      <c r="A2258" s="78">
        <v>47914</v>
      </c>
      <c r="B2258" s="77">
        <f>+PT!A2260</f>
        <v>0</v>
      </c>
      <c r="C2258" s="77">
        <f t="shared" si="38"/>
        <v>2257</v>
      </c>
    </row>
    <row r="2259" spans="1:3" x14ac:dyDescent="0.2">
      <c r="A2259" s="78">
        <v>47915</v>
      </c>
      <c r="B2259" s="77">
        <f>+PT!A2261</f>
        <v>0</v>
      </c>
      <c r="C2259" s="77">
        <f t="shared" si="38"/>
        <v>2258</v>
      </c>
    </row>
    <row r="2260" spans="1:3" x14ac:dyDescent="0.2">
      <c r="A2260" s="78">
        <v>47916</v>
      </c>
      <c r="B2260" s="77">
        <f>+PT!A2262</f>
        <v>0</v>
      </c>
      <c r="C2260" s="77">
        <f t="shared" si="38"/>
        <v>2259</v>
      </c>
    </row>
    <row r="2261" spans="1:3" x14ac:dyDescent="0.2">
      <c r="A2261" s="78">
        <v>47917</v>
      </c>
      <c r="B2261" s="77">
        <f>+PT!A2263</f>
        <v>0</v>
      </c>
      <c r="C2261" s="77">
        <f t="shared" si="38"/>
        <v>2260</v>
      </c>
    </row>
    <row r="2262" spans="1:3" x14ac:dyDescent="0.2">
      <c r="A2262" s="78">
        <v>47918</v>
      </c>
      <c r="B2262" s="77">
        <f>+PT!A2264</f>
        <v>0</v>
      </c>
      <c r="C2262" s="77">
        <f t="shared" si="38"/>
        <v>2261</v>
      </c>
    </row>
    <row r="2263" spans="1:3" x14ac:dyDescent="0.2">
      <c r="A2263" s="78">
        <v>47919</v>
      </c>
      <c r="B2263" s="77">
        <f>+PT!A2265</f>
        <v>0</v>
      </c>
      <c r="C2263" s="77">
        <f t="shared" si="38"/>
        <v>2262</v>
      </c>
    </row>
    <row r="2264" spans="1:3" x14ac:dyDescent="0.2">
      <c r="A2264" s="78">
        <v>47920</v>
      </c>
      <c r="B2264" s="77">
        <f>+PT!A2266</f>
        <v>0</v>
      </c>
      <c r="C2264" s="77">
        <f t="shared" si="38"/>
        <v>2263</v>
      </c>
    </row>
    <row r="2265" spans="1:3" x14ac:dyDescent="0.2">
      <c r="A2265" s="78">
        <v>47921</v>
      </c>
      <c r="B2265" s="77">
        <f>+PT!A2267</f>
        <v>0</v>
      </c>
      <c r="C2265" s="77">
        <f t="shared" si="38"/>
        <v>2264</v>
      </c>
    </row>
    <row r="2266" spans="1:3" x14ac:dyDescent="0.2">
      <c r="A2266" s="78">
        <v>47922</v>
      </c>
      <c r="B2266" s="77">
        <f>+PT!A2268</f>
        <v>0</v>
      </c>
      <c r="C2266" s="77">
        <f t="shared" si="38"/>
        <v>2265</v>
      </c>
    </row>
    <row r="2267" spans="1:3" x14ac:dyDescent="0.2">
      <c r="A2267" s="78">
        <v>47923</v>
      </c>
      <c r="B2267" s="77">
        <f>+PT!A2269</f>
        <v>0</v>
      </c>
      <c r="C2267" s="77">
        <f t="shared" si="38"/>
        <v>2266</v>
      </c>
    </row>
    <row r="2268" spans="1:3" x14ac:dyDescent="0.2">
      <c r="A2268" s="78">
        <v>47924</v>
      </c>
      <c r="B2268" s="77">
        <f>+PT!A2270</f>
        <v>0</v>
      </c>
      <c r="C2268" s="77">
        <f t="shared" si="38"/>
        <v>2267</v>
      </c>
    </row>
    <row r="2269" spans="1:3" x14ac:dyDescent="0.2">
      <c r="A2269" s="78">
        <v>47925</v>
      </c>
      <c r="B2269" s="77">
        <f>+PT!A2271</f>
        <v>0</v>
      </c>
      <c r="C2269" s="77">
        <f t="shared" si="38"/>
        <v>2268</v>
      </c>
    </row>
    <row r="2270" spans="1:3" x14ac:dyDescent="0.2">
      <c r="A2270" s="78">
        <v>47926</v>
      </c>
      <c r="B2270" s="77">
        <f>+PT!A2272</f>
        <v>0</v>
      </c>
      <c r="C2270" s="77">
        <f t="shared" si="38"/>
        <v>2269</v>
      </c>
    </row>
    <row r="2271" spans="1:3" x14ac:dyDescent="0.2">
      <c r="A2271" s="78">
        <v>47927</v>
      </c>
      <c r="B2271" s="77">
        <f>+PT!A2273</f>
        <v>0</v>
      </c>
      <c r="C2271" s="77">
        <f t="shared" si="38"/>
        <v>2270</v>
      </c>
    </row>
    <row r="2272" spans="1:3" x14ac:dyDescent="0.2">
      <c r="A2272" s="78">
        <v>47928</v>
      </c>
      <c r="B2272" s="77">
        <f>+PT!A2274</f>
        <v>0</v>
      </c>
      <c r="C2272" s="77">
        <f t="shared" si="38"/>
        <v>2271</v>
      </c>
    </row>
    <row r="2273" spans="1:3" x14ac:dyDescent="0.2">
      <c r="A2273" s="78">
        <v>47929</v>
      </c>
      <c r="B2273" s="77">
        <f>+PT!A2275</f>
        <v>0</v>
      </c>
      <c r="C2273" s="77">
        <f t="shared" si="38"/>
        <v>2272</v>
      </c>
    </row>
    <row r="2274" spans="1:3" x14ac:dyDescent="0.2">
      <c r="A2274" s="78">
        <v>47930</v>
      </c>
      <c r="B2274" s="77">
        <f>+PT!A2276</f>
        <v>0</v>
      </c>
      <c r="C2274" s="77">
        <f t="shared" si="38"/>
        <v>2273</v>
      </c>
    </row>
    <row r="2275" spans="1:3" x14ac:dyDescent="0.2">
      <c r="A2275" s="78">
        <v>47931</v>
      </c>
      <c r="B2275" s="77">
        <f>+PT!A2277</f>
        <v>0</v>
      </c>
      <c r="C2275" s="77">
        <f t="shared" si="38"/>
        <v>2274</v>
      </c>
    </row>
    <row r="2276" spans="1:3" x14ac:dyDescent="0.2">
      <c r="A2276" s="78">
        <v>47932</v>
      </c>
      <c r="B2276" s="77">
        <f>+PT!A2278</f>
        <v>0</v>
      </c>
      <c r="C2276" s="77">
        <f t="shared" si="38"/>
        <v>2275</v>
      </c>
    </row>
    <row r="2277" spans="1:3" x14ac:dyDescent="0.2">
      <c r="A2277" s="78">
        <v>47933</v>
      </c>
      <c r="B2277" s="77">
        <f>+PT!A2279</f>
        <v>0</v>
      </c>
      <c r="C2277" s="77">
        <f t="shared" si="38"/>
        <v>2276</v>
      </c>
    </row>
    <row r="2278" spans="1:3" x14ac:dyDescent="0.2">
      <c r="A2278" s="78">
        <v>47934</v>
      </c>
      <c r="B2278" s="77">
        <f>+PT!A2280</f>
        <v>0</v>
      </c>
      <c r="C2278" s="77">
        <f t="shared" si="38"/>
        <v>2277</v>
      </c>
    </row>
    <row r="2279" spans="1:3" x14ac:dyDescent="0.2">
      <c r="A2279" s="78">
        <v>47935</v>
      </c>
      <c r="B2279" s="77">
        <f>+PT!A2281</f>
        <v>0</v>
      </c>
      <c r="C2279" s="77">
        <f t="shared" si="38"/>
        <v>2278</v>
      </c>
    </row>
    <row r="2280" spans="1:3" x14ac:dyDescent="0.2">
      <c r="A2280" s="78">
        <v>47936</v>
      </c>
      <c r="B2280" s="77">
        <f>+PT!A2282</f>
        <v>0</v>
      </c>
      <c r="C2280" s="77">
        <f t="shared" si="38"/>
        <v>2279</v>
      </c>
    </row>
    <row r="2281" spans="1:3" x14ac:dyDescent="0.2">
      <c r="A2281" s="78">
        <v>47937</v>
      </c>
      <c r="B2281" s="77">
        <f>+PT!A2283</f>
        <v>0</v>
      </c>
      <c r="C2281" s="77">
        <f t="shared" si="38"/>
        <v>2280</v>
      </c>
    </row>
    <row r="2282" spans="1:3" x14ac:dyDescent="0.2">
      <c r="A2282" s="78">
        <v>47938</v>
      </c>
      <c r="B2282" s="77">
        <f>+PT!A2284</f>
        <v>0</v>
      </c>
      <c r="C2282" s="77">
        <f t="shared" si="38"/>
        <v>2281</v>
      </c>
    </row>
    <row r="2283" spans="1:3" x14ac:dyDescent="0.2">
      <c r="A2283" s="78">
        <v>47939</v>
      </c>
      <c r="B2283" s="77">
        <f>+PT!A2285</f>
        <v>0</v>
      </c>
      <c r="C2283" s="77">
        <f t="shared" si="38"/>
        <v>2282</v>
      </c>
    </row>
    <row r="2284" spans="1:3" x14ac:dyDescent="0.2">
      <c r="A2284" s="78">
        <v>47940</v>
      </c>
      <c r="B2284" s="77">
        <f>+PT!A2286</f>
        <v>0</v>
      </c>
      <c r="C2284" s="77">
        <f t="shared" si="38"/>
        <v>2283</v>
      </c>
    </row>
    <row r="2285" spans="1:3" x14ac:dyDescent="0.2">
      <c r="A2285" s="78">
        <v>47941</v>
      </c>
      <c r="B2285" s="77">
        <f>+PT!A2287</f>
        <v>0</v>
      </c>
      <c r="C2285" s="77">
        <f t="shared" si="38"/>
        <v>2284</v>
      </c>
    </row>
    <row r="2286" spans="1:3" x14ac:dyDescent="0.2">
      <c r="A2286" s="78">
        <v>47942</v>
      </c>
      <c r="B2286" s="77">
        <f>+PT!A2288</f>
        <v>0</v>
      </c>
      <c r="C2286" s="77">
        <f t="shared" si="38"/>
        <v>2285</v>
      </c>
    </row>
    <row r="2287" spans="1:3" x14ac:dyDescent="0.2">
      <c r="A2287" s="78">
        <v>47943</v>
      </c>
      <c r="B2287" s="77">
        <f>+PT!A2289</f>
        <v>0</v>
      </c>
      <c r="C2287" s="77">
        <f t="shared" si="38"/>
        <v>2286</v>
      </c>
    </row>
    <row r="2288" spans="1:3" x14ac:dyDescent="0.2">
      <c r="A2288" s="78">
        <v>47944</v>
      </c>
      <c r="B2288" s="77">
        <f>+PT!A2290</f>
        <v>0</v>
      </c>
      <c r="C2288" s="77">
        <f t="shared" si="38"/>
        <v>2287</v>
      </c>
    </row>
    <row r="2289" spans="1:3" x14ac:dyDescent="0.2">
      <c r="A2289" s="78">
        <v>47945</v>
      </c>
      <c r="B2289" s="77">
        <f>+PT!A2291</f>
        <v>0</v>
      </c>
      <c r="C2289" s="77">
        <f t="shared" si="38"/>
        <v>2288</v>
      </c>
    </row>
    <row r="2290" spans="1:3" x14ac:dyDescent="0.2">
      <c r="A2290" s="78">
        <v>47946</v>
      </c>
      <c r="B2290" s="77">
        <f>+PT!A2292</f>
        <v>0</v>
      </c>
      <c r="C2290" s="77">
        <f t="shared" si="38"/>
        <v>2289</v>
      </c>
    </row>
    <row r="2291" spans="1:3" x14ac:dyDescent="0.2">
      <c r="A2291" s="78">
        <v>47947</v>
      </c>
      <c r="B2291" s="77">
        <f>+PT!A2293</f>
        <v>0</v>
      </c>
      <c r="C2291" s="77">
        <f t="shared" si="38"/>
        <v>2290</v>
      </c>
    </row>
    <row r="2292" spans="1:3" x14ac:dyDescent="0.2">
      <c r="A2292" s="78">
        <v>47948</v>
      </c>
      <c r="B2292" s="77">
        <f>+PT!A2294</f>
        <v>0</v>
      </c>
      <c r="C2292" s="77">
        <f t="shared" si="38"/>
        <v>2291</v>
      </c>
    </row>
    <row r="2293" spans="1:3" x14ac:dyDescent="0.2">
      <c r="A2293" s="78">
        <v>47949</v>
      </c>
      <c r="B2293" s="77">
        <f>+PT!A2295</f>
        <v>0</v>
      </c>
      <c r="C2293" s="77">
        <f t="shared" si="38"/>
        <v>2292</v>
      </c>
    </row>
    <row r="2294" spans="1:3" x14ac:dyDescent="0.2">
      <c r="A2294" s="78">
        <v>47950</v>
      </c>
      <c r="B2294" s="77">
        <f>+PT!A2296</f>
        <v>0</v>
      </c>
      <c r="C2294" s="77">
        <f t="shared" si="38"/>
        <v>2293</v>
      </c>
    </row>
    <row r="2295" spans="1:3" x14ac:dyDescent="0.2">
      <c r="A2295" s="78">
        <v>47951</v>
      </c>
      <c r="B2295" s="77">
        <f>+PT!A2297</f>
        <v>0</v>
      </c>
      <c r="C2295" s="77">
        <f t="shared" si="38"/>
        <v>2294</v>
      </c>
    </row>
    <row r="2296" spans="1:3" x14ac:dyDescent="0.2">
      <c r="A2296" s="78">
        <v>47952</v>
      </c>
      <c r="B2296" s="77">
        <f>+PT!A2298</f>
        <v>0</v>
      </c>
      <c r="C2296" s="77">
        <f t="shared" si="38"/>
        <v>2295</v>
      </c>
    </row>
    <row r="2297" spans="1:3" x14ac:dyDescent="0.2">
      <c r="A2297" s="78">
        <v>47953</v>
      </c>
      <c r="B2297" s="77">
        <f>+PT!A2299</f>
        <v>0</v>
      </c>
      <c r="C2297" s="77">
        <f t="shared" si="38"/>
        <v>2296</v>
      </c>
    </row>
    <row r="2298" spans="1:3" x14ac:dyDescent="0.2">
      <c r="A2298" s="78">
        <v>47954</v>
      </c>
      <c r="B2298" s="77">
        <f>+PT!A2300</f>
        <v>0</v>
      </c>
      <c r="C2298" s="77">
        <f t="shared" si="38"/>
        <v>2297</v>
      </c>
    </row>
    <row r="2299" spans="1:3" x14ac:dyDescent="0.2">
      <c r="A2299" s="78">
        <v>47955</v>
      </c>
      <c r="B2299" s="77">
        <f>+PT!A2301</f>
        <v>0</v>
      </c>
      <c r="C2299" s="77">
        <f t="shared" si="38"/>
        <v>2298</v>
      </c>
    </row>
    <row r="2300" spans="1:3" x14ac:dyDescent="0.2">
      <c r="A2300" s="78">
        <v>47956</v>
      </c>
      <c r="B2300" s="77">
        <f>+PT!A2302</f>
        <v>0</v>
      </c>
      <c r="C2300" s="77">
        <f t="shared" si="38"/>
        <v>2299</v>
      </c>
    </row>
    <row r="2301" spans="1:3" x14ac:dyDescent="0.2">
      <c r="A2301" s="78">
        <v>47957</v>
      </c>
      <c r="B2301" s="77">
        <f>+PT!A2303</f>
        <v>0</v>
      </c>
      <c r="C2301" s="77">
        <f t="shared" si="38"/>
        <v>2300</v>
      </c>
    </row>
    <row r="2302" spans="1:3" x14ac:dyDescent="0.2">
      <c r="A2302" s="78">
        <v>47958</v>
      </c>
      <c r="B2302" s="77">
        <f>+PT!A2304</f>
        <v>0</v>
      </c>
      <c r="C2302" s="77">
        <f t="shared" si="38"/>
        <v>2301</v>
      </c>
    </row>
    <row r="2303" spans="1:3" x14ac:dyDescent="0.2">
      <c r="A2303" s="78">
        <v>47959</v>
      </c>
      <c r="B2303" s="77">
        <f>+PT!A2305</f>
        <v>0</v>
      </c>
      <c r="C2303" s="77">
        <f t="shared" si="38"/>
        <v>2302</v>
      </c>
    </row>
    <row r="2304" spans="1:3" x14ac:dyDescent="0.2">
      <c r="A2304" s="78">
        <v>47960</v>
      </c>
      <c r="B2304" s="77">
        <f>+PT!A2306</f>
        <v>0</v>
      </c>
      <c r="C2304" s="77">
        <f t="shared" si="38"/>
        <v>2303</v>
      </c>
    </row>
    <row r="2305" spans="1:3" x14ac:dyDescent="0.2">
      <c r="A2305" s="78">
        <v>47961</v>
      </c>
      <c r="B2305" s="77">
        <f>+PT!A2307</f>
        <v>0</v>
      </c>
      <c r="C2305" s="77">
        <f t="shared" si="38"/>
        <v>2304</v>
      </c>
    </row>
    <row r="2306" spans="1:3" x14ac:dyDescent="0.2">
      <c r="A2306" s="78">
        <v>47962</v>
      </c>
      <c r="B2306" s="77">
        <f>+PT!A2308</f>
        <v>0</v>
      </c>
      <c r="C2306" s="77">
        <f t="shared" si="38"/>
        <v>2305</v>
      </c>
    </row>
    <row r="2307" spans="1:3" x14ac:dyDescent="0.2">
      <c r="A2307" s="78">
        <v>47963</v>
      </c>
      <c r="B2307" s="77">
        <f>+PT!A2309</f>
        <v>0</v>
      </c>
      <c r="C2307" s="77">
        <f t="shared" si="38"/>
        <v>2306</v>
      </c>
    </row>
    <row r="2308" spans="1:3" x14ac:dyDescent="0.2">
      <c r="A2308" s="78">
        <v>47964</v>
      </c>
      <c r="B2308" s="77">
        <f>+PT!A2310</f>
        <v>0</v>
      </c>
      <c r="C2308" s="77">
        <f t="shared" ref="C2308:C2371" si="39">+C2307+1</f>
        <v>2307</v>
      </c>
    </row>
    <row r="2309" spans="1:3" x14ac:dyDescent="0.2">
      <c r="A2309" s="78">
        <v>47965</v>
      </c>
      <c r="B2309" s="77">
        <f>+PT!A2311</f>
        <v>0</v>
      </c>
      <c r="C2309" s="77">
        <f t="shared" si="39"/>
        <v>2308</v>
      </c>
    </row>
    <row r="2310" spans="1:3" x14ac:dyDescent="0.2">
      <c r="A2310" s="78">
        <v>47966</v>
      </c>
      <c r="B2310" s="77">
        <f>+PT!A2312</f>
        <v>0</v>
      </c>
      <c r="C2310" s="77">
        <f t="shared" si="39"/>
        <v>2309</v>
      </c>
    </row>
    <row r="2311" spans="1:3" x14ac:dyDescent="0.2">
      <c r="A2311" s="78">
        <v>47967</v>
      </c>
      <c r="B2311" s="77">
        <f>+PT!A2313</f>
        <v>0</v>
      </c>
      <c r="C2311" s="77">
        <f t="shared" si="39"/>
        <v>2310</v>
      </c>
    </row>
    <row r="2312" spans="1:3" x14ac:dyDescent="0.2">
      <c r="A2312" s="78">
        <v>47968</v>
      </c>
      <c r="B2312" s="77">
        <f>+PT!A2314</f>
        <v>0</v>
      </c>
      <c r="C2312" s="77">
        <f t="shared" si="39"/>
        <v>2311</v>
      </c>
    </row>
    <row r="2313" spans="1:3" x14ac:dyDescent="0.2">
      <c r="A2313" s="78">
        <v>47969</v>
      </c>
      <c r="B2313" s="77">
        <f>+PT!A2315</f>
        <v>0</v>
      </c>
      <c r="C2313" s="77">
        <f t="shared" si="39"/>
        <v>2312</v>
      </c>
    </row>
    <row r="2314" spans="1:3" x14ac:dyDescent="0.2">
      <c r="A2314" s="78">
        <v>47970</v>
      </c>
      <c r="B2314" s="77">
        <f>+PT!A2316</f>
        <v>0</v>
      </c>
      <c r="C2314" s="77">
        <f t="shared" si="39"/>
        <v>2313</v>
      </c>
    </row>
    <row r="2315" spans="1:3" x14ac:dyDescent="0.2">
      <c r="A2315" s="78">
        <v>47971</v>
      </c>
      <c r="B2315" s="77">
        <f>+PT!A2317</f>
        <v>0</v>
      </c>
      <c r="C2315" s="77">
        <f t="shared" si="39"/>
        <v>2314</v>
      </c>
    </row>
    <row r="2316" spans="1:3" x14ac:dyDescent="0.2">
      <c r="A2316" s="78">
        <v>47972</v>
      </c>
      <c r="B2316" s="77">
        <f>+PT!A2318</f>
        <v>0</v>
      </c>
      <c r="C2316" s="77">
        <f t="shared" si="39"/>
        <v>2315</v>
      </c>
    </row>
    <row r="2317" spans="1:3" x14ac:dyDescent="0.2">
      <c r="A2317" s="78">
        <v>47973</v>
      </c>
      <c r="B2317" s="77">
        <f>+PT!A2319</f>
        <v>0</v>
      </c>
      <c r="C2317" s="77">
        <f t="shared" si="39"/>
        <v>2316</v>
      </c>
    </row>
    <row r="2318" spans="1:3" x14ac:dyDescent="0.2">
      <c r="A2318" s="78">
        <v>47974</v>
      </c>
      <c r="B2318" s="77">
        <f>+PT!A2320</f>
        <v>0</v>
      </c>
      <c r="C2318" s="77">
        <f t="shared" si="39"/>
        <v>2317</v>
      </c>
    </row>
    <row r="2319" spans="1:3" x14ac:dyDescent="0.2">
      <c r="A2319" s="78">
        <v>47975</v>
      </c>
      <c r="B2319" s="77">
        <f>+PT!A2321</f>
        <v>0</v>
      </c>
      <c r="C2319" s="77">
        <f t="shared" si="39"/>
        <v>2318</v>
      </c>
    </row>
    <row r="2320" spans="1:3" x14ac:dyDescent="0.2">
      <c r="A2320" s="78">
        <v>47976</v>
      </c>
      <c r="B2320" s="77">
        <f>+PT!A2322</f>
        <v>0</v>
      </c>
      <c r="C2320" s="77">
        <f t="shared" si="39"/>
        <v>2319</v>
      </c>
    </row>
    <row r="2321" spans="1:3" x14ac:dyDescent="0.2">
      <c r="A2321" s="78">
        <v>47977</v>
      </c>
      <c r="B2321" s="77">
        <f>+PT!A2323</f>
        <v>0</v>
      </c>
      <c r="C2321" s="77">
        <f t="shared" si="39"/>
        <v>2320</v>
      </c>
    </row>
    <row r="2322" spans="1:3" x14ac:dyDescent="0.2">
      <c r="A2322" s="78">
        <v>47978</v>
      </c>
      <c r="B2322" s="77">
        <f>+PT!A2324</f>
        <v>0</v>
      </c>
      <c r="C2322" s="77">
        <f t="shared" si="39"/>
        <v>2321</v>
      </c>
    </row>
    <row r="2323" spans="1:3" x14ac:dyDescent="0.2">
      <c r="A2323" s="78">
        <v>47979</v>
      </c>
      <c r="B2323" s="77">
        <f>+PT!A2325</f>
        <v>0</v>
      </c>
      <c r="C2323" s="77">
        <f t="shared" si="39"/>
        <v>2322</v>
      </c>
    </row>
    <row r="2324" spans="1:3" x14ac:dyDescent="0.2">
      <c r="A2324" s="78">
        <v>47980</v>
      </c>
      <c r="B2324" s="77">
        <f>+PT!A2326</f>
        <v>0</v>
      </c>
      <c r="C2324" s="77">
        <f t="shared" si="39"/>
        <v>2323</v>
      </c>
    </row>
    <row r="2325" spans="1:3" x14ac:dyDescent="0.2">
      <c r="A2325" s="78">
        <v>47981</v>
      </c>
      <c r="B2325" s="77">
        <f>+PT!A2327</f>
        <v>0</v>
      </c>
      <c r="C2325" s="77">
        <f t="shared" si="39"/>
        <v>2324</v>
      </c>
    </row>
    <row r="2326" spans="1:3" x14ac:dyDescent="0.2">
      <c r="A2326" s="78">
        <v>47982</v>
      </c>
      <c r="B2326" s="77">
        <f>+PT!A2328</f>
        <v>0</v>
      </c>
      <c r="C2326" s="77">
        <f t="shared" si="39"/>
        <v>2325</v>
      </c>
    </row>
    <row r="2327" spans="1:3" x14ac:dyDescent="0.2">
      <c r="A2327" s="78">
        <v>47983</v>
      </c>
      <c r="B2327" s="77">
        <f>+PT!A2329</f>
        <v>0</v>
      </c>
      <c r="C2327" s="77">
        <f t="shared" si="39"/>
        <v>2326</v>
      </c>
    </row>
    <row r="2328" spans="1:3" x14ac:dyDescent="0.2">
      <c r="A2328" s="78">
        <v>47984</v>
      </c>
      <c r="B2328" s="77">
        <f>+PT!A2330</f>
        <v>0</v>
      </c>
      <c r="C2328" s="77">
        <f t="shared" si="39"/>
        <v>2327</v>
      </c>
    </row>
    <row r="2329" spans="1:3" x14ac:dyDescent="0.2">
      <c r="A2329" s="78">
        <v>47985</v>
      </c>
      <c r="B2329" s="77">
        <f>+PT!A2331</f>
        <v>0</v>
      </c>
      <c r="C2329" s="77">
        <f t="shared" si="39"/>
        <v>2328</v>
      </c>
    </row>
    <row r="2330" spans="1:3" x14ac:dyDescent="0.2">
      <c r="A2330" s="78">
        <v>47986</v>
      </c>
      <c r="B2330" s="77">
        <f>+PT!A2332</f>
        <v>0</v>
      </c>
      <c r="C2330" s="77">
        <f t="shared" si="39"/>
        <v>2329</v>
      </c>
    </row>
    <row r="2331" spans="1:3" x14ac:dyDescent="0.2">
      <c r="A2331" s="78">
        <v>47987</v>
      </c>
      <c r="B2331" s="77">
        <f>+PT!A2333</f>
        <v>0</v>
      </c>
      <c r="C2331" s="77">
        <f t="shared" si="39"/>
        <v>2330</v>
      </c>
    </row>
    <row r="2332" spans="1:3" x14ac:dyDescent="0.2">
      <c r="A2332" s="78">
        <v>47988</v>
      </c>
      <c r="B2332" s="77">
        <f>+PT!A2334</f>
        <v>0</v>
      </c>
      <c r="C2332" s="77">
        <f t="shared" si="39"/>
        <v>2331</v>
      </c>
    </row>
    <row r="2333" spans="1:3" x14ac:dyDescent="0.2">
      <c r="A2333" s="78">
        <v>47989</v>
      </c>
      <c r="B2333" s="77">
        <f>+PT!A2335</f>
        <v>0</v>
      </c>
      <c r="C2333" s="77">
        <f t="shared" si="39"/>
        <v>2332</v>
      </c>
    </row>
    <row r="2334" spans="1:3" x14ac:dyDescent="0.2">
      <c r="A2334" s="78">
        <v>47990</v>
      </c>
      <c r="B2334" s="77">
        <f>+PT!A2336</f>
        <v>0</v>
      </c>
      <c r="C2334" s="77">
        <f t="shared" si="39"/>
        <v>2333</v>
      </c>
    </row>
    <row r="2335" spans="1:3" x14ac:dyDescent="0.2">
      <c r="A2335" s="78">
        <v>47991</v>
      </c>
      <c r="B2335" s="77">
        <f>+PT!A2337</f>
        <v>0</v>
      </c>
      <c r="C2335" s="77">
        <f t="shared" si="39"/>
        <v>2334</v>
      </c>
    </row>
    <row r="2336" spans="1:3" x14ac:dyDescent="0.2">
      <c r="A2336" s="78">
        <v>47992</v>
      </c>
      <c r="B2336" s="77">
        <f>+PT!A2338</f>
        <v>0</v>
      </c>
      <c r="C2336" s="77">
        <f t="shared" si="39"/>
        <v>2335</v>
      </c>
    </row>
    <row r="2337" spans="1:3" x14ac:dyDescent="0.2">
      <c r="A2337" s="78">
        <v>47993</v>
      </c>
      <c r="B2337" s="77">
        <f>+PT!A2339</f>
        <v>0</v>
      </c>
      <c r="C2337" s="77">
        <f t="shared" si="39"/>
        <v>2336</v>
      </c>
    </row>
    <row r="2338" spans="1:3" x14ac:dyDescent="0.2">
      <c r="A2338" s="78">
        <v>47994</v>
      </c>
      <c r="B2338" s="77">
        <f>+PT!A2340</f>
        <v>0</v>
      </c>
      <c r="C2338" s="77">
        <f t="shared" si="39"/>
        <v>2337</v>
      </c>
    </row>
    <row r="2339" spans="1:3" x14ac:dyDescent="0.2">
      <c r="A2339" s="78">
        <v>47995</v>
      </c>
      <c r="B2339" s="77">
        <f>+PT!A2341</f>
        <v>0</v>
      </c>
      <c r="C2339" s="77">
        <f t="shared" si="39"/>
        <v>2338</v>
      </c>
    </row>
    <row r="2340" spans="1:3" x14ac:dyDescent="0.2">
      <c r="A2340" s="78">
        <v>47996</v>
      </c>
      <c r="B2340" s="77">
        <f>+PT!A2342</f>
        <v>0</v>
      </c>
      <c r="C2340" s="77">
        <f t="shared" si="39"/>
        <v>2339</v>
      </c>
    </row>
    <row r="2341" spans="1:3" x14ac:dyDescent="0.2">
      <c r="A2341" s="78">
        <v>47997</v>
      </c>
      <c r="B2341" s="77">
        <f>+PT!A2343</f>
        <v>0</v>
      </c>
      <c r="C2341" s="77">
        <f t="shared" si="39"/>
        <v>2340</v>
      </c>
    </row>
    <row r="2342" spans="1:3" x14ac:dyDescent="0.2">
      <c r="A2342" s="78">
        <v>47998</v>
      </c>
      <c r="B2342" s="77">
        <f>+PT!A2344</f>
        <v>0</v>
      </c>
      <c r="C2342" s="77">
        <f t="shared" si="39"/>
        <v>2341</v>
      </c>
    </row>
    <row r="2343" spans="1:3" x14ac:dyDescent="0.2">
      <c r="A2343" s="78">
        <v>47999</v>
      </c>
      <c r="B2343" s="77">
        <f>+PT!A2345</f>
        <v>0</v>
      </c>
      <c r="C2343" s="77">
        <f t="shared" si="39"/>
        <v>2342</v>
      </c>
    </row>
    <row r="2344" spans="1:3" x14ac:dyDescent="0.2">
      <c r="A2344" s="78">
        <v>48000</v>
      </c>
      <c r="B2344" s="77">
        <f>+PT!A2346</f>
        <v>0</v>
      </c>
      <c r="C2344" s="77">
        <f t="shared" si="39"/>
        <v>2343</v>
      </c>
    </row>
    <row r="2345" spans="1:3" x14ac:dyDescent="0.2">
      <c r="A2345" s="78">
        <v>48001</v>
      </c>
      <c r="B2345" s="77">
        <f>+PT!A2347</f>
        <v>0</v>
      </c>
      <c r="C2345" s="77">
        <f t="shared" si="39"/>
        <v>2344</v>
      </c>
    </row>
    <row r="2346" spans="1:3" x14ac:dyDescent="0.2">
      <c r="A2346" s="78">
        <v>48002</v>
      </c>
      <c r="B2346" s="77">
        <f>+PT!A2348</f>
        <v>0</v>
      </c>
      <c r="C2346" s="77">
        <f t="shared" si="39"/>
        <v>2345</v>
      </c>
    </row>
    <row r="2347" spans="1:3" x14ac:dyDescent="0.2">
      <c r="A2347" s="78">
        <v>48003</v>
      </c>
      <c r="B2347" s="77">
        <f>+PT!A2349</f>
        <v>0</v>
      </c>
      <c r="C2347" s="77">
        <f t="shared" si="39"/>
        <v>2346</v>
      </c>
    </row>
    <row r="2348" spans="1:3" x14ac:dyDescent="0.2">
      <c r="A2348" s="78">
        <v>48004</v>
      </c>
      <c r="B2348" s="77">
        <f>+PT!A2350</f>
        <v>0</v>
      </c>
      <c r="C2348" s="77">
        <f t="shared" si="39"/>
        <v>2347</v>
      </c>
    </row>
    <row r="2349" spans="1:3" x14ac:dyDescent="0.2">
      <c r="A2349" s="78">
        <v>48005</v>
      </c>
      <c r="B2349" s="77">
        <f>+PT!A2351</f>
        <v>0</v>
      </c>
      <c r="C2349" s="77">
        <f t="shared" si="39"/>
        <v>2348</v>
      </c>
    </row>
    <row r="2350" spans="1:3" x14ac:dyDescent="0.2">
      <c r="A2350" s="78">
        <v>48006</v>
      </c>
      <c r="B2350" s="77">
        <f>+PT!A2352</f>
        <v>0</v>
      </c>
      <c r="C2350" s="77">
        <f t="shared" si="39"/>
        <v>2349</v>
      </c>
    </row>
    <row r="2351" spans="1:3" x14ac:dyDescent="0.2">
      <c r="A2351" s="78">
        <v>48007</v>
      </c>
      <c r="B2351" s="77">
        <f>+PT!A2353</f>
        <v>0</v>
      </c>
      <c r="C2351" s="77">
        <f t="shared" si="39"/>
        <v>2350</v>
      </c>
    </row>
    <row r="2352" spans="1:3" x14ac:dyDescent="0.2">
      <c r="A2352" s="78">
        <v>48008</v>
      </c>
      <c r="B2352" s="77">
        <f>+PT!A2354</f>
        <v>0</v>
      </c>
      <c r="C2352" s="77">
        <f t="shared" si="39"/>
        <v>2351</v>
      </c>
    </row>
    <row r="2353" spans="1:3" x14ac:dyDescent="0.2">
      <c r="A2353" s="78">
        <v>48009</v>
      </c>
      <c r="B2353" s="77">
        <f>+PT!A2355</f>
        <v>0</v>
      </c>
      <c r="C2353" s="77">
        <f t="shared" si="39"/>
        <v>2352</v>
      </c>
    </row>
    <row r="2354" spans="1:3" x14ac:dyDescent="0.2">
      <c r="A2354" s="78">
        <v>48010</v>
      </c>
      <c r="B2354" s="77">
        <f>+PT!A2356</f>
        <v>0</v>
      </c>
      <c r="C2354" s="77">
        <f t="shared" si="39"/>
        <v>2353</v>
      </c>
    </row>
    <row r="2355" spans="1:3" x14ac:dyDescent="0.2">
      <c r="A2355" s="78">
        <v>48011</v>
      </c>
      <c r="B2355" s="77">
        <f>+PT!A2357</f>
        <v>0</v>
      </c>
      <c r="C2355" s="77">
        <f t="shared" si="39"/>
        <v>2354</v>
      </c>
    </row>
    <row r="2356" spans="1:3" x14ac:dyDescent="0.2">
      <c r="A2356" s="78">
        <v>48012</v>
      </c>
      <c r="B2356" s="77">
        <f>+PT!A2358</f>
        <v>0</v>
      </c>
      <c r="C2356" s="77">
        <f t="shared" si="39"/>
        <v>2355</v>
      </c>
    </row>
    <row r="2357" spans="1:3" x14ac:dyDescent="0.2">
      <c r="A2357" s="78">
        <v>48013</v>
      </c>
      <c r="B2357" s="77">
        <f>+PT!A2359</f>
        <v>0</v>
      </c>
      <c r="C2357" s="77">
        <f t="shared" si="39"/>
        <v>2356</v>
      </c>
    </row>
    <row r="2358" spans="1:3" x14ac:dyDescent="0.2">
      <c r="A2358" s="78">
        <v>48014</v>
      </c>
      <c r="B2358" s="77">
        <f>+PT!A2360</f>
        <v>0</v>
      </c>
      <c r="C2358" s="77">
        <f t="shared" si="39"/>
        <v>2357</v>
      </c>
    </row>
    <row r="2359" spans="1:3" x14ac:dyDescent="0.2">
      <c r="A2359" s="78">
        <v>48015</v>
      </c>
      <c r="B2359" s="77">
        <f>+PT!A2361</f>
        <v>0</v>
      </c>
      <c r="C2359" s="77">
        <f t="shared" si="39"/>
        <v>2358</v>
      </c>
    </row>
    <row r="2360" spans="1:3" x14ac:dyDescent="0.2">
      <c r="A2360" s="78">
        <v>48016</v>
      </c>
      <c r="B2360" s="77">
        <f>+PT!A2362</f>
        <v>0</v>
      </c>
      <c r="C2360" s="77">
        <f t="shared" si="39"/>
        <v>2359</v>
      </c>
    </row>
    <row r="2361" spans="1:3" x14ac:dyDescent="0.2">
      <c r="A2361" s="78">
        <v>48017</v>
      </c>
      <c r="B2361" s="77">
        <f>+PT!A2363</f>
        <v>0</v>
      </c>
      <c r="C2361" s="77">
        <f t="shared" si="39"/>
        <v>2360</v>
      </c>
    </row>
    <row r="2362" spans="1:3" x14ac:dyDescent="0.2">
      <c r="A2362" s="78">
        <v>48018</v>
      </c>
      <c r="B2362" s="77">
        <f>+PT!A2364</f>
        <v>0</v>
      </c>
      <c r="C2362" s="77">
        <f t="shared" si="39"/>
        <v>2361</v>
      </c>
    </row>
    <row r="2363" spans="1:3" x14ac:dyDescent="0.2">
      <c r="A2363" s="78">
        <v>48019</v>
      </c>
      <c r="B2363" s="77">
        <f>+PT!A2365</f>
        <v>0</v>
      </c>
      <c r="C2363" s="77">
        <f t="shared" si="39"/>
        <v>2362</v>
      </c>
    </row>
    <row r="2364" spans="1:3" x14ac:dyDescent="0.2">
      <c r="A2364" s="78">
        <v>48020</v>
      </c>
      <c r="B2364" s="77">
        <f>+PT!A2366</f>
        <v>0</v>
      </c>
      <c r="C2364" s="77">
        <f t="shared" si="39"/>
        <v>2363</v>
      </c>
    </row>
    <row r="2365" spans="1:3" x14ac:dyDescent="0.2">
      <c r="A2365" s="78">
        <v>48021</v>
      </c>
      <c r="B2365" s="77">
        <f>+PT!A2367</f>
        <v>0</v>
      </c>
      <c r="C2365" s="77">
        <f t="shared" si="39"/>
        <v>2364</v>
      </c>
    </row>
    <row r="2366" spans="1:3" x14ac:dyDescent="0.2">
      <c r="A2366" s="78">
        <v>48022</v>
      </c>
      <c r="B2366" s="77">
        <f>+PT!A2368</f>
        <v>0</v>
      </c>
      <c r="C2366" s="77">
        <f t="shared" si="39"/>
        <v>2365</v>
      </c>
    </row>
    <row r="2367" spans="1:3" x14ac:dyDescent="0.2">
      <c r="A2367" s="78">
        <v>48023</v>
      </c>
      <c r="B2367" s="77">
        <f>+PT!A2369</f>
        <v>0</v>
      </c>
      <c r="C2367" s="77">
        <f t="shared" si="39"/>
        <v>2366</v>
      </c>
    </row>
    <row r="2368" spans="1:3" x14ac:dyDescent="0.2">
      <c r="A2368" s="78">
        <v>48024</v>
      </c>
      <c r="B2368" s="77">
        <f>+PT!A2370</f>
        <v>0</v>
      </c>
      <c r="C2368" s="77">
        <f t="shared" si="39"/>
        <v>2367</v>
      </c>
    </row>
    <row r="2369" spans="1:3" x14ac:dyDescent="0.2">
      <c r="A2369" s="78">
        <v>48025</v>
      </c>
      <c r="B2369" s="77">
        <f>+PT!A2371</f>
        <v>0</v>
      </c>
      <c r="C2369" s="77">
        <f t="shared" si="39"/>
        <v>2368</v>
      </c>
    </row>
    <row r="2370" spans="1:3" x14ac:dyDescent="0.2">
      <c r="A2370" s="78">
        <v>48026</v>
      </c>
      <c r="B2370" s="77">
        <f>+PT!A2372</f>
        <v>0</v>
      </c>
      <c r="C2370" s="77">
        <f t="shared" si="39"/>
        <v>2369</v>
      </c>
    </row>
    <row r="2371" spans="1:3" x14ac:dyDescent="0.2">
      <c r="A2371" s="78">
        <v>48027</v>
      </c>
      <c r="B2371" s="77">
        <f>+PT!A2373</f>
        <v>0</v>
      </c>
      <c r="C2371" s="77">
        <f t="shared" si="39"/>
        <v>2370</v>
      </c>
    </row>
    <row r="2372" spans="1:3" x14ac:dyDescent="0.2">
      <c r="A2372" s="78">
        <v>48028</v>
      </c>
      <c r="B2372" s="77">
        <f>+PT!A2374</f>
        <v>0</v>
      </c>
      <c r="C2372" s="77">
        <f t="shared" ref="C2372:C2435" si="40">+C2371+1</f>
        <v>2371</v>
      </c>
    </row>
    <row r="2373" spans="1:3" x14ac:dyDescent="0.2">
      <c r="A2373" s="78">
        <v>48029</v>
      </c>
      <c r="B2373" s="77">
        <f>+PT!A2375</f>
        <v>0</v>
      </c>
      <c r="C2373" s="77">
        <f t="shared" si="40"/>
        <v>2372</v>
      </c>
    </row>
    <row r="2374" spans="1:3" x14ac:dyDescent="0.2">
      <c r="A2374" s="78">
        <v>48030</v>
      </c>
      <c r="B2374" s="77">
        <f>+PT!A2376</f>
        <v>0</v>
      </c>
      <c r="C2374" s="77">
        <f t="shared" si="40"/>
        <v>2373</v>
      </c>
    </row>
    <row r="2375" spans="1:3" x14ac:dyDescent="0.2">
      <c r="A2375" s="78">
        <v>48031</v>
      </c>
      <c r="B2375" s="77">
        <f>+PT!A2377</f>
        <v>0</v>
      </c>
      <c r="C2375" s="77">
        <f t="shared" si="40"/>
        <v>2374</v>
      </c>
    </row>
    <row r="2376" spans="1:3" x14ac:dyDescent="0.2">
      <c r="A2376" s="78">
        <v>48032</v>
      </c>
      <c r="B2376" s="77">
        <f>+PT!A2378</f>
        <v>0</v>
      </c>
      <c r="C2376" s="77">
        <f t="shared" si="40"/>
        <v>2375</v>
      </c>
    </row>
    <row r="2377" spans="1:3" x14ac:dyDescent="0.2">
      <c r="A2377" s="78">
        <v>48033</v>
      </c>
      <c r="B2377" s="77">
        <f>+PT!A2379</f>
        <v>0</v>
      </c>
      <c r="C2377" s="77">
        <f t="shared" si="40"/>
        <v>2376</v>
      </c>
    </row>
    <row r="2378" spans="1:3" x14ac:dyDescent="0.2">
      <c r="A2378" s="78">
        <v>48034</v>
      </c>
      <c r="B2378" s="77">
        <f>+PT!A2380</f>
        <v>0</v>
      </c>
      <c r="C2378" s="77">
        <f t="shared" si="40"/>
        <v>2377</v>
      </c>
    </row>
    <row r="2379" spans="1:3" x14ac:dyDescent="0.2">
      <c r="A2379" s="78">
        <v>48035</v>
      </c>
      <c r="B2379" s="77">
        <f>+PT!A2381</f>
        <v>0</v>
      </c>
      <c r="C2379" s="77">
        <f t="shared" si="40"/>
        <v>2378</v>
      </c>
    </row>
    <row r="2380" spans="1:3" x14ac:dyDescent="0.2">
      <c r="A2380" s="78">
        <v>48036</v>
      </c>
      <c r="B2380" s="77">
        <f>+PT!A2382</f>
        <v>0</v>
      </c>
      <c r="C2380" s="77">
        <f t="shared" si="40"/>
        <v>2379</v>
      </c>
    </row>
    <row r="2381" spans="1:3" x14ac:dyDescent="0.2">
      <c r="A2381" s="78">
        <v>48037</v>
      </c>
      <c r="B2381" s="77">
        <f>+PT!A2383</f>
        <v>0</v>
      </c>
      <c r="C2381" s="77">
        <f t="shared" si="40"/>
        <v>2380</v>
      </c>
    </row>
    <row r="2382" spans="1:3" x14ac:dyDescent="0.2">
      <c r="A2382" s="78">
        <v>48038</v>
      </c>
      <c r="B2382" s="77">
        <f>+PT!A2384</f>
        <v>0</v>
      </c>
      <c r="C2382" s="77">
        <f t="shared" si="40"/>
        <v>2381</v>
      </c>
    </row>
    <row r="2383" spans="1:3" x14ac:dyDescent="0.2">
      <c r="A2383" s="78">
        <v>48039</v>
      </c>
      <c r="B2383" s="77">
        <f>+PT!A2385</f>
        <v>0</v>
      </c>
      <c r="C2383" s="77">
        <f t="shared" si="40"/>
        <v>2382</v>
      </c>
    </row>
    <row r="2384" spans="1:3" x14ac:dyDescent="0.2">
      <c r="A2384" s="78">
        <v>48040</v>
      </c>
      <c r="B2384" s="77">
        <f>+PT!A2386</f>
        <v>0</v>
      </c>
      <c r="C2384" s="77">
        <f t="shared" si="40"/>
        <v>2383</v>
      </c>
    </row>
    <row r="2385" spans="1:3" x14ac:dyDescent="0.2">
      <c r="A2385" s="78">
        <v>48041</v>
      </c>
      <c r="B2385" s="77">
        <f>+PT!A2387</f>
        <v>0</v>
      </c>
      <c r="C2385" s="77">
        <f t="shared" si="40"/>
        <v>2384</v>
      </c>
    </row>
    <row r="2386" spans="1:3" x14ac:dyDescent="0.2">
      <c r="A2386" s="78">
        <v>48042</v>
      </c>
      <c r="B2386" s="77">
        <f>+PT!A2388</f>
        <v>0</v>
      </c>
      <c r="C2386" s="77">
        <f t="shared" si="40"/>
        <v>2385</v>
      </c>
    </row>
    <row r="2387" spans="1:3" x14ac:dyDescent="0.2">
      <c r="A2387" s="78">
        <v>48043</v>
      </c>
      <c r="B2387" s="77">
        <f>+PT!A2389</f>
        <v>0</v>
      </c>
      <c r="C2387" s="77">
        <f t="shared" si="40"/>
        <v>2386</v>
      </c>
    </row>
    <row r="2388" spans="1:3" x14ac:dyDescent="0.2">
      <c r="A2388" s="78">
        <v>48044</v>
      </c>
      <c r="B2388" s="77">
        <f>+PT!A2390</f>
        <v>0</v>
      </c>
      <c r="C2388" s="77">
        <f t="shared" si="40"/>
        <v>2387</v>
      </c>
    </row>
    <row r="2389" spans="1:3" x14ac:dyDescent="0.2">
      <c r="A2389" s="78">
        <v>48045</v>
      </c>
      <c r="B2389" s="77">
        <f>+PT!A2391</f>
        <v>0</v>
      </c>
      <c r="C2389" s="77">
        <f t="shared" si="40"/>
        <v>2388</v>
      </c>
    </row>
    <row r="2390" spans="1:3" x14ac:dyDescent="0.2">
      <c r="A2390" s="78">
        <v>48046</v>
      </c>
      <c r="B2390" s="77">
        <f>+PT!A2392</f>
        <v>0</v>
      </c>
      <c r="C2390" s="77">
        <f t="shared" si="40"/>
        <v>2389</v>
      </c>
    </row>
    <row r="2391" spans="1:3" x14ac:dyDescent="0.2">
      <c r="A2391" s="78">
        <v>48047</v>
      </c>
      <c r="B2391" s="77">
        <f>+PT!A2393</f>
        <v>0</v>
      </c>
      <c r="C2391" s="77">
        <f t="shared" si="40"/>
        <v>2390</v>
      </c>
    </row>
    <row r="2392" spans="1:3" x14ac:dyDescent="0.2">
      <c r="A2392" s="78">
        <v>48048</v>
      </c>
      <c r="B2392" s="77">
        <f>+PT!A2394</f>
        <v>0</v>
      </c>
      <c r="C2392" s="77">
        <f t="shared" si="40"/>
        <v>2391</v>
      </c>
    </row>
    <row r="2393" spans="1:3" x14ac:dyDescent="0.2">
      <c r="A2393" s="78">
        <v>48049</v>
      </c>
      <c r="B2393" s="77">
        <f>+PT!A2395</f>
        <v>0</v>
      </c>
      <c r="C2393" s="77">
        <f t="shared" si="40"/>
        <v>2392</v>
      </c>
    </row>
    <row r="2394" spans="1:3" x14ac:dyDescent="0.2">
      <c r="A2394" s="78">
        <v>48050</v>
      </c>
      <c r="B2394" s="77">
        <f>+PT!A2396</f>
        <v>0</v>
      </c>
      <c r="C2394" s="77">
        <f t="shared" si="40"/>
        <v>2393</v>
      </c>
    </row>
    <row r="2395" spans="1:3" x14ac:dyDescent="0.2">
      <c r="A2395" s="78">
        <v>48051</v>
      </c>
      <c r="B2395" s="77">
        <f>+PT!A2397</f>
        <v>0</v>
      </c>
      <c r="C2395" s="77">
        <f t="shared" si="40"/>
        <v>2394</v>
      </c>
    </row>
    <row r="2396" spans="1:3" x14ac:dyDescent="0.2">
      <c r="A2396" s="78">
        <v>48052</v>
      </c>
      <c r="B2396" s="77">
        <f>+PT!A2398</f>
        <v>0</v>
      </c>
      <c r="C2396" s="77">
        <f t="shared" si="40"/>
        <v>2395</v>
      </c>
    </row>
    <row r="2397" spans="1:3" x14ac:dyDescent="0.2">
      <c r="A2397" s="78">
        <v>48053</v>
      </c>
      <c r="B2397" s="77">
        <f>+PT!A2399</f>
        <v>0</v>
      </c>
      <c r="C2397" s="77">
        <f t="shared" si="40"/>
        <v>2396</v>
      </c>
    </row>
    <row r="2398" spans="1:3" x14ac:dyDescent="0.2">
      <c r="A2398" s="78">
        <v>48054</v>
      </c>
      <c r="B2398" s="77">
        <f>+PT!A2400</f>
        <v>0</v>
      </c>
      <c r="C2398" s="77">
        <f t="shared" si="40"/>
        <v>2397</v>
      </c>
    </row>
    <row r="2399" spans="1:3" x14ac:dyDescent="0.2">
      <c r="A2399" s="78">
        <v>48055</v>
      </c>
      <c r="B2399" s="77">
        <f>+PT!A2401</f>
        <v>0</v>
      </c>
      <c r="C2399" s="77">
        <f t="shared" si="40"/>
        <v>2398</v>
      </c>
    </row>
    <row r="2400" spans="1:3" x14ac:dyDescent="0.2">
      <c r="A2400" s="78">
        <v>48056</v>
      </c>
      <c r="B2400" s="77">
        <f>+PT!A2402</f>
        <v>0</v>
      </c>
      <c r="C2400" s="77">
        <f t="shared" si="40"/>
        <v>2399</v>
      </c>
    </row>
    <row r="2401" spans="1:3" x14ac:dyDescent="0.2">
      <c r="A2401" s="78">
        <v>48057</v>
      </c>
      <c r="B2401" s="77">
        <f>+PT!A2403</f>
        <v>0</v>
      </c>
      <c r="C2401" s="77">
        <f t="shared" si="40"/>
        <v>2400</v>
      </c>
    </row>
    <row r="2402" spans="1:3" x14ac:dyDescent="0.2">
      <c r="A2402" s="78">
        <v>48058</v>
      </c>
      <c r="B2402" s="77">
        <f>+PT!A2404</f>
        <v>0</v>
      </c>
      <c r="C2402" s="77">
        <f t="shared" si="40"/>
        <v>2401</v>
      </c>
    </row>
    <row r="2403" spans="1:3" x14ac:dyDescent="0.2">
      <c r="A2403" s="78">
        <v>48059</v>
      </c>
      <c r="B2403" s="77">
        <f>+PT!A2405</f>
        <v>0</v>
      </c>
      <c r="C2403" s="77">
        <f t="shared" si="40"/>
        <v>2402</v>
      </c>
    </row>
    <row r="2404" spans="1:3" x14ac:dyDescent="0.2">
      <c r="A2404" s="78">
        <v>48060</v>
      </c>
      <c r="B2404" s="77">
        <f>+PT!A2406</f>
        <v>0</v>
      </c>
      <c r="C2404" s="77">
        <f t="shared" si="40"/>
        <v>2403</v>
      </c>
    </row>
    <row r="2405" spans="1:3" x14ac:dyDescent="0.2">
      <c r="A2405" s="78">
        <v>48061</v>
      </c>
      <c r="B2405" s="77">
        <f>+PT!A2407</f>
        <v>0</v>
      </c>
      <c r="C2405" s="77">
        <f t="shared" si="40"/>
        <v>2404</v>
      </c>
    </row>
    <row r="2406" spans="1:3" x14ac:dyDescent="0.2">
      <c r="A2406" s="78">
        <v>48062</v>
      </c>
      <c r="B2406" s="77">
        <f>+PT!A2408</f>
        <v>0</v>
      </c>
      <c r="C2406" s="77">
        <f t="shared" si="40"/>
        <v>2405</v>
      </c>
    </row>
    <row r="2407" spans="1:3" x14ac:dyDescent="0.2">
      <c r="A2407" s="78">
        <v>48063</v>
      </c>
      <c r="B2407" s="77">
        <f>+PT!A2409</f>
        <v>0</v>
      </c>
      <c r="C2407" s="77">
        <f t="shared" si="40"/>
        <v>2406</v>
      </c>
    </row>
    <row r="2408" spans="1:3" x14ac:dyDescent="0.2">
      <c r="A2408" s="78">
        <v>48064</v>
      </c>
      <c r="B2408" s="77">
        <f>+PT!A2410</f>
        <v>0</v>
      </c>
      <c r="C2408" s="77">
        <f t="shared" si="40"/>
        <v>2407</v>
      </c>
    </row>
    <row r="2409" spans="1:3" x14ac:dyDescent="0.2">
      <c r="A2409" s="78">
        <v>48065</v>
      </c>
      <c r="B2409" s="77">
        <f>+PT!A2411</f>
        <v>0</v>
      </c>
      <c r="C2409" s="77">
        <f t="shared" si="40"/>
        <v>2408</v>
      </c>
    </row>
    <row r="2410" spans="1:3" x14ac:dyDescent="0.2">
      <c r="A2410" s="78">
        <v>48066</v>
      </c>
      <c r="B2410" s="77">
        <f>+PT!A2412</f>
        <v>0</v>
      </c>
      <c r="C2410" s="77">
        <f t="shared" si="40"/>
        <v>2409</v>
      </c>
    </row>
    <row r="2411" spans="1:3" x14ac:dyDescent="0.2">
      <c r="A2411" s="78">
        <v>48067</v>
      </c>
      <c r="B2411" s="77">
        <f>+PT!A2413</f>
        <v>0</v>
      </c>
      <c r="C2411" s="77">
        <f t="shared" si="40"/>
        <v>2410</v>
      </c>
    </row>
    <row r="2412" spans="1:3" x14ac:dyDescent="0.2">
      <c r="A2412" s="78">
        <v>48068</v>
      </c>
      <c r="B2412" s="77">
        <f>+PT!A2414</f>
        <v>0</v>
      </c>
      <c r="C2412" s="77">
        <f t="shared" si="40"/>
        <v>2411</v>
      </c>
    </row>
    <row r="2413" spans="1:3" x14ac:dyDescent="0.2">
      <c r="A2413" s="78">
        <v>48069</v>
      </c>
      <c r="B2413" s="77">
        <f>+PT!A2415</f>
        <v>0</v>
      </c>
      <c r="C2413" s="77">
        <f t="shared" si="40"/>
        <v>2412</v>
      </c>
    </row>
    <row r="2414" spans="1:3" x14ac:dyDescent="0.2">
      <c r="A2414" s="78">
        <v>48070</v>
      </c>
      <c r="B2414" s="77">
        <f>+PT!A2416</f>
        <v>0</v>
      </c>
      <c r="C2414" s="77">
        <f t="shared" si="40"/>
        <v>2413</v>
      </c>
    </row>
    <row r="2415" spans="1:3" x14ac:dyDescent="0.2">
      <c r="A2415" s="78">
        <v>48071</v>
      </c>
      <c r="B2415" s="77">
        <f>+PT!A2417</f>
        <v>0</v>
      </c>
      <c r="C2415" s="77">
        <f t="shared" si="40"/>
        <v>2414</v>
      </c>
    </row>
    <row r="2416" spans="1:3" x14ac:dyDescent="0.2">
      <c r="A2416" s="78">
        <v>48072</v>
      </c>
      <c r="B2416" s="77">
        <f>+PT!A2418</f>
        <v>0</v>
      </c>
      <c r="C2416" s="77">
        <f t="shared" si="40"/>
        <v>2415</v>
      </c>
    </row>
    <row r="2417" spans="1:3" x14ac:dyDescent="0.2">
      <c r="A2417" s="78">
        <v>48073</v>
      </c>
      <c r="B2417" s="77">
        <f>+PT!A2419</f>
        <v>0</v>
      </c>
      <c r="C2417" s="77">
        <f t="shared" si="40"/>
        <v>2416</v>
      </c>
    </row>
    <row r="2418" spans="1:3" x14ac:dyDescent="0.2">
      <c r="A2418" s="78">
        <v>48074</v>
      </c>
      <c r="B2418" s="77">
        <f>+PT!A2420</f>
        <v>0</v>
      </c>
      <c r="C2418" s="77">
        <f t="shared" si="40"/>
        <v>2417</v>
      </c>
    </row>
    <row r="2419" spans="1:3" x14ac:dyDescent="0.2">
      <c r="A2419" s="78">
        <v>48075</v>
      </c>
      <c r="B2419" s="77">
        <f>+PT!A2421</f>
        <v>0</v>
      </c>
      <c r="C2419" s="77">
        <f t="shared" si="40"/>
        <v>2418</v>
      </c>
    </row>
    <row r="2420" spans="1:3" x14ac:dyDescent="0.2">
      <c r="A2420" s="78">
        <v>48076</v>
      </c>
      <c r="B2420" s="77">
        <f>+PT!A2422</f>
        <v>0</v>
      </c>
      <c r="C2420" s="77">
        <f t="shared" si="40"/>
        <v>2419</v>
      </c>
    </row>
    <row r="2421" spans="1:3" x14ac:dyDescent="0.2">
      <c r="A2421" s="78">
        <v>48077</v>
      </c>
      <c r="B2421" s="77">
        <f>+PT!A2423</f>
        <v>0</v>
      </c>
      <c r="C2421" s="77">
        <f t="shared" si="40"/>
        <v>2420</v>
      </c>
    </row>
    <row r="2422" spans="1:3" x14ac:dyDescent="0.2">
      <c r="A2422" s="78">
        <v>48078</v>
      </c>
      <c r="B2422" s="77">
        <f>+PT!A2424</f>
        <v>0</v>
      </c>
      <c r="C2422" s="77">
        <f t="shared" si="40"/>
        <v>2421</v>
      </c>
    </row>
    <row r="2423" spans="1:3" x14ac:dyDescent="0.2">
      <c r="A2423" s="78">
        <v>48079</v>
      </c>
      <c r="B2423" s="77">
        <f>+PT!A2425</f>
        <v>0</v>
      </c>
      <c r="C2423" s="77">
        <f t="shared" si="40"/>
        <v>2422</v>
      </c>
    </row>
    <row r="2424" spans="1:3" x14ac:dyDescent="0.2">
      <c r="A2424" s="78">
        <v>48080</v>
      </c>
      <c r="B2424" s="77">
        <f>+PT!A2426</f>
        <v>0</v>
      </c>
      <c r="C2424" s="77">
        <f t="shared" si="40"/>
        <v>2423</v>
      </c>
    </row>
    <row r="2425" spans="1:3" x14ac:dyDescent="0.2">
      <c r="A2425" s="78">
        <v>48081</v>
      </c>
      <c r="B2425" s="77">
        <f>+PT!A2427</f>
        <v>0</v>
      </c>
      <c r="C2425" s="77">
        <f t="shared" si="40"/>
        <v>2424</v>
      </c>
    </row>
    <row r="2426" spans="1:3" x14ac:dyDescent="0.2">
      <c r="A2426" s="78">
        <v>48082</v>
      </c>
      <c r="B2426" s="77">
        <f>+PT!A2428</f>
        <v>0</v>
      </c>
      <c r="C2426" s="77">
        <f t="shared" si="40"/>
        <v>2425</v>
      </c>
    </row>
    <row r="2427" spans="1:3" x14ac:dyDescent="0.2">
      <c r="A2427" s="78">
        <v>48083</v>
      </c>
      <c r="B2427" s="77">
        <f>+PT!A2429</f>
        <v>0</v>
      </c>
      <c r="C2427" s="77">
        <f t="shared" si="40"/>
        <v>2426</v>
      </c>
    </row>
    <row r="2428" spans="1:3" x14ac:dyDescent="0.2">
      <c r="A2428" s="78">
        <v>48084</v>
      </c>
      <c r="B2428" s="77">
        <f>+PT!A2430</f>
        <v>0</v>
      </c>
      <c r="C2428" s="77">
        <f t="shared" si="40"/>
        <v>2427</v>
      </c>
    </row>
    <row r="2429" spans="1:3" x14ac:dyDescent="0.2">
      <c r="A2429" s="78">
        <v>48085</v>
      </c>
      <c r="B2429" s="77">
        <f>+PT!A2431</f>
        <v>0</v>
      </c>
      <c r="C2429" s="77">
        <f t="shared" si="40"/>
        <v>2428</v>
      </c>
    </row>
    <row r="2430" spans="1:3" x14ac:dyDescent="0.2">
      <c r="A2430" s="78">
        <v>48086</v>
      </c>
      <c r="B2430" s="77">
        <f>+PT!A2432</f>
        <v>0</v>
      </c>
      <c r="C2430" s="77">
        <f t="shared" si="40"/>
        <v>2429</v>
      </c>
    </row>
    <row r="2431" spans="1:3" x14ac:dyDescent="0.2">
      <c r="A2431" s="78">
        <v>48087</v>
      </c>
      <c r="B2431" s="77">
        <f>+PT!A2433</f>
        <v>0</v>
      </c>
      <c r="C2431" s="77">
        <f t="shared" si="40"/>
        <v>2430</v>
      </c>
    </row>
    <row r="2432" spans="1:3" x14ac:dyDescent="0.2">
      <c r="A2432" s="78">
        <v>48088</v>
      </c>
      <c r="B2432" s="77">
        <f>+PT!A2434</f>
        <v>0</v>
      </c>
      <c r="C2432" s="77">
        <f t="shared" si="40"/>
        <v>2431</v>
      </c>
    </row>
    <row r="2433" spans="1:3" x14ac:dyDescent="0.2">
      <c r="A2433" s="78">
        <v>48089</v>
      </c>
      <c r="B2433" s="77">
        <f>+PT!A2435</f>
        <v>0</v>
      </c>
      <c r="C2433" s="77">
        <f t="shared" si="40"/>
        <v>2432</v>
      </c>
    </row>
    <row r="2434" spans="1:3" x14ac:dyDescent="0.2">
      <c r="A2434" s="78">
        <v>48090</v>
      </c>
      <c r="B2434" s="77">
        <f>+PT!A2436</f>
        <v>0</v>
      </c>
      <c r="C2434" s="77">
        <f t="shared" si="40"/>
        <v>2433</v>
      </c>
    </row>
    <row r="2435" spans="1:3" x14ac:dyDescent="0.2">
      <c r="A2435" s="78">
        <v>48091</v>
      </c>
      <c r="B2435" s="77">
        <f>+PT!A2437</f>
        <v>0</v>
      </c>
      <c r="C2435" s="77">
        <f t="shared" si="40"/>
        <v>2434</v>
      </c>
    </row>
    <row r="2436" spans="1:3" x14ac:dyDescent="0.2">
      <c r="A2436" s="78">
        <v>48092</v>
      </c>
      <c r="B2436" s="77">
        <f>+PT!A2438</f>
        <v>0</v>
      </c>
      <c r="C2436" s="77">
        <f t="shared" ref="C2436:C2499" si="41">+C2435+1</f>
        <v>2435</v>
      </c>
    </row>
    <row r="2437" spans="1:3" x14ac:dyDescent="0.2">
      <c r="A2437" s="78">
        <v>48093</v>
      </c>
      <c r="B2437" s="77">
        <f>+PT!A2439</f>
        <v>0</v>
      </c>
      <c r="C2437" s="77">
        <f t="shared" si="41"/>
        <v>2436</v>
      </c>
    </row>
    <row r="2438" spans="1:3" x14ac:dyDescent="0.2">
      <c r="A2438" s="78">
        <v>48094</v>
      </c>
      <c r="B2438" s="77">
        <f>+PT!A2440</f>
        <v>0</v>
      </c>
      <c r="C2438" s="77">
        <f t="shared" si="41"/>
        <v>2437</v>
      </c>
    </row>
    <row r="2439" spans="1:3" x14ac:dyDescent="0.2">
      <c r="A2439" s="78">
        <v>48095</v>
      </c>
      <c r="B2439" s="77">
        <f>+PT!A2441</f>
        <v>0</v>
      </c>
      <c r="C2439" s="77">
        <f t="shared" si="41"/>
        <v>2438</v>
      </c>
    </row>
    <row r="2440" spans="1:3" x14ac:dyDescent="0.2">
      <c r="A2440" s="78">
        <v>48096</v>
      </c>
      <c r="B2440" s="77">
        <f>+PT!A2442</f>
        <v>0</v>
      </c>
      <c r="C2440" s="77">
        <f t="shared" si="41"/>
        <v>2439</v>
      </c>
    </row>
    <row r="2441" spans="1:3" x14ac:dyDescent="0.2">
      <c r="A2441" s="78">
        <v>48097</v>
      </c>
      <c r="B2441" s="77">
        <f>+PT!A2443</f>
        <v>0</v>
      </c>
      <c r="C2441" s="77">
        <f t="shared" si="41"/>
        <v>2440</v>
      </c>
    </row>
    <row r="2442" spans="1:3" x14ac:dyDescent="0.2">
      <c r="A2442" s="78">
        <v>48098</v>
      </c>
      <c r="B2442" s="77">
        <f>+PT!A2444</f>
        <v>0</v>
      </c>
      <c r="C2442" s="77">
        <f t="shared" si="41"/>
        <v>2441</v>
      </c>
    </row>
    <row r="2443" spans="1:3" x14ac:dyDescent="0.2">
      <c r="A2443" s="78">
        <v>48099</v>
      </c>
      <c r="B2443" s="77">
        <f>+PT!A2445</f>
        <v>0</v>
      </c>
      <c r="C2443" s="77">
        <f t="shared" si="41"/>
        <v>2442</v>
      </c>
    </row>
    <row r="2444" spans="1:3" x14ac:dyDescent="0.2">
      <c r="A2444" s="78">
        <v>48100</v>
      </c>
      <c r="B2444" s="77">
        <f>+PT!A2446</f>
        <v>0</v>
      </c>
      <c r="C2444" s="77">
        <f t="shared" si="41"/>
        <v>2443</v>
      </c>
    </row>
    <row r="2445" spans="1:3" x14ac:dyDescent="0.2">
      <c r="A2445" s="78">
        <v>48101</v>
      </c>
      <c r="B2445" s="77">
        <f>+PT!A2447</f>
        <v>0</v>
      </c>
      <c r="C2445" s="77">
        <f t="shared" si="41"/>
        <v>2444</v>
      </c>
    </row>
    <row r="2446" spans="1:3" x14ac:dyDescent="0.2">
      <c r="A2446" s="78">
        <v>48102</v>
      </c>
      <c r="B2446" s="77">
        <f>+PT!A2448</f>
        <v>0</v>
      </c>
      <c r="C2446" s="77">
        <f t="shared" si="41"/>
        <v>2445</v>
      </c>
    </row>
    <row r="2447" spans="1:3" x14ac:dyDescent="0.2">
      <c r="A2447" s="78">
        <v>48103</v>
      </c>
      <c r="B2447" s="77">
        <f>+PT!A2449</f>
        <v>0</v>
      </c>
      <c r="C2447" s="77">
        <f t="shared" si="41"/>
        <v>2446</v>
      </c>
    </row>
    <row r="2448" spans="1:3" x14ac:dyDescent="0.2">
      <c r="A2448" s="78">
        <v>48104</v>
      </c>
      <c r="B2448" s="77">
        <f>+PT!A2450</f>
        <v>0</v>
      </c>
      <c r="C2448" s="77">
        <f t="shared" si="41"/>
        <v>2447</v>
      </c>
    </row>
    <row r="2449" spans="1:3" x14ac:dyDescent="0.2">
      <c r="A2449" s="78">
        <v>48105</v>
      </c>
      <c r="B2449" s="77">
        <f>+PT!A2451</f>
        <v>0</v>
      </c>
      <c r="C2449" s="77">
        <f t="shared" si="41"/>
        <v>2448</v>
      </c>
    </row>
    <row r="2450" spans="1:3" x14ac:dyDescent="0.2">
      <c r="A2450" s="78">
        <v>48106</v>
      </c>
      <c r="B2450" s="77">
        <f>+PT!A2452</f>
        <v>0</v>
      </c>
      <c r="C2450" s="77">
        <f t="shared" si="41"/>
        <v>2449</v>
      </c>
    </row>
    <row r="2451" spans="1:3" x14ac:dyDescent="0.2">
      <c r="A2451" s="78">
        <v>48107</v>
      </c>
      <c r="B2451" s="77">
        <f>+PT!A2453</f>
        <v>0</v>
      </c>
      <c r="C2451" s="77">
        <f t="shared" si="41"/>
        <v>2450</v>
      </c>
    </row>
    <row r="2452" spans="1:3" x14ac:dyDescent="0.2">
      <c r="A2452" s="78">
        <v>48108</v>
      </c>
      <c r="B2452" s="77">
        <f>+PT!A2454</f>
        <v>0</v>
      </c>
      <c r="C2452" s="77">
        <f t="shared" si="41"/>
        <v>2451</v>
      </c>
    </row>
    <row r="2453" spans="1:3" x14ac:dyDescent="0.2">
      <c r="A2453" s="78">
        <v>48109</v>
      </c>
      <c r="B2453" s="77">
        <f>+PT!A2455</f>
        <v>0</v>
      </c>
      <c r="C2453" s="77">
        <f t="shared" si="41"/>
        <v>2452</v>
      </c>
    </row>
    <row r="2454" spans="1:3" x14ac:dyDescent="0.2">
      <c r="A2454" s="78">
        <v>48110</v>
      </c>
      <c r="B2454" s="77">
        <f>+PT!A2456</f>
        <v>0</v>
      </c>
      <c r="C2454" s="77">
        <f t="shared" si="41"/>
        <v>2453</v>
      </c>
    </row>
    <row r="2455" spans="1:3" x14ac:dyDescent="0.2">
      <c r="A2455" s="78">
        <v>48111</v>
      </c>
      <c r="B2455" s="77">
        <f>+PT!A2457</f>
        <v>0</v>
      </c>
      <c r="C2455" s="77">
        <f t="shared" si="41"/>
        <v>2454</v>
      </c>
    </row>
    <row r="2456" spans="1:3" x14ac:dyDescent="0.2">
      <c r="A2456" s="78">
        <v>48112</v>
      </c>
      <c r="B2456" s="77">
        <f>+PT!A2458</f>
        <v>0</v>
      </c>
      <c r="C2456" s="77">
        <f t="shared" si="41"/>
        <v>2455</v>
      </c>
    </row>
    <row r="2457" spans="1:3" x14ac:dyDescent="0.2">
      <c r="A2457" s="78">
        <v>48113</v>
      </c>
      <c r="B2457" s="77">
        <f>+PT!A2459</f>
        <v>0</v>
      </c>
      <c r="C2457" s="77">
        <f t="shared" si="41"/>
        <v>2456</v>
      </c>
    </row>
    <row r="2458" spans="1:3" x14ac:dyDescent="0.2">
      <c r="A2458" s="78">
        <v>48114</v>
      </c>
      <c r="B2458" s="77">
        <f>+PT!A2460</f>
        <v>0</v>
      </c>
      <c r="C2458" s="77">
        <f t="shared" si="41"/>
        <v>2457</v>
      </c>
    </row>
    <row r="2459" spans="1:3" x14ac:dyDescent="0.2">
      <c r="A2459" s="78">
        <v>48115</v>
      </c>
      <c r="B2459" s="77">
        <f>+PT!A2461</f>
        <v>0</v>
      </c>
      <c r="C2459" s="77">
        <f t="shared" si="41"/>
        <v>2458</v>
      </c>
    </row>
    <row r="2460" spans="1:3" x14ac:dyDescent="0.2">
      <c r="A2460" s="78">
        <v>48116</v>
      </c>
      <c r="B2460" s="77">
        <f>+PT!A2462</f>
        <v>0</v>
      </c>
      <c r="C2460" s="77">
        <f t="shared" si="41"/>
        <v>2459</v>
      </c>
    </row>
    <row r="2461" spans="1:3" x14ac:dyDescent="0.2">
      <c r="A2461" s="78">
        <v>48117</v>
      </c>
      <c r="B2461" s="77">
        <f>+PT!A2463</f>
        <v>0</v>
      </c>
      <c r="C2461" s="77">
        <f t="shared" si="41"/>
        <v>2460</v>
      </c>
    </row>
    <row r="2462" spans="1:3" x14ac:dyDescent="0.2">
      <c r="A2462" s="78">
        <v>48118</v>
      </c>
      <c r="B2462" s="77">
        <f>+PT!A2464</f>
        <v>0</v>
      </c>
      <c r="C2462" s="77">
        <f t="shared" si="41"/>
        <v>2461</v>
      </c>
    </row>
    <row r="2463" spans="1:3" x14ac:dyDescent="0.2">
      <c r="A2463" s="78">
        <v>48119</v>
      </c>
      <c r="B2463" s="77">
        <f>+PT!A2465</f>
        <v>0</v>
      </c>
      <c r="C2463" s="77">
        <f t="shared" si="41"/>
        <v>2462</v>
      </c>
    </row>
    <row r="2464" spans="1:3" x14ac:dyDescent="0.2">
      <c r="A2464" s="78">
        <v>48120</v>
      </c>
      <c r="B2464" s="77">
        <f>+PT!A2466</f>
        <v>0</v>
      </c>
      <c r="C2464" s="77">
        <f t="shared" si="41"/>
        <v>2463</v>
      </c>
    </row>
    <row r="2465" spans="1:3" x14ac:dyDescent="0.2">
      <c r="A2465" s="78">
        <v>48121</v>
      </c>
      <c r="B2465" s="77">
        <f>+PT!A2467</f>
        <v>0</v>
      </c>
      <c r="C2465" s="77">
        <f t="shared" si="41"/>
        <v>2464</v>
      </c>
    </row>
    <row r="2466" spans="1:3" x14ac:dyDescent="0.2">
      <c r="A2466" s="78">
        <v>48122</v>
      </c>
      <c r="B2466" s="77">
        <f>+PT!A2468</f>
        <v>0</v>
      </c>
      <c r="C2466" s="77">
        <f t="shared" si="41"/>
        <v>2465</v>
      </c>
    </row>
    <row r="2467" spans="1:3" x14ac:dyDescent="0.2">
      <c r="A2467" s="78">
        <v>48123</v>
      </c>
      <c r="B2467" s="77">
        <f>+PT!A2469</f>
        <v>0</v>
      </c>
      <c r="C2467" s="77">
        <f t="shared" si="41"/>
        <v>2466</v>
      </c>
    </row>
    <row r="2468" spans="1:3" x14ac:dyDescent="0.2">
      <c r="A2468" s="78">
        <v>48124</v>
      </c>
      <c r="B2468" s="77">
        <f>+PT!A2470</f>
        <v>0</v>
      </c>
      <c r="C2468" s="77">
        <f t="shared" si="41"/>
        <v>2467</v>
      </c>
    </row>
    <row r="2469" spans="1:3" x14ac:dyDescent="0.2">
      <c r="A2469" s="78">
        <v>48125</v>
      </c>
      <c r="B2469" s="77">
        <f>+PT!A2471</f>
        <v>0</v>
      </c>
      <c r="C2469" s="77">
        <f t="shared" si="41"/>
        <v>2468</v>
      </c>
    </row>
    <row r="2470" spans="1:3" x14ac:dyDescent="0.2">
      <c r="A2470" s="78">
        <v>48126</v>
      </c>
      <c r="B2470" s="77">
        <f>+PT!A2472</f>
        <v>0</v>
      </c>
      <c r="C2470" s="77">
        <f t="shared" si="41"/>
        <v>2469</v>
      </c>
    </row>
    <row r="2471" spans="1:3" x14ac:dyDescent="0.2">
      <c r="A2471" s="78">
        <v>48127</v>
      </c>
      <c r="B2471" s="77">
        <f>+PT!A2473</f>
        <v>0</v>
      </c>
      <c r="C2471" s="77">
        <f t="shared" si="41"/>
        <v>2470</v>
      </c>
    </row>
    <row r="2472" spans="1:3" x14ac:dyDescent="0.2">
      <c r="A2472" s="78">
        <v>48128</v>
      </c>
      <c r="B2472" s="77">
        <f>+PT!A2474</f>
        <v>0</v>
      </c>
      <c r="C2472" s="77">
        <f t="shared" si="41"/>
        <v>2471</v>
      </c>
    </row>
    <row r="2473" spans="1:3" x14ac:dyDescent="0.2">
      <c r="A2473" s="78">
        <v>48129</v>
      </c>
      <c r="B2473" s="77">
        <f>+PT!A2475</f>
        <v>0</v>
      </c>
      <c r="C2473" s="77">
        <f t="shared" si="41"/>
        <v>2472</v>
      </c>
    </row>
    <row r="2474" spans="1:3" x14ac:dyDescent="0.2">
      <c r="A2474" s="78">
        <v>48130</v>
      </c>
      <c r="B2474" s="77">
        <f>+PT!A2476</f>
        <v>0</v>
      </c>
      <c r="C2474" s="77">
        <f t="shared" si="41"/>
        <v>2473</v>
      </c>
    </row>
    <row r="2475" spans="1:3" x14ac:dyDescent="0.2">
      <c r="A2475" s="78">
        <v>48131</v>
      </c>
      <c r="B2475" s="77">
        <f>+PT!A2477</f>
        <v>0</v>
      </c>
      <c r="C2475" s="77">
        <f t="shared" si="41"/>
        <v>2474</v>
      </c>
    </row>
    <row r="2476" spans="1:3" x14ac:dyDescent="0.2">
      <c r="A2476" s="78">
        <v>48132</v>
      </c>
      <c r="B2476" s="77">
        <f>+PT!A2478</f>
        <v>0</v>
      </c>
      <c r="C2476" s="77">
        <f t="shared" si="41"/>
        <v>2475</v>
      </c>
    </row>
    <row r="2477" spans="1:3" x14ac:dyDescent="0.2">
      <c r="A2477" s="78">
        <v>48133</v>
      </c>
      <c r="B2477" s="77">
        <f>+PT!A2479</f>
        <v>0</v>
      </c>
      <c r="C2477" s="77">
        <f t="shared" si="41"/>
        <v>2476</v>
      </c>
    </row>
    <row r="2478" spans="1:3" x14ac:dyDescent="0.2">
      <c r="A2478" s="78">
        <v>48134</v>
      </c>
      <c r="B2478" s="77">
        <f>+PT!A2480</f>
        <v>0</v>
      </c>
      <c r="C2478" s="77">
        <f t="shared" si="41"/>
        <v>2477</v>
      </c>
    </row>
    <row r="2479" spans="1:3" x14ac:dyDescent="0.2">
      <c r="A2479" s="78">
        <v>48135</v>
      </c>
      <c r="B2479" s="77">
        <f>+PT!A2481</f>
        <v>0</v>
      </c>
      <c r="C2479" s="77">
        <f t="shared" si="41"/>
        <v>2478</v>
      </c>
    </row>
    <row r="2480" spans="1:3" x14ac:dyDescent="0.2">
      <c r="A2480" s="78">
        <v>48136</v>
      </c>
      <c r="B2480" s="77">
        <f>+PT!A2482</f>
        <v>0</v>
      </c>
      <c r="C2480" s="77">
        <f t="shared" si="41"/>
        <v>2479</v>
      </c>
    </row>
    <row r="2481" spans="1:3" x14ac:dyDescent="0.2">
      <c r="A2481" s="78">
        <v>48137</v>
      </c>
      <c r="B2481" s="77">
        <f>+PT!A2483</f>
        <v>0</v>
      </c>
      <c r="C2481" s="77">
        <f t="shared" si="41"/>
        <v>2480</v>
      </c>
    </row>
    <row r="2482" spans="1:3" x14ac:dyDescent="0.2">
      <c r="A2482" s="78">
        <v>48138</v>
      </c>
      <c r="B2482" s="77">
        <f>+PT!A2484</f>
        <v>0</v>
      </c>
      <c r="C2482" s="77">
        <f t="shared" si="41"/>
        <v>2481</v>
      </c>
    </row>
    <row r="2483" spans="1:3" x14ac:dyDescent="0.2">
      <c r="A2483" s="78">
        <v>48139</v>
      </c>
      <c r="B2483" s="77">
        <f>+PT!A2485</f>
        <v>0</v>
      </c>
      <c r="C2483" s="77">
        <f t="shared" si="41"/>
        <v>2482</v>
      </c>
    </row>
    <row r="2484" spans="1:3" x14ac:dyDescent="0.2">
      <c r="A2484" s="78">
        <v>48140</v>
      </c>
      <c r="B2484" s="77">
        <f>+PT!A2486</f>
        <v>0</v>
      </c>
      <c r="C2484" s="77">
        <f t="shared" si="41"/>
        <v>2483</v>
      </c>
    </row>
    <row r="2485" spans="1:3" x14ac:dyDescent="0.2">
      <c r="A2485" s="78">
        <v>48141</v>
      </c>
      <c r="B2485" s="77">
        <f>+PT!A2487</f>
        <v>0</v>
      </c>
      <c r="C2485" s="77">
        <f t="shared" si="41"/>
        <v>2484</v>
      </c>
    </row>
    <row r="2486" spans="1:3" x14ac:dyDescent="0.2">
      <c r="A2486" s="78">
        <v>48142</v>
      </c>
      <c r="B2486" s="77">
        <f>+PT!A2488</f>
        <v>0</v>
      </c>
      <c r="C2486" s="77">
        <f t="shared" si="41"/>
        <v>2485</v>
      </c>
    </row>
    <row r="2487" spans="1:3" x14ac:dyDescent="0.2">
      <c r="A2487" s="78">
        <v>48143</v>
      </c>
      <c r="B2487" s="77">
        <f>+PT!A2489</f>
        <v>0</v>
      </c>
      <c r="C2487" s="77">
        <f t="shared" si="41"/>
        <v>2486</v>
      </c>
    </row>
    <row r="2488" spans="1:3" x14ac:dyDescent="0.2">
      <c r="A2488" s="78">
        <v>48144</v>
      </c>
      <c r="B2488" s="77">
        <f>+PT!A2490</f>
        <v>0</v>
      </c>
      <c r="C2488" s="77">
        <f t="shared" si="41"/>
        <v>2487</v>
      </c>
    </row>
    <row r="2489" spans="1:3" x14ac:dyDescent="0.2">
      <c r="A2489" s="78">
        <v>48145</v>
      </c>
      <c r="B2489" s="77">
        <f>+PT!A2491</f>
        <v>0</v>
      </c>
      <c r="C2489" s="77">
        <f t="shared" si="41"/>
        <v>2488</v>
      </c>
    </row>
    <row r="2490" spans="1:3" x14ac:dyDescent="0.2">
      <c r="A2490" s="78">
        <v>48146</v>
      </c>
      <c r="B2490" s="77">
        <f>+PT!A2492</f>
        <v>0</v>
      </c>
      <c r="C2490" s="77">
        <f t="shared" si="41"/>
        <v>2489</v>
      </c>
    </row>
    <row r="2491" spans="1:3" x14ac:dyDescent="0.2">
      <c r="A2491" s="78">
        <v>48147</v>
      </c>
      <c r="B2491" s="77">
        <f>+PT!A2493</f>
        <v>0</v>
      </c>
      <c r="C2491" s="77">
        <f t="shared" si="41"/>
        <v>2490</v>
      </c>
    </row>
    <row r="2492" spans="1:3" x14ac:dyDescent="0.2">
      <c r="A2492" s="78">
        <v>48148</v>
      </c>
      <c r="B2492" s="77">
        <f>+PT!A2494</f>
        <v>0</v>
      </c>
      <c r="C2492" s="77">
        <f t="shared" si="41"/>
        <v>2491</v>
      </c>
    </row>
    <row r="2493" spans="1:3" x14ac:dyDescent="0.2">
      <c r="A2493" s="78">
        <v>48149</v>
      </c>
      <c r="B2493" s="77">
        <f>+PT!A2495</f>
        <v>0</v>
      </c>
      <c r="C2493" s="77">
        <f t="shared" si="41"/>
        <v>2492</v>
      </c>
    </row>
    <row r="2494" spans="1:3" x14ac:dyDescent="0.2">
      <c r="A2494" s="78">
        <v>48150</v>
      </c>
      <c r="B2494" s="77">
        <f>+PT!A2496</f>
        <v>0</v>
      </c>
      <c r="C2494" s="77">
        <f t="shared" si="41"/>
        <v>2493</v>
      </c>
    </row>
    <row r="2495" spans="1:3" x14ac:dyDescent="0.2">
      <c r="A2495" s="78">
        <v>48151</v>
      </c>
      <c r="B2495" s="77">
        <f>+PT!A2497</f>
        <v>0</v>
      </c>
      <c r="C2495" s="77">
        <f t="shared" si="41"/>
        <v>2494</v>
      </c>
    </row>
    <row r="2496" spans="1:3" x14ac:dyDescent="0.2">
      <c r="A2496" s="78">
        <v>48152</v>
      </c>
      <c r="B2496" s="77">
        <f>+PT!A2498</f>
        <v>0</v>
      </c>
      <c r="C2496" s="77">
        <f t="shared" si="41"/>
        <v>2495</v>
      </c>
    </row>
    <row r="2497" spans="1:3" x14ac:dyDescent="0.2">
      <c r="A2497" s="78">
        <v>48153</v>
      </c>
      <c r="B2497" s="77">
        <f>+PT!A2499</f>
        <v>0</v>
      </c>
      <c r="C2497" s="77">
        <f t="shared" si="41"/>
        <v>2496</v>
      </c>
    </row>
    <row r="2498" spans="1:3" x14ac:dyDescent="0.2">
      <c r="A2498" s="78">
        <v>48154</v>
      </c>
      <c r="B2498" s="77">
        <f>+PT!A2500</f>
        <v>0</v>
      </c>
      <c r="C2498" s="77">
        <f t="shared" si="41"/>
        <v>2497</v>
      </c>
    </row>
    <row r="2499" spans="1:3" x14ac:dyDescent="0.2">
      <c r="A2499" s="78">
        <v>48155</v>
      </c>
      <c r="B2499" s="77">
        <f>+PT!A2501</f>
        <v>0</v>
      </c>
      <c r="C2499" s="77">
        <f t="shared" si="41"/>
        <v>2498</v>
      </c>
    </row>
    <row r="2500" spans="1:3" x14ac:dyDescent="0.2">
      <c r="A2500" s="78">
        <v>48156</v>
      </c>
      <c r="B2500" s="77">
        <f>+PT!A2502</f>
        <v>0</v>
      </c>
      <c r="C2500" s="77">
        <f t="shared" ref="C2500:C2563" si="42">+C2499+1</f>
        <v>2499</v>
      </c>
    </row>
    <row r="2501" spans="1:3" x14ac:dyDescent="0.2">
      <c r="A2501" s="78">
        <v>48157</v>
      </c>
      <c r="B2501" s="77">
        <f>+PT!A2503</f>
        <v>0</v>
      </c>
      <c r="C2501" s="77">
        <f t="shared" si="42"/>
        <v>2500</v>
      </c>
    </row>
    <row r="2502" spans="1:3" x14ac:dyDescent="0.2">
      <c r="A2502" s="78">
        <v>48158</v>
      </c>
      <c r="B2502" s="77">
        <f>+PT!A2504</f>
        <v>0</v>
      </c>
      <c r="C2502" s="77">
        <f t="shared" si="42"/>
        <v>2501</v>
      </c>
    </row>
    <row r="2503" spans="1:3" x14ac:dyDescent="0.2">
      <c r="A2503" s="78">
        <v>48159</v>
      </c>
      <c r="B2503" s="77">
        <f>+PT!A2505</f>
        <v>0</v>
      </c>
      <c r="C2503" s="77">
        <f t="shared" si="42"/>
        <v>2502</v>
      </c>
    </row>
    <row r="2504" spans="1:3" x14ac:dyDescent="0.2">
      <c r="A2504" s="78">
        <v>48160</v>
      </c>
      <c r="B2504" s="77">
        <f>+PT!A2506</f>
        <v>0</v>
      </c>
      <c r="C2504" s="77">
        <f t="shared" si="42"/>
        <v>2503</v>
      </c>
    </row>
    <row r="2505" spans="1:3" x14ac:dyDescent="0.2">
      <c r="A2505" s="78">
        <v>48161</v>
      </c>
      <c r="B2505" s="77">
        <f>+PT!A2507</f>
        <v>0</v>
      </c>
      <c r="C2505" s="77">
        <f t="shared" si="42"/>
        <v>2504</v>
      </c>
    </row>
    <row r="2506" spans="1:3" x14ac:dyDescent="0.2">
      <c r="A2506" s="78">
        <v>48162</v>
      </c>
      <c r="B2506" s="77">
        <f>+PT!A2508</f>
        <v>0</v>
      </c>
      <c r="C2506" s="77">
        <f t="shared" si="42"/>
        <v>2505</v>
      </c>
    </row>
    <row r="2507" spans="1:3" x14ac:dyDescent="0.2">
      <c r="A2507" s="78">
        <v>48163</v>
      </c>
      <c r="B2507" s="77">
        <f>+PT!A2509</f>
        <v>0</v>
      </c>
      <c r="C2507" s="77">
        <f t="shared" si="42"/>
        <v>2506</v>
      </c>
    </row>
    <row r="2508" spans="1:3" x14ac:dyDescent="0.2">
      <c r="A2508" s="78">
        <v>48164</v>
      </c>
      <c r="B2508" s="77">
        <f>+PT!A2510</f>
        <v>0</v>
      </c>
      <c r="C2508" s="77">
        <f t="shared" si="42"/>
        <v>2507</v>
      </c>
    </row>
    <row r="2509" spans="1:3" x14ac:dyDescent="0.2">
      <c r="A2509" s="78">
        <v>48165</v>
      </c>
      <c r="B2509" s="77">
        <f>+PT!A2511</f>
        <v>0</v>
      </c>
      <c r="C2509" s="77">
        <f t="shared" si="42"/>
        <v>2508</v>
      </c>
    </row>
    <row r="2510" spans="1:3" x14ac:dyDescent="0.2">
      <c r="A2510" s="78">
        <v>48166</v>
      </c>
      <c r="B2510" s="77">
        <f>+PT!A2512</f>
        <v>0</v>
      </c>
      <c r="C2510" s="77">
        <f t="shared" si="42"/>
        <v>2509</v>
      </c>
    </row>
    <row r="2511" spans="1:3" x14ac:dyDescent="0.2">
      <c r="A2511" s="78">
        <v>48167</v>
      </c>
      <c r="B2511" s="77">
        <f>+PT!A2513</f>
        <v>0</v>
      </c>
      <c r="C2511" s="77">
        <f t="shared" si="42"/>
        <v>2510</v>
      </c>
    </row>
    <row r="2512" spans="1:3" x14ac:dyDescent="0.2">
      <c r="A2512" s="78">
        <v>48168</v>
      </c>
      <c r="B2512" s="77">
        <f>+PT!A2514</f>
        <v>0</v>
      </c>
      <c r="C2512" s="77">
        <f t="shared" si="42"/>
        <v>2511</v>
      </c>
    </row>
    <row r="2513" spans="1:3" x14ac:dyDescent="0.2">
      <c r="A2513" s="78">
        <v>48169</v>
      </c>
      <c r="B2513" s="77">
        <f>+PT!A2515</f>
        <v>0</v>
      </c>
      <c r="C2513" s="77">
        <f t="shared" si="42"/>
        <v>2512</v>
      </c>
    </row>
    <row r="2514" spans="1:3" x14ac:dyDescent="0.2">
      <c r="A2514" s="78">
        <v>48170</v>
      </c>
      <c r="B2514" s="77">
        <f>+PT!A2516</f>
        <v>0</v>
      </c>
      <c r="C2514" s="77">
        <f t="shared" si="42"/>
        <v>2513</v>
      </c>
    </row>
    <row r="2515" spans="1:3" x14ac:dyDescent="0.2">
      <c r="A2515" s="78">
        <v>48171</v>
      </c>
      <c r="B2515" s="77">
        <f>+PT!A2517</f>
        <v>0</v>
      </c>
      <c r="C2515" s="77">
        <f t="shared" si="42"/>
        <v>2514</v>
      </c>
    </row>
    <row r="2516" spans="1:3" x14ac:dyDescent="0.2">
      <c r="A2516" s="78">
        <v>48172</v>
      </c>
      <c r="B2516" s="77">
        <f>+PT!A2518</f>
        <v>0</v>
      </c>
      <c r="C2516" s="77">
        <f t="shared" si="42"/>
        <v>2515</v>
      </c>
    </row>
    <row r="2517" spans="1:3" x14ac:dyDescent="0.2">
      <c r="A2517" s="78">
        <v>48173</v>
      </c>
      <c r="B2517" s="77">
        <f>+PT!A2519</f>
        <v>0</v>
      </c>
      <c r="C2517" s="77">
        <f t="shared" si="42"/>
        <v>2516</v>
      </c>
    </row>
    <row r="2518" spans="1:3" x14ac:dyDescent="0.2">
      <c r="A2518" s="78">
        <v>48174</v>
      </c>
      <c r="B2518" s="77">
        <f>+PT!A2520</f>
        <v>0</v>
      </c>
      <c r="C2518" s="77">
        <f t="shared" si="42"/>
        <v>2517</v>
      </c>
    </row>
    <row r="2519" spans="1:3" x14ac:dyDescent="0.2">
      <c r="A2519" s="78">
        <v>48175</v>
      </c>
      <c r="B2519" s="77">
        <f>+PT!A2521</f>
        <v>0</v>
      </c>
      <c r="C2519" s="77">
        <f t="shared" si="42"/>
        <v>2518</v>
      </c>
    </row>
    <row r="2520" spans="1:3" x14ac:dyDescent="0.2">
      <c r="A2520" s="78">
        <v>48176</v>
      </c>
      <c r="B2520" s="77">
        <f>+PT!A2522</f>
        <v>0</v>
      </c>
      <c r="C2520" s="77">
        <f t="shared" si="42"/>
        <v>2519</v>
      </c>
    </row>
    <row r="2521" spans="1:3" x14ac:dyDescent="0.2">
      <c r="A2521" s="78">
        <v>48177</v>
      </c>
      <c r="B2521" s="77">
        <f>+PT!A2523</f>
        <v>0</v>
      </c>
      <c r="C2521" s="77">
        <f t="shared" si="42"/>
        <v>2520</v>
      </c>
    </row>
    <row r="2522" spans="1:3" x14ac:dyDescent="0.2">
      <c r="A2522" s="78">
        <v>48178</v>
      </c>
      <c r="B2522" s="77">
        <f>+PT!A2524</f>
        <v>0</v>
      </c>
      <c r="C2522" s="77">
        <f t="shared" si="42"/>
        <v>2521</v>
      </c>
    </row>
    <row r="2523" spans="1:3" x14ac:dyDescent="0.2">
      <c r="A2523" s="78">
        <v>48179</v>
      </c>
      <c r="B2523" s="77">
        <f>+PT!A2525</f>
        <v>0</v>
      </c>
      <c r="C2523" s="77">
        <f t="shared" si="42"/>
        <v>2522</v>
      </c>
    </row>
    <row r="2524" spans="1:3" x14ac:dyDescent="0.2">
      <c r="A2524" s="78">
        <v>48180</v>
      </c>
      <c r="B2524" s="77">
        <f>+PT!A2526</f>
        <v>0</v>
      </c>
      <c r="C2524" s="77">
        <f t="shared" si="42"/>
        <v>2523</v>
      </c>
    </row>
    <row r="2525" spans="1:3" x14ac:dyDescent="0.2">
      <c r="A2525" s="78">
        <v>48181</v>
      </c>
      <c r="B2525" s="77">
        <f>+PT!A2527</f>
        <v>0</v>
      </c>
      <c r="C2525" s="77">
        <f t="shared" si="42"/>
        <v>2524</v>
      </c>
    </row>
    <row r="2526" spans="1:3" x14ac:dyDescent="0.2">
      <c r="A2526" s="78">
        <v>48182</v>
      </c>
      <c r="B2526" s="77">
        <f>+PT!A2528</f>
        <v>0</v>
      </c>
      <c r="C2526" s="77">
        <f t="shared" si="42"/>
        <v>2525</v>
      </c>
    </row>
    <row r="2527" spans="1:3" x14ac:dyDescent="0.2">
      <c r="A2527" s="78">
        <v>48183</v>
      </c>
      <c r="B2527" s="77">
        <f>+PT!A2529</f>
        <v>0</v>
      </c>
      <c r="C2527" s="77">
        <f t="shared" si="42"/>
        <v>2526</v>
      </c>
    </row>
    <row r="2528" spans="1:3" x14ac:dyDescent="0.2">
      <c r="A2528" s="78">
        <v>48184</v>
      </c>
      <c r="B2528" s="77">
        <f>+PT!A2530</f>
        <v>0</v>
      </c>
      <c r="C2528" s="77">
        <f t="shared" si="42"/>
        <v>2527</v>
      </c>
    </row>
    <row r="2529" spans="1:3" x14ac:dyDescent="0.2">
      <c r="A2529" s="78">
        <v>48185</v>
      </c>
      <c r="B2529" s="77">
        <f>+PT!A2531</f>
        <v>0</v>
      </c>
      <c r="C2529" s="77">
        <f t="shared" si="42"/>
        <v>2528</v>
      </c>
    </row>
    <row r="2530" spans="1:3" x14ac:dyDescent="0.2">
      <c r="A2530" s="78">
        <v>48186</v>
      </c>
      <c r="B2530" s="77">
        <f>+PT!A2532</f>
        <v>0</v>
      </c>
      <c r="C2530" s="77">
        <f t="shared" si="42"/>
        <v>2529</v>
      </c>
    </row>
    <row r="2531" spans="1:3" x14ac:dyDescent="0.2">
      <c r="A2531" s="78">
        <v>48187</v>
      </c>
      <c r="B2531" s="77">
        <f>+PT!A2533</f>
        <v>0</v>
      </c>
      <c r="C2531" s="77">
        <f t="shared" si="42"/>
        <v>2530</v>
      </c>
    </row>
    <row r="2532" spans="1:3" x14ac:dyDescent="0.2">
      <c r="A2532" s="78">
        <v>48188</v>
      </c>
      <c r="B2532" s="77">
        <f>+PT!A2534</f>
        <v>0</v>
      </c>
      <c r="C2532" s="77">
        <f t="shared" si="42"/>
        <v>2531</v>
      </c>
    </row>
    <row r="2533" spans="1:3" x14ac:dyDescent="0.2">
      <c r="A2533" s="78">
        <v>48189</v>
      </c>
      <c r="B2533" s="77">
        <f>+PT!A2535</f>
        <v>0</v>
      </c>
      <c r="C2533" s="77">
        <f t="shared" si="42"/>
        <v>2532</v>
      </c>
    </row>
    <row r="2534" spans="1:3" x14ac:dyDescent="0.2">
      <c r="A2534" s="78">
        <v>48190</v>
      </c>
      <c r="B2534" s="77">
        <f>+PT!A2536</f>
        <v>0</v>
      </c>
      <c r="C2534" s="77">
        <f t="shared" si="42"/>
        <v>2533</v>
      </c>
    </row>
    <row r="2535" spans="1:3" x14ac:dyDescent="0.2">
      <c r="A2535" s="78">
        <v>48191</v>
      </c>
      <c r="B2535" s="77">
        <f>+PT!A2537</f>
        <v>0</v>
      </c>
      <c r="C2535" s="77">
        <f t="shared" si="42"/>
        <v>2534</v>
      </c>
    </row>
    <row r="2536" spans="1:3" x14ac:dyDescent="0.2">
      <c r="A2536" s="78">
        <v>48192</v>
      </c>
      <c r="B2536" s="77">
        <f>+PT!A2538</f>
        <v>0</v>
      </c>
      <c r="C2536" s="77">
        <f t="shared" si="42"/>
        <v>2535</v>
      </c>
    </row>
    <row r="2537" spans="1:3" x14ac:dyDescent="0.2">
      <c r="A2537" s="78">
        <v>48193</v>
      </c>
      <c r="B2537" s="77">
        <f>+PT!A2539</f>
        <v>0</v>
      </c>
      <c r="C2537" s="77">
        <f t="shared" si="42"/>
        <v>2536</v>
      </c>
    </row>
    <row r="2538" spans="1:3" x14ac:dyDescent="0.2">
      <c r="A2538" s="78">
        <v>48194</v>
      </c>
      <c r="B2538" s="77">
        <f>+PT!A2540</f>
        <v>0</v>
      </c>
      <c r="C2538" s="77">
        <f t="shared" si="42"/>
        <v>2537</v>
      </c>
    </row>
    <row r="2539" spans="1:3" x14ac:dyDescent="0.2">
      <c r="A2539" s="78">
        <v>48195</v>
      </c>
      <c r="B2539" s="77">
        <f>+PT!A2541</f>
        <v>0</v>
      </c>
      <c r="C2539" s="77">
        <f t="shared" si="42"/>
        <v>2538</v>
      </c>
    </row>
    <row r="2540" spans="1:3" x14ac:dyDescent="0.2">
      <c r="A2540" s="78">
        <v>48196</v>
      </c>
      <c r="B2540" s="77">
        <f>+PT!A2542</f>
        <v>0</v>
      </c>
      <c r="C2540" s="77">
        <f t="shared" si="42"/>
        <v>2539</v>
      </c>
    </row>
    <row r="2541" spans="1:3" x14ac:dyDescent="0.2">
      <c r="A2541" s="78">
        <v>48197</v>
      </c>
      <c r="B2541" s="77">
        <f>+PT!A2543</f>
        <v>0</v>
      </c>
      <c r="C2541" s="77">
        <f t="shared" si="42"/>
        <v>2540</v>
      </c>
    </row>
    <row r="2542" spans="1:3" x14ac:dyDescent="0.2">
      <c r="A2542" s="78">
        <v>48198</v>
      </c>
      <c r="B2542" s="77">
        <f>+PT!A2544</f>
        <v>0</v>
      </c>
      <c r="C2542" s="77">
        <f t="shared" si="42"/>
        <v>2541</v>
      </c>
    </row>
    <row r="2543" spans="1:3" x14ac:dyDescent="0.2">
      <c r="A2543" s="78">
        <v>48199</v>
      </c>
      <c r="B2543" s="77">
        <f>+PT!A2545</f>
        <v>0</v>
      </c>
      <c r="C2543" s="77">
        <f t="shared" si="42"/>
        <v>2542</v>
      </c>
    </row>
    <row r="2544" spans="1:3" x14ac:dyDescent="0.2">
      <c r="A2544" s="78">
        <v>48200</v>
      </c>
      <c r="B2544" s="77">
        <f>+PT!A2546</f>
        <v>0</v>
      </c>
      <c r="C2544" s="77">
        <f t="shared" si="42"/>
        <v>2543</v>
      </c>
    </row>
    <row r="2545" spans="1:3" x14ac:dyDescent="0.2">
      <c r="A2545" s="78">
        <v>48201</v>
      </c>
      <c r="B2545" s="77">
        <f>+PT!A2547</f>
        <v>0</v>
      </c>
      <c r="C2545" s="77">
        <f t="shared" si="42"/>
        <v>2544</v>
      </c>
    </row>
    <row r="2546" spans="1:3" x14ac:dyDescent="0.2">
      <c r="A2546" s="78">
        <v>48202</v>
      </c>
      <c r="B2546" s="77">
        <f>+PT!A2548</f>
        <v>0</v>
      </c>
      <c r="C2546" s="77">
        <f t="shared" si="42"/>
        <v>2545</v>
      </c>
    </row>
    <row r="2547" spans="1:3" x14ac:dyDescent="0.2">
      <c r="A2547" s="78">
        <v>48203</v>
      </c>
      <c r="B2547" s="77">
        <f>+PT!A2549</f>
        <v>0</v>
      </c>
      <c r="C2547" s="77">
        <f t="shared" si="42"/>
        <v>2546</v>
      </c>
    </row>
    <row r="2548" spans="1:3" x14ac:dyDescent="0.2">
      <c r="A2548" s="78">
        <v>48204</v>
      </c>
      <c r="B2548" s="77">
        <f>+PT!A2550</f>
        <v>0</v>
      </c>
      <c r="C2548" s="77">
        <f t="shared" si="42"/>
        <v>2547</v>
      </c>
    </row>
    <row r="2549" spans="1:3" x14ac:dyDescent="0.2">
      <c r="A2549" s="78">
        <v>48205</v>
      </c>
      <c r="B2549" s="77">
        <f>+PT!A2551</f>
        <v>0</v>
      </c>
      <c r="C2549" s="77">
        <f t="shared" si="42"/>
        <v>2548</v>
      </c>
    </row>
    <row r="2550" spans="1:3" x14ac:dyDescent="0.2">
      <c r="A2550" s="78">
        <v>48206</v>
      </c>
      <c r="B2550" s="77">
        <f>+PT!A2552</f>
        <v>0</v>
      </c>
      <c r="C2550" s="77">
        <f t="shared" si="42"/>
        <v>2549</v>
      </c>
    </row>
    <row r="2551" spans="1:3" x14ac:dyDescent="0.2">
      <c r="A2551" s="78">
        <v>48207</v>
      </c>
      <c r="B2551" s="77">
        <f>+PT!A2553</f>
        <v>0</v>
      </c>
      <c r="C2551" s="77">
        <f t="shared" si="42"/>
        <v>2550</v>
      </c>
    </row>
    <row r="2552" spans="1:3" x14ac:dyDescent="0.2">
      <c r="A2552" s="78">
        <v>48208</v>
      </c>
      <c r="B2552" s="77">
        <f>+PT!A2554</f>
        <v>0</v>
      </c>
      <c r="C2552" s="77">
        <f t="shared" si="42"/>
        <v>2551</v>
      </c>
    </row>
    <row r="2553" spans="1:3" x14ac:dyDescent="0.2">
      <c r="A2553" s="78">
        <v>48209</v>
      </c>
      <c r="B2553" s="77">
        <f>+PT!A2555</f>
        <v>0</v>
      </c>
      <c r="C2553" s="77">
        <f t="shared" si="42"/>
        <v>2552</v>
      </c>
    </row>
    <row r="2554" spans="1:3" x14ac:dyDescent="0.2">
      <c r="A2554" s="78">
        <v>48210</v>
      </c>
      <c r="B2554" s="77">
        <f>+PT!A2556</f>
        <v>0</v>
      </c>
      <c r="C2554" s="77">
        <f t="shared" si="42"/>
        <v>2553</v>
      </c>
    </row>
    <row r="2555" spans="1:3" x14ac:dyDescent="0.2">
      <c r="A2555" s="78">
        <v>48211</v>
      </c>
      <c r="B2555" s="77">
        <f>+PT!A2557</f>
        <v>0</v>
      </c>
      <c r="C2555" s="77">
        <f t="shared" si="42"/>
        <v>2554</v>
      </c>
    </row>
    <row r="2556" spans="1:3" x14ac:dyDescent="0.2">
      <c r="A2556" s="78">
        <v>48212</v>
      </c>
      <c r="B2556" s="77">
        <f>+PT!A2558</f>
        <v>0</v>
      </c>
      <c r="C2556" s="77">
        <f t="shared" si="42"/>
        <v>2555</v>
      </c>
    </row>
    <row r="2557" spans="1:3" x14ac:dyDescent="0.2">
      <c r="A2557" s="78">
        <v>48213</v>
      </c>
      <c r="B2557" s="77">
        <f>+PT!A2559</f>
        <v>0</v>
      </c>
      <c r="C2557" s="77">
        <f t="shared" si="42"/>
        <v>2556</v>
      </c>
    </row>
    <row r="2558" spans="1:3" x14ac:dyDescent="0.2">
      <c r="A2558" s="78">
        <v>48214</v>
      </c>
      <c r="B2558" s="77">
        <f>+PT!A2560</f>
        <v>0</v>
      </c>
      <c r="C2558" s="77">
        <f t="shared" si="42"/>
        <v>2557</v>
      </c>
    </row>
    <row r="2559" spans="1:3" x14ac:dyDescent="0.2">
      <c r="A2559" s="78">
        <v>48215</v>
      </c>
      <c r="B2559" s="77">
        <f>+PT!A2561</f>
        <v>0</v>
      </c>
      <c r="C2559" s="77">
        <f t="shared" si="42"/>
        <v>2558</v>
      </c>
    </row>
    <row r="2560" spans="1:3" x14ac:dyDescent="0.2">
      <c r="A2560" s="78">
        <v>48216</v>
      </c>
      <c r="B2560" s="77">
        <f>+PT!A2562</f>
        <v>0</v>
      </c>
      <c r="C2560" s="77">
        <f t="shared" si="42"/>
        <v>2559</v>
      </c>
    </row>
    <row r="2561" spans="1:3" x14ac:dyDescent="0.2">
      <c r="A2561" s="78">
        <v>48217</v>
      </c>
      <c r="B2561" s="77">
        <f>+PT!A2563</f>
        <v>0</v>
      </c>
      <c r="C2561" s="77">
        <f t="shared" si="42"/>
        <v>2560</v>
      </c>
    </row>
    <row r="2562" spans="1:3" x14ac:dyDescent="0.2">
      <c r="A2562" s="78">
        <v>48218</v>
      </c>
      <c r="B2562" s="77">
        <f>+PT!A2564</f>
        <v>0</v>
      </c>
      <c r="C2562" s="77">
        <f t="shared" si="42"/>
        <v>2561</v>
      </c>
    </row>
    <row r="2563" spans="1:3" x14ac:dyDescent="0.2">
      <c r="A2563" s="78">
        <v>48219</v>
      </c>
      <c r="B2563" s="77">
        <f>+PT!A2565</f>
        <v>0</v>
      </c>
      <c r="C2563" s="77">
        <f t="shared" si="42"/>
        <v>2562</v>
      </c>
    </row>
    <row r="2564" spans="1:3" x14ac:dyDescent="0.2">
      <c r="A2564" s="78">
        <v>48220</v>
      </c>
      <c r="B2564" s="77">
        <f>+PT!A2566</f>
        <v>0</v>
      </c>
      <c r="C2564" s="77">
        <f t="shared" ref="C2564:C2627" si="43">+C2563+1</f>
        <v>2563</v>
      </c>
    </row>
    <row r="2565" spans="1:3" x14ac:dyDescent="0.2">
      <c r="A2565" s="78">
        <v>48221</v>
      </c>
      <c r="B2565" s="77">
        <f>+PT!A2567</f>
        <v>0</v>
      </c>
      <c r="C2565" s="77">
        <f t="shared" si="43"/>
        <v>2564</v>
      </c>
    </row>
    <row r="2566" spans="1:3" x14ac:dyDescent="0.2">
      <c r="A2566" s="78">
        <v>48222</v>
      </c>
      <c r="B2566" s="77">
        <f>+PT!A2568</f>
        <v>0</v>
      </c>
      <c r="C2566" s="77">
        <f t="shared" si="43"/>
        <v>2565</v>
      </c>
    </row>
    <row r="2567" spans="1:3" x14ac:dyDescent="0.2">
      <c r="A2567" s="78">
        <v>48223</v>
      </c>
      <c r="B2567" s="77">
        <f>+PT!A2569</f>
        <v>0</v>
      </c>
      <c r="C2567" s="77">
        <f t="shared" si="43"/>
        <v>2566</v>
      </c>
    </row>
    <row r="2568" spans="1:3" x14ac:dyDescent="0.2">
      <c r="A2568" s="78">
        <v>48224</v>
      </c>
      <c r="B2568" s="77">
        <f>+PT!A2570</f>
        <v>0</v>
      </c>
      <c r="C2568" s="77">
        <f t="shared" si="43"/>
        <v>2567</v>
      </c>
    </row>
    <row r="2569" spans="1:3" x14ac:dyDescent="0.2">
      <c r="A2569" s="78">
        <v>48225</v>
      </c>
      <c r="B2569" s="77">
        <f>+PT!A2571</f>
        <v>0</v>
      </c>
      <c r="C2569" s="77">
        <f t="shared" si="43"/>
        <v>2568</v>
      </c>
    </row>
    <row r="2570" spans="1:3" x14ac:dyDescent="0.2">
      <c r="A2570" s="78">
        <v>48226</v>
      </c>
      <c r="B2570" s="77">
        <f>+PT!A2572</f>
        <v>0</v>
      </c>
      <c r="C2570" s="77">
        <f t="shared" si="43"/>
        <v>2569</v>
      </c>
    </row>
    <row r="2571" spans="1:3" x14ac:dyDescent="0.2">
      <c r="A2571" s="78">
        <v>48227</v>
      </c>
      <c r="B2571" s="77">
        <f>+PT!A2573</f>
        <v>0</v>
      </c>
      <c r="C2571" s="77">
        <f t="shared" si="43"/>
        <v>2570</v>
      </c>
    </row>
    <row r="2572" spans="1:3" x14ac:dyDescent="0.2">
      <c r="A2572" s="78">
        <v>48228</v>
      </c>
      <c r="B2572" s="77">
        <f>+PT!A2574</f>
        <v>0</v>
      </c>
      <c r="C2572" s="77">
        <f t="shared" si="43"/>
        <v>2571</v>
      </c>
    </row>
    <row r="2573" spans="1:3" x14ac:dyDescent="0.2">
      <c r="A2573" s="78">
        <v>48229</v>
      </c>
      <c r="B2573" s="77">
        <f>+PT!A2575</f>
        <v>0</v>
      </c>
      <c r="C2573" s="77">
        <f t="shared" si="43"/>
        <v>2572</v>
      </c>
    </row>
    <row r="2574" spans="1:3" x14ac:dyDescent="0.2">
      <c r="A2574" s="78">
        <v>48230</v>
      </c>
      <c r="B2574" s="77">
        <f>+PT!A2576</f>
        <v>0</v>
      </c>
      <c r="C2574" s="77">
        <f t="shared" si="43"/>
        <v>2573</v>
      </c>
    </row>
    <row r="2575" spans="1:3" x14ac:dyDescent="0.2">
      <c r="A2575" s="78">
        <v>48231</v>
      </c>
      <c r="B2575" s="77">
        <f>+PT!A2577</f>
        <v>0</v>
      </c>
      <c r="C2575" s="77">
        <f t="shared" si="43"/>
        <v>2574</v>
      </c>
    </row>
    <row r="2576" spans="1:3" x14ac:dyDescent="0.2">
      <c r="A2576" s="78">
        <v>48232</v>
      </c>
      <c r="B2576" s="77">
        <f>+PT!A2578</f>
        <v>0</v>
      </c>
      <c r="C2576" s="77">
        <f t="shared" si="43"/>
        <v>2575</v>
      </c>
    </row>
    <row r="2577" spans="1:3" x14ac:dyDescent="0.2">
      <c r="A2577" s="78">
        <v>48233</v>
      </c>
      <c r="B2577" s="77">
        <f>+PT!A2579</f>
        <v>0</v>
      </c>
      <c r="C2577" s="77">
        <f t="shared" si="43"/>
        <v>2576</v>
      </c>
    </row>
    <row r="2578" spans="1:3" x14ac:dyDescent="0.2">
      <c r="A2578" s="78">
        <v>48234</v>
      </c>
      <c r="B2578" s="77">
        <f>+PT!A2580</f>
        <v>0</v>
      </c>
      <c r="C2578" s="77">
        <f t="shared" si="43"/>
        <v>2577</v>
      </c>
    </row>
    <row r="2579" spans="1:3" x14ac:dyDescent="0.2">
      <c r="A2579" s="78">
        <v>48235</v>
      </c>
      <c r="B2579" s="77">
        <f>+PT!A2581</f>
        <v>0</v>
      </c>
      <c r="C2579" s="77">
        <f t="shared" si="43"/>
        <v>2578</v>
      </c>
    </row>
    <row r="2580" spans="1:3" x14ac:dyDescent="0.2">
      <c r="A2580" s="78">
        <v>48236</v>
      </c>
      <c r="B2580" s="77">
        <f>+PT!A2582</f>
        <v>0</v>
      </c>
      <c r="C2580" s="77">
        <f t="shared" si="43"/>
        <v>2579</v>
      </c>
    </row>
    <row r="2581" spans="1:3" x14ac:dyDescent="0.2">
      <c r="A2581" s="78">
        <v>48237</v>
      </c>
      <c r="B2581" s="77">
        <f>+PT!A2583</f>
        <v>0</v>
      </c>
      <c r="C2581" s="77">
        <f t="shared" si="43"/>
        <v>2580</v>
      </c>
    </row>
    <row r="2582" spans="1:3" x14ac:dyDescent="0.2">
      <c r="A2582" s="78">
        <v>48238</v>
      </c>
      <c r="B2582" s="77">
        <f>+PT!A2584</f>
        <v>0</v>
      </c>
      <c r="C2582" s="77">
        <f t="shared" si="43"/>
        <v>2581</v>
      </c>
    </row>
    <row r="2583" spans="1:3" x14ac:dyDescent="0.2">
      <c r="A2583" s="78">
        <v>48239</v>
      </c>
      <c r="B2583" s="77">
        <f>+PT!A2585</f>
        <v>0</v>
      </c>
      <c r="C2583" s="77">
        <f t="shared" si="43"/>
        <v>2582</v>
      </c>
    </row>
    <row r="2584" spans="1:3" x14ac:dyDescent="0.2">
      <c r="A2584" s="78">
        <v>48240</v>
      </c>
      <c r="B2584" s="77">
        <f>+PT!A2586</f>
        <v>0</v>
      </c>
      <c r="C2584" s="77">
        <f t="shared" si="43"/>
        <v>2583</v>
      </c>
    </row>
    <row r="2585" spans="1:3" x14ac:dyDescent="0.2">
      <c r="A2585" s="78">
        <v>48241</v>
      </c>
      <c r="B2585" s="77">
        <f>+PT!A2587</f>
        <v>0</v>
      </c>
      <c r="C2585" s="77">
        <f t="shared" si="43"/>
        <v>2584</v>
      </c>
    </row>
    <row r="2586" spans="1:3" x14ac:dyDescent="0.2">
      <c r="A2586" s="78">
        <v>48242</v>
      </c>
      <c r="B2586" s="77">
        <f>+PT!A2588</f>
        <v>0</v>
      </c>
      <c r="C2586" s="77">
        <f t="shared" si="43"/>
        <v>2585</v>
      </c>
    </row>
    <row r="2587" spans="1:3" x14ac:dyDescent="0.2">
      <c r="A2587" s="78">
        <v>48243</v>
      </c>
      <c r="B2587" s="77">
        <f>+PT!A2589</f>
        <v>0</v>
      </c>
      <c r="C2587" s="77">
        <f t="shared" si="43"/>
        <v>2586</v>
      </c>
    </row>
    <row r="2588" spans="1:3" x14ac:dyDescent="0.2">
      <c r="A2588" s="78">
        <v>48244</v>
      </c>
      <c r="B2588" s="77">
        <f>+PT!A2590</f>
        <v>0</v>
      </c>
      <c r="C2588" s="77">
        <f t="shared" si="43"/>
        <v>2587</v>
      </c>
    </row>
    <row r="2589" spans="1:3" x14ac:dyDescent="0.2">
      <c r="A2589" s="78">
        <v>48245</v>
      </c>
      <c r="B2589" s="77">
        <f>+PT!A2591</f>
        <v>0</v>
      </c>
      <c r="C2589" s="77">
        <f t="shared" si="43"/>
        <v>2588</v>
      </c>
    </row>
    <row r="2590" spans="1:3" x14ac:dyDescent="0.2">
      <c r="A2590" s="78">
        <v>48246</v>
      </c>
      <c r="B2590" s="77">
        <f>+PT!A2592</f>
        <v>0</v>
      </c>
      <c r="C2590" s="77">
        <f t="shared" si="43"/>
        <v>2589</v>
      </c>
    </row>
    <row r="2591" spans="1:3" x14ac:dyDescent="0.2">
      <c r="A2591" s="78">
        <v>48247</v>
      </c>
      <c r="B2591" s="77">
        <f>+PT!A2593</f>
        <v>0</v>
      </c>
      <c r="C2591" s="77">
        <f t="shared" si="43"/>
        <v>2590</v>
      </c>
    </row>
    <row r="2592" spans="1:3" x14ac:dyDescent="0.2">
      <c r="A2592" s="78">
        <v>48248</v>
      </c>
      <c r="B2592" s="77">
        <f>+PT!A2594</f>
        <v>0</v>
      </c>
      <c r="C2592" s="77">
        <f t="shared" si="43"/>
        <v>2591</v>
      </c>
    </row>
    <row r="2593" spans="1:3" x14ac:dyDescent="0.2">
      <c r="A2593" s="78">
        <v>48249</v>
      </c>
      <c r="B2593" s="77">
        <f>+PT!A2595</f>
        <v>0</v>
      </c>
      <c r="C2593" s="77">
        <f t="shared" si="43"/>
        <v>2592</v>
      </c>
    </row>
    <row r="2594" spans="1:3" x14ac:dyDescent="0.2">
      <c r="A2594" s="78">
        <v>48250</v>
      </c>
      <c r="B2594" s="77">
        <f>+PT!A2596</f>
        <v>0</v>
      </c>
      <c r="C2594" s="77">
        <f t="shared" si="43"/>
        <v>2593</v>
      </c>
    </row>
    <row r="2595" spans="1:3" x14ac:dyDescent="0.2">
      <c r="A2595" s="78">
        <v>48251</v>
      </c>
      <c r="B2595" s="77">
        <f>+PT!A2597</f>
        <v>0</v>
      </c>
      <c r="C2595" s="77">
        <f t="shared" si="43"/>
        <v>2594</v>
      </c>
    </row>
    <row r="2596" spans="1:3" x14ac:dyDescent="0.2">
      <c r="A2596" s="78">
        <v>48252</v>
      </c>
      <c r="B2596" s="77">
        <f>+PT!A2598</f>
        <v>0</v>
      </c>
      <c r="C2596" s="77">
        <f t="shared" si="43"/>
        <v>2595</v>
      </c>
    </row>
    <row r="2597" spans="1:3" x14ac:dyDescent="0.2">
      <c r="A2597" s="78">
        <v>48253</v>
      </c>
      <c r="B2597" s="77">
        <f>+PT!A2599</f>
        <v>0</v>
      </c>
      <c r="C2597" s="77">
        <f t="shared" si="43"/>
        <v>2596</v>
      </c>
    </row>
    <row r="2598" spans="1:3" x14ac:dyDescent="0.2">
      <c r="A2598" s="78">
        <v>48254</v>
      </c>
      <c r="B2598" s="77">
        <f>+PT!A2600</f>
        <v>0</v>
      </c>
      <c r="C2598" s="77">
        <f t="shared" si="43"/>
        <v>2597</v>
      </c>
    </row>
    <row r="2599" spans="1:3" x14ac:dyDescent="0.2">
      <c r="A2599" s="78">
        <v>48255</v>
      </c>
      <c r="B2599" s="77">
        <f>+PT!A2601</f>
        <v>0</v>
      </c>
      <c r="C2599" s="77">
        <f t="shared" si="43"/>
        <v>2598</v>
      </c>
    </row>
    <row r="2600" spans="1:3" x14ac:dyDescent="0.2">
      <c r="A2600" s="78">
        <v>48256</v>
      </c>
      <c r="B2600" s="77">
        <f>+PT!A2602</f>
        <v>0</v>
      </c>
      <c r="C2600" s="77">
        <f t="shared" si="43"/>
        <v>2599</v>
      </c>
    </row>
    <row r="2601" spans="1:3" x14ac:dyDescent="0.2">
      <c r="A2601" s="78">
        <v>48257</v>
      </c>
      <c r="B2601" s="77">
        <f>+PT!A2603</f>
        <v>0</v>
      </c>
      <c r="C2601" s="77">
        <f t="shared" si="43"/>
        <v>2600</v>
      </c>
    </row>
    <row r="2602" spans="1:3" x14ac:dyDescent="0.2">
      <c r="A2602" s="78">
        <v>48258</v>
      </c>
      <c r="B2602" s="77">
        <f>+PT!A2604</f>
        <v>0</v>
      </c>
      <c r="C2602" s="77">
        <f t="shared" si="43"/>
        <v>2601</v>
      </c>
    </row>
    <row r="2603" spans="1:3" x14ac:dyDescent="0.2">
      <c r="A2603" s="78">
        <v>48259</v>
      </c>
      <c r="B2603" s="77">
        <f>+PT!A2605</f>
        <v>0</v>
      </c>
      <c r="C2603" s="77">
        <f t="shared" si="43"/>
        <v>2602</v>
      </c>
    </row>
    <row r="2604" spans="1:3" x14ac:dyDescent="0.2">
      <c r="A2604" s="78">
        <v>48260</v>
      </c>
      <c r="B2604" s="77">
        <f>+PT!A2606</f>
        <v>0</v>
      </c>
      <c r="C2604" s="77">
        <f t="shared" si="43"/>
        <v>2603</v>
      </c>
    </row>
    <row r="2605" spans="1:3" x14ac:dyDescent="0.2">
      <c r="A2605" s="78">
        <v>48261</v>
      </c>
      <c r="B2605" s="77">
        <f>+PT!A2607</f>
        <v>0</v>
      </c>
      <c r="C2605" s="77">
        <f t="shared" si="43"/>
        <v>2604</v>
      </c>
    </row>
    <row r="2606" spans="1:3" x14ac:dyDescent="0.2">
      <c r="A2606" s="78">
        <v>48262</v>
      </c>
      <c r="B2606" s="77">
        <f>+PT!A2608</f>
        <v>0</v>
      </c>
      <c r="C2606" s="77">
        <f t="shared" si="43"/>
        <v>2605</v>
      </c>
    </row>
    <row r="2607" spans="1:3" x14ac:dyDescent="0.2">
      <c r="A2607" s="78">
        <v>48263</v>
      </c>
      <c r="B2607" s="77">
        <f>+PT!A2609</f>
        <v>0</v>
      </c>
      <c r="C2607" s="77">
        <f t="shared" si="43"/>
        <v>2606</v>
      </c>
    </row>
    <row r="2608" spans="1:3" x14ac:dyDescent="0.2">
      <c r="A2608" s="78">
        <v>48264</v>
      </c>
      <c r="B2608" s="77">
        <f>+PT!A2610</f>
        <v>0</v>
      </c>
      <c r="C2608" s="77">
        <f t="shared" si="43"/>
        <v>2607</v>
      </c>
    </row>
    <row r="2609" spans="1:3" x14ac:dyDescent="0.2">
      <c r="A2609" s="78">
        <v>48265</v>
      </c>
      <c r="B2609" s="77">
        <f>+PT!A2611</f>
        <v>0</v>
      </c>
      <c r="C2609" s="77">
        <f t="shared" si="43"/>
        <v>2608</v>
      </c>
    </row>
    <row r="2610" spans="1:3" x14ac:dyDescent="0.2">
      <c r="A2610" s="78">
        <v>48266</v>
      </c>
      <c r="B2610" s="77">
        <f>+PT!A2612</f>
        <v>0</v>
      </c>
      <c r="C2610" s="77">
        <f t="shared" si="43"/>
        <v>2609</v>
      </c>
    </row>
    <row r="2611" spans="1:3" x14ac:dyDescent="0.2">
      <c r="A2611" s="78">
        <v>48267</v>
      </c>
      <c r="B2611" s="77">
        <f>+PT!A2613</f>
        <v>0</v>
      </c>
      <c r="C2611" s="77">
        <f t="shared" si="43"/>
        <v>2610</v>
      </c>
    </row>
    <row r="2612" spans="1:3" x14ac:dyDescent="0.2">
      <c r="A2612" s="78">
        <v>48268</v>
      </c>
      <c r="B2612" s="77">
        <f>+PT!A2614</f>
        <v>0</v>
      </c>
      <c r="C2612" s="77">
        <f t="shared" si="43"/>
        <v>2611</v>
      </c>
    </row>
    <row r="2613" spans="1:3" x14ac:dyDescent="0.2">
      <c r="A2613" s="78">
        <v>48269</v>
      </c>
      <c r="B2613" s="77">
        <f>+PT!A2615</f>
        <v>0</v>
      </c>
      <c r="C2613" s="77">
        <f t="shared" si="43"/>
        <v>2612</v>
      </c>
    </row>
    <row r="2614" spans="1:3" x14ac:dyDescent="0.2">
      <c r="A2614" s="78">
        <v>48270</v>
      </c>
      <c r="B2614" s="77">
        <f>+PT!A2616</f>
        <v>0</v>
      </c>
      <c r="C2614" s="77">
        <f t="shared" si="43"/>
        <v>2613</v>
      </c>
    </row>
    <row r="2615" spans="1:3" x14ac:dyDescent="0.2">
      <c r="A2615" s="78">
        <v>48271</v>
      </c>
      <c r="B2615" s="77">
        <f>+PT!A2617</f>
        <v>0</v>
      </c>
      <c r="C2615" s="77">
        <f t="shared" si="43"/>
        <v>2614</v>
      </c>
    </row>
    <row r="2616" spans="1:3" x14ac:dyDescent="0.2">
      <c r="A2616" s="78">
        <v>48272</v>
      </c>
      <c r="B2616" s="77">
        <f>+PT!A2618</f>
        <v>0</v>
      </c>
      <c r="C2616" s="77">
        <f t="shared" si="43"/>
        <v>2615</v>
      </c>
    </row>
    <row r="2617" spans="1:3" x14ac:dyDescent="0.2">
      <c r="A2617" s="78">
        <v>48273</v>
      </c>
      <c r="B2617" s="77">
        <f>+PT!A2619</f>
        <v>0</v>
      </c>
      <c r="C2617" s="77">
        <f t="shared" si="43"/>
        <v>2616</v>
      </c>
    </row>
    <row r="2618" spans="1:3" x14ac:dyDescent="0.2">
      <c r="A2618" s="78">
        <v>48274</v>
      </c>
      <c r="B2618" s="77">
        <f>+PT!A2620</f>
        <v>0</v>
      </c>
      <c r="C2618" s="77">
        <f t="shared" si="43"/>
        <v>2617</v>
      </c>
    </row>
    <row r="2619" spans="1:3" x14ac:dyDescent="0.2">
      <c r="A2619" s="78">
        <v>48275</v>
      </c>
      <c r="B2619" s="77">
        <f>+PT!A2621</f>
        <v>0</v>
      </c>
      <c r="C2619" s="77">
        <f t="shared" si="43"/>
        <v>2618</v>
      </c>
    </row>
    <row r="2620" spans="1:3" x14ac:dyDescent="0.2">
      <c r="A2620" s="78">
        <v>48276</v>
      </c>
      <c r="B2620" s="77">
        <f>+PT!A2622</f>
        <v>0</v>
      </c>
      <c r="C2620" s="77">
        <f t="shared" si="43"/>
        <v>2619</v>
      </c>
    </row>
    <row r="2621" spans="1:3" x14ac:dyDescent="0.2">
      <c r="A2621" s="78">
        <v>48277</v>
      </c>
      <c r="B2621" s="77">
        <f>+PT!A2623</f>
        <v>0</v>
      </c>
      <c r="C2621" s="77">
        <f t="shared" si="43"/>
        <v>2620</v>
      </c>
    </row>
    <row r="2622" spans="1:3" x14ac:dyDescent="0.2">
      <c r="A2622" s="78">
        <v>48278</v>
      </c>
      <c r="B2622" s="77">
        <f>+PT!A2624</f>
        <v>0</v>
      </c>
      <c r="C2622" s="77">
        <f t="shared" si="43"/>
        <v>2621</v>
      </c>
    </row>
    <row r="2623" spans="1:3" x14ac:dyDescent="0.2">
      <c r="A2623" s="78">
        <v>48279</v>
      </c>
      <c r="B2623" s="77">
        <f>+PT!A2625</f>
        <v>0</v>
      </c>
      <c r="C2623" s="77">
        <f t="shared" si="43"/>
        <v>2622</v>
      </c>
    </row>
    <row r="2624" spans="1:3" x14ac:dyDescent="0.2">
      <c r="A2624" s="78">
        <v>48280</v>
      </c>
      <c r="B2624" s="77">
        <f>+PT!A2626</f>
        <v>0</v>
      </c>
      <c r="C2624" s="77">
        <f t="shared" si="43"/>
        <v>2623</v>
      </c>
    </row>
    <row r="2625" spans="1:3" x14ac:dyDescent="0.2">
      <c r="A2625" s="78">
        <v>48281</v>
      </c>
      <c r="B2625" s="77">
        <f>+PT!A2627</f>
        <v>0</v>
      </c>
      <c r="C2625" s="77">
        <f t="shared" si="43"/>
        <v>2624</v>
      </c>
    </row>
    <row r="2626" spans="1:3" x14ac:dyDescent="0.2">
      <c r="A2626" s="78">
        <v>48282</v>
      </c>
      <c r="B2626" s="77">
        <f>+PT!A2628</f>
        <v>0</v>
      </c>
      <c r="C2626" s="77">
        <f t="shared" si="43"/>
        <v>2625</v>
      </c>
    </row>
    <row r="2627" spans="1:3" x14ac:dyDescent="0.2">
      <c r="A2627" s="78">
        <v>48283</v>
      </c>
      <c r="B2627" s="77">
        <f>+PT!A2629</f>
        <v>0</v>
      </c>
      <c r="C2627" s="77">
        <f t="shared" si="43"/>
        <v>2626</v>
      </c>
    </row>
    <row r="2628" spans="1:3" x14ac:dyDescent="0.2">
      <c r="A2628" s="78">
        <v>48284</v>
      </c>
      <c r="B2628" s="77">
        <f>+PT!A2630</f>
        <v>0</v>
      </c>
      <c r="C2628" s="77">
        <f t="shared" ref="C2628:C2691" si="44">+C2627+1</f>
        <v>2627</v>
      </c>
    </row>
    <row r="2629" spans="1:3" x14ac:dyDescent="0.2">
      <c r="A2629" s="78">
        <v>48285</v>
      </c>
      <c r="B2629" s="77">
        <f>+PT!A2631</f>
        <v>0</v>
      </c>
      <c r="C2629" s="77">
        <f t="shared" si="44"/>
        <v>2628</v>
      </c>
    </row>
    <row r="2630" spans="1:3" x14ac:dyDescent="0.2">
      <c r="A2630" s="78">
        <v>48286</v>
      </c>
      <c r="B2630" s="77">
        <f>+PT!A2632</f>
        <v>0</v>
      </c>
      <c r="C2630" s="77">
        <f t="shared" si="44"/>
        <v>2629</v>
      </c>
    </row>
    <row r="2631" spans="1:3" x14ac:dyDescent="0.2">
      <c r="A2631" s="78">
        <v>48287</v>
      </c>
      <c r="B2631" s="77">
        <f>+PT!A2633</f>
        <v>0</v>
      </c>
      <c r="C2631" s="77">
        <f t="shared" si="44"/>
        <v>2630</v>
      </c>
    </row>
    <row r="2632" spans="1:3" x14ac:dyDescent="0.2">
      <c r="A2632" s="78">
        <v>48288</v>
      </c>
      <c r="B2632" s="77">
        <f>+PT!A2634</f>
        <v>0</v>
      </c>
      <c r="C2632" s="77">
        <f t="shared" si="44"/>
        <v>2631</v>
      </c>
    </row>
    <row r="2633" spans="1:3" x14ac:dyDescent="0.2">
      <c r="A2633" s="78">
        <v>48289</v>
      </c>
      <c r="B2633" s="77">
        <f>+PT!A2635</f>
        <v>0</v>
      </c>
      <c r="C2633" s="77">
        <f t="shared" si="44"/>
        <v>2632</v>
      </c>
    </row>
    <row r="2634" spans="1:3" x14ac:dyDescent="0.2">
      <c r="A2634" s="78">
        <v>48290</v>
      </c>
      <c r="B2634" s="77">
        <f>+PT!A2636</f>
        <v>0</v>
      </c>
      <c r="C2634" s="77">
        <f t="shared" si="44"/>
        <v>2633</v>
      </c>
    </row>
    <row r="2635" spans="1:3" x14ac:dyDescent="0.2">
      <c r="A2635" s="78">
        <v>48291</v>
      </c>
      <c r="B2635" s="77">
        <f>+PT!A2637</f>
        <v>0</v>
      </c>
      <c r="C2635" s="77">
        <f t="shared" si="44"/>
        <v>2634</v>
      </c>
    </row>
    <row r="2636" spans="1:3" x14ac:dyDescent="0.2">
      <c r="A2636" s="78">
        <v>48292</v>
      </c>
      <c r="B2636" s="77">
        <f>+PT!A2638</f>
        <v>0</v>
      </c>
      <c r="C2636" s="77">
        <f t="shared" si="44"/>
        <v>2635</v>
      </c>
    </row>
    <row r="2637" spans="1:3" x14ac:dyDescent="0.2">
      <c r="A2637" s="78">
        <v>48293</v>
      </c>
      <c r="B2637" s="77">
        <f>+PT!A2639</f>
        <v>0</v>
      </c>
      <c r="C2637" s="77">
        <f t="shared" si="44"/>
        <v>2636</v>
      </c>
    </row>
    <row r="2638" spans="1:3" x14ac:dyDescent="0.2">
      <c r="A2638" s="78">
        <v>48294</v>
      </c>
      <c r="B2638" s="77">
        <f>+PT!A2640</f>
        <v>0</v>
      </c>
      <c r="C2638" s="77">
        <f t="shared" si="44"/>
        <v>2637</v>
      </c>
    </row>
    <row r="2639" spans="1:3" x14ac:dyDescent="0.2">
      <c r="A2639" s="78">
        <v>48295</v>
      </c>
      <c r="B2639" s="77">
        <f>+PT!A2641</f>
        <v>0</v>
      </c>
      <c r="C2639" s="77">
        <f t="shared" si="44"/>
        <v>2638</v>
      </c>
    </row>
    <row r="2640" spans="1:3" x14ac:dyDescent="0.2">
      <c r="A2640" s="78">
        <v>48296</v>
      </c>
      <c r="B2640" s="77">
        <f>+PT!A2642</f>
        <v>0</v>
      </c>
      <c r="C2640" s="77">
        <f t="shared" si="44"/>
        <v>2639</v>
      </c>
    </row>
    <row r="2641" spans="1:3" x14ac:dyDescent="0.2">
      <c r="A2641" s="78">
        <v>48297</v>
      </c>
      <c r="B2641" s="77">
        <f>+PT!A2643</f>
        <v>0</v>
      </c>
      <c r="C2641" s="77">
        <f t="shared" si="44"/>
        <v>2640</v>
      </c>
    </row>
    <row r="2642" spans="1:3" x14ac:dyDescent="0.2">
      <c r="A2642" s="78">
        <v>48298</v>
      </c>
      <c r="B2642" s="77">
        <f>+PT!A2644</f>
        <v>0</v>
      </c>
      <c r="C2642" s="77">
        <f t="shared" si="44"/>
        <v>2641</v>
      </c>
    </row>
    <row r="2643" spans="1:3" x14ac:dyDescent="0.2">
      <c r="A2643" s="78">
        <v>48299</v>
      </c>
      <c r="B2643" s="77">
        <f>+PT!A2645</f>
        <v>0</v>
      </c>
      <c r="C2643" s="77">
        <f t="shared" si="44"/>
        <v>2642</v>
      </c>
    </row>
    <row r="2644" spans="1:3" x14ac:dyDescent="0.2">
      <c r="A2644" s="78">
        <v>48300</v>
      </c>
      <c r="B2644" s="77">
        <f>+PT!A2646</f>
        <v>0</v>
      </c>
      <c r="C2644" s="77">
        <f t="shared" si="44"/>
        <v>2643</v>
      </c>
    </row>
    <row r="2645" spans="1:3" x14ac:dyDescent="0.2">
      <c r="A2645" s="78">
        <v>48301</v>
      </c>
      <c r="B2645" s="77">
        <f>+PT!A2647</f>
        <v>0</v>
      </c>
      <c r="C2645" s="77">
        <f t="shared" si="44"/>
        <v>2644</v>
      </c>
    </row>
    <row r="2646" spans="1:3" x14ac:dyDescent="0.2">
      <c r="A2646" s="78">
        <v>48302</v>
      </c>
      <c r="B2646" s="77">
        <f>+PT!A2648</f>
        <v>0</v>
      </c>
      <c r="C2646" s="77">
        <f t="shared" si="44"/>
        <v>2645</v>
      </c>
    </row>
    <row r="2647" spans="1:3" x14ac:dyDescent="0.2">
      <c r="A2647" s="78">
        <v>48303</v>
      </c>
      <c r="B2647" s="77">
        <f>+PT!A2649</f>
        <v>0</v>
      </c>
      <c r="C2647" s="77">
        <f t="shared" si="44"/>
        <v>2646</v>
      </c>
    </row>
    <row r="2648" spans="1:3" x14ac:dyDescent="0.2">
      <c r="A2648" s="78">
        <v>48304</v>
      </c>
      <c r="B2648" s="77">
        <f>+PT!A2650</f>
        <v>0</v>
      </c>
      <c r="C2648" s="77">
        <f t="shared" si="44"/>
        <v>2647</v>
      </c>
    </row>
    <row r="2649" spans="1:3" x14ac:dyDescent="0.2">
      <c r="A2649" s="78">
        <v>48305</v>
      </c>
      <c r="B2649" s="77">
        <f>+PT!A2651</f>
        <v>0</v>
      </c>
      <c r="C2649" s="77">
        <f t="shared" si="44"/>
        <v>2648</v>
      </c>
    </row>
    <row r="2650" spans="1:3" x14ac:dyDescent="0.2">
      <c r="A2650" s="78">
        <v>48306</v>
      </c>
      <c r="B2650" s="77">
        <f>+PT!A2652</f>
        <v>0</v>
      </c>
      <c r="C2650" s="77">
        <f t="shared" si="44"/>
        <v>2649</v>
      </c>
    </row>
    <row r="2651" spans="1:3" x14ac:dyDescent="0.2">
      <c r="A2651" s="78">
        <v>48307</v>
      </c>
      <c r="B2651" s="77">
        <f>+PT!A2653</f>
        <v>0</v>
      </c>
      <c r="C2651" s="77">
        <f t="shared" si="44"/>
        <v>2650</v>
      </c>
    </row>
    <row r="2652" spans="1:3" x14ac:dyDescent="0.2">
      <c r="A2652" s="78">
        <v>48308</v>
      </c>
      <c r="B2652" s="77">
        <f>+PT!A2654</f>
        <v>0</v>
      </c>
      <c r="C2652" s="77">
        <f t="shared" si="44"/>
        <v>2651</v>
      </c>
    </row>
    <row r="2653" spans="1:3" x14ac:dyDescent="0.2">
      <c r="A2653" s="78">
        <v>48309</v>
      </c>
      <c r="B2653" s="77">
        <f>+PT!A2655</f>
        <v>0</v>
      </c>
      <c r="C2653" s="77">
        <f t="shared" si="44"/>
        <v>2652</v>
      </c>
    </row>
    <row r="2654" spans="1:3" x14ac:dyDescent="0.2">
      <c r="A2654" s="78">
        <v>48310</v>
      </c>
      <c r="B2654" s="77">
        <f>+PT!A2656</f>
        <v>0</v>
      </c>
      <c r="C2654" s="77">
        <f t="shared" si="44"/>
        <v>2653</v>
      </c>
    </row>
    <row r="2655" spans="1:3" x14ac:dyDescent="0.2">
      <c r="A2655" s="78">
        <v>48311</v>
      </c>
      <c r="B2655" s="77">
        <f>+PT!A2657</f>
        <v>0</v>
      </c>
      <c r="C2655" s="77">
        <f t="shared" si="44"/>
        <v>2654</v>
      </c>
    </row>
    <row r="2656" spans="1:3" x14ac:dyDescent="0.2">
      <c r="A2656" s="78">
        <v>48312</v>
      </c>
      <c r="B2656" s="77">
        <f>+PT!A2658</f>
        <v>0</v>
      </c>
      <c r="C2656" s="77">
        <f t="shared" si="44"/>
        <v>2655</v>
      </c>
    </row>
    <row r="2657" spans="1:3" x14ac:dyDescent="0.2">
      <c r="A2657" s="78">
        <v>48313</v>
      </c>
      <c r="B2657" s="77">
        <f>+PT!A2659</f>
        <v>0</v>
      </c>
      <c r="C2657" s="77">
        <f t="shared" si="44"/>
        <v>2656</v>
      </c>
    </row>
    <row r="2658" spans="1:3" x14ac:dyDescent="0.2">
      <c r="A2658" s="78">
        <v>48314</v>
      </c>
      <c r="B2658" s="77">
        <f>+PT!A2660</f>
        <v>0</v>
      </c>
      <c r="C2658" s="77">
        <f t="shared" si="44"/>
        <v>2657</v>
      </c>
    </row>
    <row r="2659" spans="1:3" x14ac:dyDescent="0.2">
      <c r="A2659" s="78">
        <v>48315</v>
      </c>
      <c r="B2659" s="77">
        <f>+PT!A2661</f>
        <v>0</v>
      </c>
      <c r="C2659" s="77">
        <f t="shared" si="44"/>
        <v>2658</v>
      </c>
    </row>
    <row r="2660" spans="1:3" x14ac:dyDescent="0.2">
      <c r="A2660" s="78">
        <v>48316</v>
      </c>
      <c r="B2660" s="77">
        <f>+PT!A2662</f>
        <v>0</v>
      </c>
      <c r="C2660" s="77">
        <f t="shared" si="44"/>
        <v>2659</v>
      </c>
    </row>
    <row r="2661" spans="1:3" x14ac:dyDescent="0.2">
      <c r="A2661" s="78">
        <v>48317</v>
      </c>
      <c r="B2661" s="77">
        <f>+PT!A2663</f>
        <v>0</v>
      </c>
      <c r="C2661" s="77">
        <f t="shared" si="44"/>
        <v>2660</v>
      </c>
    </row>
    <row r="2662" spans="1:3" x14ac:dyDescent="0.2">
      <c r="A2662" s="78">
        <v>48318</v>
      </c>
      <c r="B2662" s="77">
        <f>+PT!A2664</f>
        <v>0</v>
      </c>
      <c r="C2662" s="77">
        <f t="shared" si="44"/>
        <v>2661</v>
      </c>
    </row>
    <row r="2663" spans="1:3" x14ac:dyDescent="0.2">
      <c r="A2663" s="78">
        <v>48319</v>
      </c>
      <c r="B2663" s="77">
        <f>+PT!A2665</f>
        <v>0</v>
      </c>
      <c r="C2663" s="77">
        <f t="shared" si="44"/>
        <v>2662</v>
      </c>
    </row>
    <row r="2664" spans="1:3" x14ac:dyDescent="0.2">
      <c r="A2664" s="78">
        <v>48320</v>
      </c>
      <c r="B2664" s="77">
        <f>+PT!A2666</f>
        <v>0</v>
      </c>
      <c r="C2664" s="77">
        <f t="shared" si="44"/>
        <v>2663</v>
      </c>
    </row>
    <row r="2665" spans="1:3" x14ac:dyDescent="0.2">
      <c r="A2665" s="78">
        <v>48321</v>
      </c>
      <c r="B2665" s="77">
        <f>+PT!A2667</f>
        <v>0</v>
      </c>
      <c r="C2665" s="77">
        <f t="shared" si="44"/>
        <v>2664</v>
      </c>
    </row>
    <row r="2666" spans="1:3" x14ac:dyDescent="0.2">
      <c r="A2666" s="78">
        <v>48322</v>
      </c>
      <c r="B2666" s="77">
        <f>+PT!A2668</f>
        <v>0</v>
      </c>
      <c r="C2666" s="77">
        <f t="shared" si="44"/>
        <v>2665</v>
      </c>
    </row>
    <row r="2667" spans="1:3" x14ac:dyDescent="0.2">
      <c r="A2667" s="78">
        <v>48323</v>
      </c>
      <c r="B2667" s="77">
        <f>+PT!A2669</f>
        <v>0</v>
      </c>
      <c r="C2667" s="77">
        <f t="shared" si="44"/>
        <v>2666</v>
      </c>
    </row>
    <row r="2668" spans="1:3" x14ac:dyDescent="0.2">
      <c r="A2668" s="78">
        <v>48324</v>
      </c>
      <c r="B2668" s="77">
        <f>+PT!A2670</f>
        <v>0</v>
      </c>
      <c r="C2668" s="77">
        <f t="shared" si="44"/>
        <v>2667</v>
      </c>
    </row>
    <row r="2669" spans="1:3" x14ac:dyDescent="0.2">
      <c r="A2669" s="78">
        <v>48325</v>
      </c>
      <c r="B2669" s="77">
        <f>+PT!A2671</f>
        <v>0</v>
      </c>
      <c r="C2669" s="77">
        <f t="shared" si="44"/>
        <v>2668</v>
      </c>
    </row>
    <row r="2670" spans="1:3" x14ac:dyDescent="0.2">
      <c r="A2670" s="78">
        <v>48326</v>
      </c>
      <c r="B2670" s="77">
        <f>+PT!A2672</f>
        <v>0</v>
      </c>
      <c r="C2670" s="77">
        <f t="shared" si="44"/>
        <v>2669</v>
      </c>
    </row>
    <row r="2671" spans="1:3" x14ac:dyDescent="0.2">
      <c r="A2671" s="78">
        <v>48327</v>
      </c>
      <c r="B2671" s="77">
        <f>+PT!A2673</f>
        <v>0</v>
      </c>
      <c r="C2671" s="77">
        <f t="shared" si="44"/>
        <v>2670</v>
      </c>
    </row>
    <row r="2672" spans="1:3" x14ac:dyDescent="0.2">
      <c r="A2672" s="78">
        <v>48328</v>
      </c>
      <c r="B2672" s="77">
        <f>+PT!A2674</f>
        <v>0</v>
      </c>
      <c r="C2672" s="77">
        <f t="shared" si="44"/>
        <v>2671</v>
      </c>
    </row>
    <row r="2673" spans="1:3" x14ac:dyDescent="0.2">
      <c r="A2673" s="78">
        <v>48329</v>
      </c>
      <c r="B2673" s="77">
        <f>+PT!A2675</f>
        <v>0</v>
      </c>
      <c r="C2673" s="77">
        <f t="shared" si="44"/>
        <v>2672</v>
      </c>
    </row>
    <row r="2674" spans="1:3" x14ac:dyDescent="0.2">
      <c r="A2674" s="78">
        <v>48330</v>
      </c>
      <c r="B2674" s="77">
        <f>+PT!A2676</f>
        <v>0</v>
      </c>
      <c r="C2674" s="77">
        <f t="shared" si="44"/>
        <v>2673</v>
      </c>
    </row>
    <row r="2675" spans="1:3" x14ac:dyDescent="0.2">
      <c r="A2675" s="78">
        <v>48331</v>
      </c>
      <c r="B2675" s="77">
        <f>+PT!A2677</f>
        <v>0</v>
      </c>
      <c r="C2675" s="77">
        <f t="shared" si="44"/>
        <v>2674</v>
      </c>
    </row>
    <row r="2676" spans="1:3" x14ac:dyDescent="0.2">
      <c r="A2676" s="78">
        <v>48332</v>
      </c>
      <c r="B2676" s="77">
        <f>+PT!A2678</f>
        <v>0</v>
      </c>
      <c r="C2676" s="77">
        <f t="shared" si="44"/>
        <v>2675</v>
      </c>
    </row>
    <row r="2677" spans="1:3" x14ac:dyDescent="0.2">
      <c r="A2677" s="78">
        <v>48333</v>
      </c>
      <c r="B2677" s="77">
        <f>+PT!A2679</f>
        <v>0</v>
      </c>
      <c r="C2677" s="77">
        <f t="shared" si="44"/>
        <v>2676</v>
      </c>
    </row>
    <row r="2678" spans="1:3" x14ac:dyDescent="0.2">
      <c r="A2678" s="78">
        <v>48334</v>
      </c>
      <c r="B2678" s="77">
        <f>+PT!A2680</f>
        <v>0</v>
      </c>
      <c r="C2678" s="77">
        <f t="shared" si="44"/>
        <v>2677</v>
      </c>
    </row>
    <row r="2679" spans="1:3" x14ac:dyDescent="0.2">
      <c r="A2679" s="78">
        <v>48335</v>
      </c>
      <c r="B2679" s="77">
        <f>+PT!A2681</f>
        <v>0</v>
      </c>
      <c r="C2679" s="77">
        <f t="shared" si="44"/>
        <v>2678</v>
      </c>
    </row>
    <row r="2680" spans="1:3" x14ac:dyDescent="0.2">
      <c r="A2680" s="78">
        <v>48336</v>
      </c>
      <c r="B2680" s="77">
        <f>+PT!A2682</f>
        <v>0</v>
      </c>
      <c r="C2680" s="77">
        <f t="shared" si="44"/>
        <v>2679</v>
      </c>
    </row>
    <row r="2681" spans="1:3" x14ac:dyDescent="0.2">
      <c r="A2681" s="78">
        <v>48337</v>
      </c>
      <c r="B2681" s="77">
        <f>+PT!A2683</f>
        <v>0</v>
      </c>
      <c r="C2681" s="77">
        <f t="shared" si="44"/>
        <v>2680</v>
      </c>
    </row>
    <row r="2682" spans="1:3" x14ac:dyDescent="0.2">
      <c r="A2682" s="78">
        <v>48338</v>
      </c>
      <c r="B2682" s="77">
        <f>+PT!A2684</f>
        <v>0</v>
      </c>
      <c r="C2682" s="77">
        <f t="shared" si="44"/>
        <v>2681</v>
      </c>
    </row>
    <row r="2683" spans="1:3" x14ac:dyDescent="0.2">
      <c r="A2683" s="78">
        <v>48339</v>
      </c>
      <c r="B2683" s="77">
        <f>+PT!A2685</f>
        <v>0</v>
      </c>
      <c r="C2683" s="77">
        <f t="shared" si="44"/>
        <v>2682</v>
      </c>
    </row>
    <row r="2684" spans="1:3" x14ac:dyDescent="0.2">
      <c r="A2684" s="78">
        <v>48340</v>
      </c>
      <c r="B2684" s="77">
        <f>+PT!A2686</f>
        <v>0</v>
      </c>
      <c r="C2684" s="77">
        <f t="shared" si="44"/>
        <v>2683</v>
      </c>
    </row>
    <row r="2685" spans="1:3" x14ac:dyDescent="0.2">
      <c r="A2685" s="78">
        <v>48341</v>
      </c>
      <c r="B2685" s="77">
        <f>+PT!A2687</f>
        <v>0</v>
      </c>
      <c r="C2685" s="77">
        <f t="shared" si="44"/>
        <v>2684</v>
      </c>
    </row>
    <row r="2686" spans="1:3" x14ac:dyDescent="0.2">
      <c r="A2686" s="78">
        <v>48342</v>
      </c>
      <c r="B2686" s="77">
        <f>+PT!A2688</f>
        <v>0</v>
      </c>
      <c r="C2686" s="77">
        <f t="shared" si="44"/>
        <v>2685</v>
      </c>
    </row>
    <row r="2687" spans="1:3" x14ac:dyDescent="0.2">
      <c r="A2687" s="78">
        <v>48343</v>
      </c>
      <c r="B2687" s="77">
        <f>+PT!A2689</f>
        <v>0</v>
      </c>
      <c r="C2687" s="77">
        <f t="shared" si="44"/>
        <v>2686</v>
      </c>
    </row>
    <row r="2688" spans="1:3" x14ac:dyDescent="0.2">
      <c r="A2688" s="78">
        <v>48344</v>
      </c>
      <c r="B2688" s="77">
        <f>+PT!A2690</f>
        <v>0</v>
      </c>
      <c r="C2688" s="77">
        <f t="shared" si="44"/>
        <v>2687</v>
      </c>
    </row>
    <row r="2689" spans="1:3" x14ac:dyDescent="0.2">
      <c r="A2689" s="78">
        <v>48345</v>
      </c>
      <c r="B2689" s="77">
        <f>+PT!A2691</f>
        <v>0</v>
      </c>
      <c r="C2689" s="77">
        <f t="shared" si="44"/>
        <v>2688</v>
      </c>
    </row>
    <row r="2690" spans="1:3" x14ac:dyDescent="0.2">
      <c r="A2690" s="78">
        <v>48346</v>
      </c>
      <c r="B2690" s="77">
        <f>+PT!A2692</f>
        <v>0</v>
      </c>
      <c r="C2690" s="77">
        <f t="shared" si="44"/>
        <v>2689</v>
      </c>
    </row>
    <row r="2691" spans="1:3" x14ac:dyDescent="0.2">
      <c r="A2691" s="78">
        <v>48347</v>
      </c>
      <c r="B2691" s="77">
        <f>+PT!A2693</f>
        <v>0</v>
      </c>
      <c r="C2691" s="77">
        <f t="shared" si="44"/>
        <v>2690</v>
      </c>
    </row>
    <row r="2692" spans="1:3" x14ac:dyDescent="0.2">
      <c r="A2692" s="78">
        <v>48348</v>
      </c>
      <c r="B2692" s="77">
        <f>+PT!A2694</f>
        <v>0</v>
      </c>
      <c r="C2692" s="77">
        <f t="shared" ref="C2692:C2755" si="45">+C2691+1</f>
        <v>2691</v>
      </c>
    </row>
    <row r="2693" spans="1:3" x14ac:dyDescent="0.2">
      <c r="A2693" s="78">
        <v>48349</v>
      </c>
      <c r="B2693" s="77">
        <f>+PT!A2695</f>
        <v>0</v>
      </c>
      <c r="C2693" s="77">
        <f t="shared" si="45"/>
        <v>2692</v>
      </c>
    </row>
    <row r="2694" spans="1:3" x14ac:dyDescent="0.2">
      <c r="A2694" s="78">
        <v>48350</v>
      </c>
      <c r="B2694" s="77">
        <f>+PT!A2696</f>
        <v>0</v>
      </c>
      <c r="C2694" s="77">
        <f t="shared" si="45"/>
        <v>2693</v>
      </c>
    </row>
    <row r="2695" spans="1:3" x14ac:dyDescent="0.2">
      <c r="A2695" s="78">
        <v>48351</v>
      </c>
      <c r="B2695" s="77">
        <f>+PT!A2697</f>
        <v>0</v>
      </c>
      <c r="C2695" s="77">
        <f t="shared" si="45"/>
        <v>2694</v>
      </c>
    </row>
    <row r="2696" spans="1:3" x14ac:dyDescent="0.2">
      <c r="A2696" s="78">
        <v>48352</v>
      </c>
      <c r="B2696" s="77">
        <f>+PT!A2698</f>
        <v>0</v>
      </c>
      <c r="C2696" s="77">
        <f t="shared" si="45"/>
        <v>2695</v>
      </c>
    </row>
    <row r="2697" spans="1:3" x14ac:dyDescent="0.2">
      <c r="A2697" s="78">
        <v>48353</v>
      </c>
      <c r="B2697" s="77">
        <f>+PT!A2699</f>
        <v>0</v>
      </c>
      <c r="C2697" s="77">
        <f t="shared" si="45"/>
        <v>2696</v>
      </c>
    </row>
    <row r="2698" spans="1:3" x14ac:dyDescent="0.2">
      <c r="A2698" s="78">
        <v>48354</v>
      </c>
      <c r="B2698" s="77">
        <f>+PT!A2700</f>
        <v>0</v>
      </c>
      <c r="C2698" s="77">
        <f t="shared" si="45"/>
        <v>2697</v>
      </c>
    </row>
    <row r="2699" spans="1:3" x14ac:dyDescent="0.2">
      <c r="A2699" s="78">
        <v>48355</v>
      </c>
      <c r="B2699" s="77">
        <f>+PT!A2701</f>
        <v>0</v>
      </c>
      <c r="C2699" s="77">
        <f t="shared" si="45"/>
        <v>2698</v>
      </c>
    </row>
    <row r="2700" spans="1:3" x14ac:dyDescent="0.2">
      <c r="A2700" s="78">
        <v>48356</v>
      </c>
      <c r="B2700" s="77">
        <f>+PT!A2702</f>
        <v>0</v>
      </c>
      <c r="C2700" s="77">
        <f t="shared" si="45"/>
        <v>2699</v>
      </c>
    </row>
    <row r="2701" spans="1:3" x14ac:dyDescent="0.2">
      <c r="A2701" s="78">
        <v>48357</v>
      </c>
      <c r="B2701" s="77">
        <f>+PT!A2703</f>
        <v>0</v>
      </c>
      <c r="C2701" s="77">
        <f t="shared" si="45"/>
        <v>2700</v>
      </c>
    </row>
    <row r="2702" spans="1:3" x14ac:dyDescent="0.2">
      <c r="A2702" s="78">
        <v>48358</v>
      </c>
      <c r="B2702" s="77">
        <f>+PT!A2704</f>
        <v>0</v>
      </c>
      <c r="C2702" s="77">
        <f t="shared" si="45"/>
        <v>2701</v>
      </c>
    </row>
    <row r="2703" spans="1:3" x14ac:dyDescent="0.2">
      <c r="A2703" s="78">
        <v>48359</v>
      </c>
      <c r="B2703" s="77">
        <f>+PT!A2705</f>
        <v>0</v>
      </c>
      <c r="C2703" s="77">
        <f t="shared" si="45"/>
        <v>2702</v>
      </c>
    </row>
    <row r="2704" spans="1:3" x14ac:dyDescent="0.2">
      <c r="A2704" s="78">
        <v>48360</v>
      </c>
      <c r="B2704" s="77">
        <f>+PT!A2706</f>
        <v>0</v>
      </c>
      <c r="C2704" s="77">
        <f t="shared" si="45"/>
        <v>2703</v>
      </c>
    </row>
    <row r="2705" spans="1:3" x14ac:dyDescent="0.2">
      <c r="A2705" s="78">
        <v>48361</v>
      </c>
      <c r="B2705" s="77">
        <f>+PT!A2707</f>
        <v>0</v>
      </c>
      <c r="C2705" s="77">
        <f t="shared" si="45"/>
        <v>2704</v>
      </c>
    </row>
    <row r="2706" spans="1:3" x14ac:dyDescent="0.2">
      <c r="A2706" s="78">
        <v>48362</v>
      </c>
      <c r="B2706" s="77">
        <f>+PT!A2708</f>
        <v>0</v>
      </c>
      <c r="C2706" s="77">
        <f t="shared" si="45"/>
        <v>2705</v>
      </c>
    </row>
    <row r="2707" spans="1:3" x14ac:dyDescent="0.2">
      <c r="A2707" s="78">
        <v>48363</v>
      </c>
      <c r="B2707" s="77">
        <f>+PT!A2709</f>
        <v>0</v>
      </c>
      <c r="C2707" s="77">
        <f t="shared" si="45"/>
        <v>2706</v>
      </c>
    </row>
    <row r="2708" spans="1:3" x14ac:dyDescent="0.2">
      <c r="A2708" s="78">
        <v>48364</v>
      </c>
      <c r="B2708" s="77">
        <f>+PT!A2710</f>
        <v>0</v>
      </c>
      <c r="C2708" s="77">
        <f t="shared" si="45"/>
        <v>2707</v>
      </c>
    </row>
    <row r="2709" spans="1:3" x14ac:dyDescent="0.2">
      <c r="A2709" s="78">
        <v>48365</v>
      </c>
      <c r="B2709" s="77">
        <f>+PT!A2711</f>
        <v>0</v>
      </c>
      <c r="C2709" s="77">
        <f t="shared" si="45"/>
        <v>2708</v>
      </c>
    </row>
    <row r="2710" spans="1:3" x14ac:dyDescent="0.2">
      <c r="A2710" s="78">
        <v>48366</v>
      </c>
      <c r="B2710" s="77">
        <f>+PT!A2712</f>
        <v>0</v>
      </c>
      <c r="C2710" s="77">
        <f t="shared" si="45"/>
        <v>2709</v>
      </c>
    </row>
    <row r="2711" spans="1:3" x14ac:dyDescent="0.2">
      <c r="A2711" s="78">
        <v>48367</v>
      </c>
      <c r="B2711" s="77">
        <f>+PT!A2713</f>
        <v>0</v>
      </c>
      <c r="C2711" s="77">
        <f t="shared" si="45"/>
        <v>2710</v>
      </c>
    </row>
    <row r="2712" spans="1:3" x14ac:dyDescent="0.2">
      <c r="A2712" s="78">
        <v>48368</v>
      </c>
      <c r="B2712" s="77">
        <f>+PT!A2714</f>
        <v>0</v>
      </c>
      <c r="C2712" s="77">
        <f t="shared" si="45"/>
        <v>2711</v>
      </c>
    </row>
    <row r="2713" spans="1:3" x14ac:dyDescent="0.2">
      <c r="A2713" s="78">
        <v>48369</v>
      </c>
      <c r="B2713" s="77">
        <f>+PT!A2715</f>
        <v>0</v>
      </c>
      <c r="C2713" s="77">
        <f t="shared" si="45"/>
        <v>2712</v>
      </c>
    </row>
    <row r="2714" spans="1:3" x14ac:dyDescent="0.2">
      <c r="A2714" s="78">
        <v>48370</v>
      </c>
      <c r="B2714" s="77">
        <f>+PT!A2716</f>
        <v>0</v>
      </c>
      <c r="C2714" s="77">
        <f t="shared" si="45"/>
        <v>2713</v>
      </c>
    </row>
    <row r="2715" spans="1:3" x14ac:dyDescent="0.2">
      <c r="A2715" s="78">
        <v>48371</v>
      </c>
      <c r="B2715" s="77">
        <f>+PT!A2717</f>
        <v>0</v>
      </c>
      <c r="C2715" s="77">
        <f t="shared" si="45"/>
        <v>2714</v>
      </c>
    </row>
    <row r="2716" spans="1:3" x14ac:dyDescent="0.2">
      <c r="A2716" s="78">
        <v>48372</v>
      </c>
      <c r="B2716" s="77">
        <f>+PT!A2718</f>
        <v>0</v>
      </c>
      <c r="C2716" s="77">
        <f t="shared" si="45"/>
        <v>2715</v>
      </c>
    </row>
    <row r="2717" spans="1:3" x14ac:dyDescent="0.2">
      <c r="A2717" s="78">
        <v>48373</v>
      </c>
      <c r="B2717" s="77">
        <f>+PT!A2719</f>
        <v>0</v>
      </c>
      <c r="C2717" s="77">
        <f t="shared" si="45"/>
        <v>2716</v>
      </c>
    </row>
    <row r="2718" spans="1:3" x14ac:dyDescent="0.2">
      <c r="A2718" s="78">
        <v>48374</v>
      </c>
      <c r="B2718" s="77">
        <f>+PT!A2720</f>
        <v>0</v>
      </c>
      <c r="C2718" s="77">
        <f t="shared" si="45"/>
        <v>2717</v>
      </c>
    </row>
    <row r="2719" spans="1:3" x14ac:dyDescent="0.2">
      <c r="A2719" s="78">
        <v>48375</v>
      </c>
      <c r="B2719" s="77">
        <f>+PT!A2721</f>
        <v>0</v>
      </c>
      <c r="C2719" s="77">
        <f t="shared" si="45"/>
        <v>2718</v>
      </c>
    </row>
    <row r="2720" spans="1:3" x14ac:dyDescent="0.2">
      <c r="A2720" s="78">
        <v>48376</v>
      </c>
      <c r="B2720" s="77">
        <f>+PT!A2722</f>
        <v>0</v>
      </c>
      <c r="C2720" s="77">
        <f t="shared" si="45"/>
        <v>2719</v>
      </c>
    </row>
    <row r="2721" spans="1:3" x14ac:dyDescent="0.2">
      <c r="A2721" s="78">
        <v>48377</v>
      </c>
      <c r="B2721" s="77">
        <f>+PT!A2723</f>
        <v>0</v>
      </c>
      <c r="C2721" s="77">
        <f t="shared" si="45"/>
        <v>2720</v>
      </c>
    </row>
    <row r="2722" spans="1:3" x14ac:dyDescent="0.2">
      <c r="A2722" s="78">
        <v>48378</v>
      </c>
      <c r="B2722" s="77">
        <f>+PT!A2724</f>
        <v>0</v>
      </c>
      <c r="C2722" s="77">
        <f t="shared" si="45"/>
        <v>2721</v>
      </c>
    </row>
    <row r="2723" spans="1:3" x14ac:dyDescent="0.2">
      <c r="A2723" s="78">
        <v>48379</v>
      </c>
      <c r="B2723" s="77">
        <f>+PT!A2725</f>
        <v>0</v>
      </c>
      <c r="C2723" s="77">
        <f t="shared" si="45"/>
        <v>2722</v>
      </c>
    </row>
    <row r="2724" spans="1:3" x14ac:dyDescent="0.2">
      <c r="A2724" s="78">
        <v>48380</v>
      </c>
      <c r="B2724" s="77">
        <f>+PT!A2726</f>
        <v>0</v>
      </c>
      <c r="C2724" s="77">
        <f t="shared" si="45"/>
        <v>2723</v>
      </c>
    </row>
    <row r="2725" spans="1:3" x14ac:dyDescent="0.2">
      <c r="A2725" s="78">
        <v>48381</v>
      </c>
      <c r="B2725" s="77">
        <f>+PT!A2727</f>
        <v>0</v>
      </c>
      <c r="C2725" s="77">
        <f t="shared" si="45"/>
        <v>2724</v>
      </c>
    </row>
    <row r="2726" spans="1:3" x14ac:dyDescent="0.2">
      <c r="A2726" s="78">
        <v>48382</v>
      </c>
      <c r="B2726" s="77">
        <f>+PT!A2728</f>
        <v>0</v>
      </c>
      <c r="C2726" s="77">
        <f t="shared" si="45"/>
        <v>2725</v>
      </c>
    </row>
    <row r="2727" spans="1:3" x14ac:dyDescent="0.2">
      <c r="A2727" s="78">
        <v>48383</v>
      </c>
      <c r="B2727" s="77">
        <f>+PT!A2729</f>
        <v>0</v>
      </c>
      <c r="C2727" s="77">
        <f t="shared" si="45"/>
        <v>2726</v>
      </c>
    </row>
    <row r="2728" spans="1:3" x14ac:dyDescent="0.2">
      <c r="A2728" s="78">
        <v>48384</v>
      </c>
      <c r="B2728" s="77">
        <f>+PT!A2730</f>
        <v>0</v>
      </c>
      <c r="C2728" s="77">
        <f t="shared" si="45"/>
        <v>2727</v>
      </c>
    </row>
    <row r="2729" spans="1:3" x14ac:dyDescent="0.2">
      <c r="A2729" s="78">
        <v>48385</v>
      </c>
      <c r="B2729" s="77">
        <f>+PT!A2731</f>
        <v>0</v>
      </c>
      <c r="C2729" s="77">
        <f t="shared" si="45"/>
        <v>2728</v>
      </c>
    </row>
    <row r="2730" spans="1:3" x14ac:dyDescent="0.2">
      <c r="A2730" s="78">
        <v>48386</v>
      </c>
      <c r="B2730" s="77">
        <f>+PT!A2732</f>
        <v>0</v>
      </c>
      <c r="C2730" s="77">
        <f t="shared" si="45"/>
        <v>2729</v>
      </c>
    </row>
    <row r="2731" spans="1:3" x14ac:dyDescent="0.2">
      <c r="A2731" s="78">
        <v>48387</v>
      </c>
      <c r="B2731" s="77">
        <f>+PT!A2733</f>
        <v>0</v>
      </c>
      <c r="C2731" s="77">
        <f t="shared" si="45"/>
        <v>2730</v>
      </c>
    </row>
    <row r="2732" spans="1:3" x14ac:dyDescent="0.2">
      <c r="A2732" s="78">
        <v>48388</v>
      </c>
      <c r="B2732" s="77">
        <f>+PT!A2734</f>
        <v>0</v>
      </c>
      <c r="C2732" s="77">
        <f t="shared" si="45"/>
        <v>2731</v>
      </c>
    </row>
    <row r="2733" spans="1:3" x14ac:dyDescent="0.2">
      <c r="A2733" s="78">
        <v>48389</v>
      </c>
      <c r="B2733" s="77">
        <f>+PT!A2735</f>
        <v>0</v>
      </c>
      <c r="C2733" s="77">
        <f t="shared" si="45"/>
        <v>2732</v>
      </c>
    </row>
    <row r="2734" spans="1:3" x14ac:dyDescent="0.2">
      <c r="A2734" s="78">
        <v>48390</v>
      </c>
      <c r="B2734" s="77">
        <f>+PT!A2736</f>
        <v>0</v>
      </c>
      <c r="C2734" s="77">
        <f t="shared" si="45"/>
        <v>2733</v>
      </c>
    </row>
    <row r="2735" spans="1:3" x14ac:dyDescent="0.2">
      <c r="A2735" s="78">
        <v>48391</v>
      </c>
      <c r="B2735" s="77">
        <f>+PT!A2737</f>
        <v>0</v>
      </c>
      <c r="C2735" s="77">
        <f t="shared" si="45"/>
        <v>2734</v>
      </c>
    </row>
    <row r="2736" spans="1:3" x14ac:dyDescent="0.2">
      <c r="A2736" s="78">
        <v>48392</v>
      </c>
      <c r="B2736" s="77">
        <f>+PT!A2738</f>
        <v>0</v>
      </c>
      <c r="C2736" s="77">
        <f t="shared" si="45"/>
        <v>2735</v>
      </c>
    </row>
    <row r="2737" spans="1:3" x14ac:dyDescent="0.2">
      <c r="A2737" s="78">
        <v>48393</v>
      </c>
      <c r="B2737" s="77">
        <f>+PT!A2739</f>
        <v>0</v>
      </c>
      <c r="C2737" s="77">
        <f t="shared" si="45"/>
        <v>2736</v>
      </c>
    </row>
    <row r="2738" spans="1:3" x14ac:dyDescent="0.2">
      <c r="A2738" s="78">
        <v>48394</v>
      </c>
      <c r="B2738" s="77">
        <f>+PT!A2740</f>
        <v>0</v>
      </c>
      <c r="C2738" s="77">
        <f t="shared" si="45"/>
        <v>2737</v>
      </c>
    </row>
    <row r="2739" spans="1:3" x14ac:dyDescent="0.2">
      <c r="A2739" s="78">
        <v>48395</v>
      </c>
      <c r="B2739" s="77">
        <f>+PT!A2741</f>
        <v>0</v>
      </c>
      <c r="C2739" s="77">
        <f t="shared" si="45"/>
        <v>2738</v>
      </c>
    </row>
    <row r="2740" spans="1:3" x14ac:dyDescent="0.2">
      <c r="A2740" s="78">
        <v>48396</v>
      </c>
      <c r="B2740" s="77">
        <f>+PT!A2742</f>
        <v>0</v>
      </c>
      <c r="C2740" s="77">
        <f t="shared" si="45"/>
        <v>2739</v>
      </c>
    </row>
    <row r="2741" spans="1:3" x14ac:dyDescent="0.2">
      <c r="A2741" s="78">
        <v>48397</v>
      </c>
      <c r="B2741" s="77">
        <f>+PT!A2743</f>
        <v>0</v>
      </c>
      <c r="C2741" s="77">
        <f t="shared" si="45"/>
        <v>2740</v>
      </c>
    </row>
    <row r="2742" spans="1:3" x14ac:dyDescent="0.2">
      <c r="A2742" s="78">
        <v>48398</v>
      </c>
      <c r="B2742" s="77">
        <f>+PT!A2744</f>
        <v>0</v>
      </c>
      <c r="C2742" s="77">
        <f t="shared" si="45"/>
        <v>2741</v>
      </c>
    </row>
    <row r="2743" spans="1:3" x14ac:dyDescent="0.2">
      <c r="A2743" s="78">
        <v>48399</v>
      </c>
      <c r="B2743" s="77">
        <f>+PT!A2745</f>
        <v>0</v>
      </c>
      <c r="C2743" s="77">
        <f t="shared" si="45"/>
        <v>2742</v>
      </c>
    </row>
    <row r="2744" spans="1:3" x14ac:dyDescent="0.2">
      <c r="A2744" s="78">
        <v>48400</v>
      </c>
      <c r="B2744" s="77">
        <f>+PT!A2746</f>
        <v>0</v>
      </c>
      <c r="C2744" s="77">
        <f t="shared" si="45"/>
        <v>2743</v>
      </c>
    </row>
    <row r="2745" spans="1:3" x14ac:dyDescent="0.2">
      <c r="A2745" s="78">
        <v>48401</v>
      </c>
      <c r="B2745" s="77">
        <f>+PT!A2747</f>
        <v>0</v>
      </c>
      <c r="C2745" s="77">
        <f t="shared" si="45"/>
        <v>2744</v>
      </c>
    </row>
    <row r="2746" spans="1:3" x14ac:dyDescent="0.2">
      <c r="A2746" s="78">
        <v>48402</v>
      </c>
      <c r="B2746" s="77">
        <f>+PT!A2748</f>
        <v>0</v>
      </c>
      <c r="C2746" s="77">
        <f t="shared" si="45"/>
        <v>2745</v>
      </c>
    </row>
    <row r="2747" spans="1:3" x14ac:dyDescent="0.2">
      <c r="A2747" s="78">
        <v>48403</v>
      </c>
      <c r="B2747" s="77">
        <f>+PT!A2749</f>
        <v>0</v>
      </c>
      <c r="C2747" s="77">
        <f t="shared" si="45"/>
        <v>2746</v>
      </c>
    </row>
    <row r="2748" spans="1:3" x14ac:dyDescent="0.2">
      <c r="A2748" s="78">
        <v>48404</v>
      </c>
      <c r="B2748" s="77">
        <f>+PT!A2750</f>
        <v>0</v>
      </c>
      <c r="C2748" s="77">
        <f t="shared" si="45"/>
        <v>2747</v>
      </c>
    </row>
    <row r="2749" spans="1:3" x14ac:dyDescent="0.2">
      <c r="A2749" s="78">
        <v>48405</v>
      </c>
      <c r="B2749" s="77">
        <f>+PT!A2751</f>
        <v>0</v>
      </c>
      <c r="C2749" s="77">
        <f t="shared" si="45"/>
        <v>2748</v>
      </c>
    </row>
    <row r="2750" spans="1:3" x14ac:dyDescent="0.2">
      <c r="A2750" s="78">
        <v>48406</v>
      </c>
      <c r="B2750" s="77">
        <f>+PT!A2752</f>
        <v>0</v>
      </c>
      <c r="C2750" s="77">
        <f t="shared" si="45"/>
        <v>2749</v>
      </c>
    </row>
    <row r="2751" spans="1:3" x14ac:dyDescent="0.2">
      <c r="A2751" s="78">
        <v>48407</v>
      </c>
      <c r="B2751" s="77">
        <f>+PT!A2753</f>
        <v>0</v>
      </c>
      <c r="C2751" s="77">
        <f t="shared" si="45"/>
        <v>2750</v>
      </c>
    </row>
    <row r="2752" spans="1:3" x14ac:dyDescent="0.2">
      <c r="A2752" s="78">
        <v>48408</v>
      </c>
      <c r="B2752" s="77">
        <f>+PT!A2754</f>
        <v>0</v>
      </c>
      <c r="C2752" s="77">
        <f t="shared" si="45"/>
        <v>2751</v>
      </c>
    </row>
    <row r="2753" spans="1:3" x14ac:dyDescent="0.2">
      <c r="A2753" s="78">
        <v>48409</v>
      </c>
      <c r="B2753" s="77">
        <f>+PT!A2755</f>
        <v>0</v>
      </c>
      <c r="C2753" s="77">
        <f t="shared" si="45"/>
        <v>2752</v>
      </c>
    </row>
    <row r="2754" spans="1:3" x14ac:dyDescent="0.2">
      <c r="A2754" s="78">
        <v>48410</v>
      </c>
      <c r="B2754" s="77">
        <f>+PT!A2756</f>
        <v>0</v>
      </c>
      <c r="C2754" s="77">
        <f t="shared" si="45"/>
        <v>2753</v>
      </c>
    </row>
    <row r="2755" spans="1:3" x14ac:dyDescent="0.2">
      <c r="A2755" s="78">
        <v>48411</v>
      </c>
      <c r="B2755" s="77">
        <f>+PT!A2757</f>
        <v>0</v>
      </c>
      <c r="C2755" s="77">
        <f t="shared" si="45"/>
        <v>2754</v>
      </c>
    </row>
    <row r="2756" spans="1:3" x14ac:dyDescent="0.2">
      <c r="A2756" s="78">
        <v>48412</v>
      </c>
      <c r="B2756" s="77">
        <f>+PT!A2758</f>
        <v>0</v>
      </c>
      <c r="C2756" s="77">
        <f t="shared" ref="C2756:C2819" si="46">+C2755+1</f>
        <v>2755</v>
      </c>
    </row>
    <row r="2757" spans="1:3" x14ac:dyDescent="0.2">
      <c r="A2757" s="78">
        <v>48413</v>
      </c>
      <c r="B2757" s="77">
        <f>+PT!A2759</f>
        <v>0</v>
      </c>
      <c r="C2757" s="77">
        <f t="shared" si="46"/>
        <v>2756</v>
      </c>
    </row>
    <row r="2758" spans="1:3" x14ac:dyDescent="0.2">
      <c r="A2758" s="78">
        <v>48414</v>
      </c>
      <c r="B2758" s="77">
        <f>+PT!A2760</f>
        <v>0</v>
      </c>
      <c r="C2758" s="77">
        <f t="shared" si="46"/>
        <v>2757</v>
      </c>
    </row>
    <row r="2759" spans="1:3" x14ac:dyDescent="0.2">
      <c r="A2759" s="78">
        <v>48415</v>
      </c>
      <c r="B2759" s="77">
        <f>+PT!A2761</f>
        <v>0</v>
      </c>
      <c r="C2759" s="77">
        <f t="shared" si="46"/>
        <v>2758</v>
      </c>
    </row>
    <row r="2760" spans="1:3" x14ac:dyDescent="0.2">
      <c r="A2760" s="78">
        <v>48416</v>
      </c>
      <c r="B2760" s="77">
        <f>+PT!A2762</f>
        <v>0</v>
      </c>
      <c r="C2760" s="77">
        <f t="shared" si="46"/>
        <v>2759</v>
      </c>
    </row>
    <row r="2761" spans="1:3" x14ac:dyDescent="0.2">
      <c r="A2761" s="78">
        <v>48417</v>
      </c>
      <c r="B2761" s="77">
        <f>+PT!A2763</f>
        <v>0</v>
      </c>
      <c r="C2761" s="77">
        <f t="shared" si="46"/>
        <v>2760</v>
      </c>
    </row>
    <row r="2762" spans="1:3" x14ac:dyDescent="0.2">
      <c r="A2762" s="78">
        <v>48418</v>
      </c>
      <c r="B2762" s="77">
        <f>+PT!A2764</f>
        <v>0</v>
      </c>
      <c r="C2762" s="77">
        <f t="shared" si="46"/>
        <v>2761</v>
      </c>
    </row>
    <row r="2763" spans="1:3" x14ac:dyDescent="0.2">
      <c r="A2763" s="78">
        <v>48419</v>
      </c>
      <c r="B2763" s="77">
        <f>+PT!A2765</f>
        <v>0</v>
      </c>
      <c r="C2763" s="77">
        <f t="shared" si="46"/>
        <v>2762</v>
      </c>
    </row>
    <row r="2764" spans="1:3" x14ac:dyDescent="0.2">
      <c r="A2764" s="78">
        <v>48420</v>
      </c>
      <c r="B2764" s="77">
        <f>+PT!A2766</f>
        <v>0</v>
      </c>
      <c r="C2764" s="77">
        <f t="shared" si="46"/>
        <v>2763</v>
      </c>
    </row>
    <row r="2765" spans="1:3" x14ac:dyDescent="0.2">
      <c r="A2765" s="78">
        <v>48421</v>
      </c>
      <c r="B2765" s="77">
        <f>+PT!A2767</f>
        <v>0</v>
      </c>
      <c r="C2765" s="77">
        <f t="shared" si="46"/>
        <v>2764</v>
      </c>
    </row>
    <row r="2766" spans="1:3" x14ac:dyDescent="0.2">
      <c r="A2766" s="78">
        <v>48422</v>
      </c>
      <c r="B2766" s="77">
        <f>+PT!A2768</f>
        <v>0</v>
      </c>
      <c r="C2766" s="77">
        <f t="shared" si="46"/>
        <v>2765</v>
      </c>
    </row>
    <row r="2767" spans="1:3" x14ac:dyDescent="0.2">
      <c r="A2767" s="78">
        <v>48423</v>
      </c>
      <c r="B2767" s="77">
        <f>+PT!A2769</f>
        <v>0</v>
      </c>
      <c r="C2767" s="77">
        <f t="shared" si="46"/>
        <v>2766</v>
      </c>
    </row>
    <row r="2768" spans="1:3" x14ac:dyDescent="0.2">
      <c r="A2768" s="78">
        <v>48424</v>
      </c>
      <c r="B2768" s="77">
        <f>+PT!A2770</f>
        <v>0</v>
      </c>
      <c r="C2768" s="77">
        <f t="shared" si="46"/>
        <v>2767</v>
      </c>
    </row>
    <row r="2769" spans="1:3" x14ac:dyDescent="0.2">
      <c r="A2769" s="78">
        <v>48425</v>
      </c>
      <c r="B2769" s="77">
        <f>+PT!A2771</f>
        <v>0</v>
      </c>
      <c r="C2769" s="77">
        <f t="shared" si="46"/>
        <v>2768</v>
      </c>
    </row>
    <row r="2770" spans="1:3" x14ac:dyDescent="0.2">
      <c r="A2770" s="78">
        <v>48426</v>
      </c>
      <c r="B2770" s="77">
        <f>+PT!A2772</f>
        <v>0</v>
      </c>
      <c r="C2770" s="77">
        <f t="shared" si="46"/>
        <v>2769</v>
      </c>
    </row>
    <row r="2771" spans="1:3" x14ac:dyDescent="0.2">
      <c r="A2771" s="78">
        <v>48427</v>
      </c>
      <c r="B2771" s="77">
        <f>+PT!A2773</f>
        <v>0</v>
      </c>
      <c r="C2771" s="77">
        <f t="shared" si="46"/>
        <v>2770</v>
      </c>
    </row>
    <row r="2772" spans="1:3" x14ac:dyDescent="0.2">
      <c r="A2772" s="78">
        <v>48428</v>
      </c>
      <c r="B2772" s="77">
        <f>+PT!A2774</f>
        <v>0</v>
      </c>
      <c r="C2772" s="77">
        <f t="shared" si="46"/>
        <v>2771</v>
      </c>
    </row>
    <row r="2773" spans="1:3" x14ac:dyDescent="0.2">
      <c r="A2773" s="78">
        <v>48429</v>
      </c>
      <c r="B2773" s="77">
        <f>+PT!A2775</f>
        <v>0</v>
      </c>
      <c r="C2773" s="77">
        <f t="shared" si="46"/>
        <v>2772</v>
      </c>
    </row>
    <row r="2774" spans="1:3" x14ac:dyDescent="0.2">
      <c r="A2774" s="78">
        <v>48430</v>
      </c>
      <c r="B2774" s="77">
        <f>+PT!A2776</f>
        <v>0</v>
      </c>
      <c r="C2774" s="77">
        <f t="shared" si="46"/>
        <v>2773</v>
      </c>
    </row>
    <row r="2775" spans="1:3" x14ac:dyDescent="0.2">
      <c r="A2775" s="78">
        <v>48431</v>
      </c>
      <c r="B2775" s="77">
        <f>+PT!A2777</f>
        <v>0</v>
      </c>
      <c r="C2775" s="77">
        <f t="shared" si="46"/>
        <v>2774</v>
      </c>
    </row>
    <row r="2776" spans="1:3" x14ac:dyDescent="0.2">
      <c r="A2776" s="78">
        <v>48432</v>
      </c>
      <c r="B2776" s="77">
        <f>+PT!A2778</f>
        <v>0</v>
      </c>
      <c r="C2776" s="77">
        <f t="shared" si="46"/>
        <v>2775</v>
      </c>
    </row>
    <row r="2777" spans="1:3" x14ac:dyDescent="0.2">
      <c r="A2777" s="78">
        <v>48433</v>
      </c>
      <c r="B2777" s="77">
        <f>+PT!A2779</f>
        <v>0</v>
      </c>
      <c r="C2777" s="77">
        <f t="shared" si="46"/>
        <v>2776</v>
      </c>
    </row>
    <row r="2778" spans="1:3" x14ac:dyDescent="0.2">
      <c r="A2778" s="78">
        <v>48434</v>
      </c>
      <c r="B2778" s="77">
        <f>+PT!A2780</f>
        <v>0</v>
      </c>
      <c r="C2778" s="77">
        <f t="shared" si="46"/>
        <v>2777</v>
      </c>
    </row>
    <row r="2779" spans="1:3" x14ac:dyDescent="0.2">
      <c r="A2779" s="78">
        <v>48435</v>
      </c>
      <c r="B2779" s="77">
        <f>+PT!A2781</f>
        <v>0</v>
      </c>
      <c r="C2779" s="77">
        <f t="shared" si="46"/>
        <v>2778</v>
      </c>
    </row>
    <row r="2780" spans="1:3" x14ac:dyDescent="0.2">
      <c r="A2780" s="78">
        <v>48436</v>
      </c>
      <c r="B2780" s="77">
        <f>+PT!A2782</f>
        <v>0</v>
      </c>
      <c r="C2780" s="77">
        <f t="shared" si="46"/>
        <v>2779</v>
      </c>
    </row>
    <row r="2781" spans="1:3" x14ac:dyDescent="0.2">
      <c r="A2781" s="78">
        <v>48437</v>
      </c>
      <c r="B2781" s="77">
        <f>+PT!A2783</f>
        <v>0</v>
      </c>
      <c r="C2781" s="77">
        <f t="shared" si="46"/>
        <v>2780</v>
      </c>
    </row>
    <row r="2782" spans="1:3" x14ac:dyDescent="0.2">
      <c r="A2782" s="78">
        <v>48438</v>
      </c>
      <c r="B2782" s="77">
        <f>+PT!A2784</f>
        <v>0</v>
      </c>
      <c r="C2782" s="77">
        <f t="shared" si="46"/>
        <v>2781</v>
      </c>
    </row>
    <row r="2783" spans="1:3" x14ac:dyDescent="0.2">
      <c r="A2783" s="78">
        <v>48439</v>
      </c>
      <c r="B2783" s="77">
        <f>+PT!A2785</f>
        <v>0</v>
      </c>
      <c r="C2783" s="77">
        <f t="shared" si="46"/>
        <v>2782</v>
      </c>
    </row>
    <row r="2784" spans="1:3" x14ac:dyDescent="0.2">
      <c r="A2784" s="78">
        <v>48440</v>
      </c>
      <c r="B2784" s="77">
        <f>+PT!A2786</f>
        <v>0</v>
      </c>
      <c r="C2784" s="77">
        <f t="shared" si="46"/>
        <v>2783</v>
      </c>
    </row>
    <row r="2785" spans="1:3" x14ac:dyDescent="0.2">
      <c r="A2785" s="78">
        <v>48441</v>
      </c>
      <c r="B2785" s="77">
        <f>+PT!A2787</f>
        <v>0</v>
      </c>
      <c r="C2785" s="77">
        <f t="shared" si="46"/>
        <v>2784</v>
      </c>
    </row>
    <row r="2786" spans="1:3" x14ac:dyDescent="0.2">
      <c r="A2786" s="78">
        <v>48442</v>
      </c>
      <c r="B2786" s="77">
        <f>+PT!A2788</f>
        <v>0</v>
      </c>
      <c r="C2786" s="77">
        <f t="shared" si="46"/>
        <v>2785</v>
      </c>
    </row>
    <row r="2787" spans="1:3" x14ac:dyDescent="0.2">
      <c r="A2787" s="78">
        <v>48443</v>
      </c>
      <c r="B2787" s="77">
        <f>+PT!A2789</f>
        <v>0</v>
      </c>
      <c r="C2787" s="77">
        <f t="shared" si="46"/>
        <v>2786</v>
      </c>
    </row>
    <row r="2788" spans="1:3" x14ac:dyDescent="0.2">
      <c r="A2788" s="78">
        <v>48444</v>
      </c>
      <c r="B2788" s="77">
        <f>+PT!A2790</f>
        <v>0</v>
      </c>
      <c r="C2788" s="77">
        <f t="shared" si="46"/>
        <v>2787</v>
      </c>
    </row>
    <row r="2789" spans="1:3" x14ac:dyDescent="0.2">
      <c r="A2789" s="78">
        <v>48445</v>
      </c>
      <c r="B2789" s="77">
        <f>+PT!A2791</f>
        <v>0</v>
      </c>
      <c r="C2789" s="77">
        <f t="shared" si="46"/>
        <v>2788</v>
      </c>
    </row>
    <row r="2790" spans="1:3" x14ac:dyDescent="0.2">
      <c r="A2790" s="78">
        <v>48446</v>
      </c>
      <c r="B2790" s="77">
        <f>+PT!A2792</f>
        <v>0</v>
      </c>
      <c r="C2790" s="77">
        <f t="shared" si="46"/>
        <v>2789</v>
      </c>
    </row>
    <row r="2791" spans="1:3" x14ac:dyDescent="0.2">
      <c r="A2791" s="78">
        <v>48447</v>
      </c>
      <c r="B2791" s="77">
        <f>+PT!A2793</f>
        <v>0</v>
      </c>
      <c r="C2791" s="77">
        <f t="shared" si="46"/>
        <v>2790</v>
      </c>
    </row>
    <row r="2792" spans="1:3" x14ac:dyDescent="0.2">
      <c r="A2792" s="78">
        <v>48448</v>
      </c>
      <c r="B2792" s="77">
        <f>+PT!A2794</f>
        <v>0</v>
      </c>
      <c r="C2792" s="77">
        <f t="shared" si="46"/>
        <v>2791</v>
      </c>
    </row>
    <row r="2793" spans="1:3" x14ac:dyDescent="0.2">
      <c r="A2793" s="78">
        <v>48449</v>
      </c>
      <c r="B2793" s="77">
        <f>+PT!A2795</f>
        <v>0</v>
      </c>
      <c r="C2793" s="77">
        <f t="shared" si="46"/>
        <v>2792</v>
      </c>
    </row>
    <row r="2794" spans="1:3" x14ac:dyDescent="0.2">
      <c r="A2794" s="78">
        <v>48450</v>
      </c>
      <c r="B2794" s="77">
        <f>+PT!A2796</f>
        <v>0</v>
      </c>
      <c r="C2794" s="77">
        <f t="shared" si="46"/>
        <v>2793</v>
      </c>
    </row>
    <row r="2795" spans="1:3" x14ac:dyDescent="0.2">
      <c r="A2795" s="78">
        <v>48451</v>
      </c>
      <c r="B2795" s="77">
        <f>+PT!A2797</f>
        <v>0</v>
      </c>
      <c r="C2795" s="77">
        <f t="shared" si="46"/>
        <v>2794</v>
      </c>
    </row>
    <row r="2796" spans="1:3" x14ac:dyDescent="0.2">
      <c r="A2796" s="78">
        <v>48452</v>
      </c>
      <c r="B2796" s="77">
        <f>+PT!A2798</f>
        <v>0</v>
      </c>
      <c r="C2796" s="77">
        <f t="shared" si="46"/>
        <v>2795</v>
      </c>
    </row>
    <row r="2797" spans="1:3" x14ac:dyDescent="0.2">
      <c r="A2797" s="78">
        <v>48453</v>
      </c>
      <c r="B2797" s="77">
        <f>+PT!A2799</f>
        <v>0</v>
      </c>
      <c r="C2797" s="77">
        <f t="shared" si="46"/>
        <v>2796</v>
      </c>
    </row>
    <row r="2798" spans="1:3" x14ac:dyDescent="0.2">
      <c r="A2798" s="78">
        <v>48454</v>
      </c>
      <c r="B2798" s="77">
        <f>+PT!A2800</f>
        <v>0</v>
      </c>
      <c r="C2798" s="77">
        <f t="shared" si="46"/>
        <v>2797</v>
      </c>
    </row>
    <row r="2799" spans="1:3" x14ac:dyDescent="0.2">
      <c r="A2799" s="78">
        <v>48455</v>
      </c>
      <c r="B2799" s="77">
        <f>+PT!A2801</f>
        <v>0</v>
      </c>
      <c r="C2799" s="77">
        <f t="shared" si="46"/>
        <v>2798</v>
      </c>
    </row>
    <row r="2800" spans="1:3" x14ac:dyDescent="0.2">
      <c r="A2800" s="78">
        <v>48456</v>
      </c>
      <c r="B2800" s="77">
        <f>+PT!A2802</f>
        <v>0</v>
      </c>
      <c r="C2800" s="77">
        <f t="shared" si="46"/>
        <v>2799</v>
      </c>
    </row>
    <row r="2801" spans="1:3" x14ac:dyDescent="0.2">
      <c r="A2801" s="78">
        <v>48457</v>
      </c>
      <c r="B2801" s="77">
        <f>+PT!A2803</f>
        <v>0</v>
      </c>
      <c r="C2801" s="77">
        <f t="shared" si="46"/>
        <v>2800</v>
      </c>
    </row>
    <row r="2802" spans="1:3" x14ac:dyDescent="0.2">
      <c r="A2802" s="78">
        <v>48458</v>
      </c>
      <c r="B2802" s="77">
        <f>+PT!A2804</f>
        <v>0</v>
      </c>
      <c r="C2802" s="77">
        <f t="shared" si="46"/>
        <v>2801</v>
      </c>
    </row>
    <row r="2803" spans="1:3" x14ac:dyDescent="0.2">
      <c r="A2803" s="78">
        <v>48459</v>
      </c>
      <c r="B2803" s="77">
        <f>+PT!A2805</f>
        <v>0</v>
      </c>
      <c r="C2803" s="77">
        <f t="shared" si="46"/>
        <v>2802</v>
      </c>
    </row>
    <row r="2804" spans="1:3" x14ac:dyDescent="0.2">
      <c r="A2804" s="78">
        <v>48460</v>
      </c>
      <c r="B2804" s="77">
        <f>+PT!A2806</f>
        <v>0</v>
      </c>
      <c r="C2804" s="77">
        <f t="shared" si="46"/>
        <v>2803</v>
      </c>
    </row>
    <row r="2805" spans="1:3" x14ac:dyDescent="0.2">
      <c r="A2805" s="78">
        <v>48461</v>
      </c>
      <c r="B2805" s="77">
        <f>+PT!A2807</f>
        <v>0</v>
      </c>
      <c r="C2805" s="77">
        <f t="shared" si="46"/>
        <v>2804</v>
      </c>
    </row>
    <row r="2806" spans="1:3" x14ac:dyDescent="0.2">
      <c r="A2806" s="78">
        <v>48462</v>
      </c>
      <c r="B2806" s="77">
        <f>+PT!A2808</f>
        <v>0</v>
      </c>
      <c r="C2806" s="77">
        <f t="shared" si="46"/>
        <v>2805</v>
      </c>
    </row>
    <row r="2807" spans="1:3" x14ac:dyDescent="0.2">
      <c r="A2807" s="78">
        <v>48463</v>
      </c>
      <c r="B2807" s="77">
        <f>+PT!A2809</f>
        <v>0</v>
      </c>
      <c r="C2807" s="77">
        <f t="shared" si="46"/>
        <v>2806</v>
      </c>
    </row>
    <row r="2808" spans="1:3" x14ac:dyDescent="0.2">
      <c r="A2808" s="78">
        <v>48464</v>
      </c>
      <c r="B2808" s="77">
        <f>+PT!A2810</f>
        <v>0</v>
      </c>
      <c r="C2808" s="77">
        <f t="shared" si="46"/>
        <v>2807</v>
      </c>
    </row>
    <row r="2809" spans="1:3" x14ac:dyDescent="0.2">
      <c r="A2809" s="78">
        <v>48465</v>
      </c>
      <c r="B2809" s="77">
        <f>+PT!A2811</f>
        <v>0</v>
      </c>
      <c r="C2809" s="77">
        <f t="shared" si="46"/>
        <v>2808</v>
      </c>
    </row>
    <row r="2810" spans="1:3" x14ac:dyDescent="0.2">
      <c r="A2810" s="78">
        <v>48466</v>
      </c>
      <c r="B2810" s="77">
        <f>+PT!A2812</f>
        <v>0</v>
      </c>
      <c r="C2810" s="77">
        <f t="shared" si="46"/>
        <v>2809</v>
      </c>
    </row>
    <row r="2811" spans="1:3" x14ac:dyDescent="0.2">
      <c r="A2811" s="78">
        <v>48467</v>
      </c>
      <c r="B2811" s="77">
        <f>+PT!A2813</f>
        <v>0</v>
      </c>
      <c r="C2811" s="77">
        <f t="shared" si="46"/>
        <v>2810</v>
      </c>
    </row>
    <row r="2812" spans="1:3" x14ac:dyDescent="0.2">
      <c r="A2812" s="78">
        <v>48468</v>
      </c>
      <c r="B2812" s="77">
        <f>+PT!A2814</f>
        <v>0</v>
      </c>
      <c r="C2812" s="77">
        <f t="shared" si="46"/>
        <v>2811</v>
      </c>
    </row>
    <row r="2813" spans="1:3" x14ac:dyDescent="0.2">
      <c r="A2813" s="78">
        <v>48469</v>
      </c>
      <c r="B2813" s="77">
        <f>+PT!A2815</f>
        <v>0</v>
      </c>
      <c r="C2813" s="77">
        <f t="shared" si="46"/>
        <v>2812</v>
      </c>
    </row>
    <row r="2814" spans="1:3" x14ac:dyDescent="0.2">
      <c r="A2814" s="78">
        <v>48470</v>
      </c>
      <c r="B2814" s="77">
        <f>+PT!A2816</f>
        <v>0</v>
      </c>
      <c r="C2814" s="77">
        <f t="shared" si="46"/>
        <v>2813</v>
      </c>
    </row>
    <row r="2815" spans="1:3" x14ac:dyDescent="0.2">
      <c r="A2815" s="78">
        <v>48471</v>
      </c>
      <c r="B2815" s="77">
        <f>+PT!A2817</f>
        <v>0</v>
      </c>
      <c r="C2815" s="77">
        <f t="shared" si="46"/>
        <v>2814</v>
      </c>
    </row>
    <row r="2816" spans="1:3" x14ac:dyDescent="0.2">
      <c r="A2816" s="78">
        <v>48472</v>
      </c>
      <c r="B2816" s="77">
        <f>+PT!A2818</f>
        <v>0</v>
      </c>
      <c r="C2816" s="77">
        <f t="shared" si="46"/>
        <v>2815</v>
      </c>
    </row>
    <row r="2817" spans="1:3" x14ac:dyDescent="0.2">
      <c r="A2817" s="78">
        <v>48473</v>
      </c>
      <c r="B2817" s="77">
        <f>+PT!A2819</f>
        <v>0</v>
      </c>
      <c r="C2817" s="77">
        <f t="shared" si="46"/>
        <v>2816</v>
      </c>
    </row>
    <row r="2818" spans="1:3" x14ac:dyDescent="0.2">
      <c r="A2818" s="78">
        <v>48474</v>
      </c>
      <c r="B2818" s="77">
        <f>+PT!A2820</f>
        <v>0</v>
      </c>
      <c r="C2818" s="77">
        <f t="shared" si="46"/>
        <v>2817</v>
      </c>
    </row>
    <row r="2819" spans="1:3" x14ac:dyDescent="0.2">
      <c r="A2819" s="78">
        <v>48475</v>
      </c>
      <c r="B2819" s="77">
        <f>+PT!A2821</f>
        <v>0</v>
      </c>
      <c r="C2819" s="77">
        <f t="shared" si="46"/>
        <v>2818</v>
      </c>
    </row>
    <row r="2820" spans="1:3" x14ac:dyDescent="0.2">
      <c r="A2820" s="78">
        <v>48476</v>
      </c>
      <c r="B2820" s="77">
        <f>+PT!A2822</f>
        <v>0</v>
      </c>
      <c r="C2820" s="77">
        <f t="shared" ref="C2820:C2883" si="47">+C2819+1</f>
        <v>2819</v>
      </c>
    </row>
    <row r="2821" spans="1:3" x14ac:dyDescent="0.2">
      <c r="A2821" s="78">
        <v>48477</v>
      </c>
      <c r="B2821" s="77">
        <f>+PT!A2823</f>
        <v>0</v>
      </c>
      <c r="C2821" s="77">
        <f t="shared" si="47"/>
        <v>2820</v>
      </c>
    </row>
    <row r="2822" spans="1:3" x14ac:dyDescent="0.2">
      <c r="A2822" s="78">
        <v>48478</v>
      </c>
      <c r="B2822" s="77">
        <f>+PT!A2824</f>
        <v>0</v>
      </c>
      <c r="C2822" s="77">
        <f t="shared" si="47"/>
        <v>2821</v>
      </c>
    </row>
    <row r="2823" spans="1:3" x14ac:dyDescent="0.2">
      <c r="A2823" s="78">
        <v>48479</v>
      </c>
      <c r="B2823" s="77">
        <f>+PT!A2825</f>
        <v>0</v>
      </c>
      <c r="C2823" s="77">
        <f t="shared" si="47"/>
        <v>2822</v>
      </c>
    </row>
    <row r="2824" spans="1:3" x14ac:dyDescent="0.2">
      <c r="A2824" s="78">
        <v>48480</v>
      </c>
      <c r="B2824" s="77">
        <f>+PT!A2826</f>
        <v>0</v>
      </c>
      <c r="C2824" s="77">
        <f t="shared" si="47"/>
        <v>2823</v>
      </c>
    </row>
    <row r="2825" spans="1:3" x14ac:dyDescent="0.2">
      <c r="A2825" s="78">
        <v>48481</v>
      </c>
      <c r="B2825" s="77">
        <f>+PT!A2827</f>
        <v>0</v>
      </c>
      <c r="C2825" s="77">
        <f t="shared" si="47"/>
        <v>2824</v>
      </c>
    </row>
    <row r="2826" spans="1:3" x14ac:dyDescent="0.2">
      <c r="A2826" s="78">
        <v>48482</v>
      </c>
      <c r="B2826" s="77">
        <f>+PT!A2828</f>
        <v>0</v>
      </c>
      <c r="C2826" s="77">
        <f t="shared" si="47"/>
        <v>2825</v>
      </c>
    </row>
    <row r="2827" spans="1:3" x14ac:dyDescent="0.2">
      <c r="A2827" s="78">
        <v>48483</v>
      </c>
      <c r="B2827" s="77">
        <f>+PT!A2829</f>
        <v>0</v>
      </c>
      <c r="C2827" s="77">
        <f t="shared" si="47"/>
        <v>2826</v>
      </c>
    </row>
    <row r="2828" spans="1:3" x14ac:dyDescent="0.2">
      <c r="A2828" s="78">
        <v>48484</v>
      </c>
      <c r="B2828" s="77">
        <f>+PT!A2830</f>
        <v>0</v>
      </c>
      <c r="C2828" s="77">
        <f t="shared" si="47"/>
        <v>2827</v>
      </c>
    </row>
    <row r="2829" spans="1:3" x14ac:dyDescent="0.2">
      <c r="A2829" s="78">
        <v>48485</v>
      </c>
      <c r="B2829" s="77">
        <f>+PT!A2831</f>
        <v>0</v>
      </c>
      <c r="C2829" s="77">
        <f t="shared" si="47"/>
        <v>2828</v>
      </c>
    </row>
    <row r="2830" spans="1:3" x14ac:dyDescent="0.2">
      <c r="A2830" s="78">
        <v>48486</v>
      </c>
      <c r="B2830" s="77">
        <f>+PT!A2832</f>
        <v>0</v>
      </c>
      <c r="C2830" s="77">
        <f t="shared" si="47"/>
        <v>2829</v>
      </c>
    </row>
    <row r="2831" spans="1:3" x14ac:dyDescent="0.2">
      <c r="A2831" s="78">
        <v>48487</v>
      </c>
      <c r="B2831" s="77">
        <f>+PT!A2833</f>
        <v>0</v>
      </c>
      <c r="C2831" s="77">
        <f t="shared" si="47"/>
        <v>2830</v>
      </c>
    </row>
    <row r="2832" spans="1:3" x14ac:dyDescent="0.2">
      <c r="A2832" s="78">
        <v>48488</v>
      </c>
      <c r="B2832" s="77">
        <f>+PT!A2834</f>
        <v>0</v>
      </c>
      <c r="C2832" s="77">
        <f t="shared" si="47"/>
        <v>2831</v>
      </c>
    </row>
    <row r="2833" spans="1:3" x14ac:dyDescent="0.2">
      <c r="A2833" s="78">
        <v>48489</v>
      </c>
      <c r="B2833" s="77">
        <f>+PT!A2835</f>
        <v>0</v>
      </c>
      <c r="C2833" s="77">
        <f t="shared" si="47"/>
        <v>2832</v>
      </c>
    </row>
    <row r="2834" spans="1:3" x14ac:dyDescent="0.2">
      <c r="A2834" s="78">
        <v>48490</v>
      </c>
      <c r="B2834" s="77">
        <f>+PT!A2836</f>
        <v>0</v>
      </c>
      <c r="C2834" s="77">
        <f t="shared" si="47"/>
        <v>2833</v>
      </c>
    </row>
    <row r="2835" spans="1:3" x14ac:dyDescent="0.2">
      <c r="A2835" s="78">
        <v>48491</v>
      </c>
      <c r="B2835" s="77">
        <f>+PT!A2837</f>
        <v>0</v>
      </c>
      <c r="C2835" s="77">
        <f t="shared" si="47"/>
        <v>2834</v>
      </c>
    </row>
    <row r="2836" spans="1:3" x14ac:dyDescent="0.2">
      <c r="A2836" s="78">
        <v>48492</v>
      </c>
      <c r="B2836" s="77">
        <f>+PT!A2838</f>
        <v>0</v>
      </c>
      <c r="C2836" s="77">
        <f t="shared" si="47"/>
        <v>2835</v>
      </c>
    </row>
    <row r="2837" spans="1:3" x14ac:dyDescent="0.2">
      <c r="A2837" s="78">
        <v>48493</v>
      </c>
      <c r="B2837" s="77">
        <f>+PT!A2839</f>
        <v>0</v>
      </c>
      <c r="C2837" s="77">
        <f t="shared" si="47"/>
        <v>2836</v>
      </c>
    </row>
    <row r="2838" spans="1:3" x14ac:dyDescent="0.2">
      <c r="A2838" s="78">
        <v>48494</v>
      </c>
      <c r="B2838" s="77">
        <f>+PT!A2840</f>
        <v>0</v>
      </c>
      <c r="C2838" s="77">
        <f t="shared" si="47"/>
        <v>2837</v>
      </c>
    </row>
    <row r="2839" spans="1:3" x14ac:dyDescent="0.2">
      <c r="A2839" s="78">
        <v>48495</v>
      </c>
      <c r="B2839" s="77">
        <f>+PT!A2841</f>
        <v>0</v>
      </c>
      <c r="C2839" s="77">
        <f t="shared" si="47"/>
        <v>2838</v>
      </c>
    </row>
    <row r="2840" spans="1:3" x14ac:dyDescent="0.2">
      <c r="A2840" s="78">
        <v>48496</v>
      </c>
      <c r="B2840" s="77">
        <f>+PT!A2842</f>
        <v>0</v>
      </c>
      <c r="C2840" s="77">
        <f t="shared" si="47"/>
        <v>2839</v>
      </c>
    </row>
    <row r="2841" spans="1:3" x14ac:dyDescent="0.2">
      <c r="A2841" s="78">
        <v>48497</v>
      </c>
      <c r="B2841" s="77">
        <f>+PT!A2843</f>
        <v>0</v>
      </c>
      <c r="C2841" s="77">
        <f t="shared" si="47"/>
        <v>2840</v>
      </c>
    </row>
    <row r="2842" spans="1:3" x14ac:dyDescent="0.2">
      <c r="A2842" s="78">
        <v>48498</v>
      </c>
      <c r="B2842" s="77">
        <f>+PT!A2844</f>
        <v>0</v>
      </c>
      <c r="C2842" s="77">
        <f t="shared" si="47"/>
        <v>2841</v>
      </c>
    </row>
    <row r="2843" spans="1:3" x14ac:dyDescent="0.2">
      <c r="A2843" s="78">
        <v>48499</v>
      </c>
      <c r="B2843" s="77">
        <f>+PT!A2845</f>
        <v>0</v>
      </c>
      <c r="C2843" s="77">
        <f t="shared" si="47"/>
        <v>2842</v>
      </c>
    </row>
    <row r="2844" spans="1:3" x14ac:dyDescent="0.2">
      <c r="A2844" s="78">
        <v>48500</v>
      </c>
      <c r="B2844" s="77">
        <f>+PT!A2846</f>
        <v>0</v>
      </c>
      <c r="C2844" s="77">
        <f t="shared" si="47"/>
        <v>2843</v>
      </c>
    </row>
    <row r="2845" spans="1:3" x14ac:dyDescent="0.2">
      <c r="A2845" s="78">
        <v>48501</v>
      </c>
      <c r="B2845" s="77">
        <f>+PT!A2847</f>
        <v>0</v>
      </c>
      <c r="C2845" s="77">
        <f t="shared" si="47"/>
        <v>2844</v>
      </c>
    </row>
    <row r="2846" spans="1:3" x14ac:dyDescent="0.2">
      <c r="A2846" s="78">
        <v>48502</v>
      </c>
      <c r="B2846" s="77">
        <f>+PT!A2848</f>
        <v>0</v>
      </c>
      <c r="C2846" s="77">
        <f t="shared" si="47"/>
        <v>2845</v>
      </c>
    </row>
    <row r="2847" spans="1:3" x14ac:dyDescent="0.2">
      <c r="A2847" s="78">
        <v>48503</v>
      </c>
      <c r="B2847" s="77">
        <f>+PT!A2849</f>
        <v>0</v>
      </c>
      <c r="C2847" s="77">
        <f t="shared" si="47"/>
        <v>2846</v>
      </c>
    </row>
    <row r="2848" spans="1:3" x14ac:dyDescent="0.2">
      <c r="A2848" s="78">
        <v>48504</v>
      </c>
      <c r="B2848" s="77">
        <f>+PT!A2850</f>
        <v>0</v>
      </c>
      <c r="C2848" s="77">
        <f t="shared" si="47"/>
        <v>2847</v>
      </c>
    </row>
    <row r="2849" spans="1:3" x14ac:dyDescent="0.2">
      <c r="A2849" s="78">
        <v>48505</v>
      </c>
      <c r="B2849" s="77">
        <f>+PT!A2851</f>
        <v>0</v>
      </c>
      <c r="C2849" s="77">
        <f t="shared" si="47"/>
        <v>2848</v>
      </c>
    </row>
    <row r="2850" spans="1:3" x14ac:dyDescent="0.2">
      <c r="A2850" s="78">
        <v>48506</v>
      </c>
      <c r="B2850" s="77">
        <f>+PT!A2852</f>
        <v>0</v>
      </c>
      <c r="C2850" s="77">
        <f t="shared" si="47"/>
        <v>2849</v>
      </c>
    </row>
    <row r="2851" spans="1:3" x14ac:dyDescent="0.2">
      <c r="A2851" s="78">
        <v>48507</v>
      </c>
      <c r="B2851" s="77">
        <f>+PT!A2853</f>
        <v>0</v>
      </c>
      <c r="C2851" s="77">
        <f t="shared" si="47"/>
        <v>2850</v>
      </c>
    </row>
    <row r="2852" spans="1:3" x14ac:dyDescent="0.2">
      <c r="A2852" s="78">
        <v>48508</v>
      </c>
      <c r="B2852" s="77">
        <f>+PT!A2854</f>
        <v>0</v>
      </c>
      <c r="C2852" s="77">
        <f t="shared" si="47"/>
        <v>2851</v>
      </c>
    </row>
    <row r="2853" spans="1:3" x14ac:dyDescent="0.2">
      <c r="A2853" s="78">
        <v>48509</v>
      </c>
      <c r="B2853" s="77">
        <f>+PT!A2855</f>
        <v>0</v>
      </c>
      <c r="C2853" s="77">
        <f t="shared" si="47"/>
        <v>2852</v>
      </c>
    </row>
    <row r="2854" spans="1:3" x14ac:dyDescent="0.2">
      <c r="A2854" s="78">
        <v>48510</v>
      </c>
      <c r="B2854" s="77">
        <f>+PT!A2856</f>
        <v>0</v>
      </c>
      <c r="C2854" s="77">
        <f t="shared" si="47"/>
        <v>2853</v>
      </c>
    </row>
    <row r="2855" spans="1:3" x14ac:dyDescent="0.2">
      <c r="A2855" s="78">
        <v>48511</v>
      </c>
      <c r="B2855" s="77">
        <f>+PT!A2857</f>
        <v>0</v>
      </c>
      <c r="C2855" s="77">
        <f t="shared" si="47"/>
        <v>2854</v>
      </c>
    </row>
    <row r="2856" spans="1:3" x14ac:dyDescent="0.2">
      <c r="A2856" s="78">
        <v>48512</v>
      </c>
      <c r="B2856" s="77">
        <f>+PT!A2858</f>
        <v>0</v>
      </c>
      <c r="C2856" s="77">
        <f t="shared" si="47"/>
        <v>2855</v>
      </c>
    </row>
    <row r="2857" spans="1:3" x14ac:dyDescent="0.2">
      <c r="A2857" s="78">
        <v>48513</v>
      </c>
      <c r="B2857" s="77">
        <f>+PT!A2859</f>
        <v>0</v>
      </c>
      <c r="C2857" s="77">
        <f t="shared" si="47"/>
        <v>2856</v>
      </c>
    </row>
    <row r="2858" spans="1:3" x14ac:dyDescent="0.2">
      <c r="A2858" s="78">
        <v>48514</v>
      </c>
      <c r="B2858" s="77">
        <f>+PT!A2860</f>
        <v>0</v>
      </c>
      <c r="C2858" s="77">
        <f t="shared" si="47"/>
        <v>2857</v>
      </c>
    </row>
    <row r="2859" spans="1:3" x14ac:dyDescent="0.2">
      <c r="A2859" s="78">
        <v>48515</v>
      </c>
      <c r="B2859" s="77">
        <f>+PT!A2861</f>
        <v>0</v>
      </c>
      <c r="C2859" s="77">
        <f t="shared" si="47"/>
        <v>2858</v>
      </c>
    </row>
    <row r="2860" spans="1:3" x14ac:dyDescent="0.2">
      <c r="A2860" s="78">
        <v>48516</v>
      </c>
      <c r="B2860" s="77">
        <f>+PT!A2862</f>
        <v>0</v>
      </c>
      <c r="C2860" s="77">
        <f t="shared" si="47"/>
        <v>2859</v>
      </c>
    </row>
    <row r="2861" spans="1:3" x14ac:dyDescent="0.2">
      <c r="A2861" s="78">
        <v>48517</v>
      </c>
      <c r="B2861" s="77">
        <f>+PT!A2863</f>
        <v>0</v>
      </c>
      <c r="C2861" s="77">
        <f t="shared" si="47"/>
        <v>2860</v>
      </c>
    </row>
    <row r="2862" spans="1:3" x14ac:dyDescent="0.2">
      <c r="A2862" s="78">
        <v>48518</v>
      </c>
      <c r="B2862" s="77">
        <f>+PT!A2864</f>
        <v>0</v>
      </c>
      <c r="C2862" s="77">
        <f t="shared" si="47"/>
        <v>2861</v>
      </c>
    </row>
    <row r="2863" spans="1:3" x14ac:dyDescent="0.2">
      <c r="A2863" s="78">
        <v>48519</v>
      </c>
      <c r="B2863" s="77">
        <f>+PT!A2865</f>
        <v>0</v>
      </c>
      <c r="C2863" s="77">
        <f t="shared" si="47"/>
        <v>2862</v>
      </c>
    </row>
    <row r="2864" spans="1:3" x14ac:dyDescent="0.2">
      <c r="A2864" s="78">
        <v>48520</v>
      </c>
      <c r="B2864" s="77">
        <f>+PT!A2866</f>
        <v>0</v>
      </c>
      <c r="C2864" s="77">
        <f t="shared" si="47"/>
        <v>2863</v>
      </c>
    </row>
    <row r="2865" spans="1:3" x14ac:dyDescent="0.2">
      <c r="A2865" s="78">
        <v>48521</v>
      </c>
      <c r="B2865" s="77">
        <f>+PT!A2867</f>
        <v>0</v>
      </c>
      <c r="C2865" s="77">
        <f t="shared" si="47"/>
        <v>2864</v>
      </c>
    </row>
    <row r="2866" spans="1:3" x14ac:dyDescent="0.2">
      <c r="A2866" s="78">
        <v>48522</v>
      </c>
      <c r="B2866" s="77">
        <f>+PT!A2868</f>
        <v>0</v>
      </c>
      <c r="C2866" s="77">
        <f t="shared" si="47"/>
        <v>2865</v>
      </c>
    </row>
    <row r="2867" spans="1:3" x14ac:dyDescent="0.2">
      <c r="A2867" s="78">
        <v>48523</v>
      </c>
      <c r="B2867" s="77">
        <f>+PT!A2869</f>
        <v>0</v>
      </c>
      <c r="C2867" s="77">
        <f t="shared" si="47"/>
        <v>2866</v>
      </c>
    </row>
    <row r="2868" spans="1:3" x14ac:dyDescent="0.2">
      <c r="A2868" s="78">
        <v>48524</v>
      </c>
      <c r="B2868" s="77">
        <f>+PT!A2870</f>
        <v>0</v>
      </c>
      <c r="C2868" s="77">
        <f t="shared" si="47"/>
        <v>2867</v>
      </c>
    </row>
    <row r="2869" spans="1:3" x14ac:dyDescent="0.2">
      <c r="A2869" s="78">
        <v>48525</v>
      </c>
      <c r="B2869" s="77">
        <f>+PT!A2871</f>
        <v>0</v>
      </c>
      <c r="C2869" s="77">
        <f t="shared" si="47"/>
        <v>2868</v>
      </c>
    </row>
    <row r="2870" spans="1:3" x14ac:dyDescent="0.2">
      <c r="A2870" s="78">
        <v>48526</v>
      </c>
      <c r="B2870" s="77">
        <f>+PT!A2872</f>
        <v>0</v>
      </c>
      <c r="C2870" s="77">
        <f t="shared" si="47"/>
        <v>2869</v>
      </c>
    </row>
    <row r="2871" spans="1:3" x14ac:dyDescent="0.2">
      <c r="A2871" s="78">
        <v>48527</v>
      </c>
      <c r="B2871" s="77">
        <f>+PT!A2873</f>
        <v>0</v>
      </c>
      <c r="C2871" s="77">
        <f t="shared" si="47"/>
        <v>2870</v>
      </c>
    </row>
    <row r="2872" spans="1:3" x14ac:dyDescent="0.2">
      <c r="A2872" s="78">
        <v>48528</v>
      </c>
      <c r="B2872" s="77">
        <f>+PT!A2874</f>
        <v>0</v>
      </c>
      <c r="C2872" s="77">
        <f t="shared" si="47"/>
        <v>2871</v>
      </c>
    </row>
    <row r="2873" spans="1:3" x14ac:dyDescent="0.2">
      <c r="A2873" s="78">
        <v>48529</v>
      </c>
      <c r="B2873" s="77">
        <f>+PT!A2875</f>
        <v>0</v>
      </c>
      <c r="C2873" s="77">
        <f t="shared" si="47"/>
        <v>2872</v>
      </c>
    </row>
    <row r="2874" spans="1:3" x14ac:dyDescent="0.2">
      <c r="A2874" s="78">
        <v>48530</v>
      </c>
      <c r="B2874" s="77">
        <f>+PT!A2876</f>
        <v>0</v>
      </c>
      <c r="C2874" s="77">
        <f t="shared" si="47"/>
        <v>2873</v>
      </c>
    </row>
    <row r="2875" spans="1:3" x14ac:dyDescent="0.2">
      <c r="A2875" s="78">
        <v>48531</v>
      </c>
      <c r="B2875" s="77">
        <f>+PT!A2877</f>
        <v>0</v>
      </c>
      <c r="C2875" s="77">
        <f t="shared" si="47"/>
        <v>2874</v>
      </c>
    </row>
    <row r="2876" spans="1:3" x14ac:dyDescent="0.2">
      <c r="A2876" s="78">
        <v>48532</v>
      </c>
      <c r="B2876" s="77">
        <f>+PT!A2878</f>
        <v>0</v>
      </c>
      <c r="C2876" s="77">
        <f t="shared" si="47"/>
        <v>2875</v>
      </c>
    </row>
    <row r="2877" spans="1:3" x14ac:dyDescent="0.2">
      <c r="A2877" s="78">
        <v>48533</v>
      </c>
      <c r="B2877" s="77">
        <f>+PT!A2879</f>
        <v>0</v>
      </c>
      <c r="C2877" s="77">
        <f t="shared" si="47"/>
        <v>2876</v>
      </c>
    </row>
    <row r="2878" spans="1:3" x14ac:dyDescent="0.2">
      <c r="A2878" s="78">
        <v>48534</v>
      </c>
      <c r="B2878" s="77">
        <f>+PT!A2880</f>
        <v>0</v>
      </c>
      <c r="C2878" s="77">
        <f t="shared" si="47"/>
        <v>2877</v>
      </c>
    </row>
    <row r="2879" spans="1:3" x14ac:dyDescent="0.2">
      <c r="A2879" s="78">
        <v>48535</v>
      </c>
      <c r="B2879" s="77">
        <f>+PT!A2881</f>
        <v>0</v>
      </c>
      <c r="C2879" s="77">
        <f t="shared" si="47"/>
        <v>2878</v>
      </c>
    </row>
    <row r="2880" spans="1:3" x14ac:dyDescent="0.2">
      <c r="A2880" s="78">
        <v>48536</v>
      </c>
      <c r="B2880" s="77">
        <f>+PT!A2882</f>
        <v>0</v>
      </c>
      <c r="C2880" s="77">
        <f t="shared" si="47"/>
        <v>2879</v>
      </c>
    </row>
    <row r="2881" spans="1:3" x14ac:dyDescent="0.2">
      <c r="A2881" s="78">
        <v>48537</v>
      </c>
      <c r="B2881" s="77">
        <f>+PT!A2883</f>
        <v>0</v>
      </c>
      <c r="C2881" s="77">
        <f t="shared" si="47"/>
        <v>2880</v>
      </c>
    </row>
    <row r="2882" spans="1:3" x14ac:dyDescent="0.2">
      <c r="A2882" s="78">
        <v>48538</v>
      </c>
      <c r="B2882" s="77">
        <f>+PT!A2884</f>
        <v>0</v>
      </c>
      <c r="C2882" s="77">
        <f t="shared" si="47"/>
        <v>2881</v>
      </c>
    </row>
    <row r="2883" spans="1:3" x14ac:dyDescent="0.2">
      <c r="A2883" s="78">
        <v>48539</v>
      </c>
      <c r="B2883" s="77">
        <f>+PT!A2885</f>
        <v>0</v>
      </c>
      <c r="C2883" s="77">
        <f t="shared" si="47"/>
        <v>2882</v>
      </c>
    </row>
    <row r="2884" spans="1:3" x14ac:dyDescent="0.2">
      <c r="A2884" s="78">
        <v>48540</v>
      </c>
      <c r="B2884" s="77">
        <f>+PT!A2886</f>
        <v>0</v>
      </c>
      <c r="C2884" s="77">
        <f t="shared" ref="C2884:C2947" si="48">+C2883+1</f>
        <v>2883</v>
      </c>
    </row>
    <row r="2885" spans="1:3" x14ac:dyDescent="0.2">
      <c r="A2885" s="78">
        <v>48541</v>
      </c>
      <c r="B2885" s="77">
        <f>+PT!A2887</f>
        <v>0</v>
      </c>
      <c r="C2885" s="77">
        <f t="shared" si="48"/>
        <v>2884</v>
      </c>
    </row>
    <row r="2886" spans="1:3" x14ac:dyDescent="0.2">
      <c r="A2886" s="78">
        <v>48542</v>
      </c>
      <c r="B2886" s="77">
        <f>+PT!A2888</f>
        <v>0</v>
      </c>
      <c r="C2886" s="77">
        <f t="shared" si="48"/>
        <v>2885</v>
      </c>
    </row>
    <row r="2887" spans="1:3" x14ac:dyDescent="0.2">
      <c r="A2887" s="78">
        <v>48543</v>
      </c>
      <c r="B2887" s="77">
        <f>+PT!A2889</f>
        <v>0</v>
      </c>
      <c r="C2887" s="77">
        <f t="shared" si="48"/>
        <v>2886</v>
      </c>
    </row>
    <row r="2888" spans="1:3" x14ac:dyDescent="0.2">
      <c r="A2888" s="78">
        <v>48544</v>
      </c>
      <c r="B2888" s="77">
        <f>+PT!A2890</f>
        <v>0</v>
      </c>
      <c r="C2888" s="77">
        <f t="shared" si="48"/>
        <v>2887</v>
      </c>
    </row>
    <row r="2889" spans="1:3" x14ac:dyDescent="0.2">
      <c r="A2889" s="78">
        <v>48545</v>
      </c>
      <c r="B2889" s="77">
        <f>+PT!A2891</f>
        <v>0</v>
      </c>
      <c r="C2889" s="77">
        <f t="shared" si="48"/>
        <v>2888</v>
      </c>
    </row>
    <row r="2890" spans="1:3" x14ac:dyDescent="0.2">
      <c r="A2890" s="78">
        <v>48546</v>
      </c>
      <c r="B2890" s="77">
        <f>+PT!A2892</f>
        <v>0</v>
      </c>
      <c r="C2890" s="77">
        <f t="shared" si="48"/>
        <v>2889</v>
      </c>
    </row>
    <row r="2891" spans="1:3" x14ac:dyDescent="0.2">
      <c r="A2891" s="78">
        <v>48547</v>
      </c>
      <c r="B2891" s="77">
        <f>+PT!A2893</f>
        <v>0</v>
      </c>
      <c r="C2891" s="77">
        <f t="shared" si="48"/>
        <v>2890</v>
      </c>
    </row>
    <row r="2892" spans="1:3" x14ac:dyDescent="0.2">
      <c r="A2892" s="78">
        <v>48548</v>
      </c>
      <c r="B2892" s="77">
        <f>+PT!A2894</f>
        <v>0</v>
      </c>
      <c r="C2892" s="77">
        <f t="shared" si="48"/>
        <v>2891</v>
      </c>
    </row>
    <row r="2893" spans="1:3" x14ac:dyDescent="0.2">
      <c r="A2893" s="78">
        <v>48549</v>
      </c>
      <c r="B2893" s="77">
        <f>+PT!A2895</f>
        <v>0</v>
      </c>
      <c r="C2893" s="77">
        <f t="shared" si="48"/>
        <v>2892</v>
      </c>
    </row>
    <row r="2894" spans="1:3" x14ac:dyDescent="0.2">
      <c r="A2894" s="78">
        <v>48550</v>
      </c>
      <c r="B2894" s="77">
        <f>+PT!A2896</f>
        <v>0</v>
      </c>
      <c r="C2894" s="77">
        <f t="shared" si="48"/>
        <v>2893</v>
      </c>
    </row>
    <row r="2895" spans="1:3" x14ac:dyDescent="0.2">
      <c r="A2895" s="78">
        <v>48551</v>
      </c>
      <c r="B2895" s="77">
        <f>+PT!A2897</f>
        <v>0</v>
      </c>
      <c r="C2895" s="77">
        <f t="shared" si="48"/>
        <v>2894</v>
      </c>
    </row>
    <row r="2896" spans="1:3" x14ac:dyDescent="0.2">
      <c r="A2896" s="78">
        <v>48552</v>
      </c>
      <c r="B2896" s="77">
        <f>+PT!A2898</f>
        <v>0</v>
      </c>
      <c r="C2896" s="77">
        <f t="shared" si="48"/>
        <v>2895</v>
      </c>
    </row>
    <row r="2897" spans="1:3" x14ac:dyDescent="0.2">
      <c r="A2897" s="78">
        <v>48553</v>
      </c>
      <c r="B2897" s="77">
        <f>+PT!A2899</f>
        <v>0</v>
      </c>
      <c r="C2897" s="77">
        <f t="shared" si="48"/>
        <v>2896</v>
      </c>
    </row>
    <row r="2898" spans="1:3" x14ac:dyDescent="0.2">
      <c r="A2898" s="78">
        <v>48554</v>
      </c>
      <c r="B2898" s="77">
        <f>+PT!A2900</f>
        <v>0</v>
      </c>
      <c r="C2898" s="77">
        <f t="shared" si="48"/>
        <v>2897</v>
      </c>
    </row>
    <row r="2899" spans="1:3" x14ac:dyDescent="0.2">
      <c r="A2899" s="78">
        <v>48555</v>
      </c>
      <c r="B2899" s="77">
        <f>+PT!A2901</f>
        <v>0</v>
      </c>
      <c r="C2899" s="77">
        <f t="shared" si="48"/>
        <v>2898</v>
      </c>
    </row>
    <row r="2900" spans="1:3" x14ac:dyDescent="0.2">
      <c r="A2900" s="78">
        <v>48556</v>
      </c>
      <c r="B2900" s="77">
        <f>+PT!A2902</f>
        <v>0</v>
      </c>
      <c r="C2900" s="77">
        <f t="shared" si="48"/>
        <v>2899</v>
      </c>
    </row>
    <row r="2901" spans="1:3" x14ac:dyDescent="0.2">
      <c r="A2901" s="78">
        <v>48557</v>
      </c>
      <c r="B2901" s="77">
        <f>+PT!A2903</f>
        <v>0</v>
      </c>
      <c r="C2901" s="77">
        <f t="shared" si="48"/>
        <v>2900</v>
      </c>
    </row>
    <row r="2902" spans="1:3" x14ac:dyDescent="0.2">
      <c r="A2902" s="78">
        <v>48558</v>
      </c>
      <c r="B2902" s="77">
        <f>+PT!A2904</f>
        <v>0</v>
      </c>
      <c r="C2902" s="77">
        <f t="shared" si="48"/>
        <v>2901</v>
      </c>
    </row>
    <row r="2903" spans="1:3" x14ac:dyDescent="0.2">
      <c r="A2903" s="78">
        <v>48559</v>
      </c>
      <c r="B2903" s="77">
        <f>+PT!A2905</f>
        <v>0</v>
      </c>
      <c r="C2903" s="77">
        <f t="shared" si="48"/>
        <v>2902</v>
      </c>
    </row>
    <row r="2904" spans="1:3" x14ac:dyDescent="0.2">
      <c r="A2904" s="78">
        <v>48560</v>
      </c>
      <c r="B2904" s="77">
        <f>+PT!A2906</f>
        <v>0</v>
      </c>
      <c r="C2904" s="77">
        <f t="shared" si="48"/>
        <v>2903</v>
      </c>
    </row>
    <row r="2905" spans="1:3" x14ac:dyDescent="0.2">
      <c r="A2905" s="78">
        <v>48561</v>
      </c>
      <c r="B2905" s="77">
        <f>+PT!A2907</f>
        <v>0</v>
      </c>
      <c r="C2905" s="77">
        <f t="shared" si="48"/>
        <v>2904</v>
      </c>
    </row>
    <row r="2906" spans="1:3" x14ac:dyDescent="0.2">
      <c r="A2906" s="78">
        <v>48562</v>
      </c>
      <c r="B2906" s="77">
        <f>+PT!A2908</f>
        <v>0</v>
      </c>
      <c r="C2906" s="77">
        <f t="shared" si="48"/>
        <v>2905</v>
      </c>
    </row>
    <row r="2907" spans="1:3" x14ac:dyDescent="0.2">
      <c r="A2907" s="78">
        <v>48563</v>
      </c>
      <c r="B2907" s="77">
        <f>+PT!A2909</f>
        <v>0</v>
      </c>
      <c r="C2907" s="77">
        <f t="shared" si="48"/>
        <v>2906</v>
      </c>
    </row>
    <row r="2908" spans="1:3" x14ac:dyDescent="0.2">
      <c r="A2908" s="78">
        <v>48564</v>
      </c>
      <c r="B2908" s="77">
        <f>+PT!A2910</f>
        <v>0</v>
      </c>
      <c r="C2908" s="77">
        <f t="shared" si="48"/>
        <v>2907</v>
      </c>
    </row>
    <row r="2909" spans="1:3" x14ac:dyDescent="0.2">
      <c r="A2909" s="78">
        <v>48565</v>
      </c>
      <c r="B2909" s="77">
        <f>+PT!A2911</f>
        <v>0</v>
      </c>
      <c r="C2909" s="77">
        <f t="shared" si="48"/>
        <v>2908</v>
      </c>
    </row>
    <row r="2910" spans="1:3" x14ac:dyDescent="0.2">
      <c r="A2910" s="78">
        <v>48566</v>
      </c>
      <c r="B2910" s="77">
        <f>+PT!A2912</f>
        <v>0</v>
      </c>
      <c r="C2910" s="77">
        <f t="shared" si="48"/>
        <v>2909</v>
      </c>
    </row>
    <row r="2911" spans="1:3" x14ac:dyDescent="0.2">
      <c r="A2911" s="78">
        <v>48567</v>
      </c>
      <c r="B2911" s="77">
        <f>+PT!A2913</f>
        <v>0</v>
      </c>
      <c r="C2911" s="77">
        <f t="shared" si="48"/>
        <v>2910</v>
      </c>
    </row>
    <row r="2912" spans="1:3" x14ac:dyDescent="0.2">
      <c r="A2912" s="78">
        <v>48568</v>
      </c>
      <c r="B2912" s="77">
        <f>+PT!A2914</f>
        <v>0</v>
      </c>
      <c r="C2912" s="77">
        <f t="shared" si="48"/>
        <v>2911</v>
      </c>
    </row>
    <row r="2913" spans="1:3" x14ac:dyDescent="0.2">
      <c r="A2913" s="78">
        <v>48569</v>
      </c>
      <c r="B2913" s="77">
        <f>+PT!A2915</f>
        <v>0</v>
      </c>
      <c r="C2913" s="77">
        <f t="shared" si="48"/>
        <v>2912</v>
      </c>
    </row>
    <row r="2914" spans="1:3" x14ac:dyDescent="0.2">
      <c r="A2914" s="78">
        <v>48570</v>
      </c>
      <c r="B2914" s="77">
        <f>+PT!A2916</f>
        <v>0</v>
      </c>
      <c r="C2914" s="77">
        <f t="shared" si="48"/>
        <v>2913</v>
      </c>
    </row>
    <row r="2915" spans="1:3" x14ac:dyDescent="0.2">
      <c r="A2915" s="78">
        <v>48571</v>
      </c>
      <c r="B2915" s="77">
        <f>+PT!A2917</f>
        <v>0</v>
      </c>
      <c r="C2915" s="77">
        <f t="shared" si="48"/>
        <v>2914</v>
      </c>
    </row>
    <row r="2916" spans="1:3" x14ac:dyDescent="0.2">
      <c r="A2916" s="78">
        <v>48572</v>
      </c>
      <c r="B2916" s="77">
        <f>+PT!A2918</f>
        <v>0</v>
      </c>
      <c r="C2916" s="77">
        <f t="shared" si="48"/>
        <v>2915</v>
      </c>
    </row>
    <row r="2917" spans="1:3" x14ac:dyDescent="0.2">
      <c r="A2917" s="78">
        <v>48573</v>
      </c>
      <c r="B2917" s="77">
        <f>+PT!A2919</f>
        <v>0</v>
      </c>
      <c r="C2917" s="77">
        <f t="shared" si="48"/>
        <v>2916</v>
      </c>
    </row>
    <row r="2918" spans="1:3" x14ac:dyDescent="0.2">
      <c r="A2918" s="78">
        <v>48574</v>
      </c>
      <c r="B2918" s="77">
        <f>+PT!A2920</f>
        <v>0</v>
      </c>
      <c r="C2918" s="77">
        <f t="shared" si="48"/>
        <v>2917</v>
      </c>
    </row>
    <row r="2919" spans="1:3" x14ac:dyDescent="0.2">
      <c r="A2919" s="78">
        <v>48575</v>
      </c>
      <c r="B2919" s="77">
        <f>+PT!A2921</f>
        <v>0</v>
      </c>
      <c r="C2919" s="77">
        <f t="shared" si="48"/>
        <v>2918</v>
      </c>
    </row>
    <row r="2920" spans="1:3" x14ac:dyDescent="0.2">
      <c r="A2920" s="78">
        <v>48576</v>
      </c>
      <c r="B2920" s="77">
        <f>+PT!A2922</f>
        <v>0</v>
      </c>
      <c r="C2920" s="77">
        <f t="shared" si="48"/>
        <v>2919</v>
      </c>
    </row>
    <row r="2921" spans="1:3" x14ac:dyDescent="0.2">
      <c r="A2921" s="78">
        <v>48577</v>
      </c>
      <c r="B2921" s="77">
        <f>+PT!A2923</f>
        <v>0</v>
      </c>
      <c r="C2921" s="77">
        <f t="shared" si="48"/>
        <v>2920</v>
      </c>
    </row>
    <row r="2922" spans="1:3" x14ac:dyDescent="0.2">
      <c r="A2922" s="78">
        <v>48578</v>
      </c>
      <c r="B2922" s="77">
        <f>+PT!A2924</f>
        <v>0</v>
      </c>
      <c r="C2922" s="77">
        <f t="shared" si="48"/>
        <v>2921</v>
      </c>
    </row>
    <row r="2923" spans="1:3" x14ac:dyDescent="0.2">
      <c r="A2923" s="78">
        <v>48579</v>
      </c>
      <c r="B2923" s="77">
        <f>+PT!A2925</f>
        <v>0</v>
      </c>
      <c r="C2923" s="77">
        <f t="shared" si="48"/>
        <v>2922</v>
      </c>
    </row>
    <row r="2924" spans="1:3" x14ac:dyDescent="0.2">
      <c r="A2924" s="78">
        <v>48580</v>
      </c>
      <c r="B2924" s="77">
        <f>+PT!A2926</f>
        <v>0</v>
      </c>
      <c r="C2924" s="77">
        <f t="shared" si="48"/>
        <v>2923</v>
      </c>
    </row>
    <row r="2925" spans="1:3" x14ac:dyDescent="0.2">
      <c r="A2925" s="78">
        <v>48581</v>
      </c>
      <c r="B2925" s="77">
        <f>+PT!A2927</f>
        <v>0</v>
      </c>
      <c r="C2925" s="77">
        <f t="shared" si="48"/>
        <v>2924</v>
      </c>
    </row>
    <row r="2926" spans="1:3" x14ac:dyDescent="0.2">
      <c r="A2926" s="78">
        <v>48582</v>
      </c>
      <c r="B2926" s="77">
        <f>+PT!A2928</f>
        <v>0</v>
      </c>
      <c r="C2926" s="77">
        <f t="shared" si="48"/>
        <v>2925</v>
      </c>
    </row>
    <row r="2927" spans="1:3" x14ac:dyDescent="0.2">
      <c r="A2927" s="78">
        <v>48583</v>
      </c>
      <c r="B2927" s="77">
        <f>+PT!A2929</f>
        <v>0</v>
      </c>
      <c r="C2927" s="77">
        <f t="shared" si="48"/>
        <v>2926</v>
      </c>
    </row>
    <row r="2928" spans="1:3" x14ac:dyDescent="0.2">
      <c r="A2928" s="78">
        <v>48584</v>
      </c>
      <c r="B2928" s="77">
        <f>+PT!A2930</f>
        <v>0</v>
      </c>
      <c r="C2928" s="77">
        <f t="shared" si="48"/>
        <v>2927</v>
      </c>
    </row>
    <row r="2929" spans="1:3" x14ac:dyDescent="0.2">
      <c r="A2929" s="78">
        <v>48585</v>
      </c>
      <c r="B2929" s="77">
        <f>+PT!A2931</f>
        <v>0</v>
      </c>
      <c r="C2929" s="77">
        <f t="shared" si="48"/>
        <v>2928</v>
      </c>
    </row>
    <row r="2930" spans="1:3" x14ac:dyDescent="0.2">
      <c r="A2930" s="78">
        <v>48586</v>
      </c>
      <c r="B2930" s="77">
        <f>+PT!A2932</f>
        <v>0</v>
      </c>
      <c r="C2930" s="77">
        <f t="shared" si="48"/>
        <v>2929</v>
      </c>
    </row>
    <row r="2931" spans="1:3" x14ac:dyDescent="0.2">
      <c r="A2931" s="78">
        <v>48587</v>
      </c>
      <c r="B2931" s="77">
        <f>+PT!A2933</f>
        <v>0</v>
      </c>
      <c r="C2931" s="77">
        <f t="shared" si="48"/>
        <v>2930</v>
      </c>
    </row>
    <row r="2932" spans="1:3" x14ac:dyDescent="0.2">
      <c r="A2932" s="78">
        <v>48588</v>
      </c>
      <c r="B2932" s="77">
        <f>+PT!A2934</f>
        <v>0</v>
      </c>
      <c r="C2932" s="77">
        <f t="shared" si="48"/>
        <v>2931</v>
      </c>
    </row>
    <row r="2933" spans="1:3" x14ac:dyDescent="0.2">
      <c r="A2933" s="78">
        <v>48589</v>
      </c>
      <c r="B2933" s="77">
        <f>+PT!A2935</f>
        <v>0</v>
      </c>
      <c r="C2933" s="77">
        <f t="shared" si="48"/>
        <v>2932</v>
      </c>
    </row>
    <row r="2934" spans="1:3" x14ac:dyDescent="0.2">
      <c r="A2934" s="78">
        <v>48590</v>
      </c>
      <c r="B2934" s="77">
        <f>+PT!A2936</f>
        <v>0</v>
      </c>
      <c r="C2934" s="77">
        <f t="shared" si="48"/>
        <v>2933</v>
      </c>
    </row>
    <row r="2935" spans="1:3" x14ac:dyDescent="0.2">
      <c r="A2935" s="78">
        <v>48591</v>
      </c>
      <c r="B2935" s="77">
        <f>+PT!A2937</f>
        <v>0</v>
      </c>
      <c r="C2935" s="77">
        <f t="shared" si="48"/>
        <v>2934</v>
      </c>
    </row>
    <row r="2936" spans="1:3" x14ac:dyDescent="0.2">
      <c r="A2936" s="78">
        <v>48592</v>
      </c>
      <c r="B2936" s="77">
        <f>+PT!A2938</f>
        <v>0</v>
      </c>
      <c r="C2936" s="77">
        <f t="shared" si="48"/>
        <v>2935</v>
      </c>
    </row>
    <row r="2937" spans="1:3" x14ac:dyDescent="0.2">
      <c r="A2937" s="78">
        <v>48593</v>
      </c>
      <c r="B2937" s="77">
        <f>+PT!A2939</f>
        <v>0</v>
      </c>
      <c r="C2937" s="77">
        <f t="shared" si="48"/>
        <v>2936</v>
      </c>
    </row>
    <row r="2938" spans="1:3" x14ac:dyDescent="0.2">
      <c r="A2938" s="78">
        <v>48594</v>
      </c>
      <c r="B2938" s="77">
        <f>+PT!A2940</f>
        <v>0</v>
      </c>
      <c r="C2938" s="77">
        <f t="shared" si="48"/>
        <v>2937</v>
      </c>
    </row>
    <row r="2939" spans="1:3" x14ac:dyDescent="0.2">
      <c r="A2939" s="78">
        <v>48595</v>
      </c>
      <c r="B2939" s="77">
        <f>+PT!A2941</f>
        <v>0</v>
      </c>
      <c r="C2939" s="77">
        <f t="shared" si="48"/>
        <v>2938</v>
      </c>
    </row>
    <row r="2940" spans="1:3" x14ac:dyDescent="0.2">
      <c r="A2940" s="78">
        <v>48596</v>
      </c>
      <c r="B2940" s="77">
        <f>+PT!A2942</f>
        <v>0</v>
      </c>
      <c r="C2940" s="77">
        <f t="shared" si="48"/>
        <v>2939</v>
      </c>
    </row>
    <row r="2941" spans="1:3" x14ac:dyDescent="0.2">
      <c r="A2941" s="78">
        <v>48597</v>
      </c>
      <c r="B2941" s="77">
        <f>+PT!A2943</f>
        <v>0</v>
      </c>
      <c r="C2941" s="77">
        <f t="shared" si="48"/>
        <v>2940</v>
      </c>
    </row>
    <row r="2942" spans="1:3" x14ac:dyDescent="0.2">
      <c r="A2942" s="78">
        <v>48598</v>
      </c>
      <c r="B2942" s="77">
        <f>+PT!A2944</f>
        <v>0</v>
      </c>
      <c r="C2942" s="77">
        <f t="shared" si="48"/>
        <v>2941</v>
      </c>
    </row>
    <row r="2943" spans="1:3" x14ac:dyDescent="0.2">
      <c r="A2943" s="78">
        <v>48599</v>
      </c>
      <c r="B2943" s="77">
        <f>+PT!A2945</f>
        <v>0</v>
      </c>
      <c r="C2943" s="77">
        <f t="shared" si="48"/>
        <v>2942</v>
      </c>
    </row>
    <row r="2944" spans="1:3" x14ac:dyDescent="0.2">
      <c r="A2944" s="78">
        <v>48600</v>
      </c>
      <c r="B2944" s="77">
        <f>+PT!A2946</f>
        <v>0</v>
      </c>
      <c r="C2944" s="77">
        <f t="shared" si="48"/>
        <v>2943</v>
      </c>
    </row>
    <row r="2945" spans="1:3" x14ac:dyDescent="0.2">
      <c r="A2945" s="78">
        <v>48601</v>
      </c>
      <c r="B2945" s="77">
        <f>+PT!A2947</f>
        <v>0</v>
      </c>
      <c r="C2945" s="77">
        <f t="shared" si="48"/>
        <v>2944</v>
      </c>
    </row>
    <row r="2946" spans="1:3" x14ac:dyDescent="0.2">
      <c r="A2946" s="78">
        <v>48602</v>
      </c>
      <c r="B2946" s="77">
        <f>+PT!A2948</f>
        <v>0</v>
      </c>
      <c r="C2946" s="77">
        <f t="shared" si="48"/>
        <v>2945</v>
      </c>
    </row>
    <row r="2947" spans="1:3" x14ac:dyDescent="0.2">
      <c r="A2947" s="78">
        <v>48603</v>
      </c>
      <c r="B2947" s="77">
        <f>+PT!A2949</f>
        <v>0</v>
      </c>
      <c r="C2947" s="77">
        <f t="shared" si="48"/>
        <v>2946</v>
      </c>
    </row>
    <row r="2948" spans="1:3" x14ac:dyDescent="0.2">
      <c r="A2948" s="78">
        <v>48604</v>
      </c>
      <c r="B2948" s="77">
        <f>+PT!A2950</f>
        <v>0</v>
      </c>
      <c r="C2948" s="77">
        <f t="shared" ref="C2948:C3011" si="49">+C2947+1</f>
        <v>2947</v>
      </c>
    </row>
    <row r="2949" spans="1:3" x14ac:dyDescent="0.2">
      <c r="A2949" s="78">
        <v>48605</v>
      </c>
      <c r="B2949" s="77">
        <f>+PT!A2951</f>
        <v>0</v>
      </c>
      <c r="C2949" s="77">
        <f t="shared" si="49"/>
        <v>2948</v>
      </c>
    </row>
    <row r="2950" spans="1:3" x14ac:dyDescent="0.2">
      <c r="A2950" s="78">
        <v>48606</v>
      </c>
      <c r="B2950" s="77">
        <f>+PT!A2952</f>
        <v>0</v>
      </c>
      <c r="C2950" s="77">
        <f t="shared" si="49"/>
        <v>2949</v>
      </c>
    </row>
    <row r="2951" spans="1:3" x14ac:dyDescent="0.2">
      <c r="A2951" s="78">
        <v>48607</v>
      </c>
      <c r="B2951" s="77">
        <f>+PT!A2953</f>
        <v>0</v>
      </c>
      <c r="C2951" s="77">
        <f t="shared" si="49"/>
        <v>2950</v>
      </c>
    </row>
    <row r="2952" spans="1:3" x14ac:dyDescent="0.2">
      <c r="A2952" s="78">
        <v>48608</v>
      </c>
      <c r="B2952" s="77">
        <f>+PT!A2954</f>
        <v>0</v>
      </c>
      <c r="C2952" s="77">
        <f t="shared" si="49"/>
        <v>2951</v>
      </c>
    </row>
    <row r="2953" spans="1:3" x14ac:dyDescent="0.2">
      <c r="A2953" s="78">
        <v>48609</v>
      </c>
      <c r="B2953" s="77">
        <f>+PT!A2955</f>
        <v>0</v>
      </c>
      <c r="C2953" s="77">
        <f t="shared" si="49"/>
        <v>2952</v>
      </c>
    </row>
    <row r="2954" spans="1:3" x14ac:dyDescent="0.2">
      <c r="A2954" s="78">
        <v>48610</v>
      </c>
      <c r="B2954" s="77">
        <f>+PT!A2956</f>
        <v>0</v>
      </c>
      <c r="C2954" s="77">
        <f t="shared" si="49"/>
        <v>2953</v>
      </c>
    </row>
    <row r="2955" spans="1:3" x14ac:dyDescent="0.2">
      <c r="A2955" s="78">
        <v>48611</v>
      </c>
      <c r="B2955" s="77">
        <f>+PT!A2957</f>
        <v>0</v>
      </c>
      <c r="C2955" s="77">
        <f t="shared" si="49"/>
        <v>2954</v>
      </c>
    </row>
    <row r="2956" spans="1:3" x14ac:dyDescent="0.2">
      <c r="A2956" s="78">
        <v>48612</v>
      </c>
      <c r="B2956" s="77">
        <f>+PT!A2958</f>
        <v>0</v>
      </c>
      <c r="C2956" s="77">
        <f t="shared" si="49"/>
        <v>2955</v>
      </c>
    </row>
    <row r="2957" spans="1:3" x14ac:dyDescent="0.2">
      <c r="A2957" s="78">
        <v>48613</v>
      </c>
      <c r="B2957" s="77">
        <f>+PT!A2959</f>
        <v>0</v>
      </c>
      <c r="C2957" s="77">
        <f t="shared" si="49"/>
        <v>2956</v>
      </c>
    </row>
    <row r="2958" spans="1:3" x14ac:dyDescent="0.2">
      <c r="A2958" s="78">
        <v>48614</v>
      </c>
      <c r="B2958" s="77">
        <f>+PT!A2960</f>
        <v>0</v>
      </c>
      <c r="C2958" s="77">
        <f t="shared" si="49"/>
        <v>2957</v>
      </c>
    </row>
    <row r="2959" spans="1:3" x14ac:dyDescent="0.2">
      <c r="A2959" s="78">
        <v>48615</v>
      </c>
      <c r="B2959" s="77">
        <f>+PT!A2961</f>
        <v>0</v>
      </c>
      <c r="C2959" s="77">
        <f t="shared" si="49"/>
        <v>2958</v>
      </c>
    </row>
    <row r="2960" spans="1:3" x14ac:dyDescent="0.2">
      <c r="A2960" s="78">
        <v>48616</v>
      </c>
      <c r="B2960" s="77">
        <f>+PT!A2962</f>
        <v>0</v>
      </c>
      <c r="C2960" s="77">
        <f t="shared" si="49"/>
        <v>2959</v>
      </c>
    </row>
    <row r="2961" spans="1:3" x14ac:dyDescent="0.2">
      <c r="A2961" s="78">
        <v>48617</v>
      </c>
      <c r="B2961" s="77">
        <f>+PT!A2963</f>
        <v>0</v>
      </c>
      <c r="C2961" s="77">
        <f t="shared" si="49"/>
        <v>2960</v>
      </c>
    </row>
    <row r="2962" spans="1:3" x14ac:dyDescent="0.2">
      <c r="A2962" s="78">
        <v>48618</v>
      </c>
      <c r="B2962" s="77">
        <f>+PT!A2964</f>
        <v>0</v>
      </c>
      <c r="C2962" s="77">
        <f t="shared" si="49"/>
        <v>2961</v>
      </c>
    </row>
    <row r="2963" spans="1:3" x14ac:dyDescent="0.2">
      <c r="A2963" s="78">
        <v>48619</v>
      </c>
      <c r="B2963" s="77">
        <f>+PT!A2965</f>
        <v>0</v>
      </c>
      <c r="C2963" s="77">
        <f t="shared" si="49"/>
        <v>2962</v>
      </c>
    </row>
    <row r="2964" spans="1:3" x14ac:dyDescent="0.2">
      <c r="A2964" s="78">
        <v>48620</v>
      </c>
      <c r="B2964" s="77">
        <f>+PT!A2966</f>
        <v>0</v>
      </c>
      <c r="C2964" s="77">
        <f t="shared" si="49"/>
        <v>2963</v>
      </c>
    </row>
    <row r="2965" spans="1:3" x14ac:dyDescent="0.2">
      <c r="A2965" s="78">
        <v>48621</v>
      </c>
      <c r="B2965" s="77">
        <f>+PT!A2967</f>
        <v>0</v>
      </c>
      <c r="C2965" s="77">
        <f t="shared" si="49"/>
        <v>2964</v>
      </c>
    </row>
    <row r="2966" spans="1:3" x14ac:dyDescent="0.2">
      <c r="A2966" s="78">
        <v>48622</v>
      </c>
      <c r="B2966" s="77">
        <f>+PT!A2968</f>
        <v>0</v>
      </c>
      <c r="C2966" s="77">
        <f t="shared" si="49"/>
        <v>2965</v>
      </c>
    </row>
    <row r="2967" spans="1:3" x14ac:dyDescent="0.2">
      <c r="A2967" s="78">
        <v>48623</v>
      </c>
      <c r="B2967" s="77">
        <f>+PT!A2969</f>
        <v>0</v>
      </c>
      <c r="C2967" s="77">
        <f t="shared" si="49"/>
        <v>2966</v>
      </c>
    </row>
    <row r="2968" spans="1:3" x14ac:dyDescent="0.2">
      <c r="A2968" s="78">
        <v>48624</v>
      </c>
      <c r="B2968" s="77">
        <f>+PT!A2970</f>
        <v>0</v>
      </c>
      <c r="C2968" s="77">
        <f t="shared" si="49"/>
        <v>2967</v>
      </c>
    </row>
    <row r="2969" spans="1:3" x14ac:dyDescent="0.2">
      <c r="A2969" s="78">
        <v>48625</v>
      </c>
      <c r="B2969" s="77">
        <f>+PT!A2971</f>
        <v>0</v>
      </c>
      <c r="C2969" s="77">
        <f t="shared" si="49"/>
        <v>2968</v>
      </c>
    </row>
    <row r="2970" spans="1:3" x14ac:dyDescent="0.2">
      <c r="A2970" s="78">
        <v>48626</v>
      </c>
      <c r="B2970" s="77">
        <f>+PT!A2972</f>
        <v>0</v>
      </c>
      <c r="C2970" s="77">
        <f t="shared" si="49"/>
        <v>2969</v>
      </c>
    </row>
    <row r="2971" spans="1:3" x14ac:dyDescent="0.2">
      <c r="A2971" s="78">
        <v>48627</v>
      </c>
      <c r="B2971" s="77">
        <f>+PT!A2973</f>
        <v>0</v>
      </c>
      <c r="C2971" s="77">
        <f t="shared" si="49"/>
        <v>2970</v>
      </c>
    </row>
    <row r="2972" spans="1:3" x14ac:dyDescent="0.2">
      <c r="A2972" s="78">
        <v>48628</v>
      </c>
      <c r="B2972" s="77">
        <f>+PT!A2974</f>
        <v>0</v>
      </c>
      <c r="C2972" s="77">
        <f t="shared" si="49"/>
        <v>2971</v>
      </c>
    </row>
    <row r="2973" spans="1:3" x14ac:dyDescent="0.2">
      <c r="A2973" s="78">
        <v>48629</v>
      </c>
      <c r="B2973" s="77">
        <f>+PT!A2975</f>
        <v>0</v>
      </c>
      <c r="C2973" s="77">
        <f t="shared" si="49"/>
        <v>2972</v>
      </c>
    </row>
    <row r="2974" spans="1:3" x14ac:dyDescent="0.2">
      <c r="A2974" s="78">
        <v>48630</v>
      </c>
      <c r="B2974" s="77">
        <f>+PT!A2976</f>
        <v>0</v>
      </c>
      <c r="C2974" s="77">
        <f t="shared" si="49"/>
        <v>2973</v>
      </c>
    </row>
    <row r="2975" spans="1:3" x14ac:dyDescent="0.2">
      <c r="A2975" s="78">
        <v>48631</v>
      </c>
      <c r="B2975" s="77">
        <f>+PT!A2977</f>
        <v>0</v>
      </c>
      <c r="C2975" s="77">
        <f t="shared" si="49"/>
        <v>2974</v>
      </c>
    </row>
    <row r="2976" spans="1:3" x14ac:dyDescent="0.2">
      <c r="A2976" s="78">
        <v>48632</v>
      </c>
      <c r="B2976" s="77">
        <f>+PT!A2978</f>
        <v>0</v>
      </c>
      <c r="C2976" s="77">
        <f t="shared" si="49"/>
        <v>2975</v>
      </c>
    </row>
    <row r="2977" spans="1:3" x14ac:dyDescent="0.2">
      <c r="A2977" s="78">
        <v>48633</v>
      </c>
      <c r="B2977" s="77">
        <f>+PT!A2979</f>
        <v>0</v>
      </c>
      <c r="C2977" s="77">
        <f t="shared" si="49"/>
        <v>2976</v>
      </c>
    </row>
    <row r="2978" spans="1:3" x14ac:dyDescent="0.2">
      <c r="A2978" s="78">
        <v>48634</v>
      </c>
      <c r="B2978" s="77">
        <f>+PT!A2980</f>
        <v>0</v>
      </c>
      <c r="C2978" s="77">
        <f t="shared" si="49"/>
        <v>2977</v>
      </c>
    </row>
    <row r="2979" spans="1:3" x14ac:dyDescent="0.2">
      <c r="A2979" s="78">
        <v>48635</v>
      </c>
      <c r="B2979" s="77">
        <f>+PT!A2981</f>
        <v>0</v>
      </c>
      <c r="C2979" s="77">
        <f t="shared" si="49"/>
        <v>2978</v>
      </c>
    </row>
    <row r="2980" spans="1:3" x14ac:dyDescent="0.2">
      <c r="A2980" s="78">
        <v>48636</v>
      </c>
      <c r="B2980" s="77">
        <f>+PT!A2982</f>
        <v>0</v>
      </c>
      <c r="C2980" s="77">
        <f t="shared" si="49"/>
        <v>2979</v>
      </c>
    </row>
    <row r="2981" spans="1:3" x14ac:dyDescent="0.2">
      <c r="A2981" s="78">
        <v>48637</v>
      </c>
      <c r="B2981" s="77">
        <f>+PT!A2983</f>
        <v>0</v>
      </c>
      <c r="C2981" s="77">
        <f t="shared" si="49"/>
        <v>2980</v>
      </c>
    </row>
    <row r="2982" spans="1:3" x14ac:dyDescent="0.2">
      <c r="A2982" s="78">
        <v>48638</v>
      </c>
      <c r="B2982" s="77">
        <f>+PT!A2984</f>
        <v>0</v>
      </c>
      <c r="C2982" s="77">
        <f t="shared" si="49"/>
        <v>2981</v>
      </c>
    </row>
    <row r="2983" spans="1:3" x14ac:dyDescent="0.2">
      <c r="A2983" s="78">
        <v>48639</v>
      </c>
      <c r="B2983" s="77">
        <f>+PT!A2985</f>
        <v>0</v>
      </c>
      <c r="C2983" s="77">
        <f t="shared" si="49"/>
        <v>2982</v>
      </c>
    </row>
    <row r="2984" spans="1:3" x14ac:dyDescent="0.2">
      <c r="A2984" s="78">
        <v>48640</v>
      </c>
      <c r="B2984" s="77">
        <f>+PT!A2986</f>
        <v>0</v>
      </c>
      <c r="C2984" s="77">
        <f t="shared" si="49"/>
        <v>2983</v>
      </c>
    </row>
    <row r="2985" spans="1:3" x14ac:dyDescent="0.2">
      <c r="A2985" s="78">
        <v>48641</v>
      </c>
      <c r="B2985" s="77">
        <f>+PT!A2987</f>
        <v>0</v>
      </c>
      <c r="C2985" s="77">
        <f t="shared" si="49"/>
        <v>2984</v>
      </c>
    </row>
    <row r="2986" spans="1:3" x14ac:dyDescent="0.2">
      <c r="A2986" s="78">
        <v>48642</v>
      </c>
      <c r="B2986" s="77">
        <f>+PT!A2988</f>
        <v>0</v>
      </c>
      <c r="C2986" s="77">
        <f t="shared" si="49"/>
        <v>2985</v>
      </c>
    </row>
    <row r="2987" spans="1:3" x14ac:dyDescent="0.2">
      <c r="A2987" s="78">
        <v>48643</v>
      </c>
      <c r="B2987" s="77">
        <f>+PT!A2989</f>
        <v>0</v>
      </c>
      <c r="C2987" s="77">
        <f t="shared" si="49"/>
        <v>2986</v>
      </c>
    </row>
    <row r="2988" spans="1:3" x14ac:dyDescent="0.2">
      <c r="A2988" s="78">
        <v>48644</v>
      </c>
      <c r="B2988" s="77">
        <f>+PT!A2990</f>
        <v>0</v>
      </c>
      <c r="C2988" s="77">
        <f t="shared" si="49"/>
        <v>2987</v>
      </c>
    </row>
    <row r="2989" spans="1:3" x14ac:dyDescent="0.2">
      <c r="A2989" s="78">
        <v>48645</v>
      </c>
      <c r="B2989" s="77">
        <f>+PT!A2991</f>
        <v>0</v>
      </c>
      <c r="C2989" s="77">
        <f t="shared" si="49"/>
        <v>2988</v>
      </c>
    </row>
    <row r="2990" spans="1:3" x14ac:dyDescent="0.2">
      <c r="A2990" s="78">
        <v>48646</v>
      </c>
      <c r="B2990" s="77">
        <f>+PT!A2992</f>
        <v>0</v>
      </c>
      <c r="C2990" s="77">
        <f t="shared" si="49"/>
        <v>2989</v>
      </c>
    </row>
    <row r="2991" spans="1:3" x14ac:dyDescent="0.2">
      <c r="A2991" s="78">
        <v>48647</v>
      </c>
      <c r="B2991" s="77">
        <f>+PT!A2993</f>
        <v>0</v>
      </c>
      <c r="C2991" s="77">
        <f t="shared" si="49"/>
        <v>2990</v>
      </c>
    </row>
    <row r="2992" spans="1:3" x14ac:dyDescent="0.2">
      <c r="A2992" s="78">
        <v>48648</v>
      </c>
      <c r="B2992" s="77">
        <f>+PT!A2994</f>
        <v>0</v>
      </c>
      <c r="C2992" s="77">
        <f t="shared" si="49"/>
        <v>2991</v>
      </c>
    </row>
    <row r="2993" spans="1:3" x14ac:dyDescent="0.2">
      <c r="A2993" s="78">
        <v>48649</v>
      </c>
      <c r="B2993" s="77">
        <f>+PT!A2995</f>
        <v>0</v>
      </c>
      <c r="C2993" s="77">
        <f t="shared" si="49"/>
        <v>2992</v>
      </c>
    </row>
    <row r="2994" spans="1:3" x14ac:dyDescent="0.2">
      <c r="A2994" s="78">
        <v>48650</v>
      </c>
      <c r="B2994" s="77">
        <f>+PT!A2996</f>
        <v>0</v>
      </c>
      <c r="C2994" s="77">
        <f t="shared" si="49"/>
        <v>2993</v>
      </c>
    </row>
    <row r="2995" spans="1:3" x14ac:dyDescent="0.2">
      <c r="A2995" s="78">
        <v>48651</v>
      </c>
      <c r="B2995" s="77">
        <f>+PT!A2997</f>
        <v>0</v>
      </c>
      <c r="C2995" s="77">
        <f t="shared" si="49"/>
        <v>2994</v>
      </c>
    </row>
    <row r="2996" spans="1:3" x14ac:dyDescent="0.2">
      <c r="A2996" s="78">
        <v>48652</v>
      </c>
      <c r="B2996" s="77">
        <f>+PT!A2998</f>
        <v>0</v>
      </c>
      <c r="C2996" s="77">
        <f t="shared" si="49"/>
        <v>2995</v>
      </c>
    </row>
    <row r="2997" spans="1:3" x14ac:dyDescent="0.2">
      <c r="A2997" s="78">
        <v>48653</v>
      </c>
      <c r="B2997" s="77">
        <f>+PT!A2999</f>
        <v>0</v>
      </c>
      <c r="C2997" s="77">
        <f t="shared" si="49"/>
        <v>2996</v>
      </c>
    </row>
    <row r="2998" spans="1:3" x14ac:dyDescent="0.2">
      <c r="A2998" s="78">
        <v>48654</v>
      </c>
      <c r="B2998" s="77">
        <f>+PT!A3000</f>
        <v>0</v>
      </c>
      <c r="C2998" s="77">
        <f t="shared" si="49"/>
        <v>2997</v>
      </c>
    </row>
    <row r="2999" spans="1:3" x14ac:dyDescent="0.2">
      <c r="A2999" s="78">
        <v>48655</v>
      </c>
      <c r="B2999" s="77">
        <f>+PT!A3001</f>
        <v>0</v>
      </c>
      <c r="C2999" s="77">
        <f t="shared" si="49"/>
        <v>2998</v>
      </c>
    </row>
    <row r="3000" spans="1:3" x14ac:dyDescent="0.2">
      <c r="A3000" s="78">
        <v>48656</v>
      </c>
      <c r="B3000" s="77">
        <f>+PT!A3002</f>
        <v>0</v>
      </c>
      <c r="C3000" s="77">
        <f t="shared" si="49"/>
        <v>2999</v>
      </c>
    </row>
    <row r="3001" spans="1:3" x14ac:dyDescent="0.2">
      <c r="A3001" s="78">
        <v>48657</v>
      </c>
      <c r="B3001" s="77">
        <f>+PT!A3003</f>
        <v>0</v>
      </c>
      <c r="C3001" s="77">
        <f t="shared" si="49"/>
        <v>3000</v>
      </c>
    </row>
    <row r="3002" spans="1:3" x14ac:dyDescent="0.2">
      <c r="A3002" s="78">
        <v>48658</v>
      </c>
      <c r="B3002" s="77">
        <f>+PT!A3004</f>
        <v>0</v>
      </c>
      <c r="C3002" s="77">
        <f t="shared" si="49"/>
        <v>3001</v>
      </c>
    </row>
    <row r="3003" spans="1:3" x14ac:dyDescent="0.2">
      <c r="A3003" s="78">
        <v>48659</v>
      </c>
      <c r="B3003" s="77">
        <f>+PT!A3005</f>
        <v>0</v>
      </c>
      <c r="C3003" s="77">
        <f t="shared" si="49"/>
        <v>3002</v>
      </c>
    </row>
    <row r="3004" spans="1:3" x14ac:dyDescent="0.2">
      <c r="A3004" s="78">
        <v>48660</v>
      </c>
      <c r="B3004" s="77">
        <f>+PT!A3006</f>
        <v>0</v>
      </c>
      <c r="C3004" s="77">
        <f t="shared" si="49"/>
        <v>3003</v>
      </c>
    </row>
    <row r="3005" spans="1:3" x14ac:dyDescent="0.2">
      <c r="A3005" s="78">
        <v>48661</v>
      </c>
      <c r="B3005" s="77">
        <f>+PT!A3007</f>
        <v>0</v>
      </c>
      <c r="C3005" s="77">
        <f t="shared" si="49"/>
        <v>3004</v>
      </c>
    </row>
    <row r="3006" spans="1:3" x14ac:dyDescent="0.2">
      <c r="A3006" s="78">
        <v>48662</v>
      </c>
      <c r="B3006" s="77">
        <f>+PT!A3008</f>
        <v>0</v>
      </c>
      <c r="C3006" s="77">
        <f t="shared" si="49"/>
        <v>3005</v>
      </c>
    </row>
    <row r="3007" spans="1:3" x14ac:dyDescent="0.2">
      <c r="A3007" s="78">
        <v>48663</v>
      </c>
      <c r="B3007" s="77">
        <f>+PT!A3009</f>
        <v>0</v>
      </c>
      <c r="C3007" s="77">
        <f t="shared" si="49"/>
        <v>3006</v>
      </c>
    </row>
    <row r="3008" spans="1:3" x14ac:dyDescent="0.2">
      <c r="A3008" s="78">
        <v>48664</v>
      </c>
      <c r="B3008" s="77">
        <f>+PT!A3010</f>
        <v>0</v>
      </c>
      <c r="C3008" s="77">
        <f t="shared" si="49"/>
        <v>3007</v>
      </c>
    </row>
    <row r="3009" spans="1:3" x14ac:dyDescent="0.2">
      <c r="A3009" s="78">
        <v>48665</v>
      </c>
      <c r="B3009" s="77">
        <f>+PT!A3011</f>
        <v>0</v>
      </c>
      <c r="C3009" s="77">
        <f t="shared" si="49"/>
        <v>3008</v>
      </c>
    </row>
    <row r="3010" spans="1:3" x14ac:dyDescent="0.2">
      <c r="A3010" s="78">
        <v>48666</v>
      </c>
      <c r="B3010" s="77">
        <f>+PT!A3012</f>
        <v>0</v>
      </c>
      <c r="C3010" s="77">
        <f t="shared" si="49"/>
        <v>3009</v>
      </c>
    </row>
    <row r="3011" spans="1:3" x14ac:dyDescent="0.2">
      <c r="A3011" s="78">
        <v>48667</v>
      </c>
      <c r="B3011" s="77">
        <f>+PT!A3013</f>
        <v>0</v>
      </c>
      <c r="C3011" s="77">
        <f t="shared" si="49"/>
        <v>3010</v>
      </c>
    </row>
    <row r="3012" spans="1:3" x14ac:dyDescent="0.2">
      <c r="A3012" s="78">
        <v>48668</v>
      </c>
      <c r="B3012" s="77">
        <f>+PT!A3014</f>
        <v>0</v>
      </c>
      <c r="C3012" s="77">
        <f t="shared" ref="C3012:C3075" si="50">+C3011+1</f>
        <v>3011</v>
      </c>
    </row>
    <row r="3013" spans="1:3" x14ac:dyDescent="0.2">
      <c r="A3013" s="78">
        <v>48669</v>
      </c>
      <c r="B3013" s="77">
        <f>+PT!A3015</f>
        <v>0</v>
      </c>
      <c r="C3013" s="77">
        <f t="shared" si="50"/>
        <v>3012</v>
      </c>
    </row>
    <row r="3014" spans="1:3" x14ac:dyDescent="0.2">
      <c r="A3014" s="78">
        <v>48670</v>
      </c>
      <c r="B3014" s="77">
        <f>+PT!A3016</f>
        <v>0</v>
      </c>
      <c r="C3014" s="77">
        <f t="shared" si="50"/>
        <v>3013</v>
      </c>
    </row>
    <row r="3015" spans="1:3" x14ac:dyDescent="0.2">
      <c r="A3015" s="78">
        <v>48671</v>
      </c>
      <c r="B3015" s="77">
        <f>+PT!A3017</f>
        <v>0</v>
      </c>
      <c r="C3015" s="77">
        <f t="shared" si="50"/>
        <v>3014</v>
      </c>
    </row>
    <row r="3016" spans="1:3" x14ac:dyDescent="0.2">
      <c r="A3016" s="78">
        <v>48672</v>
      </c>
      <c r="B3016" s="77">
        <f>+PT!A3018</f>
        <v>0</v>
      </c>
      <c r="C3016" s="77">
        <f t="shared" si="50"/>
        <v>3015</v>
      </c>
    </row>
    <row r="3017" spans="1:3" x14ac:dyDescent="0.2">
      <c r="A3017" s="78">
        <v>48673</v>
      </c>
      <c r="B3017" s="77">
        <f>+PT!A3019</f>
        <v>0</v>
      </c>
      <c r="C3017" s="77">
        <f t="shared" si="50"/>
        <v>3016</v>
      </c>
    </row>
    <row r="3018" spans="1:3" x14ac:dyDescent="0.2">
      <c r="A3018" s="78">
        <v>48674</v>
      </c>
      <c r="B3018" s="77">
        <f>+PT!A3020</f>
        <v>0</v>
      </c>
      <c r="C3018" s="77">
        <f t="shared" si="50"/>
        <v>3017</v>
      </c>
    </row>
    <row r="3019" spans="1:3" x14ac:dyDescent="0.2">
      <c r="A3019" s="78">
        <v>48675</v>
      </c>
      <c r="B3019" s="77">
        <f>+PT!A3021</f>
        <v>0</v>
      </c>
      <c r="C3019" s="77">
        <f t="shared" si="50"/>
        <v>3018</v>
      </c>
    </row>
    <row r="3020" spans="1:3" x14ac:dyDescent="0.2">
      <c r="A3020" s="78">
        <v>48676</v>
      </c>
      <c r="B3020" s="77">
        <f>+PT!A3022</f>
        <v>0</v>
      </c>
      <c r="C3020" s="77">
        <f t="shared" si="50"/>
        <v>3019</v>
      </c>
    </row>
    <row r="3021" spans="1:3" x14ac:dyDescent="0.2">
      <c r="A3021" s="78">
        <v>48677</v>
      </c>
      <c r="B3021" s="77">
        <f>+PT!A3023</f>
        <v>0</v>
      </c>
      <c r="C3021" s="77">
        <f t="shared" si="50"/>
        <v>3020</v>
      </c>
    </row>
    <row r="3022" spans="1:3" x14ac:dyDescent="0.2">
      <c r="A3022" s="78">
        <v>48678</v>
      </c>
      <c r="B3022" s="77">
        <f>+PT!A3024</f>
        <v>0</v>
      </c>
      <c r="C3022" s="77">
        <f t="shared" si="50"/>
        <v>3021</v>
      </c>
    </row>
    <row r="3023" spans="1:3" x14ac:dyDescent="0.2">
      <c r="A3023" s="78">
        <v>48679</v>
      </c>
      <c r="B3023" s="77">
        <f>+PT!A3025</f>
        <v>0</v>
      </c>
      <c r="C3023" s="77">
        <f t="shared" si="50"/>
        <v>3022</v>
      </c>
    </row>
    <row r="3024" spans="1:3" x14ac:dyDescent="0.2">
      <c r="A3024" s="78">
        <v>48680</v>
      </c>
      <c r="B3024" s="77">
        <f>+PT!A3026</f>
        <v>0</v>
      </c>
      <c r="C3024" s="77">
        <f t="shared" si="50"/>
        <v>3023</v>
      </c>
    </row>
    <row r="3025" spans="1:3" x14ac:dyDescent="0.2">
      <c r="A3025" s="78">
        <v>48681</v>
      </c>
      <c r="B3025" s="77">
        <f>+PT!A3027</f>
        <v>0</v>
      </c>
      <c r="C3025" s="77">
        <f t="shared" si="50"/>
        <v>3024</v>
      </c>
    </row>
    <row r="3026" spans="1:3" x14ac:dyDescent="0.2">
      <c r="A3026" s="78">
        <v>48682</v>
      </c>
      <c r="B3026" s="77">
        <f>+PT!A3028</f>
        <v>0</v>
      </c>
      <c r="C3026" s="77">
        <f t="shared" si="50"/>
        <v>3025</v>
      </c>
    </row>
    <row r="3027" spans="1:3" x14ac:dyDescent="0.2">
      <c r="A3027" s="78">
        <v>48683</v>
      </c>
      <c r="B3027" s="77">
        <f>+PT!A3029</f>
        <v>0</v>
      </c>
      <c r="C3027" s="77">
        <f t="shared" si="50"/>
        <v>3026</v>
      </c>
    </row>
    <row r="3028" spans="1:3" x14ac:dyDescent="0.2">
      <c r="A3028" s="78">
        <v>48684</v>
      </c>
      <c r="B3028" s="77">
        <f>+PT!A3030</f>
        <v>0</v>
      </c>
      <c r="C3028" s="77">
        <f t="shared" si="50"/>
        <v>3027</v>
      </c>
    </row>
    <row r="3029" spans="1:3" x14ac:dyDescent="0.2">
      <c r="A3029" s="78">
        <v>48685</v>
      </c>
      <c r="B3029" s="77">
        <f>+PT!A3031</f>
        <v>0</v>
      </c>
      <c r="C3029" s="77">
        <f t="shared" si="50"/>
        <v>3028</v>
      </c>
    </row>
    <row r="3030" spans="1:3" x14ac:dyDescent="0.2">
      <c r="A3030" s="78">
        <v>48686</v>
      </c>
      <c r="B3030" s="77">
        <f>+PT!A3032</f>
        <v>0</v>
      </c>
      <c r="C3030" s="77">
        <f t="shared" si="50"/>
        <v>3029</v>
      </c>
    </row>
    <row r="3031" spans="1:3" x14ac:dyDescent="0.2">
      <c r="A3031" s="78">
        <v>48687</v>
      </c>
      <c r="B3031" s="77">
        <f>+PT!A3033</f>
        <v>0</v>
      </c>
      <c r="C3031" s="77">
        <f t="shared" si="50"/>
        <v>3030</v>
      </c>
    </row>
    <row r="3032" spans="1:3" x14ac:dyDescent="0.2">
      <c r="A3032" s="78">
        <v>48688</v>
      </c>
      <c r="B3032" s="77">
        <f>+PT!A3034</f>
        <v>0</v>
      </c>
      <c r="C3032" s="77">
        <f t="shared" si="50"/>
        <v>3031</v>
      </c>
    </row>
    <row r="3033" spans="1:3" x14ac:dyDescent="0.2">
      <c r="A3033" s="78">
        <v>48689</v>
      </c>
      <c r="B3033" s="77">
        <f>+PT!A3035</f>
        <v>0</v>
      </c>
      <c r="C3033" s="77">
        <f t="shared" si="50"/>
        <v>3032</v>
      </c>
    </row>
    <row r="3034" spans="1:3" x14ac:dyDescent="0.2">
      <c r="A3034" s="78">
        <v>48690</v>
      </c>
      <c r="B3034" s="77">
        <f>+PT!A3036</f>
        <v>0</v>
      </c>
      <c r="C3034" s="77">
        <f t="shared" si="50"/>
        <v>3033</v>
      </c>
    </row>
    <row r="3035" spans="1:3" x14ac:dyDescent="0.2">
      <c r="A3035" s="78">
        <v>48691</v>
      </c>
      <c r="B3035" s="77">
        <f>+PT!A3037</f>
        <v>0</v>
      </c>
      <c r="C3035" s="77">
        <f t="shared" si="50"/>
        <v>3034</v>
      </c>
    </row>
    <row r="3036" spans="1:3" x14ac:dyDescent="0.2">
      <c r="A3036" s="78">
        <v>48692</v>
      </c>
      <c r="B3036" s="77">
        <f>+PT!A3038</f>
        <v>0</v>
      </c>
      <c r="C3036" s="77">
        <f t="shared" si="50"/>
        <v>3035</v>
      </c>
    </row>
    <row r="3037" spans="1:3" x14ac:dyDescent="0.2">
      <c r="A3037" s="78">
        <v>48693</v>
      </c>
      <c r="B3037" s="77">
        <f>+PT!A3039</f>
        <v>0</v>
      </c>
      <c r="C3037" s="77">
        <f t="shared" si="50"/>
        <v>3036</v>
      </c>
    </row>
    <row r="3038" spans="1:3" x14ac:dyDescent="0.2">
      <c r="A3038" s="78">
        <v>48694</v>
      </c>
      <c r="B3038" s="77">
        <f>+PT!A3040</f>
        <v>0</v>
      </c>
      <c r="C3038" s="77">
        <f t="shared" si="50"/>
        <v>3037</v>
      </c>
    </row>
    <row r="3039" spans="1:3" x14ac:dyDescent="0.2">
      <c r="A3039" s="78">
        <v>48695</v>
      </c>
      <c r="B3039" s="77">
        <f>+PT!A3041</f>
        <v>0</v>
      </c>
      <c r="C3039" s="77">
        <f t="shared" si="50"/>
        <v>3038</v>
      </c>
    </row>
    <row r="3040" spans="1:3" x14ac:dyDescent="0.2">
      <c r="A3040" s="78">
        <v>48696</v>
      </c>
      <c r="B3040" s="77">
        <f>+PT!A3042</f>
        <v>0</v>
      </c>
      <c r="C3040" s="77">
        <f t="shared" si="50"/>
        <v>3039</v>
      </c>
    </row>
    <row r="3041" spans="1:3" x14ac:dyDescent="0.2">
      <c r="A3041" s="78">
        <v>48697</v>
      </c>
      <c r="B3041" s="77">
        <f>+PT!A3043</f>
        <v>0</v>
      </c>
      <c r="C3041" s="77">
        <f t="shared" si="50"/>
        <v>3040</v>
      </c>
    </row>
    <row r="3042" spans="1:3" x14ac:dyDescent="0.2">
      <c r="A3042" s="78">
        <v>48698</v>
      </c>
      <c r="B3042" s="77">
        <f>+PT!A3044</f>
        <v>0</v>
      </c>
      <c r="C3042" s="77">
        <f t="shared" si="50"/>
        <v>3041</v>
      </c>
    </row>
    <row r="3043" spans="1:3" x14ac:dyDescent="0.2">
      <c r="A3043" s="78">
        <v>48699</v>
      </c>
      <c r="B3043" s="77">
        <f>+PT!A3045</f>
        <v>0</v>
      </c>
      <c r="C3043" s="77">
        <f t="shared" si="50"/>
        <v>3042</v>
      </c>
    </row>
    <row r="3044" spans="1:3" x14ac:dyDescent="0.2">
      <c r="A3044" s="78">
        <v>48700</v>
      </c>
      <c r="B3044" s="77">
        <f>+PT!A3046</f>
        <v>0</v>
      </c>
      <c r="C3044" s="77">
        <f t="shared" si="50"/>
        <v>3043</v>
      </c>
    </row>
    <row r="3045" spans="1:3" x14ac:dyDescent="0.2">
      <c r="A3045" s="78">
        <v>48701</v>
      </c>
      <c r="B3045" s="77">
        <f>+PT!A3047</f>
        <v>0</v>
      </c>
      <c r="C3045" s="77">
        <f t="shared" si="50"/>
        <v>3044</v>
      </c>
    </row>
    <row r="3046" spans="1:3" x14ac:dyDescent="0.2">
      <c r="A3046" s="78">
        <v>48702</v>
      </c>
      <c r="B3046" s="77">
        <f>+PT!A3048</f>
        <v>0</v>
      </c>
      <c r="C3046" s="77">
        <f t="shared" si="50"/>
        <v>3045</v>
      </c>
    </row>
    <row r="3047" spans="1:3" x14ac:dyDescent="0.2">
      <c r="A3047" s="78">
        <v>48703</v>
      </c>
      <c r="B3047" s="77">
        <f>+PT!A3049</f>
        <v>0</v>
      </c>
      <c r="C3047" s="77">
        <f t="shared" si="50"/>
        <v>3046</v>
      </c>
    </row>
    <row r="3048" spans="1:3" x14ac:dyDescent="0.2">
      <c r="A3048" s="78">
        <v>48704</v>
      </c>
      <c r="B3048" s="77">
        <f>+PT!A3050</f>
        <v>0</v>
      </c>
      <c r="C3048" s="77">
        <f t="shared" si="50"/>
        <v>3047</v>
      </c>
    </row>
    <row r="3049" spans="1:3" x14ac:dyDescent="0.2">
      <c r="A3049" s="78">
        <v>48705</v>
      </c>
      <c r="B3049" s="77">
        <f>+PT!A3051</f>
        <v>0</v>
      </c>
      <c r="C3049" s="77">
        <f t="shared" si="50"/>
        <v>3048</v>
      </c>
    </row>
    <row r="3050" spans="1:3" x14ac:dyDescent="0.2">
      <c r="A3050" s="78">
        <v>48706</v>
      </c>
      <c r="B3050" s="77">
        <f>+PT!A3052</f>
        <v>0</v>
      </c>
      <c r="C3050" s="77">
        <f t="shared" si="50"/>
        <v>3049</v>
      </c>
    </row>
    <row r="3051" spans="1:3" x14ac:dyDescent="0.2">
      <c r="A3051" s="78">
        <v>48707</v>
      </c>
      <c r="B3051" s="77">
        <f>+PT!A3053</f>
        <v>0</v>
      </c>
      <c r="C3051" s="77">
        <f t="shared" si="50"/>
        <v>3050</v>
      </c>
    </row>
    <row r="3052" spans="1:3" x14ac:dyDescent="0.2">
      <c r="A3052" s="78">
        <v>48708</v>
      </c>
      <c r="B3052" s="77">
        <f>+PT!A3054</f>
        <v>0</v>
      </c>
      <c r="C3052" s="77">
        <f t="shared" si="50"/>
        <v>3051</v>
      </c>
    </row>
    <row r="3053" spans="1:3" x14ac:dyDescent="0.2">
      <c r="A3053" s="78">
        <v>48709</v>
      </c>
      <c r="B3053" s="77">
        <f>+PT!A3055</f>
        <v>0</v>
      </c>
      <c r="C3053" s="77">
        <f t="shared" si="50"/>
        <v>3052</v>
      </c>
    </row>
    <row r="3054" spans="1:3" x14ac:dyDescent="0.2">
      <c r="A3054" s="78">
        <v>48710</v>
      </c>
      <c r="B3054" s="77">
        <f>+PT!A3056</f>
        <v>0</v>
      </c>
      <c r="C3054" s="77">
        <f t="shared" si="50"/>
        <v>3053</v>
      </c>
    </row>
    <row r="3055" spans="1:3" x14ac:dyDescent="0.2">
      <c r="A3055" s="78">
        <v>48711</v>
      </c>
      <c r="B3055" s="77">
        <f>+PT!A3057</f>
        <v>0</v>
      </c>
      <c r="C3055" s="77">
        <f t="shared" si="50"/>
        <v>3054</v>
      </c>
    </row>
    <row r="3056" spans="1:3" x14ac:dyDescent="0.2">
      <c r="A3056" s="78">
        <v>48712</v>
      </c>
      <c r="B3056" s="77">
        <f>+PT!A3058</f>
        <v>0</v>
      </c>
      <c r="C3056" s="77">
        <f t="shared" si="50"/>
        <v>3055</v>
      </c>
    </row>
    <row r="3057" spans="1:3" x14ac:dyDescent="0.2">
      <c r="A3057" s="78">
        <v>48713</v>
      </c>
      <c r="B3057" s="77">
        <f>+PT!A3059</f>
        <v>0</v>
      </c>
      <c r="C3057" s="77">
        <f t="shared" si="50"/>
        <v>3056</v>
      </c>
    </row>
    <row r="3058" spans="1:3" x14ac:dyDescent="0.2">
      <c r="A3058" s="78">
        <v>48714</v>
      </c>
      <c r="B3058" s="77">
        <f>+PT!A3060</f>
        <v>0</v>
      </c>
      <c r="C3058" s="77">
        <f t="shared" si="50"/>
        <v>3057</v>
      </c>
    </row>
    <row r="3059" spans="1:3" x14ac:dyDescent="0.2">
      <c r="A3059" s="78">
        <v>48715</v>
      </c>
      <c r="B3059" s="77">
        <f>+PT!A3061</f>
        <v>0</v>
      </c>
      <c r="C3059" s="77">
        <f t="shared" si="50"/>
        <v>3058</v>
      </c>
    </row>
    <row r="3060" spans="1:3" x14ac:dyDescent="0.2">
      <c r="A3060" s="78">
        <v>48716</v>
      </c>
      <c r="B3060" s="77">
        <f>+PT!A3062</f>
        <v>0</v>
      </c>
      <c r="C3060" s="77">
        <f t="shared" si="50"/>
        <v>3059</v>
      </c>
    </row>
    <row r="3061" spans="1:3" x14ac:dyDescent="0.2">
      <c r="A3061" s="78">
        <v>48717</v>
      </c>
      <c r="B3061" s="77">
        <f>+PT!A3063</f>
        <v>0</v>
      </c>
      <c r="C3061" s="77">
        <f t="shared" si="50"/>
        <v>3060</v>
      </c>
    </row>
    <row r="3062" spans="1:3" x14ac:dyDescent="0.2">
      <c r="A3062" s="78">
        <v>48718</v>
      </c>
      <c r="B3062" s="77">
        <f>+PT!A3064</f>
        <v>0</v>
      </c>
      <c r="C3062" s="77">
        <f t="shared" si="50"/>
        <v>3061</v>
      </c>
    </row>
    <row r="3063" spans="1:3" x14ac:dyDescent="0.2">
      <c r="A3063" s="78">
        <v>48719</v>
      </c>
      <c r="B3063" s="77">
        <f>+PT!A3065</f>
        <v>0</v>
      </c>
      <c r="C3063" s="77">
        <f t="shared" si="50"/>
        <v>3062</v>
      </c>
    </row>
    <row r="3064" spans="1:3" x14ac:dyDescent="0.2">
      <c r="A3064" s="78">
        <v>48720</v>
      </c>
      <c r="B3064" s="77">
        <f>+PT!A3066</f>
        <v>0</v>
      </c>
      <c r="C3064" s="77">
        <f t="shared" si="50"/>
        <v>3063</v>
      </c>
    </row>
    <row r="3065" spans="1:3" x14ac:dyDescent="0.2">
      <c r="A3065" s="78">
        <v>48721</v>
      </c>
      <c r="B3065" s="77">
        <f>+PT!A3067</f>
        <v>0</v>
      </c>
      <c r="C3065" s="77">
        <f t="shared" si="50"/>
        <v>3064</v>
      </c>
    </row>
    <row r="3066" spans="1:3" x14ac:dyDescent="0.2">
      <c r="A3066" s="78">
        <v>48722</v>
      </c>
      <c r="B3066" s="77">
        <f>+PT!A3068</f>
        <v>0</v>
      </c>
      <c r="C3066" s="77">
        <f t="shared" si="50"/>
        <v>3065</v>
      </c>
    </row>
    <row r="3067" spans="1:3" x14ac:dyDescent="0.2">
      <c r="A3067" s="78">
        <v>48723</v>
      </c>
      <c r="B3067" s="77">
        <f>+PT!A3069</f>
        <v>0</v>
      </c>
      <c r="C3067" s="77">
        <f t="shared" si="50"/>
        <v>3066</v>
      </c>
    </row>
    <row r="3068" spans="1:3" x14ac:dyDescent="0.2">
      <c r="A3068" s="78">
        <v>48724</v>
      </c>
      <c r="B3068" s="77">
        <f>+PT!A3070</f>
        <v>0</v>
      </c>
      <c r="C3068" s="77">
        <f t="shared" si="50"/>
        <v>3067</v>
      </c>
    </row>
    <row r="3069" spans="1:3" x14ac:dyDescent="0.2">
      <c r="A3069" s="78">
        <v>48725</v>
      </c>
      <c r="B3069" s="77">
        <f>+PT!A3071</f>
        <v>0</v>
      </c>
      <c r="C3069" s="77">
        <f t="shared" si="50"/>
        <v>3068</v>
      </c>
    </row>
    <row r="3070" spans="1:3" x14ac:dyDescent="0.2">
      <c r="A3070" s="78">
        <v>48726</v>
      </c>
      <c r="B3070" s="77">
        <f>+PT!A3072</f>
        <v>0</v>
      </c>
      <c r="C3070" s="77">
        <f t="shared" si="50"/>
        <v>3069</v>
      </c>
    </row>
    <row r="3071" spans="1:3" x14ac:dyDescent="0.2">
      <c r="A3071" s="78">
        <v>48727</v>
      </c>
      <c r="B3071" s="77">
        <f>+PT!A3073</f>
        <v>0</v>
      </c>
      <c r="C3071" s="77">
        <f t="shared" si="50"/>
        <v>3070</v>
      </c>
    </row>
    <row r="3072" spans="1:3" x14ac:dyDescent="0.2">
      <c r="A3072" s="78">
        <v>48728</v>
      </c>
      <c r="B3072" s="77">
        <f>+PT!A3074</f>
        <v>0</v>
      </c>
      <c r="C3072" s="77">
        <f t="shared" si="50"/>
        <v>3071</v>
      </c>
    </row>
    <row r="3073" spans="1:3" x14ac:dyDescent="0.2">
      <c r="A3073" s="78">
        <v>48729</v>
      </c>
      <c r="B3073" s="77">
        <f>+PT!A3075</f>
        <v>0</v>
      </c>
      <c r="C3073" s="77">
        <f t="shared" si="50"/>
        <v>3072</v>
      </c>
    </row>
    <row r="3074" spans="1:3" x14ac:dyDescent="0.2">
      <c r="A3074" s="78">
        <v>48730</v>
      </c>
      <c r="B3074" s="77">
        <f>+PT!A3076</f>
        <v>0</v>
      </c>
      <c r="C3074" s="77">
        <f t="shared" si="50"/>
        <v>3073</v>
      </c>
    </row>
    <row r="3075" spans="1:3" x14ac:dyDescent="0.2">
      <c r="A3075" s="78">
        <v>48731</v>
      </c>
      <c r="B3075" s="77">
        <f>+PT!A3077</f>
        <v>0</v>
      </c>
      <c r="C3075" s="77">
        <f t="shared" si="50"/>
        <v>3074</v>
      </c>
    </row>
    <row r="3076" spans="1:3" x14ac:dyDescent="0.2">
      <c r="A3076" s="78">
        <v>48732</v>
      </c>
      <c r="B3076" s="77">
        <f>+PT!A3078</f>
        <v>0</v>
      </c>
      <c r="C3076" s="77">
        <f t="shared" ref="C3076:C3139" si="51">+C3075+1</f>
        <v>3075</v>
      </c>
    </row>
    <row r="3077" spans="1:3" x14ac:dyDescent="0.2">
      <c r="A3077" s="78">
        <v>48733</v>
      </c>
      <c r="B3077" s="77">
        <f>+PT!A3079</f>
        <v>0</v>
      </c>
      <c r="C3077" s="77">
        <f t="shared" si="51"/>
        <v>3076</v>
      </c>
    </row>
    <row r="3078" spans="1:3" x14ac:dyDescent="0.2">
      <c r="A3078" s="78">
        <v>48734</v>
      </c>
      <c r="B3078" s="77">
        <f>+PT!A3080</f>
        <v>0</v>
      </c>
      <c r="C3078" s="77">
        <f t="shared" si="51"/>
        <v>3077</v>
      </c>
    </row>
    <row r="3079" spans="1:3" x14ac:dyDescent="0.2">
      <c r="A3079" s="78">
        <v>48735</v>
      </c>
      <c r="B3079" s="77">
        <f>+PT!A3081</f>
        <v>0</v>
      </c>
      <c r="C3079" s="77">
        <f t="shared" si="51"/>
        <v>3078</v>
      </c>
    </row>
    <row r="3080" spans="1:3" x14ac:dyDescent="0.2">
      <c r="A3080" s="78">
        <v>48736</v>
      </c>
      <c r="B3080" s="77">
        <f>+PT!A3082</f>
        <v>0</v>
      </c>
      <c r="C3080" s="77">
        <f t="shared" si="51"/>
        <v>3079</v>
      </c>
    </row>
    <row r="3081" spans="1:3" x14ac:dyDescent="0.2">
      <c r="A3081" s="78">
        <v>48737</v>
      </c>
      <c r="B3081" s="77">
        <f>+PT!A3083</f>
        <v>0</v>
      </c>
      <c r="C3081" s="77">
        <f t="shared" si="51"/>
        <v>3080</v>
      </c>
    </row>
    <row r="3082" spans="1:3" x14ac:dyDescent="0.2">
      <c r="A3082" s="78">
        <v>48738</v>
      </c>
      <c r="B3082" s="77">
        <f>+PT!A3084</f>
        <v>0</v>
      </c>
      <c r="C3082" s="77">
        <f t="shared" si="51"/>
        <v>3081</v>
      </c>
    </row>
    <row r="3083" spans="1:3" x14ac:dyDescent="0.2">
      <c r="A3083" s="78">
        <v>48739</v>
      </c>
      <c r="B3083" s="77">
        <f>+PT!A3085</f>
        <v>0</v>
      </c>
      <c r="C3083" s="77">
        <f t="shared" si="51"/>
        <v>3082</v>
      </c>
    </row>
    <row r="3084" spans="1:3" x14ac:dyDescent="0.2">
      <c r="A3084" s="78">
        <v>48740</v>
      </c>
      <c r="B3084" s="77">
        <f>+PT!A3086</f>
        <v>0</v>
      </c>
      <c r="C3084" s="77">
        <f t="shared" si="51"/>
        <v>3083</v>
      </c>
    </row>
    <row r="3085" spans="1:3" x14ac:dyDescent="0.2">
      <c r="A3085" s="78">
        <v>48741</v>
      </c>
      <c r="B3085" s="77">
        <f>+PT!A3087</f>
        <v>0</v>
      </c>
      <c r="C3085" s="77">
        <f t="shared" si="51"/>
        <v>3084</v>
      </c>
    </row>
    <row r="3086" spans="1:3" x14ac:dyDescent="0.2">
      <c r="A3086" s="78">
        <v>48742</v>
      </c>
      <c r="B3086" s="77">
        <f>+PT!A3088</f>
        <v>0</v>
      </c>
      <c r="C3086" s="77">
        <f t="shared" si="51"/>
        <v>3085</v>
      </c>
    </row>
    <row r="3087" spans="1:3" x14ac:dyDescent="0.2">
      <c r="A3087" s="78">
        <v>48743</v>
      </c>
      <c r="B3087" s="77">
        <f>+PT!A3089</f>
        <v>0</v>
      </c>
      <c r="C3087" s="77">
        <f t="shared" si="51"/>
        <v>3086</v>
      </c>
    </row>
    <row r="3088" spans="1:3" x14ac:dyDescent="0.2">
      <c r="A3088" s="78">
        <v>48744</v>
      </c>
      <c r="B3088" s="77">
        <f>+PT!A3090</f>
        <v>0</v>
      </c>
      <c r="C3088" s="77">
        <f t="shared" si="51"/>
        <v>3087</v>
      </c>
    </row>
    <row r="3089" spans="1:3" x14ac:dyDescent="0.2">
      <c r="A3089" s="78">
        <v>48745</v>
      </c>
      <c r="B3089" s="77">
        <f>+PT!A3091</f>
        <v>0</v>
      </c>
      <c r="C3089" s="77">
        <f t="shared" si="51"/>
        <v>3088</v>
      </c>
    </row>
    <row r="3090" spans="1:3" x14ac:dyDescent="0.2">
      <c r="A3090" s="78">
        <v>48746</v>
      </c>
      <c r="B3090" s="77">
        <f>+PT!A3092</f>
        <v>0</v>
      </c>
      <c r="C3090" s="77">
        <f t="shared" si="51"/>
        <v>3089</v>
      </c>
    </row>
    <row r="3091" spans="1:3" x14ac:dyDescent="0.2">
      <c r="A3091" s="78">
        <v>48747</v>
      </c>
      <c r="B3091" s="77">
        <f>+PT!A3093</f>
        <v>0</v>
      </c>
      <c r="C3091" s="77">
        <f t="shared" si="51"/>
        <v>3090</v>
      </c>
    </row>
    <row r="3092" spans="1:3" x14ac:dyDescent="0.2">
      <c r="A3092" s="78">
        <v>48748</v>
      </c>
      <c r="B3092" s="77">
        <f>+PT!A3094</f>
        <v>0</v>
      </c>
      <c r="C3092" s="77">
        <f t="shared" si="51"/>
        <v>3091</v>
      </c>
    </row>
    <row r="3093" spans="1:3" x14ac:dyDescent="0.2">
      <c r="A3093" s="78">
        <v>48749</v>
      </c>
      <c r="B3093" s="77">
        <f>+PT!A3095</f>
        <v>0</v>
      </c>
      <c r="C3093" s="77">
        <f t="shared" si="51"/>
        <v>3092</v>
      </c>
    </row>
    <row r="3094" spans="1:3" x14ac:dyDescent="0.2">
      <c r="A3094" s="78">
        <v>48750</v>
      </c>
      <c r="B3094" s="77">
        <f>+PT!A3096</f>
        <v>0</v>
      </c>
      <c r="C3094" s="77">
        <f t="shared" si="51"/>
        <v>3093</v>
      </c>
    </row>
    <row r="3095" spans="1:3" x14ac:dyDescent="0.2">
      <c r="A3095" s="78">
        <v>48751</v>
      </c>
      <c r="B3095" s="77">
        <f>+PT!A3097</f>
        <v>0</v>
      </c>
      <c r="C3095" s="77">
        <f t="shared" si="51"/>
        <v>3094</v>
      </c>
    </row>
    <row r="3096" spans="1:3" x14ac:dyDescent="0.2">
      <c r="A3096" s="78">
        <v>48752</v>
      </c>
      <c r="B3096" s="77">
        <f>+PT!A3098</f>
        <v>0</v>
      </c>
      <c r="C3096" s="77">
        <f t="shared" si="51"/>
        <v>3095</v>
      </c>
    </row>
    <row r="3097" spans="1:3" x14ac:dyDescent="0.2">
      <c r="A3097" s="78">
        <v>48753</v>
      </c>
      <c r="B3097" s="77">
        <f>+PT!A3099</f>
        <v>0</v>
      </c>
      <c r="C3097" s="77">
        <f t="shared" si="51"/>
        <v>3096</v>
      </c>
    </row>
    <row r="3098" spans="1:3" x14ac:dyDescent="0.2">
      <c r="A3098" s="78">
        <v>48754</v>
      </c>
      <c r="B3098" s="77">
        <f>+PT!A3100</f>
        <v>0</v>
      </c>
      <c r="C3098" s="77">
        <f t="shared" si="51"/>
        <v>3097</v>
      </c>
    </row>
    <row r="3099" spans="1:3" x14ac:dyDescent="0.2">
      <c r="A3099" s="78">
        <v>48755</v>
      </c>
      <c r="B3099" s="77">
        <f>+PT!A3101</f>
        <v>0</v>
      </c>
      <c r="C3099" s="77">
        <f t="shared" si="51"/>
        <v>3098</v>
      </c>
    </row>
    <row r="3100" spans="1:3" x14ac:dyDescent="0.2">
      <c r="A3100" s="78">
        <v>48756</v>
      </c>
      <c r="B3100" s="77">
        <f>+PT!A3102</f>
        <v>0</v>
      </c>
      <c r="C3100" s="77">
        <f t="shared" si="51"/>
        <v>3099</v>
      </c>
    </row>
    <row r="3101" spans="1:3" x14ac:dyDescent="0.2">
      <c r="A3101" s="78">
        <v>48757</v>
      </c>
      <c r="B3101" s="77">
        <f>+PT!A3103</f>
        <v>0</v>
      </c>
      <c r="C3101" s="77">
        <f t="shared" si="51"/>
        <v>3100</v>
      </c>
    </row>
    <row r="3102" spans="1:3" x14ac:dyDescent="0.2">
      <c r="A3102" s="78">
        <v>48758</v>
      </c>
      <c r="B3102" s="77">
        <f>+PT!A3104</f>
        <v>0</v>
      </c>
      <c r="C3102" s="77">
        <f t="shared" si="51"/>
        <v>3101</v>
      </c>
    </row>
    <row r="3103" spans="1:3" x14ac:dyDescent="0.2">
      <c r="A3103" s="78">
        <v>48759</v>
      </c>
      <c r="B3103" s="77">
        <f>+PT!A3105</f>
        <v>0</v>
      </c>
      <c r="C3103" s="77">
        <f t="shared" si="51"/>
        <v>3102</v>
      </c>
    </row>
    <row r="3104" spans="1:3" x14ac:dyDescent="0.2">
      <c r="A3104" s="78">
        <v>48760</v>
      </c>
      <c r="B3104" s="77">
        <f>+PT!A3106</f>
        <v>0</v>
      </c>
      <c r="C3104" s="77">
        <f t="shared" si="51"/>
        <v>3103</v>
      </c>
    </row>
    <row r="3105" spans="1:3" x14ac:dyDescent="0.2">
      <c r="A3105" s="78">
        <v>48761</v>
      </c>
      <c r="B3105" s="77">
        <f>+PT!A3107</f>
        <v>0</v>
      </c>
      <c r="C3105" s="77">
        <f t="shared" si="51"/>
        <v>3104</v>
      </c>
    </row>
    <row r="3106" spans="1:3" x14ac:dyDescent="0.2">
      <c r="A3106" s="78">
        <v>48762</v>
      </c>
      <c r="B3106" s="77">
        <f>+PT!A3108</f>
        <v>0</v>
      </c>
      <c r="C3106" s="77">
        <f t="shared" si="51"/>
        <v>3105</v>
      </c>
    </row>
    <row r="3107" spans="1:3" x14ac:dyDescent="0.2">
      <c r="A3107" s="78">
        <v>48763</v>
      </c>
      <c r="B3107" s="77">
        <f>+PT!A3109</f>
        <v>0</v>
      </c>
      <c r="C3107" s="77">
        <f t="shared" si="51"/>
        <v>3106</v>
      </c>
    </row>
    <row r="3108" spans="1:3" x14ac:dyDescent="0.2">
      <c r="A3108" s="78">
        <v>48764</v>
      </c>
      <c r="B3108" s="77">
        <f>+PT!A3110</f>
        <v>0</v>
      </c>
      <c r="C3108" s="77">
        <f t="shared" si="51"/>
        <v>3107</v>
      </c>
    </row>
    <row r="3109" spans="1:3" x14ac:dyDescent="0.2">
      <c r="A3109" s="78">
        <v>48765</v>
      </c>
      <c r="B3109" s="77">
        <f>+PT!A3111</f>
        <v>0</v>
      </c>
      <c r="C3109" s="77">
        <f t="shared" si="51"/>
        <v>3108</v>
      </c>
    </row>
    <row r="3110" spans="1:3" x14ac:dyDescent="0.2">
      <c r="A3110" s="78">
        <v>48766</v>
      </c>
      <c r="B3110" s="77">
        <f>+PT!A3112</f>
        <v>0</v>
      </c>
      <c r="C3110" s="77">
        <f t="shared" si="51"/>
        <v>3109</v>
      </c>
    </row>
    <row r="3111" spans="1:3" x14ac:dyDescent="0.2">
      <c r="A3111" s="78">
        <v>48767</v>
      </c>
      <c r="B3111" s="77">
        <f>+PT!A3113</f>
        <v>0</v>
      </c>
      <c r="C3111" s="77">
        <f t="shared" si="51"/>
        <v>3110</v>
      </c>
    </row>
    <row r="3112" spans="1:3" x14ac:dyDescent="0.2">
      <c r="A3112" s="78">
        <v>48768</v>
      </c>
      <c r="B3112" s="77">
        <f>+PT!A3114</f>
        <v>0</v>
      </c>
      <c r="C3112" s="77">
        <f t="shared" si="51"/>
        <v>3111</v>
      </c>
    </row>
    <row r="3113" spans="1:3" x14ac:dyDescent="0.2">
      <c r="A3113" s="78">
        <v>48769</v>
      </c>
      <c r="B3113" s="77">
        <f>+PT!A3115</f>
        <v>0</v>
      </c>
      <c r="C3113" s="77">
        <f t="shared" si="51"/>
        <v>3112</v>
      </c>
    </row>
    <row r="3114" spans="1:3" x14ac:dyDescent="0.2">
      <c r="A3114" s="78">
        <v>48770</v>
      </c>
      <c r="B3114" s="77">
        <f>+PT!A3116</f>
        <v>0</v>
      </c>
      <c r="C3114" s="77">
        <f t="shared" si="51"/>
        <v>3113</v>
      </c>
    </row>
    <row r="3115" spans="1:3" x14ac:dyDescent="0.2">
      <c r="A3115" s="78">
        <v>48771</v>
      </c>
      <c r="B3115" s="77">
        <f>+PT!A3117</f>
        <v>0</v>
      </c>
      <c r="C3115" s="77">
        <f t="shared" si="51"/>
        <v>3114</v>
      </c>
    </row>
    <row r="3116" spans="1:3" x14ac:dyDescent="0.2">
      <c r="A3116" s="78">
        <v>48772</v>
      </c>
      <c r="B3116" s="77">
        <f>+PT!A3118</f>
        <v>0</v>
      </c>
      <c r="C3116" s="77">
        <f t="shared" si="51"/>
        <v>3115</v>
      </c>
    </row>
    <row r="3117" spans="1:3" x14ac:dyDescent="0.2">
      <c r="A3117" s="78">
        <v>48773</v>
      </c>
      <c r="B3117" s="77">
        <f>+PT!A3119</f>
        <v>0</v>
      </c>
      <c r="C3117" s="77">
        <f t="shared" si="51"/>
        <v>3116</v>
      </c>
    </row>
    <row r="3118" spans="1:3" x14ac:dyDescent="0.2">
      <c r="A3118" s="78">
        <v>48774</v>
      </c>
      <c r="B3118" s="77">
        <f>+PT!A3120</f>
        <v>0</v>
      </c>
      <c r="C3118" s="77">
        <f t="shared" si="51"/>
        <v>3117</v>
      </c>
    </row>
    <row r="3119" spans="1:3" x14ac:dyDescent="0.2">
      <c r="A3119" s="78">
        <v>48775</v>
      </c>
      <c r="B3119" s="77">
        <f>+PT!A3121</f>
        <v>0</v>
      </c>
      <c r="C3119" s="77">
        <f t="shared" si="51"/>
        <v>3118</v>
      </c>
    </row>
    <row r="3120" spans="1:3" x14ac:dyDescent="0.2">
      <c r="A3120" s="78">
        <v>48776</v>
      </c>
      <c r="B3120" s="77">
        <f>+PT!A3122</f>
        <v>0</v>
      </c>
      <c r="C3120" s="77">
        <f t="shared" si="51"/>
        <v>3119</v>
      </c>
    </row>
    <row r="3121" spans="1:3" x14ac:dyDescent="0.2">
      <c r="A3121" s="78">
        <v>48777</v>
      </c>
      <c r="B3121" s="77">
        <f>+PT!A3123</f>
        <v>0</v>
      </c>
      <c r="C3121" s="77">
        <f t="shared" si="51"/>
        <v>3120</v>
      </c>
    </row>
    <row r="3122" spans="1:3" x14ac:dyDescent="0.2">
      <c r="A3122" s="78">
        <v>48778</v>
      </c>
      <c r="B3122" s="77">
        <f>+PT!A3124</f>
        <v>0</v>
      </c>
      <c r="C3122" s="77">
        <f t="shared" si="51"/>
        <v>3121</v>
      </c>
    </row>
    <row r="3123" spans="1:3" x14ac:dyDescent="0.2">
      <c r="A3123" s="78">
        <v>48779</v>
      </c>
      <c r="B3123" s="77">
        <f>+PT!A3125</f>
        <v>0</v>
      </c>
      <c r="C3123" s="77">
        <f t="shared" si="51"/>
        <v>3122</v>
      </c>
    </row>
    <row r="3124" spans="1:3" x14ac:dyDescent="0.2">
      <c r="A3124" s="78">
        <v>48780</v>
      </c>
      <c r="B3124" s="77">
        <f>+PT!A3126</f>
        <v>0</v>
      </c>
      <c r="C3124" s="77">
        <f t="shared" si="51"/>
        <v>3123</v>
      </c>
    </row>
    <row r="3125" spans="1:3" x14ac:dyDescent="0.2">
      <c r="A3125" s="78">
        <v>48781</v>
      </c>
      <c r="B3125" s="77">
        <f>+PT!A3127</f>
        <v>0</v>
      </c>
      <c r="C3125" s="77">
        <f t="shared" si="51"/>
        <v>3124</v>
      </c>
    </row>
    <row r="3126" spans="1:3" x14ac:dyDescent="0.2">
      <c r="A3126" s="78">
        <v>48782</v>
      </c>
      <c r="B3126" s="77">
        <f>+PT!A3128</f>
        <v>0</v>
      </c>
      <c r="C3126" s="77">
        <f t="shared" si="51"/>
        <v>3125</v>
      </c>
    </row>
    <row r="3127" spans="1:3" x14ac:dyDescent="0.2">
      <c r="A3127" s="78">
        <v>48783</v>
      </c>
      <c r="B3127" s="77">
        <f>+PT!A3129</f>
        <v>0</v>
      </c>
      <c r="C3127" s="77">
        <f t="shared" si="51"/>
        <v>3126</v>
      </c>
    </row>
    <row r="3128" spans="1:3" x14ac:dyDescent="0.2">
      <c r="A3128" s="78">
        <v>48784</v>
      </c>
      <c r="B3128" s="77">
        <f>+PT!A3130</f>
        <v>0</v>
      </c>
      <c r="C3128" s="77">
        <f t="shared" si="51"/>
        <v>3127</v>
      </c>
    </row>
    <row r="3129" spans="1:3" x14ac:dyDescent="0.2">
      <c r="A3129" s="78">
        <v>48785</v>
      </c>
      <c r="B3129" s="77">
        <f>+PT!A3131</f>
        <v>0</v>
      </c>
      <c r="C3129" s="77">
        <f t="shared" si="51"/>
        <v>3128</v>
      </c>
    </row>
    <row r="3130" spans="1:3" x14ac:dyDescent="0.2">
      <c r="A3130" s="78">
        <v>48786</v>
      </c>
      <c r="B3130" s="77">
        <f>+PT!A3132</f>
        <v>0</v>
      </c>
      <c r="C3130" s="77">
        <f t="shared" si="51"/>
        <v>3129</v>
      </c>
    </row>
    <row r="3131" spans="1:3" x14ac:dyDescent="0.2">
      <c r="A3131" s="78">
        <v>48787</v>
      </c>
      <c r="B3131" s="77">
        <f>+PT!A3133</f>
        <v>0</v>
      </c>
      <c r="C3131" s="77">
        <f t="shared" si="51"/>
        <v>3130</v>
      </c>
    </row>
    <row r="3132" spans="1:3" x14ac:dyDescent="0.2">
      <c r="A3132" s="78">
        <v>48788</v>
      </c>
      <c r="B3132" s="77">
        <f>+PT!A3134</f>
        <v>0</v>
      </c>
      <c r="C3132" s="77">
        <f t="shared" si="51"/>
        <v>3131</v>
      </c>
    </row>
    <row r="3133" spans="1:3" x14ac:dyDescent="0.2">
      <c r="A3133" s="78">
        <v>48789</v>
      </c>
      <c r="B3133" s="77">
        <f>+PT!A3135</f>
        <v>0</v>
      </c>
      <c r="C3133" s="77">
        <f t="shared" si="51"/>
        <v>3132</v>
      </c>
    </row>
    <row r="3134" spans="1:3" x14ac:dyDescent="0.2">
      <c r="A3134" s="78">
        <v>48790</v>
      </c>
      <c r="B3134" s="77">
        <f>+PT!A3136</f>
        <v>0</v>
      </c>
      <c r="C3134" s="77">
        <f t="shared" si="51"/>
        <v>3133</v>
      </c>
    </row>
    <row r="3135" spans="1:3" x14ac:dyDescent="0.2">
      <c r="A3135" s="78">
        <v>48791</v>
      </c>
      <c r="B3135" s="77">
        <f>+PT!A3137</f>
        <v>0</v>
      </c>
      <c r="C3135" s="77">
        <f t="shared" si="51"/>
        <v>3134</v>
      </c>
    </row>
    <row r="3136" spans="1:3" x14ac:dyDescent="0.2">
      <c r="A3136" s="78">
        <v>48792</v>
      </c>
      <c r="B3136" s="77">
        <f>+PT!A3138</f>
        <v>0</v>
      </c>
      <c r="C3136" s="77">
        <f t="shared" si="51"/>
        <v>3135</v>
      </c>
    </row>
    <row r="3137" spans="1:3" x14ac:dyDescent="0.2">
      <c r="A3137" s="78">
        <v>48793</v>
      </c>
      <c r="B3137" s="77">
        <f>+PT!A3139</f>
        <v>0</v>
      </c>
      <c r="C3137" s="77">
        <f t="shared" si="51"/>
        <v>3136</v>
      </c>
    </row>
    <row r="3138" spans="1:3" x14ac:dyDescent="0.2">
      <c r="A3138" s="78">
        <v>48794</v>
      </c>
      <c r="B3138" s="77">
        <f>+PT!A3140</f>
        <v>0</v>
      </c>
      <c r="C3138" s="77">
        <f t="shared" si="51"/>
        <v>3137</v>
      </c>
    </row>
    <row r="3139" spans="1:3" x14ac:dyDescent="0.2">
      <c r="A3139" s="78">
        <v>48795</v>
      </c>
      <c r="B3139" s="77">
        <f>+PT!A3141</f>
        <v>0</v>
      </c>
      <c r="C3139" s="77">
        <f t="shared" si="51"/>
        <v>3138</v>
      </c>
    </row>
    <row r="3140" spans="1:3" x14ac:dyDescent="0.2">
      <c r="A3140" s="78">
        <v>48796</v>
      </c>
      <c r="B3140" s="77">
        <f>+PT!A3142</f>
        <v>0</v>
      </c>
      <c r="C3140" s="77">
        <f t="shared" ref="C3140:C3203" si="52">+C3139+1</f>
        <v>3139</v>
      </c>
    </row>
    <row r="3141" spans="1:3" x14ac:dyDescent="0.2">
      <c r="A3141" s="78">
        <v>48797</v>
      </c>
      <c r="B3141" s="77">
        <f>+PT!A3143</f>
        <v>0</v>
      </c>
      <c r="C3141" s="77">
        <f t="shared" si="52"/>
        <v>3140</v>
      </c>
    </row>
    <row r="3142" spans="1:3" x14ac:dyDescent="0.2">
      <c r="A3142" s="78">
        <v>48798</v>
      </c>
      <c r="B3142" s="77">
        <f>+PT!A3144</f>
        <v>0</v>
      </c>
      <c r="C3142" s="77">
        <f t="shared" si="52"/>
        <v>3141</v>
      </c>
    </row>
    <row r="3143" spans="1:3" x14ac:dyDescent="0.2">
      <c r="A3143" s="78">
        <v>48799</v>
      </c>
      <c r="B3143" s="77">
        <f>+PT!A3145</f>
        <v>0</v>
      </c>
      <c r="C3143" s="77">
        <f t="shared" si="52"/>
        <v>3142</v>
      </c>
    </row>
    <row r="3144" spans="1:3" x14ac:dyDescent="0.2">
      <c r="A3144" s="78">
        <v>48800</v>
      </c>
      <c r="B3144" s="77">
        <f>+PT!A3146</f>
        <v>0</v>
      </c>
      <c r="C3144" s="77">
        <f t="shared" si="52"/>
        <v>3143</v>
      </c>
    </row>
    <row r="3145" spans="1:3" x14ac:dyDescent="0.2">
      <c r="A3145" s="78">
        <v>48801</v>
      </c>
      <c r="B3145" s="77">
        <f>+PT!A3147</f>
        <v>0</v>
      </c>
      <c r="C3145" s="77">
        <f t="shared" si="52"/>
        <v>3144</v>
      </c>
    </row>
    <row r="3146" spans="1:3" x14ac:dyDescent="0.2">
      <c r="A3146" s="78">
        <v>48802</v>
      </c>
      <c r="B3146" s="77">
        <f>+PT!A3148</f>
        <v>0</v>
      </c>
      <c r="C3146" s="77">
        <f t="shared" si="52"/>
        <v>3145</v>
      </c>
    </row>
    <row r="3147" spans="1:3" x14ac:dyDescent="0.2">
      <c r="A3147" s="78">
        <v>48803</v>
      </c>
      <c r="B3147" s="77">
        <f>+PT!A3149</f>
        <v>0</v>
      </c>
      <c r="C3147" s="77">
        <f t="shared" si="52"/>
        <v>3146</v>
      </c>
    </row>
    <row r="3148" spans="1:3" x14ac:dyDescent="0.2">
      <c r="A3148" s="78">
        <v>48804</v>
      </c>
      <c r="B3148" s="77">
        <f>+PT!A3150</f>
        <v>0</v>
      </c>
      <c r="C3148" s="77">
        <f t="shared" si="52"/>
        <v>3147</v>
      </c>
    </row>
    <row r="3149" spans="1:3" x14ac:dyDescent="0.2">
      <c r="A3149" s="78">
        <v>48805</v>
      </c>
      <c r="B3149" s="77">
        <f>+PT!A3151</f>
        <v>0</v>
      </c>
      <c r="C3149" s="77">
        <f t="shared" si="52"/>
        <v>3148</v>
      </c>
    </row>
    <row r="3150" spans="1:3" x14ac:dyDescent="0.2">
      <c r="A3150" s="78">
        <v>48806</v>
      </c>
      <c r="B3150" s="77">
        <f>+PT!A3152</f>
        <v>0</v>
      </c>
      <c r="C3150" s="77">
        <f t="shared" si="52"/>
        <v>3149</v>
      </c>
    </row>
    <row r="3151" spans="1:3" x14ac:dyDescent="0.2">
      <c r="A3151" s="78">
        <v>48807</v>
      </c>
      <c r="B3151" s="77">
        <f>+PT!A3153</f>
        <v>0</v>
      </c>
      <c r="C3151" s="77">
        <f t="shared" si="52"/>
        <v>3150</v>
      </c>
    </row>
    <row r="3152" spans="1:3" x14ac:dyDescent="0.2">
      <c r="A3152" s="78">
        <v>48808</v>
      </c>
      <c r="B3152" s="77">
        <f>+PT!A3154</f>
        <v>0</v>
      </c>
      <c r="C3152" s="77">
        <f t="shared" si="52"/>
        <v>3151</v>
      </c>
    </row>
    <row r="3153" spans="1:3" x14ac:dyDescent="0.2">
      <c r="A3153" s="78">
        <v>48809</v>
      </c>
      <c r="B3153" s="77">
        <f>+PT!A3155</f>
        <v>0</v>
      </c>
      <c r="C3153" s="77">
        <f t="shared" si="52"/>
        <v>3152</v>
      </c>
    </row>
    <row r="3154" spans="1:3" x14ac:dyDescent="0.2">
      <c r="A3154" s="78">
        <v>48810</v>
      </c>
      <c r="B3154" s="77">
        <f>+PT!A3156</f>
        <v>0</v>
      </c>
      <c r="C3154" s="77">
        <f t="shared" si="52"/>
        <v>3153</v>
      </c>
    </row>
    <row r="3155" spans="1:3" x14ac:dyDescent="0.2">
      <c r="A3155" s="78">
        <v>48811</v>
      </c>
      <c r="B3155" s="77">
        <f>+PT!A3157</f>
        <v>0</v>
      </c>
      <c r="C3155" s="77">
        <f t="shared" si="52"/>
        <v>3154</v>
      </c>
    </row>
    <row r="3156" spans="1:3" x14ac:dyDescent="0.2">
      <c r="A3156" s="78">
        <v>48812</v>
      </c>
      <c r="B3156" s="77">
        <f>+PT!A3158</f>
        <v>0</v>
      </c>
      <c r="C3156" s="77">
        <f t="shared" si="52"/>
        <v>3155</v>
      </c>
    </row>
    <row r="3157" spans="1:3" x14ac:dyDescent="0.2">
      <c r="A3157" s="78">
        <v>48813</v>
      </c>
      <c r="B3157" s="77">
        <f>+PT!A3159</f>
        <v>0</v>
      </c>
      <c r="C3157" s="77">
        <f t="shared" si="52"/>
        <v>3156</v>
      </c>
    </row>
    <row r="3158" spans="1:3" x14ac:dyDescent="0.2">
      <c r="A3158" s="78">
        <v>48814</v>
      </c>
      <c r="B3158" s="77">
        <f>+PT!A3160</f>
        <v>0</v>
      </c>
      <c r="C3158" s="77">
        <f t="shared" si="52"/>
        <v>3157</v>
      </c>
    </row>
    <row r="3159" spans="1:3" x14ac:dyDescent="0.2">
      <c r="A3159" s="78">
        <v>48815</v>
      </c>
      <c r="B3159" s="77">
        <f>+PT!A3161</f>
        <v>0</v>
      </c>
      <c r="C3159" s="77">
        <f t="shared" si="52"/>
        <v>3158</v>
      </c>
    </row>
    <row r="3160" spans="1:3" x14ac:dyDescent="0.2">
      <c r="A3160" s="78">
        <v>48816</v>
      </c>
      <c r="B3160" s="77">
        <f>+PT!A3162</f>
        <v>0</v>
      </c>
      <c r="C3160" s="77">
        <f t="shared" si="52"/>
        <v>3159</v>
      </c>
    </row>
    <row r="3161" spans="1:3" x14ac:dyDescent="0.2">
      <c r="A3161" s="78">
        <v>48817</v>
      </c>
      <c r="B3161" s="77">
        <f>+PT!A3163</f>
        <v>0</v>
      </c>
      <c r="C3161" s="77">
        <f t="shared" si="52"/>
        <v>3160</v>
      </c>
    </row>
    <row r="3162" spans="1:3" x14ac:dyDescent="0.2">
      <c r="A3162" s="78">
        <v>48818</v>
      </c>
      <c r="B3162" s="77">
        <f>+PT!A3164</f>
        <v>0</v>
      </c>
      <c r="C3162" s="77">
        <f t="shared" si="52"/>
        <v>3161</v>
      </c>
    </row>
    <row r="3163" spans="1:3" x14ac:dyDescent="0.2">
      <c r="A3163" s="78">
        <v>48819</v>
      </c>
      <c r="B3163" s="77">
        <f>+PT!A3165</f>
        <v>0</v>
      </c>
      <c r="C3163" s="77">
        <f t="shared" si="52"/>
        <v>3162</v>
      </c>
    </row>
    <row r="3164" spans="1:3" x14ac:dyDescent="0.2">
      <c r="A3164" s="78">
        <v>48820</v>
      </c>
      <c r="B3164" s="77">
        <f>+PT!A3166</f>
        <v>0</v>
      </c>
      <c r="C3164" s="77">
        <f t="shared" si="52"/>
        <v>3163</v>
      </c>
    </row>
    <row r="3165" spans="1:3" x14ac:dyDescent="0.2">
      <c r="A3165" s="78">
        <v>48821</v>
      </c>
      <c r="B3165" s="77">
        <f>+PT!A3167</f>
        <v>0</v>
      </c>
      <c r="C3165" s="77">
        <f t="shared" si="52"/>
        <v>3164</v>
      </c>
    </row>
    <row r="3166" spans="1:3" x14ac:dyDescent="0.2">
      <c r="A3166" s="78">
        <v>48822</v>
      </c>
      <c r="B3166" s="77">
        <f>+PT!A3168</f>
        <v>0</v>
      </c>
      <c r="C3166" s="77">
        <f t="shared" si="52"/>
        <v>3165</v>
      </c>
    </row>
    <row r="3167" spans="1:3" x14ac:dyDescent="0.2">
      <c r="A3167" s="78">
        <v>48823</v>
      </c>
      <c r="B3167" s="77">
        <f>+PT!A3169</f>
        <v>0</v>
      </c>
      <c r="C3167" s="77">
        <f t="shared" si="52"/>
        <v>3166</v>
      </c>
    </row>
    <row r="3168" spans="1:3" x14ac:dyDescent="0.2">
      <c r="A3168" s="78">
        <v>48824</v>
      </c>
      <c r="B3168" s="77">
        <f>+PT!A3170</f>
        <v>0</v>
      </c>
      <c r="C3168" s="77">
        <f t="shared" si="52"/>
        <v>3167</v>
      </c>
    </row>
    <row r="3169" spans="1:3" x14ac:dyDescent="0.2">
      <c r="A3169" s="78">
        <v>48825</v>
      </c>
      <c r="B3169" s="77">
        <f>+PT!A3171</f>
        <v>0</v>
      </c>
      <c r="C3169" s="77">
        <f t="shared" si="52"/>
        <v>3168</v>
      </c>
    </row>
    <row r="3170" spans="1:3" x14ac:dyDescent="0.2">
      <c r="A3170" s="78">
        <v>48826</v>
      </c>
      <c r="B3170" s="77">
        <f>+PT!A3172</f>
        <v>0</v>
      </c>
      <c r="C3170" s="77">
        <f t="shared" si="52"/>
        <v>3169</v>
      </c>
    </row>
    <row r="3171" spans="1:3" x14ac:dyDescent="0.2">
      <c r="A3171" s="78">
        <v>48827</v>
      </c>
      <c r="B3171" s="77">
        <f>+PT!A3173</f>
        <v>0</v>
      </c>
      <c r="C3171" s="77">
        <f t="shared" si="52"/>
        <v>3170</v>
      </c>
    </row>
    <row r="3172" spans="1:3" x14ac:dyDescent="0.2">
      <c r="A3172" s="78">
        <v>48828</v>
      </c>
      <c r="B3172" s="77">
        <f>+PT!A3174</f>
        <v>0</v>
      </c>
      <c r="C3172" s="77">
        <f t="shared" si="52"/>
        <v>3171</v>
      </c>
    </row>
    <row r="3173" spans="1:3" x14ac:dyDescent="0.2">
      <c r="A3173" s="78">
        <v>48829</v>
      </c>
      <c r="B3173" s="77">
        <f>+PT!A3175</f>
        <v>0</v>
      </c>
      <c r="C3173" s="77">
        <f t="shared" si="52"/>
        <v>3172</v>
      </c>
    </row>
    <row r="3174" spans="1:3" x14ac:dyDescent="0.2">
      <c r="A3174" s="78">
        <v>48830</v>
      </c>
      <c r="B3174" s="77">
        <f>+PT!A3176</f>
        <v>0</v>
      </c>
      <c r="C3174" s="77">
        <f t="shared" si="52"/>
        <v>3173</v>
      </c>
    </row>
    <row r="3175" spans="1:3" x14ac:dyDescent="0.2">
      <c r="A3175" s="78">
        <v>48831</v>
      </c>
      <c r="B3175" s="77">
        <f>+PT!A3177</f>
        <v>0</v>
      </c>
      <c r="C3175" s="77">
        <f t="shared" si="52"/>
        <v>3174</v>
      </c>
    </row>
    <row r="3176" spans="1:3" x14ac:dyDescent="0.2">
      <c r="A3176" s="78">
        <v>48832</v>
      </c>
      <c r="B3176" s="77">
        <f>+PT!A3178</f>
        <v>0</v>
      </c>
      <c r="C3176" s="77">
        <f t="shared" si="52"/>
        <v>3175</v>
      </c>
    </row>
    <row r="3177" spans="1:3" x14ac:dyDescent="0.2">
      <c r="A3177" s="78">
        <v>48833</v>
      </c>
      <c r="B3177" s="77">
        <f>+PT!A3179</f>
        <v>0</v>
      </c>
      <c r="C3177" s="77">
        <f t="shared" si="52"/>
        <v>3176</v>
      </c>
    </row>
    <row r="3178" spans="1:3" x14ac:dyDescent="0.2">
      <c r="A3178" s="78">
        <v>48834</v>
      </c>
      <c r="B3178" s="77">
        <f>+PT!A3180</f>
        <v>0</v>
      </c>
      <c r="C3178" s="77">
        <f t="shared" si="52"/>
        <v>3177</v>
      </c>
    </row>
    <row r="3179" spans="1:3" x14ac:dyDescent="0.2">
      <c r="A3179" s="78">
        <v>48835</v>
      </c>
      <c r="B3179" s="77">
        <f>+PT!A3181</f>
        <v>0</v>
      </c>
      <c r="C3179" s="77">
        <f t="shared" si="52"/>
        <v>3178</v>
      </c>
    </row>
    <row r="3180" spans="1:3" x14ac:dyDescent="0.2">
      <c r="A3180" s="78">
        <v>48836</v>
      </c>
      <c r="B3180" s="77">
        <f>+PT!A3182</f>
        <v>0</v>
      </c>
      <c r="C3180" s="77">
        <f t="shared" si="52"/>
        <v>3179</v>
      </c>
    </row>
    <row r="3181" spans="1:3" x14ac:dyDescent="0.2">
      <c r="A3181" s="78">
        <v>48837</v>
      </c>
      <c r="B3181" s="77">
        <f>+PT!A3183</f>
        <v>0</v>
      </c>
      <c r="C3181" s="77">
        <f t="shared" si="52"/>
        <v>3180</v>
      </c>
    </row>
    <row r="3182" spans="1:3" x14ac:dyDescent="0.2">
      <c r="A3182" s="78">
        <v>48838</v>
      </c>
      <c r="B3182" s="77">
        <f>+PT!A3184</f>
        <v>0</v>
      </c>
      <c r="C3182" s="77">
        <f t="shared" si="52"/>
        <v>3181</v>
      </c>
    </row>
    <row r="3183" spans="1:3" x14ac:dyDescent="0.2">
      <c r="A3183" s="78">
        <v>48839</v>
      </c>
      <c r="B3183" s="77">
        <f>+PT!A3185</f>
        <v>0</v>
      </c>
      <c r="C3183" s="77">
        <f t="shared" si="52"/>
        <v>3182</v>
      </c>
    </row>
    <row r="3184" spans="1:3" x14ac:dyDescent="0.2">
      <c r="A3184" s="78">
        <v>48840</v>
      </c>
      <c r="B3184" s="77">
        <f>+PT!A3186</f>
        <v>0</v>
      </c>
      <c r="C3184" s="77">
        <f t="shared" si="52"/>
        <v>3183</v>
      </c>
    </row>
    <row r="3185" spans="1:3" x14ac:dyDescent="0.2">
      <c r="A3185" s="78">
        <v>48841</v>
      </c>
      <c r="B3185" s="77">
        <f>+PT!A3187</f>
        <v>0</v>
      </c>
      <c r="C3185" s="77">
        <f t="shared" si="52"/>
        <v>3184</v>
      </c>
    </row>
    <row r="3186" spans="1:3" x14ac:dyDescent="0.2">
      <c r="A3186" s="78">
        <v>48842</v>
      </c>
      <c r="B3186" s="77">
        <f>+PT!A3188</f>
        <v>0</v>
      </c>
      <c r="C3186" s="77">
        <f t="shared" si="52"/>
        <v>3185</v>
      </c>
    </row>
    <row r="3187" spans="1:3" x14ac:dyDescent="0.2">
      <c r="A3187" s="78">
        <v>48843</v>
      </c>
      <c r="B3187" s="77">
        <f>+PT!A3189</f>
        <v>0</v>
      </c>
      <c r="C3187" s="77">
        <f t="shared" si="52"/>
        <v>3186</v>
      </c>
    </row>
    <row r="3188" spans="1:3" x14ac:dyDescent="0.2">
      <c r="A3188" s="78">
        <v>48844</v>
      </c>
      <c r="B3188" s="77">
        <f>+PT!A3190</f>
        <v>0</v>
      </c>
      <c r="C3188" s="77">
        <f t="shared" si="52"/>
        <v>3187</v>
      </c>
    </row>
    <row r="3189" spans="1:3" x14ac:dyDescent="0.2">
      <c r="A3189" s="78">
        <v>48845</v>
      </c>
      <c r="B3189" s="77">
        <f>+PT!A3191</f>
        <v>0</v>
      </c>
      <c r="C3189" s="77">
        <f t="shared" si="52"/>
        <v>3188</v>
      </c>
    </row>
    <row r="3190" spans="1:3" x14ac:dyDescent="0.2">
      <c r="A3190" s="78">
        <v>48846</v>
      </c>
      <c r="B3190" s="77">
        <f>+PT!A3192</f>
        <v>0</v>
      </c>
      <c r="C3190" s="77">
        <f t="shared" si="52"/>
        <v>3189</v>
      </c>
    </row>
    <row r="3191" spans="1:3" x14ac:dyDescent="0.2">
      <c r="A3191" s="78">
        <v>48847</v>
      </c>
      <c r="B3191" s="77">
        <f>+PT!A3193</f>
        <v>0</v>
      </c>
      <c r="C3191" s="77">
        <f t="shared" si="52"/>
        <v>3190</v>
      </c>
    </row>
    <row r="3192" spans="1:3" x14ac:dyDescent="0.2">
      <c r="A3192" s="78">
        <v>48848</v>
      </c>
      <c r="B3192" s="77">
        <f>+PT!A3194</f>
        <v>0</v>
      </c>
      <c r="C3192" s="77">
        <f t="shared" si="52"/>
        <v>3191</v>
      </c>
    </row>
    <row r="3193" spans="1:3" x14ac:dyDescent="0.2">
      <c r="A3193" s="78">
        <v>48849</v>
      </c>
      <c r="B3193" s="77">
        <f>+PT!A3195</f>
        <v>0</v>
      </c>
      <c r="C3193" s="77">
        <f t="shared" si="52"/>
        <v>3192</v>
      </c>
    </row>
    <row r="3194" spans="1:3" x14ac:dyDescent="0.2">
      <c r="A3194" s="78">
        <v>48850</v>
      </c>
      <c r="B3194" s="77">
        <f>+PT!A3196</f>
        <v>0</v>
      </c>
      <c r="C3194" s="77">
        <f t="shared" si="52"/>
        <v>3193</v>
      </c>
    </row>
    <row r="3195" spans="1:3" x14ac:dyDescent="0.2">
      <c r="A3195" s="78">
        <v>48851</v>
      </c>
      <c r="B3195" s="77">
        <f>+PT!A3197</f>
        <v>0</v>
      </c>
      <c r="C3195" s="77">
        <f t="shared" si="52"/>
        <v>3194</v>
      </c>
    </row>
    <row r="3196" spans="1:3" x14ac:dyDescent="0.2">
      <c r="A3196" s="78">
        <v>48852</v>
      </c>
      <c r="B3196" s="77">
        <f>+PT!A3198</f>
        <v>0</v>
      </c>
      <c r="C3196" s="77">
        <f t="shared" si="52"/>
        <v>3195</v>
      </c>
    </row>
    <row r="3197" spans="1:3" x14ac:dyDescent="0.2">
      <c r="A3197" s="78">
        <v>48853</v>
      </c>
      <c r="B3197" s="77">
        <f>+PT!A3199</f>
        <v>0</v>
      </c>
      <c r="C3197" s="77">
        <f t="shared" si="52"/>
        <v>3196</v>
      </c>
    </row>
    <row r="3198" spans="1:3" x14ac:dyDescent="0.2">
      <c r="A3198" s="78">
        <v>48854</v>
      </c>
      <c r="B3198" s="77">
        <f>+PT!A3200</f>
        <v>0</v>
      </c>
      <c r="C3198" s="77">
        <f t="shared" si="52"/>
        <v>3197</v>
      </c>
    </row>
    <row r="3199" spans="1:3" x14ac:dyDescent="0.2">
      <c r="A3199" s="78">
        <v>48855</v>
      </c>
      <c r="B3199" s="77">
        <f>+PT!A3201</f>
        <v>0</v>
      </c>
      <c r="C3199" s="77">
        <f t="shared" si="52"/>
        <v>3198</v>
      </c>
    </row>
    <row r="3200" spans="1:3" x14ac:dyDescent="0.2">
      <c r="A3200" s="78">
        <v>48856</v>
      </c>
      <c r="B3200" s="77">
        <f>+PT!A3202</f>
        <v>0</v>
      </c>
      <c r="C3200" s="77">
        <f t="shared" si="52"/>
        <v>3199</v>
      </c>
    </row>
    <row r="3201" spans="1:3" x14ac:dyDescent="0.2">
      <c r="A3201" s="78">
        <v>48857</v>
      </c>
      <c r="B3201" s="77">
        <f>+PT!A3203</f>
        <v>0</v>
      </c>
      <c r="C3201" s="77">
        <f t="shared" si="52"/>
        <v>3200</v>
      </c>
    </row>
    <row r="3202" spans="1:3" x14ac:dyDescent="0.2">
      <c r="A3202" s="78">
        <v>48858</v>
      </c>
      <c r="B3202" s="77">
        <f>+PT!A3204</f>
        <v>0</v>
      </c>
      <c r="C3202" s="77">
        <f t="shared" si="52"/>
        <v>3201</v>
      </c>
    </row>
    <row r="3203" spans="1:3" x14ac:dyDescent="0.2">
      <c r="A3203" s="78">
        <v>48859</v>
      </c>
      <c r="B3203" s="77">
        <f>+PT!A3205</f>
        <v>0</v>
      </c>
      <c r="C3203" s="77">
        <f t="shared" si="52"/>
        <v>3202</v>
      </c>
    </row>
    <row r="3204" spans="1:3" x14ac:dyDescent="0.2">
      <c r="A3204" s="78">
        <v>48860</v>
      </c>
      <c r="B3204" s="77">
        <f>+PT!A3206</f>
        <v>0</v>
      </c>
      <c r="C3204" s="77">
        <f t="shared" ref="C3204:C3267" si="53">+C3203+1</f>
        <v>3203</v>
      </c>
    </row>
    <row r="3205" spans="1:3" x14ac:dyDescent="0.2">
      <c r="A3205" s="78">
        <v>48861</v>
      </c>
      <c r="B3205" s="77">
        <f>+PT!A3207</f>
        <v>0</v>
      </c>
      <c r="C3205" s="77">
        <f t="shared" si="53"/>
        <v>3204</v>
      </c>
    </row>
    <row r="3206" spans="1:3" x14ac:dyDescent="0.2">
      <c r="A3206" s="78">
        <v>48862</v>
      </c>
      <c r="B3206" s="77">
        <f>+PT!A3208</f>
        <v>0</v>
      </c>
      <c r="C3206" s="77">
        <f t="shared" si="53"/>
        <v>3205</v>
      </c>
    </row>
    <row r="3207" spans="1:3" x14ac:dyDescent="0.2">
      <c r="A3207" s="78">
        <v>48863</v>
      </c>
      <c r="B3207" s="77">
        <f>+PT!A3209</f>
        <v>0</v>
      </c>
      <c r="C3207" s="77">
        <f t="shared" si="53"/>
        <v>3206</v>
      </c>
    </row>
    <row r="3208" spans="1:3" x14ac:dyDescent="0.2">
      <c r="A3208" s="78">
        <v>48864</v>
      </c>
      <c r="B3208" s="77">
        <f>+PT!A3210</f>
        <v>0</v>
      </c>
      <c r="C3208" s="77">
        <f t="shared" si="53"/>
        <v>3207</v>
      </c>
    </row>
    <row r="3209" spans="1:3" x14ac:dyDescent="0.2">
      <c r="A3209" s="78">
        <v>48865</v>
      </c>
      <c r="B3209" s="77">
        <f>+PT!A3211</f>
        <v>0</v>
      </c>
      <c r="C3209" s="77">
        <f t="shared" si="53"/>
        <v>3208</v>
      </c>
    </row>
    <row r="3210" spans="1:3" x14ac:dyDescent="0.2">
      <c r="A3210" s="78">
        <v>48866</v>
      </c>
      <c r="B3210" s="77">
        <f>+PT!A3212</f>
        <v>0</v>
      </c>
      <c r="C3210" s="77">
        <f t="shared" si="53"/>
        <v>3209</v>
      </c>
    </row>
    <row r="3211" spans="1:3" x14ac:dyDescent="0.2">
      <c r="A3211" s="78">
        <v>48867</v>
      </c>
      <c r="B3211" s="77">
        <f>+PT!A3213</f>
        <v>0</v>
      </c>
      <c r="C3211" s="77">
        <f t="shared" si="53"/>
        <v>3210</v>
      </c>
    </row>
    <row r="3212" spans="1:3" x14ac:dyDescent="0.2">
      <c r="A3212" s="78">
        <v>48868</v>
      </c>
      <c r="B3212" s="77">
        <f>+PT!A3214</f>
        <v>0</v>
      </c>
      <c r="C3212" s="77">
        <f t="shared" si="53"/>
        <v>3211</v>
      </c>
    </row>
    <row r="3213" spans="1:3" x14ac:dyDescent="0.2">
      <c r="A3213" s="78">
        <v>48869</v>
      </c>
      <c r="B3213" s="77">
        <f>+PT!A3215</f>
        <v>0</v>
      </c>
      <c r="C3213" s="77">
        <f t="shared" si="53"/>
        <v>3212</v>
      </c>
    </row>
    <row r="3214" spans="1:3" x14ac:dyDescent="0.2">
      <c r="A3214" s="78">
        <v>48870</v>
      </c>
      <c r="B3214" s="77">
        <f>+PT!A3216</f>
        <v>0</v>
      </c>
      <c r="C3214" s="77">
        <f t="shared" si="53"/>
        <v>3213</v>
      </c>
    </row>
    <row r="3215" spans="1:3" x14ac:dyDescent="0.2">
      <c r="A3215" s="78">
        <v>48871</v>
      </c>
      <c r="B3215" s="77">
        <f>+PT!A3217</f>
        <v>0</v>
      </c>
      <c r="C3215" s="77">
        <f t="shared" si="53"/>
        <v>3214</v>
      </c>
    </row>
    <row r="3216" spans="1:3" x14ac:dyDescent="0.2">
      <c r="A3216" s="78">
        <v>48872</v>
      </c>
      <c r="B3216" s="77">
        <f>+PT!A3218</f>
        <v>0</v>
      </c>
      <c r="C3216" s="77">
        <f t="shared" si="53"/>
        <v>3215</v>
      </c>
    </row>
    <row r="3217" spans="1:3" x14ac:dyDescent="0.2">
      <c r="A3217" s="78">
        <v>48873</v>
      </c>
      <c r="B3217" s="77">
        <f>+PT!A3219</f>
        <v>0</v>
      </c>
      <c r="C3217" s="77">
        <f t="shared" si="53"/>
        <v>3216</v>
      </c>
    </row>
    <row r="3218" spans="1:3" x14ac:dyDescent="0.2">
      <c r="A3218" s="78">
        <v>48874</v>
      </c>
      <c r="B3218" s="77">
        <f>+PT!A3220</f>
        <v>0</v>
      </c>
      <c r="C3218" s="77">
        <f t="shared" si="53"/>
        <v>3217</v>
      </c>
    </row>
    <row r="3219" spans="1:3" x14ac:dyDescent="0.2">
      <c r="A3219" s="78">
        <v>48875</v>
      </c>
      <c r="B3219" s="77">
        <f>+PT!A3221</f>
        <v>0</v>
      </c>
      <c r="C3219" s="77">
        <f t="shared" si="53"/>
        <v>3218</v>
      </c>
    </row>
    <row r="3220" spans="1:3" x14ac:dyDescent="0.2">
      <c r="A3220" s="78">
        <v>48876</v>
      </c>
      <c r="B3220" s="77">
        <f>+PT!A3222</f>
        <v>0</v>
      </c>
      <c r="C3220" s="77">
        <f t="shared" si="53"/>
        <v>3219</v>
      </c>
    </row>
    <row r="3221" spans="1:3" x14ac:dyDescent="0.2">
      <c r="A3221" s="78">
        <v>48877</v>
      </c>
      <c r="B3221" s="77">
        <f>+PT!A3223</f>
        <v>0</v>
      </c>
      <c r="C3221" s="77">
        <f t="shared" si="53"/>
        <v>3220</v>
      </c>
    </row>
    <row r="3222" spans="1:3" x14ac:dyDescent="0.2">
      <c r="A3222" s="78">
        <v>48878</v>
      </c>
      <c r="B3222" s="77">
        <f>+PT!A3224</f>
        <v>0</v>
      </c>
      <c r="C3222" s="77">
        <f t="shared" si="53"/>
        <v>3221</v>
      </c>
    </row>
    <row r="3223" spans="1:3" x14ac:dyDescent="0.2">
      <c r="A3223" s="78">
        <v>48879</v>
      </c>
      <c r="B3223" s="77">
        <f>+PT!A3225</f>
        <v>0</v>
      </c>
      <c r="C3223" s="77">
        <f t="shared" si="53"/>
        <v>3222</v>
      </c>
    </row>
    <row r="3224" spans="1:3" x14ac:dyDescent="0.2">
      <c r="A3224" s="78">
        <v>48880</v>
      </c>
      <c r="B3224" s="77">
        <f>+PT!A3226</f>
        <v>0</v>
      </c>
      <c r="C3224" s="77">
        <f t="shared" si="53"/>
        <v>3223</v>
      </c>
    </row>
    <row r="3225" spans="1:3" x14ac:dyDescent="0.2">
      <c r="A3225" s="78">
        <v>48881</v>
      </c>
      <c r="B3225" s="77">
        <f>+PT!A3227</f>
        <v>0</v>
      </c>
      <c r="C3225" s="77">
        <f t="shared" si="53"/>
        <v>3224</v>
      </c>
    </row>
    <row r="3226" spans="1:3" x14ac:dyDescent="0.2">
      <c r="A3226" s="78">
        <v>48882</v>
      </c>
      <c r="B3226" s="77">
        <f>+PT!A3228</f>
        <v>0</v>
      </c>
      <c r="C3226" s="77">
        <f t="shared" si="53"/>
        <v>3225</v>
      </c>
    </row>
    <row r="3227" spans="1:3" x14ac:dyDescent="0.2">
      <c r="A3227" s="78">
        <v>48883</v>
      </c>
      <c r="B3227" s="77">
        <f>+PT!A3229</f>
        <v>0</v>
      </c>
      <c r="C3227" s="77">
        <f t="shared" si="53"/>
        <v>3226</v>
      </c>
    </row>
    <row r="3228" spans="1:3" x14ac:dyDescent="0.2">
      <c r="A3228" s="78">
        <v>48884</v>
      </c>
      <c r="B3228" s="77">
        <f>+PT!A3230</f>
        <v>0</v>
      </c>
      <c r="C3228" s="77">
        <f t="shared" si="53"/>
        <v>3227</v>
      </c>
    </row>
    <row r="3229" spans="1:3" x14ac:dyDescent="0.2">
      <c r="A3229" s="78">
        <v>48885</v>
      </c>
      <c r="B3229" s="77">
        <f>+PT!A3231</f>
        <v>0</v>
      </c>
      <c r="C3229" s="77">
        <f t="shared" si="53"/>
        <v>3228</v>
      </c>
    </row>
    <row r="3230" spans="1:3" x14ac:dyDescent="0.2">
      <c r="A3230" s="78">
        <v>48886</v>
      </c>
      <c r="B3230" s="77">
        <f>+PT!A3232</f>
        <v>0</v>
      </c>
      <c r="C3230" s="77">
        <f t="shared" si="53"/>
        <v>3229</v>
      </c>
    </row>
    <row r="3231" spans="1:3" x14ac:dyDescent="0.2">
      <c r="A3231" s="78">
        <v>48887</v>
      </c>
      <c r="B3231" s="77">
        <f>+PT!A3233</f>
        <v>0</v>
      </c>
      <c r="C3231" s="77">
        <f t="shared" si="53"/>
        <v>3230</v>
      </c>
    </row>
    <row r="3232" spans="1:3" x14ac:dyDescent="0.2">
      <c r="A3232" s="78">
        <v>48888</v>
      </c>
      <c r="B3232" s="77">
        <f>+PT!A3234</f>
        <v>0</v>
      </c>
      <c r="C3232" s="77">
        <f t="shared" si="53"/>
        <v>3231</v>
      </c>
    </row>
    <row r="3233" spans="1:3" x14ac:dyDescent="0.2">
      <c r="A3233" s="78">
        <v>48889</v>
      </c>
      <c r="B3233" s="77">
        <f>+PT!A3235</f>
        <v>0</v>
      </c>
      <c r="C3233" s="77">
        <f t="shared" si="53"/>
        <v>3232</v>
      </c>
    </row>
    <row r="3234" spans="1:3" x14ac:dyDescent="0.2">
      <c r="A3234" s="78">
        <v>48890</v>
      </c>
      <c r="B3234" s="77">
        <f>+PT!A3236</f>
        <v>0</v>
      </c>
      <c r="C3234" s="77">
        <f t="shared" si="53"/>
        <v>3233</v>
      </c>
    </row>
    <row r="3235" spans="1:3" x14ac:dyDescent="0.2">
      <c r="A3235" s="78">
        <v>48891</v>
      </c>
      <c r="B3235" s="77">
        <f>+PT!A3237</f>
        <v>0</v>
      </c>
      <c r="C3235" s="77">
        <f t="shared" si="53"/>
        <v>3234</v>
      </c>
    </row>
    <row r="3236" spans="1:3" x14ac:dyDescent="0.2">
      <c r="A3236" s="78">
        <v>48892</v>
      </c>
      <c r="B3236" s="77">
        <f>+PT!A3238</f>
        <v>0</v>
      </c>
      <c r="C3236" s="77">
        <f t="shared" si="53"/>
        <v>3235</v>
      </c>
    </row>
    <row r="3237" spans="1:3" x14ac:dyDescent="0.2">
      <c r="A3237" s="78">
        <v>48893</v>
      </c>
      <c r="B3237" s="77">
        <f>+PT!A3239</f>
        <v>0</v>
      </c>
      <c r="C3237" s="77">
        <f t="shared" si="53"/>
        <v>3236</v>
      </c>
    </row>
    <row r="3238" spans="1:3" x14ac:dyDescent="0.2">
      <c r="A3238" s="78">
        <v>48894</v>
      </c>
      <c r="B3238" s="77">
        <f>+PT!A3240</f>
        <v>0</v>
      </c>
      <c r="C3238" s="77">
        <f t="shared" si="53"/>
        <v>3237</v>
      </c>
    </row>
    <row r="3239" spans="1:3" x14ac:dyDescent="0.2">
      <c r="A3239" s="78">
        <v>48895</v>
      </c>
      <c r="B3239" s="77">
        <f>+PT!A3241</f>
        <v>0</v>
      </c>
      <c r="C3239" s="77">
        <f t="shared" si="53"/>
        <v>3238</v>
      </c>
    </row>
    <row r="3240" spans="1:3" x14ac:dyDescent="0.2">
      <c r="A3240" s="78">
        <v>48896</v>
      </c>
      <c r="B3240" s="77">
        <f>+PT!A3242</f>
        <v>0</v>
      </c>
      <c r="C3240" s="77">
        <f t="shared" si="53"/>
        <v>3239</v>
      </c>
    </row>
    <row r="3241" spans="1:3" x14ac:dyDescent="0.2">
      <c r="A3241" s="78">
        <v>48897</v>
      </c>
      <c r="B3241" s="77">
        <f>+PT!A3243</f>
        <v>0</v>
      </c>
      <c r="C3241" s="77">
        <f t="shared" si="53"/>
        <v>3240</v>
      </c>
    </row>
    <row r="3242" spans="1:3" x14ac:dyDescent="0.2">
      <c r="A3242" s="78">
        <v>48898</v>
      </c>
      <c r="B3242" s="77">
        <f>+PT!A3244</f>
        <v>0</v>
      </c>
      <c r="C3242" s="77">
        <f t="shared" si="53"/>
        <v>3241</v>
      </c>
    </row>
    <row r="3243" spans="1:3" x14ac:dyDescent="0.2">
      <c r="A3243" s="78">
        <v>48899</v>
      </c>
      <c r="B3243" s="77">
        <f>+PT!A3245</f>
        <v>0</v>
      </c>
      <c r="C3243" s="77">
        <f t="shared" si="53"/>
        <v>3242</v>
      </c>
    </row>
    <row r="3244" spans="1:3" x14ac:dyDescent="0.2">
      <c r="A3244" s="78">
        <v>48900</v>
      </c>
      <c r="B3244" s="77">
        <f>+PT!A3246</f>
        <v>0</v>
      </c>
      <c r="C3244" s="77">
        <f t="shared" si="53"/>
        <v>3243</v>
      </c>
    </row>
    <row r="3245" spans="1:3" x14ac:dyDescent="0.2">
      <c r="A3245" s="78">
        <v>48901</v>
      </c>
      <c r="B3245" s="77">
        <f>+PT!A3247</f>
        <v>0</v>
      </c>
      <c r="C3245" s="77">
        <f t="shared" si="53"/>
        <v>3244</v>
      </c>
    </row>
    <row r="3246" spans="1:3" x14ac:dyDescent="0.2">
      <c r="A3246" s="78">
        <v>48902</v>
      </c>
      <c r="B3246" s="77">
        <f>+PT!A3248</f>
        <v>0</v>
      </c>
      <c r="C3246" s="77">
        <f t="shared" si="53"/>
        <v>3245</v>
      </c>
    </row>
    <row r="3247" spans="1:3" x14ac:dyDescent="0.2">
      <c r="A3247" s="78">
        <v>48903</v>
      </c>
      <c r="B3247" s="77">
        <f>+PT!A3249</f>
        <v>0</v>
      </c>
      <c r="C3247" s="77">
        <f t="shared" si="53"/>
        <v>3246</v>
      </c>
    </row>
    <row r="3248" spans="1:3" x14ac:dyDescent="0.2">
      <c r="A3248" s="78">
        <v>48904</v>
      </c>
      <c r="B3248" s="77">
        <f>+PT!A3250</f>
        <v>0</v>
      </c>
      <c r="C3248" s="77">
        <f t="shared" si="53"/>
        <v>3247</v>
      </c>
    </row>
    <row r="3249" spans="1:3" x14ac:dyDescent="0.2">
      <c r="A3249" s="78">
        <v>48905</v>
      </c>
      <c r="B3249" s="77">
        <f>+PT!A3251</f>
        <v>0</v>
      </c>
      <c r="C3249" s="77">
        <f t="shared" si="53"/>
        <v>3248</v>
      </c>
    </row>
    <row r="3250" spans="1:3" x14ac:dyDescent="0.2">
      <c r="A3250" s="78">
        <v>48906</v>
      </c>
      <c r="B3250" s="77">
        <f>+PT!A3252</f>
        <v>0</v>
      </c>
      <c r="C3250" s="77">
        <f t="shared" si="53"/>
        <v>3249</v>
      </c>
    </row>
    <row r="3251" spans="1:3" x14ac:dyDescent="0.2">
      <c r="A3251" s="78">
        <v>48907</v>
      </c>
      <c r="B3251" s="77">
        <f>+PT!A3253</f>
        <v>0</v>
      </c>
      <c r="C3251" s="77">
        <f t="shared" si="53"/>
        <v>3250</v>
      </c>
    </row>
    <row r="3252" spans="1:3" x14ac:dyDescent="0.2">
      <c r="A3252" s="78">
        <v>48908</v>
      </c>
      <c r="B3252" s="77">
        <f>+PT!A3254</f>
        <v>0</v>
      </c>
      <c r="C3252" s="77">
        <f t="shared" si="53"/>
        <v>3251</v>
      </c>
    </row>
    <row r="3253" spans="1:3" x14ac:dyDescent="0.2">
      <c r="A3253" s="78">
        <v>48909</v>
      </c>
      <c r="B3253" s="77">
        <f>+PT!A3255</f>
        <v>0</v>
      </c>
      <c r="C3253" s="77">
        <f t="shared" si="53"/>
        <v>3252</v>
      </c>
    </row>
    <row r="3254" spans="1:3" x14ac:dyDescent="0.2">
      <c r="A3254" s="78">
        <v>48910</v>
      </c>
      <c r="B3254" s="77">
        <f>+PT!A3256</f>
        <v>0</v>
      </c>
      <c r="C3254" s="77">
        <f t="shared" si="53"/>
        <v>3253</v>
      </c>
    </row>
    <row r="3255" spans="1:3" x14ac:dyDescent="0.2">
      <c r="A3255" s="78">
        <v>48911</v>
      </c>
      <c r="B3255" s="77">
        <f>+PT!A3257</f>
        <v>0</v>
      </c>
      <c r="C3255" s="77">
        <f t="shared" si="53"/>
        <v>3254</v>
      </c>
    </row>
    <row r="3256" spans="1:3" x14ac:dyDescent="0.2">
      <c r="A3256" s="78">
        <v>48912</v>
      </c>
      <c r="B3256" s="77">
        <f>+PT!A3258</f>
        <v>0</v>
      </c>
      <c r="C3256" s="77">
        <f t="shared" si="53"/>
        <v>3255</v>
      </c>
    </row>
    <row r="3257" spans="1:3" x14ac:dyDescent="0.2">
      <c r="A3257" s="78">
        <v>48913</v>
      </c>
      <c r="B3257" s="77">
        <f>+PT!A3259</f>
        <v>0</v>
      </c>
      <c r="C3257" s="77">
        <f t="shared" si="53"/>
        <v>3256</v>
      </c>
    </row>
    <row r="3258" spans="1:3" x14ac:dyDescent="0.2">
      <c r="A3258" s="78">
        <v>48914</v>
      </c>
      <c r="B3258" s="77">
        <f>+PT!A3260</f>
        <v>0</v>
      </c>
      <c r="C3258" s="77">
        <f t="shared" si="53"/>
        <v>3257</v>
      </c>
    </row>
    <row r="3259" spans="1:3" x14ac:dyDescent="0.2">
      <c r="A3259" s="78">
        <v>48915</v>
      </c>
      <c r="B3259" s="77">
        <f>+PT!A3261</f>
        <v>0</v>
      </c>
      <c r="C3259" s="77">
        <f t="shared" si="53"/>
        <v>3258</v>
      </c>
    </row>
    <row r="3260" spans="1:3" x14ac:dyDescent="0.2">
      <c r="A3260" s="78">
        <v>48916</v>
      </c>
      <c r="B3260" s="77">
        <f>+PT!A3262</f>
        <v>0</v>
      </c>
      <c r="C3260" s="77">
        <f t="shared" si="53"/>
        <v>3259</v>
      </c>
    </row>
    <row r="3261" spans="1:3" x14ac:dyDescent="0.2">
      <c r="A3261" s="78">
        <v>48917</v>
      </c>
      <c r="B3261" s="77">
        <f>+PT!A3263</f>
        <v>0</v>
      </c>
      <c r="C3261" s="77">
        <f t="shared" si="53"/>
        <v>3260</v>
      </c>
    </row>
    <row r="3262" spans="1:3" x14ac:dyDescent="0.2">
      <c r="A3262" s="78">
        <v>48918</v>
      </c>
      <c r="B3262" s="77">
        <f>+PT!A3264</f>
        <v>0</v>
      </c>
      <c r="C3262" s="77">
        <f t="shared" si="53"/>
        <v>3261</v>
      </c>
    </row>
    <row r="3263" spans="1:3" x14ac:dyDescent="0.2">
      <c r="A3263" s="78">
        <v>48919</v>
      </c>
      <c r="B3263" s="77">
        <f>+PT!A3265</f>
        <v>0</v>
      </c>
      <c r="C3263" s="77">
        <f t="shared" si="53"/>
        <v>3262</v>
      </c>
    </row>
    <row r="3264" spans="1:3" x14ac:dyDescent="0.2">
      <c r="A3264" s="78">
        <v>48920</v>
      </c>
      <c r="B3264" s="77">
        <f>+PT!A3266</f>
        <v>0</v>
      </c>
      <c r="C3264" s="77">
        <f t="shared" si="53"/>
        <v>3263</v>
      </c>
    </row>
    <row r="3265" spans="1:3" x14ac:dyDescent="0.2">
      <c r="A3265" s="78">
        <v>48921</v>
      </c>
      <c r="B3265" s="77">
        <f>+PT!A3267</f>
        <v>0</v>
      </c>
      <c r="C3265" s="77">
        <f t="shared" si="53"/>
        <v>3264</v>
      </c>
    </row>
    <row r="3266" spans="1:3" x14ac:dyDescent="0.2">
      <c r="A3266" s="78">
        <v>48922</v>
      </c>
      <c r="B3266" s="77">
        <f>+PT!A3268</f>
        <v>0</v>
      </c>
      <c r="C3266" s="77">
        <f t="shared" si="53"/>
        <v>3265</v>
      </c>
    </row>
    <row r="3267" spans="1:3" x14ac:dyDescent="0.2">
      <c r="A3267" s="78">
        <v>48923</v>
      </c>
      <c r="B3267" s="77">
        <f>+PT!A3269</f>
        <v>0</v>
      </c>
      <c r="C3267" s="77">
        <f t="shared" si="53"/>
        <v>3266</v>
      </c>
    </row>
    <row r="3268" spans="1:3" x14ac:dyDescent="0.2">
      <c r="A3268" s="78">
        <v>48924</v>
      </c>
      <c r="B3268" s="77">
        <f>+PT!A3270</f>
        <v>0</v>
      </c>
      <c r="C3268" s="77">
        <f t="shared" ref="C3268:C3331" si="54">+C3267+1</f>
        <v>3267</v>
      </c>
    </row>
    <row r="3269" spans="1:3" x14ac:dyDescent="0.2">
      <c r="A3269" s="78">
        <v>48925</v>
      </c>
      <c r="B3269" s="77">
        <f>+PT!A3271</f>
        <v>0</v>
      </c>
      <c r="C3269" s="77">
        <f t="shared" si="54"/>
        <v>3268</v>
      </c>
    </row>
    <row r="3270" spans="1:3" x14ac:dyDescent="0.2">
      <c r="A3270" s="78">
        <v>48926</v>
      </c>
      <c r="B3270" s="77">
        <f>+PT!A3272</f>
        <v>0</v>
      </c>
      <c r="C3270" s="77">
        <f t="shared" si="54"/>
        <v>3269</v>
      </c>
    </row>
    <row r="3271" spans="1:3" x14ac:dyDescent="0.2">
      <c r="A3271" s="78">
        <v>48927</v>
      </c>
      <c r="B3271" s="77">
        <f>+PT!A3273</f>
        <v>0</v>
      </c>
      <c r="C3271" s="77">
        <f t="shared" si="54"/>
        <v>3270</v>
      </c>
    </row>
    <row r="3272" spans="1:3" x14ac:dyDescent="0.2">
      <c r="A3272" s="78">
        <v>48928</v>
      </c>
      <c r="B3272" s="77">
        <f>+PT!A3274</f>
        <v>0</v>
      </c>
      <c r="C3272" s="77">
        <f t="shared" si="54"/>
        <v>3271</v>
      </c>
    </row>
    <row r="3273" spans="1:3" x14ac:dyDescent="0.2">
      <c r="A3273" s="78">
        <v>48929</v>
      </c>
      <c r="B3273" s="77">
        <f>+PT!A3275</f>
        <v>0</v>
      </c>
      <c r="C3273" s="77">
        <f t="shared" si="54"/>
        <v>3272</v>
      </c>
    </row>
    <row r="3274" spans="1:3" x14ac:dyDescent="0.2">
      <c r="A3274" s="78">
        <v>48930</v>
      </c>
      <c r="B3274" s="77">
        <f>+PT!A3276</f>
        <v>0</v>
      </c>
      <c r="C3274" s="77">
        <f t="shared" si="54"/>
        <v>3273</v>
      </c>
    </row>
    <row r="3275" spans="1:3" x14ac:dyDescent="0.2">
      <c r="A3275" s="78">
        <v>48931</v>
      </c>
      <c r="B3275" s="77">
        <f>+PT!A3277</f>
        <v>0</v>
      </c>
      <c r="C3275" s="77">
        <f t="shared" si="54"/>
        <v>3274</v>
      </c>
    </row>
    <row r="3276" spans="1:3" x14ac:dyDescent="0.2">
      <c r="A3276" s="78">
        <v>48932</v>
      </c>
      <c r="B3276" s="77">
        <f>+PT!A3278</f>
        <v>0</v>
      </c>
      <c r="C3276" s="77">
        <f t="shared" si="54"/>
        <v>3275</v>
      </c>
    </row>
    <row r="3277" spans="1:3" x14ac:dyDescent="0.2">
      <c r="A3277" s="78">
        <v>48933</v>
      </c>
      <c r="B3277" s="77">
        <f>+PT!A3279</f>
        <v>0</v>
      </c>
      <c r="C3277" s="77">
        <f t="shared" si="54"/>
        <v>3276</v>
      </c>
    </row>
    <row r="3278" spans="1:3" x14ac:dyDescent="0.2">
      <c r="A3278" s="78">
        <v>48934</v>
      </c>
      <c r="B3278" s="77">
        <f>+PT!A3280</f>
        <v>0</v>
      </c>
      <c r="C3278" s="77">
        <f t="shared" si="54"/>
        <v>3277</v>
      </c>
    </row>
    <row r="3279" spans="1:3" x14ac:dyDescent="0.2">
      <c r="A3279" s="78">
        <v>48935</v>
      </c>
      <c r="B3279" s="77">
        <f>+PT!A3281</f>
        <v>0</v>
      </c>
      <c r="C3279" s="77">
        <f t="shared" si="54"/>
        <v>3278</v>
      </c>
    </row>
    <row r="3280" spans="1:3" x14ac:dyDescent="0.2">
      <c r="A3280" s="78">
        <v>48936</v>
      </c>
      <c r="B3280" s="77">
        <f>+PT!A3282</f>
        <v>0</v>
      </c>
      <c r="C3280" s="77">
        <f t="shared" si="54"/>
        <v>3279</v>
      </c>
    </row>
    <row r="3281" spans="1:3" x14ac:dyDescent="0.2">
      <c r="A3281" s="78">
        <v>48937</v>
      </c>
      <c r="B3281" s="77">
        <f>+PT!A3283</f>
        <v>0</v>
      </c>
      <c r="C3281" s="77">
        <f t="shared" si="54"/>
        <v>3280</v>
      </c>
    </row>
    <row r="3282" spans="1:3" x14ac:dyDescent="0.2">
      <c r="A3282" s="78">
        <v>48938</v>
      </c>
      <c r="B3282" s="77">
        <f>+PT!A3284</f>
        <v>0</v>
      </c>
      <c r="C3282" s="77">
        <f t="shared" si="54"/>
        <v>3281</v>
      </c>
    </row>
    <row r="3283" spans="1:3" x14ac:dyDescent="0.2">
      <c r="A3283" s="78">
        <v>48939</v>
      </c>
      <c r="B3283" s="77">
        <f>+PT!A3285</f>
        <v>0</v>
      </c>
      <c r="C3283" s="77">
        <f t="shared" si="54"/>
        <v>3282</v>
      </c>
    </row>
    <row r="3284" spans="1:3" x14ac:dyDescent="0.2">
      <c r="A3284" s="78">
        <v>48940</v>
      </c>
      <c r="B3284" s="77">
        <f>+PT!A3286</f>
        <v>0</v>
      </c>
      <c r="C3284" s="77">
        <f t="shared" si="54"/>
        <v>3283</v>
      </c>
    </row>
    <row r="3285" spans="1:3" x14ac:dyDescent="0.2">
      <c r="A3285" s="78">
        <v>48941</v>
      </c>
      <c r="B3285" s="77">
        <f>+PT!A3287</f>
        <v>0</v>
      </c>
      <c r="C3285" s="77">
        <f t="shared" si="54"/>
        <v>3284</v>
      </c>
    </row>
    <row r="3286" spans="1:3" x14ac:dyDescent="0.2">
      <c r="A3286" s="78">
        <v>48942</v>
      </c>
      <c r="B3286" s="77">
        <f>+PT!A3288</f>
        <v>0</v>
      </c>
      <c r="C3286" s="77">
        <f t="shared" si="54"/>
        <v>3285</v>
      </c>
    </row>
    <row r="3287" spans="1:3" x14ac:dyDescent="0.2">
      <c r="A3287" s="78">
        <v>48943</v>
      </c>
      <c r="B3287" s="77">
        <f>+PT!A3289</f>
        <v>0</v>
      </c>
      <c r="C3287" s="77">
        <f t="shared" si="54"/>
        <v>3286</v>
      </c>
    </row>
    <row r="3288" spans="1:3" x14ac:dyDescent="0.2">
      <c r="A3288" s="78">
        <v>48944</v>
      </c>
      <c r="B3288" s="77">
        <f>+PT!A3290</f>
        <v>0</v>
      </c>
      <c r="C3288" s="77">
        <f t="shared" si="54"/>
        <v>3287</v>
      </c>
    </row>
    <row r="3289" spans="1:3" x14ac:dyDescent="0.2">
      <c r="A3289" s="78">
        <v>48945</v>
      </c>
      <c r="B3289" s="77">
        <f>+PT!A3291</f>
        <v>0</v>
      </c>
      <c r="C3289" s="77">
        <f t="shared" si="54"/>
        <v>3288</v>
      </c>
    </row>
    <row r="3290" spans="1:3" x14ac:dyDescent="0.2">
      <c r="A3290" s="78">
        <v>48946</v>
      </c>
      <c r="B3290" s="77">
        <f>+PT!A3292</f>
        <v>0</v>
      </c>
      <c r="C3290" s="77">
        <f t="shared" si="54"/>
        <v>3289</v>
      </c>
    </row>
    <row r="3291" spans="1:3" x14ac:dyDescent="0.2">
      <c r="A3291" s="78">
        <v>48947</v>
      </c>
      <c r="B3291" s="77">
        <f>+PT!A3293</f>
        <v>0</v>
      </c>
      <c r="C3291" s="77">
        <f t="shared" si="54"/>
        <v>3290</v>
      </c>
    </row>
    <row r="3292" spans="1:3" x14ac:dyDescent="0.2">
      <c r="A3292" s="78">
        <v>48948</v>
      </c>
      <c r="B3292" s="77">
        <f>+PT!A3294</f>
        <v>0</v>
      </c>
      <c r="C3292" s="77">
        <f t="shared" si="54"/>
        <v>3291</v>
      </c>
    </row>
    <row r="3293" spans="1:3" x14ac:dyDescent="0.2">
      <c r="A3293" s="78">
        <v>48949</v>
      </c>
      <c r="B3293" s="77">
        <f>+PT!A3295</f>
        <v>0</v>
      </c>
      <c r="C3293" s="77">
        <f t="shared" si="54"/>
        <v>3292</v>
      </c>
    </row>
    <row r="3294" spans="1:3" x14ac:dyDescent="0.2">
      <c r="A3294" s="78">
        <v>48950</v>
      </c>
      <c r="B3294" s="77">
        <f>+PT!A3296</f>
        <v>0</v>
      </c>
      <c r="C3294" s="77">
        <f t="shared" si="54"/>
        <v>3293</v>
      </c>
    </row>
    <row r="3295" spans="1:3" x14ac:dyDescent="0.2">
      <c r="A3295" s="78">
        <v>48951</v>
      </c>
      <c r="B3295" s="77">
        <f>+PT!A3297</f>
        <v>0</v>
      </c>
      <c r="C3295" s="77">
        <f t="shared" si="54"/>
        <v>3294</v>
      </c>
    </row>
    <row r="3296" spans="1:3" x14ac:dyDescent="0.2">
      <c r="A3296" s="78">
        <v>48952</v>
      </c>
      <c r="B3296" s="77">
        <f>+PT!A3298</f>
        <v>0</v>
      </c>
      <c r="C3296" s="77">
        <f t="shared" si="54"/>
        <v>3295</v>
      </c>
    </row>
    <row r="3297" spans="1:3" x14ac:dyDescent="0.2">
      <c r="A3297" s="78">
        <v>48953</v>
      </c>
      <c r="B3297" s="77">
        <f>+PT!A3299</f>
        <v>0</v>
      </c>
      <c r="C3297" s="77">
        <f t="shared" si="54"/>
        <v>3296</v>
      </c>
    </row>
    <row r="3298" spans="1:3" x14ac:dyDescent="0.2">
      <c r="A3298" s="78">
        <v>48954</v>
      </c>
      <c r="B3298" s="77">
        <f>+PT!A3300</f>
        <v>0</v>
      </c>
      <c r="C3298" s="77">
        <f t="shared" si="54"/>
        <v>3297</v>
      </c>
    </row>
    <row r="3299" spans="1:3" x14ac:dyDescent="0.2">
      <c r="A3299" s="78">
        <v>48955</v>
      </c>
      <c r="B3299" s="77">
        <f>+PT!A3301</f>
        <v>0</v>
      </c>
      <c r="C3299" s="77">
        <f t="shared" si="54"/>
        <v>3298</v>
      </c>
    </row>
    <row r="3300" spans="1:3" x14ac:dyDescent="0.2">
      <c r="A3300" s="78">
        <v>48956</v>
      </c>
      <c r="B3300" s="77">
        <f>+PT!A3302</f>
        <v>0</v>
      </c>
      <c r="C3300" s="77">
        <f t="shared" si="54"/>
        <v>3299</v>
      </c>
    </row>
    <row r="3301" spans="1:3" x14ac:dyDescent="0.2">
      <c r="A3301" s="78">
        <v>48957</v>
      </c>
      <c r="B3301" s="77">
        <f>+PT!A3303</f>
        <v>0</v>
      </c>
      <c r="C3301" s="77">
        <f t="shared" si="54"/>
        <v>3300</v>
      </c>
    </row>
    <row r="3302" spans="1:3" x14ac:dyDescent="0.2">
      <c r="A3302" s="78">
        <v>48958</v>
      </c>
      <c r="B3302" s="77">
        <f>+PT!A3304</f>
        <v>0</v>
      </c>
      <c r="C3302" s="77">
        <f t="shared" si="54"/>
        <v>3301</v>
      </c>
    </row>
    <row r="3303" spans="1:3" x14ac:dyDescent="0.2">
      <c r="A3303" s="78">
        <v>48959</v>
      </c>
      <c r="B3303" s="77">
        <f>+PT!A3305</f>
        <v>0</v>
      </c>
      <c r="C3303" s="77">
        <f t="shared" si="54"/>
        <v>3302</v>
      </c>
    </row>
    <row r="3304" spans="1:3" x14ac:dyDescent="0.2">
      <c r="A3304" s="78">
        <v>48960</v>
      </c>
      <c r="B3304" s="77">
        <f>+PT!A3306</f>
        <v>0</v>
      </c>
      <c r="C3304" s="77">
        <f t="shared" si="54"/>
        <v>3303</v>
      </c>
    </row>
    <row r="3305" spans="1:3" x14ac:dyDescent="0.2">
      <c r="A3305" s="78">
        <v>48961</v>
      </c>
      <c r="B3305" s="77">
        <f>+PT!A3307</f>
        <v>0</v>
      </c>
      <c r="C3305" s="77">
        <f t="shared" si="54"/>
        <v>3304</v>
      </c>
    </row>
    <row r="3306" spans="1:3" x14ac:dyDescent="0.2">
      <c r="A3306" s="78">
        <v>48962</v>
      </c>
      <c r="B3306" s="77">
        <f>+PT!A3308</f>
        <v>0</v>
      </c>
      <c r="C3306" s="77">
        <f t="shared" si="54"/>
        <v>3305</v>
      </c>
    </row>
    <row r="3307" spans="1:3" x14ac:dyDescent="0.2">
      <c r="A3307" s="78">
        <v>48963</v>
      </c>
      <c r="B3307" s="77">
        <f>+PT!A3309</f>
        <v>0</v>
      </c>
      <c r="C3307" s="77">
        <f t="shared" si="54"/>
        <v>3306</v>
      </c>
    </row>
    <row r="3308" spans="1:3" x14ac:dyDescent="0.2">
      <c r="A3308" s="78">
        <v>48964</v>
      </c>
      <c r="B3308" s="77">
        <f>+PT!A3310</f>
        <v>0</v>
      </c>
      <c r="C3308" s="77">
        <f t="shared" si="54"/>
        <v>3307</v>
      </c>
    </row>
    <row r="3309" spans="1:3" x14ac:dyDescent="0.2">
      <c r="A3309" s="78">
        <v>48965</v>
      </c>
      <c r="B3309" s="77">
        <f>+PT!A3311</f>
        <v>0</v>
      </c>
      <c r="C3309" s="77">
        <f t="shared" si="54"/>
        <v>3308</v>
      </c>
    </row>
    <row r="3310" spans="1:3" x14ac:dyDescent="0.2">
      <c r="A3310" s="78">
        <v>48966</v>
      </c>
      <c r="B3310" s="77">
        <f>+PT!A3312</f>
        <v>0</v>
      </c>
      <c r="C3310" s="77">
        <f t="shared" si="54"/>
        <v>3309</v>
      </c>
    </row>
    <row r="3311" spans="1:3" x14ac:dyDescent="0.2">
      <c r="A3311" s="78">
        <v>48967</v>
      </c>
      <c r="B3311" s="77">
        <f>+PT!A3313</f>
        <v>0</v>
      </c>
      <c r="C3311" s="77">
        <f t="shared" si="54"/>
        <v>3310</v>
      </c>
    </row>
    <row r="3312" spans="1:3" x14ac:dyDescent="0.2">
      <c r="A3312" s="78">
        <v>48968</v>
      </c>
      <c r="B3312" s="77">
        <f>+PT!A3314</f>
        <v>0</v>
      </c>
      <c r="C3312" s="77">
        <f t="shared" si="54"/>
        <v>3311</v>
      </c>
    </row>
    <row r="3313" spans="1:3" x14ac:dyDescent="0.2">
      <c r="A3313" s="78">
        <v>48969</v>
      </c>
      <c r="B3313" s="77">
        <f>+PT!A3315</f>
        <v>0</v>
      </c>
      <c r="C3313" s="77">
        <f t="shared" si="54"/>
        <v>3312</v>
      </c>
    </row>
    <row r="3314" spans="1:3" x14ac:dyDescent="0.2">
      <c r="A3314" s="78">
        <v>48970</v>
      </c>
      <c r="B3314" s="77">
        <f>+PT!A3316</f>
        <v>0</v>
      </c>
      <c r="C3314" s="77">
        <f t="shared" si="54"/>
        <v>3313</v>
      </c>
    </row>
    <row r="3315" spans="1:3" x14ac:dyDescent="0.2">
      <c r="A3315" s="78">
        <v>48971</v>
      </c>
      <c r="B3315" s="77">
        <f>+PT!A3317</f>
        <v>0</v>
      </c>
      <c r="C3315" s="77">
        <f t="shared" si="54"/>
        <v>3314</v>
      </c>
    </row>
    <row r="3316" spans="1:3" x14ac:dyDescent="0.2">
      <c r="A3316" s="78">
        <v>48972</v>
      </c>
      <c r="B3316" s="77">
        <f>+PT!A3318</f>
        <v>0</v>
      </c>
      <c r="C3316" s="77">
        <f t="shared" si="54"/>
        <v>3315</v>
      </c>
    </row>
    <row r="3317" spans="1:3" x14ac:dyDescent="0.2">
      <c r="A3317" s="78">
        <v>48973</v>
      </c>
      <c r="B3317" s="77">
        <f>+PT!A3319</f>
        <v>0</v>
      </c>
      <c r="C3317" s="77">
        <f t="shared" si="54"/>
        <v>3316</v>
      </c>
    </row>
    <row r="3318" spans="1:3" x14ac:dyDescent="0.2">
      <c r="A3318" s="78">
        <v>48974</v>
      </c>
      <c r="B3318" s="77">
        <f>+PT!A3320</f>
        <v>0</v>
      </c>
      <c r="C3318" s="77">
        <f t="shared" si="54"/>
        <v>3317</v>
      </c>
    </row>
    <row r="3319" spans="1:3" x14ac:dyDescent="0.2">
      <c r="A3319" s="78">
        <v>48975</v>
      </c>
      <c r="B3319" s="77">
        <f>+PT!A3321</f>
        <v>0</v>
      </c>
      <c r="C3319" s="77">
        <f t="shared" si="54"/>
        <v>3318</v>
      </c>
    </row>
    <row r="3320" spans="1:3" x14ac:dyDescent="0.2">
      <c r="A3320" s="78">
        <v>48976</v>
      </c>
      <c r="B3320" s="77">
        <f>+PT!A3322</f>
        <v>0</v>
      </c>
      <c r="C3320" s="77">
        <f t="shared" si="54"/>
        <v>3319</v>
      </c>
    </row>
    <row r="3321" spans="1:3" x14ac:dyDescent="0.2">
      <c r="A3321" s="78">
        <v>48977</v>
      </c>
      <c r="B3321" s="77">
        <f>+PT!A3323</f>
        <v>0</v>
      </c>
      <c r="C3321" s="77">
        <f t="shared" si="54"/>
        <v>3320</v>
      </c>
    </row>
    <row r="3322" spans="1:3" x14ac:dyDescent="0.2">
      <c r="A3322" s="78">
        <v>48978</v>
      </c>
      <c r="B3322" s="77">
        <f>+PT!A3324</f>
        <v>0</v>
      </c>
      <c r="C3322" s="77">
        <f t="shared" si="54"/>
        <v>3321</v>
      </c>
    </row>
    <row r="3323" spans="1:3" x14ac:dyDescent="0.2">
      <c r="A3323" s="78">
        <v>48979</v>
      </c>
      <c r="B3323" s="77">
        <f>+PT!A3325</f>
        <v>0</v>
      </c>
      <c r="C3323" s="77">
        <f t="shared" si="54"/>
        <v>3322</v>
      </c>
    </row>
    <row r="3324" spans="1:3" x14ac:dyDescent="0.2">
      <c r="A3324" s="78">
        <v>48980</v>
      </c>
      <c r="B3324" s="77">
        <f>+PT!A3326</f>
        <v>0</v>
      </c>
      <c r="C3324" s="77">
        <f t="shared" si="54"/>
        <v>3323</v>
      </c>
    </row>
    <row r="3325" spans="1:3" x14ac:dyDescent="0.2">
      <c r="A3325" s="78">
        <v>48981</v>
      </c>
      <c r="B3325" s="77">
        <f>+PT!A3327</f>
        <v>0</v>
      </c>
      <c r="C3325" s="77">
        <f t="shared" si="54"/>
        <v>3324</v>
      </c>
    </row>
    <row r="3326" spans="1:3" x14ac:dyDescent="0.2">
      <c r="A3326" s="78">
        <v>48982</v>
      </c>
      <c r="B3326" s="77">
        <f>+PT!A3328</f>
        <v>0</v>
      </c>
      <c r="C3326" s="77">
        <f t="shared" si="54"/>
        <v>3325</v>
      </c>
    </row>
    <row r="3327" spans="1:3" x14ac:dyDescent="0.2">
      <c r="A3327" s="78">
        <v>48983</v>
      </c>
      <c r="B3327" s="77">
        <f>+PT!A3329</f>
        <v>0</v>
      </c>
      <c r="C3327" s="77">
        <f t="shared" si="54"/>
        <v>3326</v>
      </c>
    </row>
    <row r="3328" spans="1:3" x14ac:dyDescent="0.2">
      <c r="A3328" s="78">
        <v>48984</v>
      </c>
      <c r="B3328" s="77">
        <f>+PT!A3330</f>
        <v>0</v>
      </c>
      <c r="C3328" s="77">
        <f t="shared" si="54"/>
        <v>3327</v>
      </c>
    </row>
    <row r="3329" spans="1:3" x14ac:dyDescent="0.2">
      <c r="A3329" s="78">
        <v>48985</v>
      </c>
      <c r="B3329" s="77">
        <f>+PT!A3331</f>
        <v>0</v>
      </c>
      <c r="C3329" s="77">
        <f t="shared" si="54"/>
        <v>3328</v>
      </c>
    </row>
    <row r="3330" spans="1:3" x14ac:dyDescent="0.2">
      <c r="A3330" s="78">
        <v>48986</v>
      </c>
      <c r="B3330" s="77">
        <f>+PT!A3332</f>
        <v>0</v>
      </c>
      <c r="C3330" s="77">
        <f t="shared" si="54"/>
        <v>3329</v>
      </c>
    </row>
    <row r="3331" spans="1:3" x14ac:dyDescent="0.2">
      <c r="A3331" s="78">
        <v>48987</v>
      </c>
      <c r="B3331" s="77">
        <f>+PT!A3333</f>
        <v>0</v>
      </c>
      <c r="C3331" s="77">
        <f t="shared" si="54"/>
        <v>3330</v>
      </c>
    </row>
    <row r="3332" spans="1:3" x14ac:dyDescent="0.2">
      <c r="A3332" s="78">
        <v>48988</v>
      </c>
      <c r="B3332" s="77">
        <f>+PT!A3334</f>
        <v>0</v>
      </c>
      <c r="C3332" s="77">
        <f t="shared" ref="C3332:C3395" si="55">+C3331+1</f>
        <v>3331</v>
      </c>
    </row>
    <row r="3333" spans="1:3" x14ac:dyDescent="0.2">
      <c r="A3333" s="78">
        <v>48989</v>
      </c>
      <c r="B3333" s="77">
        <f>+PT!A3335</f>
        <v>0</v>
      </c>
      <c r="C3333" s="77">
        <f t="shared" si="55"/>
        <v>3332</v>
      </c>
    </row>
    <row r="3334" spans="1:3" x14ac:dyDescent="0.2">
      <c r="A3334" s="78">
        <v>48990</v>
      </c>
      <c r="B3334" s="77">
        <f>+PT!A3336</f>
        <v>0</v>
      </c>
      <c r="C3334" s="77">
        <f t="shared" si="55"/>
        <v>3333</v>
      </c>
    </row>
    <row r="3335" spans="1:3" x14ac:dyDescent="0.2">
      <c r="A3335" s="78">
        <v>48991</v>
      </c>
      <c r="B3335" s="77">
        <f>+PT!A3337</f>
        <v>0</v>
      </c>
      <c r="C3335" s="77">
        <f t="shared" si="55"/>
        <v>3334</v>
      </c>
    </row>
    <row r="3336" spans="1:3" x14ac:dyDescent="0.2">
      <c r="A3336" s="78">
        <v>48992</v>
      </c>
      <c r="B3336" s="77">
        <f>+PT!A3338</f>
        <v>0</v>
      </c>
      <c r="C3336" s="77">
        <f t="shared" si="55"/>
        <v>3335</v>
      </c>
    </row>
    <row r="3337" spans="1:3" x14ac:dyDescent="0.2">
      <c r="A3337" s="78">
        <v>48993</v>
      </c>
      <c r="B3337" s="77">
        <f>+PT!A3339</f>
        <v>0</v>
      </c>
      <c r="C3337" s="77">
        <f t="shared" si="55"/>
        <v>3336</v>
      </c>
    </row>
    <row r="3338" spans="1:3" x14ac:dyDescent="0.2">
      <c r="A3338" s="78">
        <v>48994</v>
      </c>
      <c r="B3338" s="77">
        <f>+PT!A3340</f>
        <v>0</v>
      </c>
      <c r="C3338" s="77">
        <f t="shared" si="55"/>
        <v>3337</v>
      </c>
    </row>
    <row r="3339" spans="1:3" x14ac:dyDescent="0.2">
      <c r="A3339" s="78">
        <v>48995</v>
      </c>
      <c r="B3339" s="77">
        <f>+PT!A3341</f>
        <v>0</v>
      </c>
      <c r="C3339" s="77">
        <f t="shared" si="55"/>
        <v>3338</v>
      </c>
    </row>
    <row r="3340" spans="1:3" x14ac:dyDescent="0.2">
      <c r="A3340" s="78">
        <v>48996</v>
      </c>
      <c r="B3340" s="77">
        <f>+PT!A3342</f>
        <v>0</v>
      </c>
      <c r="C3340" s="77">
        <f t="shared" si="55"/>
        <v>3339</v>
      </c>
    </row>
    <row r="3341" spans="1:3" x14ac:dyDescent="0.2">
      <c r="A3341" s="78">
        <v>48997</v>
      </c>
      <c r="B3341" s="77">
        <f>+PT!A3343</f>
        <v>0</v>
      </c>
      <c r="C3341" s="77">
        <f t="shared" si="55"/>
        <v>3340</v>
      </c>
    </row>
    <row r="3342" spans="1:3" x14ac:dyDescent="0.2">
      <c r="A3342" s="78">
        <v>48998</v>
      </c>
      <c r="B3342" s="77">
        <f>+PT!A3344</f>
        <v>0</v>
      </c>
      <c r="C3342" s="77">
        <f t="shared" si="55"/>
        <v>3341</v>
      </c>
    </row>
    <row r="3343" spans="1:3" x14ac:dyDescent="0.2">
      <c r="A3343" s="78">
        <v>48999</v>
      </c>
      <c r="B3343" s="77">
        <f>+PT!A3345</f>
        <v>0</v>
      </c>
      <c r="C3343" s="77">
        <f t="shared" si="55"/>
        <v>3342</v>
      </c>
    </row>
    <row r="3344" spans="1:3" x14ac:dyDescent="0.2">
      <c r="A3344" s="78">
        <v>49000</v>
      </c>
      <c r="B3344" s="77">
        <f>+PT!A3346</f>
        <v>0</v>
      </c>
      <c r="C3344" s="77">
        <f t="shared" si="55"/>
        <v>3343</v>
      </c>
    </row>
    <row r="3345" spans="1:3" x14ac:dyDescent="0.2">
      <c r="A3345" s="78">
        <v>49001</v>
      </c>
      <c r="B3345" s="77">
        <f>+PT!A3347</f>
        <v>0</v>
      </c>
      <c r="C3345" s="77">
        <f t="shared" si="55"/>
        <v>3344</v>
      </c>
    </row>
    <row r="3346" spans="1:3" x14ac:dyDescent="0.2">
      <c r="A3346" s="78">
        <v>49002</v>
      </c>
      <c r="B3346" s="77">
        <f>+PT!A3348</f>
        <v>0</v>
      </c>
      <c r="C3346" s="77">
        <f t="shared" si="55"/>
        <v>3345</v>
      </c>
    </row>
    <row r="3347" spans="1:3" x14ac:dyDescent="0.2">
      <c r="A3347" s="78">
        <v>49003</v>
      </c>
      <c r="B3347" s="77">
        <f>+PT!A3349</f>
        <v>0</v>
      </c>
      <c r="C3347" s="77">
        <f t="shared" si="55"/>
        <v>3346</v>
      </c>
    </row>
    <row r="3348" spans="1:3" x14ac:dyDescent="0.2">
      <c r="A3348" s="78">
        <v>49004</v>
      </c>
      <c r="B3348" s="77">
        <f>+PT!A3350</f>
        <v>0</v>
      </c>
      <c r="C3348" s="77">
        <f t="shared" si="55"/>
        <v>3347</v>
      </c>
    </row>
    <row r="3349" spans="1:3" x14ac:dyDescent="0.2">
      <c r="A3349" s="78">
        <v>49005</v>
      </c>
      <c r="B3349" s="77">
        <f>+PT!A3351</f>
        <v>0</v>
      </c>
      <c r="C3349" s="77">
        <f t="shared" si="55"/>
        <v>3348</v>
      </c>
    </row>
    <row r="3350" spans="1:3" x14ac:dyDescent="0.2">
      <c r="A3350" s="78">
        <v>49006</v>
      </c>
      <c r="B3350" s="77">
        <f>+PT!A3352</f>
        <v>0</v>
      </c>
      <c r="C3350" s="77">
        <f t="shared" si="55"/>
        <v>3349</v>
      </c>
    </row>
    <row r="3351" spans="1:3" x14ac:dyDescent="0.2">
      <c r="A3351" s="78">
        <v>49007</v>
      </c>
      <c r="B3351" s="77">
        <f>+PT!A3353</f>
        <v>0</v>
      </c>
      <c r="C3351" s="77">
        <f t="shared" si="55"/>
        <v>3350</v>
      </c>
    </row>
    <row r="3352" spans="1:3" x14ac:dyDescent="0.2">
      <c r="A3352" s="78">
        <v>49008</v>
      </c>
      <c r="B3352" s="77">
        <f>+PT!A3354</f>
        <v>0</v>
      </c>
      <c r="C3352" s="77">
        <f t="shared" si="55"/>
        <v>3351</v>
      </c>
    </row>
    <row r="3353" spans="1:3" x14ac:dyDescent="0.2">
      <c r="A3353" s="78">
        <v>49009</v>
      </c>
      <c r="B3353" s="77">
        <f>+PT!A3355</f>
        <v>0</v>
      </c>
      <c r="C3353" s="77">
        <f t="shared" si="55"/>
        <v>3352</v>
      </c>
    </row>
    <row r="3354" spans="1:3" x14ac:dyDescent="0.2">
      <c r="A3354" s="78">
        <v>49010</v>
      </c>
      <c r="B3354" s="77">
        <f>+PT!A3356</f>
        <v>0</v>
      </c>
      <c r="C3354" s="77">
        <f t="shared" si="55"/>
        <v>3353</v>
      </c>
    </row>
    <row r="3355" spans="1:3" x14ac:dyDescent="0.2">
      <c r="A3355" s="78">
        <v>49011</v>
      </c>
      <c r="B3355" s="77">
        <f>+PT!A3357</f>
        <v>0</v>
      </c>
      <c r="C3355" s="77">
        <f t="shared" si="55"/>
        <v>3354</v>
      </c>
    </row>
    <row r="3356" spans="1:3" x14ac:dyDescent="0.2">
      <c r="A3356" s="78">
        <v>49012</v>
      </c>
      <c r="B3356" s="77">
        <f>+PT!A3358</f>
        <v>0</v>
      </c>
      <c r="C3356" s="77">
        <f t="shared" si="55"/>
        <v>3355</v>
      </c>
    </row>
    <row r="3357" spans="1:3" x14ac:dyDescent="0.2">
      <c r="A3357" s="78">
        <v>49013</v>
      </c>
      <c r="B3357" s="77">
        <f>+PT!A3359</f>
        <v>0</v>
      </c>
      <c r="C3357" s="77">
        <f t="shared" si="55"/>
        <v>3356</v>
      </c>
    </row>
    <row r="3358" spans="1:3" x14ac:dyDescent="0.2">
      <c r="A3358" s="78">
        <v>49014</v>
      </c>
      <c r="B3358" s="77">
        <f>+PT!A3360</f>
        <v>0</v>
      </c>
      <c r="C3358" s="77">
        <f t="shared" si="55"/>
        <v>3357</v>
      </c>
    </row>
    <row r="3359" spans="1:3" x14ac:dyDescent="0.2">
      <c r="A3359" s="78">
        <v>49015</v>
      </c>
      <c r="B3359" s="77">
        <f>+PT!A3361</f>
        <v>0</v>
      </c>
      <c r="C3359" s="77">
        <f t="shared" si="55"/>
        <v>3358</v>
      </c>
    </row>
    <row r="3360" spans="1:3" x14ac:dyDescent="0.2">
      <c r="A3360" s="78">
        <v>49016</v>
      </c>
      <c r="B3360" s="77">
        <f>+PT!A3362</f>
        <v>0</v>
      </c>
      <c r="C3360" s="77">
        <f t="shared" si="55"/>
        <v>3359</v>
      </c>
    </row>
    <row r="3361" spans="1:3" x14ac:dyDescent="0.2">
      <c r="A3361" s="78">
        <v>49017</v>
      </c>
      <c r="B3361" s="77">
        <f>+PT!A3363</f>
        <v>0</v>
      </c>
      <c r="C3361" s="77">
        <f t="shared" si="55"/>
        <v>3360</v>
      </c>
    </row>
    <row r="3362" spans="1:3" x14ac:dyDescent="0.2">
      <c r="A3362" s="78">
        <v>49018</v>
      </c>
      <c r="B3362" s="77">
        <f>+PT!A3364</f>
        <v>0</v>
      </c>
      <c r="C3362" s="77">
        <f t="shared" si="55"/>
        <v>3361</v>
      </c>
    </row>
    <row r="3363" spans="1:3" x14ac:dyDescent="0.2">
      <c r="A3363" s="78">
        <v>49019</v>
      </c>
      <c r="B3363" s="77">
        <f>+PT!A3365</f>
        <v>0</v>
      </c>
      <c r="C3363" s="77">
        <f t="shared" si="55"/>
        <v>3362</v>
      </c>
    </row>
    <row r="3364" spans="1:3" x14ac:dyDescent="0.2">
      <c r="A3364" s="78">
        <v>49020</v>
      </c>
      <c r="B3364" s="77">
        <f>+PT!A3366</f>
        <v>0</v>
      </c>
      <c r="C3364" s="77">
        <f t="shared" si="55"/>
        <v>3363</v>
      </c>
    </row>
    <row r="3365" spans="1:3" x14ac:dyDescent="0.2">
      <c r="A3365" s="78">
        <v>49021</v>
      </c>
      <c r="B3365" s="77">
        <f>+PT!A3367</f>
        <v>0</v>
      </c>
      <c r="C3365" s="77">
        <f t="shared" si="55"/>
        <v>3364</v>
      </c>
    </row>
    <row r="3366" spans="1:3" x14ac:dyDescent="0.2">
      <c r="A3366" s="78">
        <v>49022</v>
      </c>
      <c r="B3366" s="77">
        <f>+PT!A3368</f>
        <v>0</v>
      </c>
      <c r="C3366" s="77">
        <f t="shared" si="55"/>
        <v>3365</v>
      </c>
    </row>
    <row r="3367" spans="1:3" x14ac:dyDescent="0.2">
      <c r="A3367" s="78">
        <v>49023</v>
      </c>
      <c r="B3367" s="77">
        <f>+PT!A3369</f>
        <v>0</v>
      </c>
      <c r="C3367" s="77">
        <f t="shared" si="55"/>
        <v>3366</v>
      </c>
    </row>
    <row r="3368" spans="1:3" x14ac:dyDescent="0.2">
      <c r="A3368" s="78">
        <v>49024</v>
      </c>
      <c r="B3368" s="77">
        <f>+PT!A3370</f>
        <v>0</v>
      </c>
      <c r="C3368" s="77">
        <f t="shared" si="55"/>
        <v>3367</v>
      </c>
    </row>
    <row r="3369" spans="1:3" x14ac:dyDescent="0.2">
      <c r="A3369" s="78">
        <v>49025</v>
      </c>
      <c r="B3369" s="77">
        <f>+PT!A3371</f>
        <v>0</v>
      </c>
      <c r="C3369" s="77">
        <f t="shared" si="55"/>
        <v>3368</v>
      </c>
    </row>
    <row r="3370" spans="1:3" x14ac:dyDescent="0.2">
      <c r="A3370" s="78">
        <v>49026</v>
      </c>
      <c r="B3370" s="77">
        <f>+PT!A3372</f>
        <v>0</v>
      </c>
      <c r="C3370" s="77">
        <f t="shared" si="55"/>
        <v>3369</v>
      </c>
    </row>
    <row r="3371" spans="1:3" x14ac:dyDescent="0.2">
      <c r="A3371" s="78">
        <v>49027</v>
      </c>
      <c r="B3371" s="77">
        <f>+PT!A3373</f>
        <v>0</v>
      </c>
      <c r="C3371" s="77">
        <f t="shared" si="55"/>
        <v>3370</v>
      </c>
    </row>
    <row r="3372" spans="1:3" x14ac:dyDescent="0.2">
      <c r="A3372" s="78">
        <v>49028</v>
      </c>
      <c r="B3372" s="77">
        <f>+PT!A3374</f>
        <v>0</v>
      </c>
      <c r="C3372" s="77">
        <f t="shared" si="55"/>
        <v>3371</v>
      </c>
    </row>
    <row r="3373" spans="1:3" x14ac:dyDescent="0.2">
      <c r="A3373" s="78">
        <v>49029</v>
      </c>
      <c r="B3373" s="77">
        <f>+PT!A3375</f>
        <v>0</v>
      </c>
      <c r="C3373" s="77">
        <f t="shared" si="55"/>
        <v>3372</v>
      </c>
    </row>
    <row r="3374" spans="1:3" x14ac:dyDescent="0.2">
      <c r="A3374" s="78">
        <v>49030</v>
      </c>
      <c r="B3374" s="77">
        <f>+PT!A3376</f>
        <v>0</v>
      </c>
      <c r="C3374" s="77">
        <f t="shared" si="55"/>
        <v>3373</v>
      </c>
    </row>
    <row r="3375" spans="1:3" x14ac:dyDescent="0.2">
      <c r="A3375" s="78">
        <v>49031</v>
      </c>
      <c r="B3375" s="77">
        <f>+PT!A3377</f>
        <v>0</v>
      </c>
      <c r="C3375" s="77">
        <f t="shared" si="55"/>
        <v>3374</v>
      </c>
    </row>
    <row r="3376" spans="1:3" x14ac:dyDescent="0.2">
      <c r="A3376" s="78">
        <v>49032</v>
      </c>
      <c r="B3376" s="77">
        <f>+PT!A3378</f>
        <v>0</v>
      </c>
      <c r="C3376" s="77">
        <f t="shared" si="55"/>
        <v>3375</v>
      </c>
    </row>
    <row r="3377" spans="1:3" x14ac:dyDescent="0.2">
      <c r="A3377" s="78">
        <v>49033</v>
      </c>
      <c r="B3377" s="77">
        <f>+PT!A3379</f>
        <v>0</v>
      </c>
      <c r="C3377" s="77">
        <f t="shared" si="55"/>
        <v>3376</v>
      </c>
    </row>
    <row r="3378" spans="1:3" x14ac:dyDescent="0.2">
      <c r="A3378" s="78">
        <v>49034</v>
      </c>
      <c r="B3378" s="77">
        <f>+PT!A3380</f>
        <v>0</v>
      </c>
      <c r="C3378" s="77">
        <f t="shared" si="55"/>
        <v>3377</v>
      </c>
    </row>
    <row r="3379" spans="1:3" x14ac:dyDescent="0.2">
      <c r="A3379" s="78">
        <v>49035</v>
      </c>
      <c r="B3379" s="77">
        <f>+PT!A3381</f>
        <v>0</v>
      </c>
      <c r="C3379" s="77">
        <f t="shared" si="55"/>
        <v>3378</v>
      </c>
    </row>
    <row r="3380" spans="1:3" x14ac:dyDescent="0.2">
      <c r="A3380" s="78">
        <v>49036</v>
      </c>
      <c r="B3380" s="77">
        <f>+PT!A3382</f>
        <v>0</v>
      </c>
      <c r="C3380" s="77">
        <f t="shared" si="55"/>
        <v>3379</v>
      </c>
    </row>
    <row r="3381" spans="1:3" x14ac:dyDescent="0.2">
      <c r="A3381" s="78">
        <v>49037</v>
      </c>
      <c r="B3381" s="77">
        <f>+PT!A3383</f>
        <v>0</v>
      </c>
      <c r="C3381" s="77">
        <f t="shared" si="55"/>
        <v>3380</v>
      </c>
    </row>
    <row r="3382" spans="1:3" x14ac:dyDescent="0.2">
      <c r="A3382" s="78">
        <v>49038</v>
      </c>
      <c r="B3382" s="77">
        <f>+PT!A3384</f>
        <v>0</v>
      </c>
      <c r="C3382" s="77">
        <f t="shared" si="55"/>
        <v>3381</v>
      </c>
    </row>
    <row r="3383" spans="1:3" x14ac:dyDescent="0.2">
      <c r="A3383" s="78">
        <v>49039</v>
      </c>
      <c r="B3383" s="77">
        <f>+PT!A3385</f>
        <v>0</v>
      </c>
      <c r="C3383" s="77">
        <f t="shared" si="55"/>
        <v>3382</v>
      </c>
    </row>
    <row r="3384" spans="1:3" x14ac:dyDescent="0.2">
      <c r="A3384" s="78">
        <v>49040</v>
      </c>
      <c r="B3384" s="77">
        <f>+PT!A3386</f>
        <v>0</v>
      </c>
      <c r="C3384" s="77">
        <f t="shared" si="55"/>
        <v>3383</v>
      </c>
    </row>
    <row r="3385" spans="1:3" x14ac:dyDescent="0.2">
      <c r="A3385" s="78">
        <v>49041</v>
      </c>
      <c r="B3385" s="77">
        <f>+PT!A3387</f>
        <v>0</v>
      </c>
      <c r="C3385" s="77">
        <f t="shared" si="55"/>
        <v>3384</v>
      </c>
    </row>
    <row r="3386" spans="1:3" x14ac:dyDescent="0.2">
      <c r="A3386" s="78">
        <v>49042</v>
      </c>
      <c r="B3386" s="77">
        <f>+PT!A3388</f>
        <v>0</v>
      </c>
      <c r="C3386" s="77">
        <f t="shared" si="55"/>
        <v>3385</v>
      </c>
    </row>
    <row r="3387" spans="1:3" x14ac:dyDescent="0.2">
      <c r="A3387" s="78">
        <v>49043</v>
      </c>
      <c r="B3387" s="77">
        <f>+PT!A3389</f>
        <v>0</v>
      </c>
      <c r="C3387" s="77">
        <f t="shared" si="55"/>
        <v>3386</v>
      </c>
    </row>
    <row r="3388" spans="1:3" x14ac:dyDescent="0.2">
      <c r="A3388" s="78">
        <v>49044</v>
      </c>
      <c r="B3388" s="77">
        <f>+PT!A3390</f>
        <v>0</v>
      </c>
      <c r="C3388" s="77">
        <f t="shared" si="55"/>
        <v>3387</v>
      </c>
    </row>
    <row r="3389" spans="1:3" x14ac:dyDescent="0.2">
      <c r="A3389" s="78">
        <v>49045</v>
      </c>
      <c r="B3389" s="77">
        <f>+PT!A3391</f>
        <v>0</v>
      </c>
      <c r="C3389" s="77">
        <f t="shared" si="55"/>
        <v>3388</v>
      </c>
    </row>
    <row r="3390" spans="1:3" x14ac:dyDescent="0.2">
      <c r="A3390" s="78">
        <v>49046</v>
      </c>
      <c r="B3390" s="77">
        <f>+PT!A3392</f>
        <v>0</v>
      </c>
      <c r="C3390" s="77">
        <f t="shared" si="55"/>
        <v>3389</v>
      </c>
    </row>
    <row r="3391" spans="1:3" x14ac:dyDescent="0.2">
      <c r="A3391" s="78">
        <v>49047</v>
      </c>
      <c r="B3391" s="77">
        <f>+PT!A3393</f>
        <v>0</v>
      </c>
      <c r="C3391" s="77">
        <f t="shared" si="55"/>
        <v>3390</v>
      </c>
    </row>
    <row r="3392" spans="1:3" x14ac:dyDescent="0.2">
      <c r="A3392" s="78">
        <v>49048</v>
      </c>
      <c r="B3392" s="77">
        <f>+PT!A3394</f>
        <v>0</v>
      </c>
      <c r="C3392" s="77">
        <f t="shared" si="55"/>
        <v>3391</v>
      </c>
    </row>
    <row r="3393" spans="1:3" x14ac:dyDescent="0.2">
      <c r="A3393" s="78">
        <v>49049</v>
      </c>
      <c r="B3393" s="77">
        <f>+PT!A3395</f>
        <v>0</v>
      </c>
      <c r="C3393" s="77">
        <f t="shared" si="55"/>
        <v>3392</v>
      </c>
    </row>
    <row r="3394" spans="1:3" x14ac:dyDescent="0.2">
      <c r="A3394" s="78">
        <v>49050</v>
      </c>
      <c r="B3394" s="77">
        <f>+PT!A3396</f>
        <v>0</v>
      </c>
      <c r="C3394" s="77">
        <f t="shared" si="55"/>
        <v>3393</v>
      </c>
    </row>
    <row r="3395" spans="1:3" x14ac:dyDescent="0.2">
      <c r="A3395" s="78">
        <v>49051</v>
      </c>
      <c r="B3395" s="77">
        <f>+PT!A3397</f>
        <v>0</v>
      </c>
      <c r="C3395" s="77">
        <f t="shared" si="55"/>
        <v>3394</v>
      </c>
    </row>
    <row r="3396" spans="1:3" x14ac:dyDescent="0.2">
      <c r="A3396" s="78">
        <v>49052</v>
      </c>
      <c r="B3396" s="77">
        <f>+PT!A3398</f>
        <v>0</v>
      </c>
      <c r="C3396" s="77">
        <f t="shared" ref="C3396:C3459" si="56">+C3395+1</f>
        <v>3395</v>
      </c>
    </row>
    <row r="3397" spans="1:3" x14ac:dyDescent="0.2">
      <c r="A3397" s="78">
        <v>49053</v>
      </c>
      <c r="B3397" s="77">
        <f>+PT!A3399</f>
        <v>0</v>
      </c>
      <c r="C3397" s="77">
        <f t="shared" si="56"/>
        <v>3396</v>
      </c>
    </row>
    <row r="3398" spans="1:3" x14ac:dyDescent="0.2">
      <c r="A3398" s="78">
        <v>49054</v>
      </c>
      <c r="B3398" s="77">
        <f>+PT!A3400</f>
        <v>0</v>
      </c>
      <c r="C3398" s="77">
        <f t="shared" si="56"/>
        <v>3397</v>
      </c>
    </row>
    <row r="3399" spans="1:3" x14ac:dyDescent="0.2">
      <c r="A3399" s="78">
        <v>49055</v>
      </c>
      <c r="B3399" s="77">
        <f>+PT!A3401</f>
        <v>0</v>
      </c>
      <c r="C3399" s="77">
        <f t="shared" si="56"/>
        <v>3398</v>
      </c>
    </row>
    <row r="3400" spans="1:3" x14ac:dyDescent="0.2">
      <c r="A3400" s="78">
        <v>49056</v>
      </c>
      <c r="B3400" s="77">
        <f>+PT!A3402</f>
        <v>0</v>
      </c>
      <c r="C3400" s="77">
        <f t="shared" si="56"/>
        <v>3399</v>
      </c>
    </row>
    <row r="3401" spans="1:3" x14ac:dyDescent="0.2">
      <c r="A3401" s="78">
        <v>49057</v>
      </c>
      <c r="B3401" s="77">
        <f>+PT!A3403</f>
        <v>0</v>
      </c>
      <c r="C3401" s="77">
        <f t="shared" si="56"/>
        <v>3400</v>
      </c>
    </row>
    <row r="3402" spans="1:3" x14ac:dyDescent="0.2">
      <c r="A3402" s="78">
        <v>49058</v>
      </c>
      <c r="B3402" s="77">
        <f>+PT!A3404</f>
        <v>0</v>
      </c>
      <c r="C3402" s="77">
        <f t="shared" si="56"/>
        <v>3401</v>
      </c>
    </row>
    <row r="3403" spans="1:3" x14ac:dyDescent="0.2">
      <c r="A3403" s="78">
        <v>49059</v>
      </c>
      <c r="B3403" s="77">
        <f>+PT!A3405</f>
        <v>0</v>
      </c>
      <c r="C3403" s="77">
        <f t="shared" si="56"/>
        <v>3402</v>
      </c>
    </row>
    <row r="3404" spans="1:3" x14ac:dyDescent="0.2">
      <c r="A3404" s="78">
        <v>49060</v>
      </c>
      <c r="B3404" s="77">
        <f>+PT!A3406</f>
        <v>0</v>
      </c>
      <c r="C3404" s="77">
        <f t="shared" si="56"/>
        <v>3403</v>
      </c>
    </row>
    <row r="3405" spans="1:3" x14ac:dyDescent="0.2">
      <c r="A3405" s="78">
        <v>49061</v>
      </c>
      <c r="B3405" s="77">
        <f>+PT!A3407</f>
        <v>0</v>
      </c>
      <c r="C3405" s="77">
        <f t="shared" si="56"/>
        <v>3404</v>
      </c>
    </row>
    <row r="3406" spans="1:3" x14ac:dyDescent="0.2">
      <c r="A3406" s="78">
        <v>49062</v>
      </c>
      <c r="B3406" s="77">
        <f>+PT!A3408</f>
        <v>0</v>
      </c>
      <c r="C3406" s="77">
        <f t="shared" si="56"/>
        <v>3405</v>
      </c>
    </row>
    <row r="3407" spans="1:3" x14ac:dyDescent="0.2">
      <c r="A3407" s="78">
        <v>49063</v>
      </c>
      <c r="B3407" s="77">
        <f>+PT!A3409</f>
        <v>0</v>
      </c>
      <c r="C3407" s="77">
        <f t="shared" si="56"/>
        <v>3406</v>
      </c>
    </row>
    <row r="3408" spans="1:3" x14ac:dyDescent="0.2">
      <c r="A3408" s="78">
        <v>49064</v>
      </c>
      <c r="B3408" s="77">
        <f>+PT!A3410</f>
        <v>0</v>
      </c>
      <c r="C3408" s="77">
        <f t="shared" si="56"/>
        <v>3407</v>
      </c>
    </row>
    <row r="3409" spans="1:3" x14ac:dyDescent="0.2">
      <c r="A3409" s="78">
        <v>49065</v>
      </c>
      <c r="B3409" s="77">
        <f>+PT!A3411</f>
        <v>0</v>
      </c>
      <c r="C3409" s="77">
        <f t="shared" si="56"/>
        <v>3408</v>
      </c>
    </row>
    <row r="3410" spans="1:3" x14ac:dyDescent="0.2">
      <c r="A3410" s="78">
        <v>49066</v>
      </c>
      <c r="B3410" s="77">
        <f>+PT!A3412</f>
        <v>0</v>
      </c>
      <c r="C3410" s="77">
        <f t="shared" si="56"/>
        <v>3409</v>
      </c>
    </row>
    <row r="3411" spans="1:3" x14ac:dyDescent="0.2">
      <c r="A3411" s="78">
        <v>49067</v>
      </c>
      <c r="B3411" s="77">
        <f>+PT!A3413</f>
        <v>0</v>
      </c>
      <c r="C3411" s="77">
        <f t="shared" si="56"/>
        <v>3410</v>
      </c>
    </row>
    <row r="3412" spans="1:3" x14ac:dyDescent="0.2">
      <c r="A3412" s="78">
        <v>49068</v>
      </c>
      <c r="B3412" s="77">
        <f>+PT!A3414</f>
        <v>0</v>
      </c>
      <c r="C3412" s="77">
        <f t="shared" si="56"/>
        <v>3411</v>
      </c>
    </row>
    <row r="3413" spans="1:3" x14ac:dyDescent="0.2">
      <c r="A3413" s="78">
        <v>49069</v>
      </c>
      <c r="B3413" s="77">
        <f>+PT!A3415</f>
        <v>0</v>
      </c>
      <c r="C3413" s="77">
        <f t="shared" si="56"/>
        <v>3412</v>
      </c>
    </row>
    <row r="3414" spans="1:3" x14ac:dyDescent="0.2">
      <c r="A3414" s="78">
        <v>49070</v>
      </c>
      <c r="B3414" s="77">
        <f>+PT!A3416</f>
        <v>0</v>
      </c>
      <c r="C3414" s="77">
        <f t="shared" si="56"/>
        <v>3413</v>
      </c>
    </row>
    <row r="3415" spans="1:3" x14ac:dyDescent="0.2">
      <c r="A3415" s="78">
        <v>49071</v>
      </c>
      <c r="B3415" s="77">
        <f>+PT!A3417</f>
        <v>0</v>
      </c>
      <c r="C3415" s="77">
        <f t="shared" si="56"/>
        <v>3414</v>
      </c>
    </row>
    <row r="3416" spans="1:3" x14ac:dyDescent="0.2">
      <c r="A3416" s="78">
        <v>49072</v>
      </c>
      <c r="B3416" s="77">
        <f>+PT!A3418</f>
        <v>0</v>
      </c>
      <c r="C3416" s="77">
        <f t="shared" si="56"/>
        <v>3415</v>
      </c>
    </row>
    <row r="3417" spans="1:3" x14ac:dyDescent="0.2">
      <c r="A3417" s="78">
        <v>49073</v>
      </c>
      <c r="B3417" s="77">
        <f>+PT!A3419</f>
        <v>0</v>
      </c>
      <c r="C3417" s="77">
        <f t="shared" si="56"/>
        <v>3416</v>
      </c>
    </row>
    <row r="3418" spans="1:3" x14ac:dyDescent="0.2">
      <c r="A3418" s="78">
        <v>49074</v>
      </c>
      <c r="B3418" s="77">
        <f>+PT!A3420</f>
        <v>0</v>
      </c>
      <c r="C3418" s="77">
        <f t="shared" si="56"/>
        <v>3417</v>
      </c>
    </row>
    <row r="3419" spans="1:3" x14ac:dyDescent="0.2">
      <c r="A3419" s="78">
        <v>49075</v>
      </c>
      <c r="B3419" s="77">
        <f>+PT!A3421</f>
        <v>0</v>
      </c>
      <c r="C3419" s="77">
        <f t="shared" si="56"/>
        <v>3418</v>
      </c>
    </row>
    <row r="3420" spans="1:3" x14ac:dyDescent="0.2">
      <c r="A3420" s="78">
        <v>49076</v>
      </c>
      <c r="B3420" s="77">
        <f>+PT!A3422</f>
        <v>0</v>
      </c>
      <c r="C3420" s="77">
        <f t="shared" si="56"/>
        <v>3419</v>
      </c>
    </row>
    <row r="3421" spans="1:3" x14ac:dyDescent="0.2">
      <c r="A3421" s="78">
        <v>49077</v>
      </c>
      <c r="B3421" s="77">
        <f>+PT!A3423</f>
        <v>0</v>
      </c>
      <c r="C3421" s="77">
        <f t="shared" si="56"/>
        <v>3420</v>
      </c>
    </row>
    <row r="3422" spans="1:3" x14ac:dyDescent="0.2">
      <c r="A3422" s="78">
        <v>49078</v>
      </c>
      <c r="B3422" s="77">
        <f>+PT!A3424</f>
        <v>0</v>
      </c>
      <c r="C3422" s="77">
        <f t="shared" si="56"/>
        <v>3421</v>
      </c>
    </row>
    <row r="3423" spans="1:3" x14ac:dyDescent="0.2">
      <c r="A3423" s="78">
        <v>49079</v>
      </c>
      <c r="B3423" s="77">
        <f>+PT!A3425</f>
        <v>0</v>
      </c>
      <c r="C3423" s="77">
        <f t="shared" si="56"/>
        <v>3422</v>
      </c>
    </row>
    <row r="3424" spans="1:3" x14ac:dyDescent="0.2">
      <c r="A3424" s="78">
        <v>49080</v>
      </c>
      <c r="B3424" s="77">
        <f>+PT!A3426</f>
        <v>0</v>
      </c>
      <c r="C3424" s="77">
        <f t="shared" si="56"/>
        <v>3423</v>
      </c>
    </row>
    <row r="3425" spans="1:3" x14ac:dyDescent="0.2">
      <c r="A3425" s="78">
        <v>49081</v>
      </c>
      <c r="B3425" s="77">
        <f>+PT!A3427</f>
        <v>0</v>
      </c>
      <c r="C3425" s="77">
        <f t="shared" si="56"/>
        <v>3424</v>
      </c>
    </row>
    <row r="3426" spans="1:3" x14ac:dyDescent="0.2">
      <c r="A3426" s="78">
        <v>49082</v>
      </c>
      <c r="B3426" s="77">
        <f>+PT!A3428</f>
        <v>0</v>
      </c>
      <c r="C3426" s="77">
        <f t="shared" si="56"/>
        <v>3425</v>
      </c>
    </row>
    <row r="3427" spans="1:3" x14ac:dyDescent="0.2">
      <c r="A3427" s="78">
        <v>49083</v>
      </c>
      <c r="B3427" s="77">
        <f>+PT!A3429</f>
        <v>0</v>
      </c>
      <c r="C3427" s="77">
        <f t="shared" si="56"/>
        <v>3426</v>
      </c>
    </row>
    <row r="3428" spans="1:3" x14ac:dyDescent="0.2">
      <c r="A3428" s="78">
        <v>49084</v>
      </c>
      <c r="B3428" s="77">
        <f>+PT!A3430</f>
        <v>0</v>
      </c>
      <c r="C3428" s="77">
        <f t="shared" si="56"/>
        <v>3427</v>
      </c>
    </row>
    <row r="3429" spans="1:3" x14ac:dyDescent="0.2">
      <c r="A3429" s="78">
        <v>49085</v>
      </c>
      <c r="B3429" s="77">
        <f>+PT!A3431</f>
        <v>0</v>
      </c>
      <c r="C3429" s="77">
        <f t="shared" si="56"/>
        <v>3428</v>
      </c>
    </row>
    <row r="3430" spans="1:3" x14ac:dyDescent="0.2">
      <c r="A3430" s="78">
        <v>49086</v>
      </c>
      <c r="B3430" s="77">
        <f>+PT!A3432</f>
        <v>0</v>
      </c>
      <c r="C3430" s="77">
        <f t="shared" si="56"/>
        <v>3429</v>
      </c>
    </row>
    <row r="3431" spans="1:3" x14ac:dyDescent="0.2">
      <c r="A3431" s="78">
        <v>49087</v>
      </c>
      <c r="B3431" s="77">
        <f>+PT!A3433</f>
        <v>0</v>
      </c>
      <c r="C3431" s="77">
        <f t="shared" si="56"/>
        <v>3430</v>
      </c>
    </row>
    <row r="3432" spans="1:3" x14ac:dyDescent="0.2">
      <c r="A3432" s="78">
        <v>49088</v>
      </c>
      <c r="B3432" s="77">
        <f>+PT!A3434</f>
        <v>0</v>
      </c>
      <c r="C3432" s="77">
        <f t="shared" si="56"/>
        <v>3431</v>
      </c>
    </row>
    <row r="3433" spans="1:3" x14ac:dyDescent="0.2">
      <c r="A3433" s="78">
        <v>49089</v>
      </c>
      <c r="B3433" s="77">
        <f>+PT!A3435</f>
        <v>0</v>
      </c>
      <c r="C3433" s="77">
        <f t="shared" si="56"/>
        <v>3432</v>
      </c>
    </row>
    <row r="3434" spans="1:3" x14ac:dyDescent="0.2">
      <c r="A3434" s="78">
        <v>49090</v>
      </c>
      <c r="B3434" s="77">
        <f>+PT!A3436</f>
        <v>0</v>
      </c>
      <c r="C3434" s="77">
        <f t="shared" si="56"/>
        <v>3433</v>
      </c>
    </row>
    <row r="3435" spans="1:3" x14ac:dyDescent="0.2">
      <c r="A3435" s="78">
        <v>49091</v>
      </c>
      <c r="B3435" s="77">
        <f>+PT!A3437</f>
        <v>0</v>
      </c>
      <c r="C3435" s="77">
        <f t="shared" si="56"/>
        <v>3434</v>
      </c>
    </row>
    <row r="3436" spans="1:3" x14ac:dyDescent="0.2">
      <c r="A3436" s="78">
        <v>49092</v>
      </c>
      <c r="B3436" s="77">
        <f>+PT!A3438</f>
        <v>0</v>
      </c>
      <c r="C3436" s="77">
        <f t="shared" si="56"/>
        <v>3435</v>
      </c>
    </row>
    <row r="3437" spans="1:3" x14ac:dyDescent="0.2">
      <c r="A3437" s="78">
        <v>49093</v>
      </c>
      <c r="B3437" s="77">
        <f>+PT!A3439</f>
        <v>0</v>
      </c>
      <c r="C3437" s="77">
        <f t="shared" si="56"/>
        <v>3436</v>
      </c>
    </row>
    <row r="3438" spans="1:3" x14ac:dyDescent="0.2">
      <c r="A3438" s="78">
        <v>49094</v>
      </c>
      <c r="B3438" s="77">
        <f>+PT!A3440</f>
        <v>0</v>
      </c>
      <c r="C3438" s="77">
        <f t="shared" si="56"/>
        <v>3437</v>
      </c>
    </row>
    <row r="3439" spans="1:3" x14ac:dyDescent="0.2">
      <c r="A3439" s="78">
        <v>49095</v>
      </c>
      <c r="B3439" s="77">
        <f>+PT!A3441</f>
        <v>0</v>
      </c>
      <c r="C3439" s="77">
        <f t="shared" si="56"/>
        <v>3438</v>
      </c>
    </row>
    <row r="3440" spans="1:3" x14ac:dyDescent="0.2">
      <c r="A3440" s="78">
        <v>49096</v>
      </c>
      <c r="B3440" s="77">
        <f>+PT!A3442</f>
        <v>0</v>
      </c>
      <c r="C3440" s="77">
        <f t="shared" si="56"/>
        <v>3439</v>
      </c>
    </row>
    <row r="3441" spans="1:3" x14ac:dyDescent="0.2">
      <c r="A3441" s="78">
        <v>49097</v>
      </c>
      <c r="B3441" s="77">
        <f>+PT!A3443</f>
        <v>0</v>
      </c>
      <c r="C3441" s="77">
        <f t="shared" si="56"/>
        <v>3440</v>
      </c>
    </row>
    <row r="3442" spans="1:3" x14ac:dyDescent="0.2">
      <c r="A3442" s="78">
        <v>49098</v>
      </c>
      <c r="B3442" s="77">
        <f>+PT!A3444</f>
        <v>0</v>
      </c>
      <c r="C3442" s="77">
        <f t="shared" si="56"/>
        <v>3441</v>
      </c>
    </row>
    <row r="3443" spans="1:3" x14ac:dyDescent="0.2">
      <c r="A3443" s="78">
        <v>49099</v>
      </c>
      <c r="B3443" s="77">
        <f>+PT!A3445</f>
        <v>0</v>
      </c>
      <c r="C3443" s="77">
        <f t="shared" si="56"/>
        <v>3442</v>
      </c>
    </row>
    <row r="3444" spans="1:3" x14ac:dyDescent="0.2">
      <c r="A3444" s="78">
        <v>49100</v>
      </c>
      <c r="B3444" s="77">
        <f>+PT!A3446</f>
        <v>0</v>
      </c>
      <c r="C3444" s="77">
        <f t="shared" si="56"/>
        <v>3443</v>
      </c>
    </row>
    <row r="3445" spans="1:3" x14ac:dyDescent="0.2">
      <c r="A3445" s="78">
        <v>49101</v>
      </c>
      <c r="B3445" s="77">
        <f>+PT!A3447</f>
        <v>0</v>
      </c>
      <c r="C3445" s="77">
        <f t="shared" si="56"/>
        <v>3444</v>
      </c>
    </row>
    <row r="3446" spans="1:3" x14ac:dyDescent="0.2">
      <c r="A3446" s="78">
        <v>49102</v>
      </c>
      <c r="B3446" s="77">
        <f>+PT!A3448</f>
        <v>0</v>
      </c>
      <c r="C3446" s="77">
        <f t="shared" si="56"/>
        <v>3445</v>
      </c>
    </row>
    <row r="3447" spans="1:3" x14ac:dyDescent="0.2">
      <c r="A3447" s="78">
        <v>49103</v>
      </c>
      <c r="B3447" s="77">
        <f>+PT!A3449</f>
        <v>0</v>
      </c>
      <c r="C3447" s="77">
        <f t="shared" si="56"/>
        <v>3446</v>
      </c>
    </row>
    <row r="3448" spans="1:3" x14ac:dyDescent="0.2">
      <c r="A3448" s="78">
        <v>49104</v>
      </c>
      <c r="B3448" s="77">
        <f>+PT!A3450</f>
        <v>0</v>
      </c>
      <c r="C3448" s="77">
        <f t="shared" si="56"/>
        <v>3447</v>
      </c>
    </row>
    <row r="3449" spans="1:3" x14ac:dyDescent="0.2">
      <c r="A3449" s="78">
        <v>49105</v>
      </c>
      <c r="B3449" s="77">
        <f>+PT!A3451</f>
        <v>0</v>
      </c>
      <c r="C3449" s="77">
        <f t="shared" si="56"/>
        <v>3448</v>
      </c>
    </row>
    <row r="3450" spans="1:3" x14ac:dyDescent="0.2">
      <c r="A3450" s="78">
        <v>49106</v>
      </c>
      <c r="B3450" s="77">
        <f>+PT!A3452</f>
        <v>0</v>
      </c>
      <c r="C3450" s="77">
        <f t="shared" si="56"/>
        <v>3449</v>
      </c>
    </row>
    <row r="3451" spans="1:3" x14ac:dyDescent="0.2">
      <c r="A3451" s="78">
        <v>49107</v>
      </c>
      <c r="B3451" s="77">
        <f>+PT!A3453</f>
        <v>0</v>
      </c>
      <c r="C3451" s="77">
        <f t="shared" si="56"/>
        <v>3450</v>
      </c>
    </row>
    <row r="3452" spans="1:3" x14ac:dyDescent="0.2">
      <c r="A3452" s="78">
        <v>49108</v>
      </c>
      <c r="B3452" s="77">
        <f>+PT!A3454</f>
        <v>0</v>
      </c>
      <c r="C3452" s="77">
        <f t="shared" si="56"/>
        <v>3451</v>
      </c>
    </row>
    <row r="3453" spans="1:3" x14ac:dyDescent="0.2">
      <c r="A3453" s="78">
        <v>49109</v>
      </c>
      <c r="B3453" s="77">
        <f>+PT!A3455</f>
        <v>0</v>
      </c>
      <c r="C3453" s="77">
        <f t="shared" si="56"/>
        <v>3452</v>
      </c>
    </row>
    <row r="3454" spans="1:3" x14ac:dyDescent="0.2">
      <c r="A3454" s="78">
        <v>49110</v>
      </c>
      <c r="B3454" s="77">
        <f>+PT!A3456</f>
        <v>0</v>
      </c>
      <c r="C3454" s="77">
        <f t="shared" si="56"/>
        <v>3453</v>
      </c>
    </row>
    <row r="3455" spans="1:3" x14ac:dyDescent="0.2">
      <c r="A3455" s="78">
        <v>49111</v>
      </c>
      <c r="B3455" s="77">
        <f>+PT!A3457</f>
        <v>0</v>
      </c>
      <c r="C3455" s="77">
        <f t="shared" si="56"/>
        <v>3454</v>
      </c>
    </row>
    <row r="3456" spans="1:3" x14ac:dyDescent="0.2">
      <c r="A3456" s="78">
        <v>49112</v>
      </c>
      <c r="B3456" s="77">
        <f>+PT!A3458</f>
        <v>0</v>
      </c>
      <c r="C3456" s="77">
        <f t="shared" si="56"/>
        <v>3455</v>
      </c>
    </row>
    <row r="3457" spans="1:3" x14ac:dyDescent="0.2">
      <c r="A3457" s="78">
        <v>49113</v>
      </c>
      <c r="B3457" s="77">
        <f>+PT!A3459</f>
        <v>0</v>
      </c>
      <c r="C3457" s="77">
        <f t="shared" si="56"/>
        <v>3456</v>
      </c>
    </row>
    <row r="3458" spans="1:3" x14ac:dyDescent="0.2">
      <c r="A3458" s="78">
        <v>49114</v>
      </c>
      <c r="B3458" s="77">
        <f>+PT!A3460</f>
        <v>0</v>
      </c>
      <c r="C3458" s="77">
        <f t="shared" si="56"/>
        <v>3457</v>
      </c>
    </row>
    <row r="3459" spans="1:3" x14ac:dyDescent="0.2">
      <c r="A3459" s="78">
        <v>49115</v>
      </c>
      <c r="B3459" s="77">
        <f>+PT!A3461</f>
        <v>0</v>
      </c>
      <c r="C3459" s="77">
        <f t="shared" si="56"/>
        <v>3458</v>
      </c>
    </row>
    <row r="3460" spans="1:3" x14ac:dyDescent="0.2">
      <c r="A3460" s="78">
        <v>49116</v>
      </c>
      <c r="B3460" s="77">
        <f>+PT!A3462</f>
        <v>0</v>
      </c>
      <c r="C3460" s="77">
        <f t="shared" ref="C3460:C3523" si="57">+C3459+1</f>
        <v>3459</v>
      </c>
    </row>
    <row r="3461" spans="1:3" x14ac:dyDescent="0.2">
      <c r="A3461" s="78">
        <v>49117</v>
      </c>
      <c r="B3461" s="77">
        <f>+PT!A3463</f>
        <v>0</v>
      </c>
      <c r="C3461" s="77">
        <f t="shared" si="57"/>
        <v>3460</v>
      </c>
    </row>
    <row r="3462" spans="1:3" x14ac:dyDescent="0.2">
      <c r="A3462" s="78">
        <v>49118</v>
      </c>
      <c r="B3462" s="77">
        <f>+PT!A3464</f>
        <v>0</v>
      </c>
      <c r="C3462" s="77">
        <f t="shared" si="57"/>
        <v>3461</v>
      </c>
    </row>
    <row r="3463" spans="1:3" x14ac:dyDescent="0.2">
      <c r="A3463" s="78">
        <v>49119</v>
      </c>
      <c r="B3463" s="77">
        <f>+PT!A3465</f>
        <v>0</v>
      </c>
      <c r="C3463" s="77">
        <f t="shared" si="57"/>
        <v>3462</v>
      </c>
    </row>
    <row r="3464" spans="1:3" x14ac:dyDescent="0.2">
      <c r="A3464" s="78">
        <v>49120</v>
      </c>
      <c r="B3464" s="77">
        <f>+PT!A3466</f>
        <v>0</v>
      </c>
      <c r="C3464" s="77">
        <f t="shared" si="57"/>
        <v>3463</v>
      </c>
    </row>
    <row r="3465" spans="1:3" x14ac:dyDescent="0.2">
      <c r="A3465" s="78">
        <v>49121</v>
      </c>
      <c r="B3465" s="77">
        <f>+PT!A3467</f>
        <v>0</v>
      </c>
      <c r="C3465" s="77">
        <f t="shared" si="57"/>
        <v>3464</v>
      </c>
    </row>
    <row r="3466" spans="1:3" x14ac:dyDescent="0.2">
      <c r="A3466" s="78">
        <v>49122</v>
      </c>
      <c r="B3466" s="77">
        <f>+PT!A3468</f>
        <v>0</v>
      </c>
      <c r="C3466" s="77">
        <f t="shared" si="57"/>
        <v>3465</v>
      </c>
    </row>
    <row r="3467" spans="1:3" x14ac:dyDescent="0.2">
      <c r="A3467" s="78">
        <v>49123</v>
      </c>
      <c r="B3467" s="77">
        <f>+PT!A3469</f>
        <v>0</v>
      </c>
      <c r="C3467" s="77">
        <f t="shared" si="57"/>
        <v>3466</v>
      </c>
    </row>
    <row r="3468" spans="1:3" x14ac:dyDescent="0.2">
      <c r="A3468" s="78">
        <v>49124</v>
      </c>
      <c r="B3468" s="77">
        <f>+PT!A3470</f>
        <v>0</v>
      </c>
      <c r="C3468" s="77">
        <f t="shared" si="57"/>
        <v>3467</v>
      </c>
    </row>
    <row r="3469" spans="1:3" x14ac:dyDescent="0.2">
      <c r="A3469" s="78">
        <v>49125</v>
      </c>
      <c r="B3469" s="77">
        <f>+PT!A3471</f>
        <v>0</v>
      </c>
      <c r="C3469" s="77">
        <f t="shared" si="57"/>
        <v>3468</v>
      </c>
    </row>
    <row r="3470" spans="1:3" x14ac:dyDescent="0.2">
      <c r="A3470" s="78">
        <v>49126</v>
      </c>
      <c r="B3470" s="77">
        <f>+PT!A3472</f>
        <v>0</v>
      </c>
      <c r="C3470" s="77">
        <f t="shared" si="57"/>
        <v>3469</v>
      </c>
    </row>
    <row r="3471" spans="1:3" x14ac:dyDescent="0.2">
      <c r="A3471" s="78">
        <v>49127</v>
      </c>
      <c r="B3471" s="77">
        <f>+PT!A3473</f>
        <v>0</v>
      </c>
      <c r="C3471" s="77">
        <f t="shared" si="57"/>
        <v>3470</v>
      </c>
    </row>
    <row r="3472" spans="1:3" x14ac:dyDescent="0.2">
      <c r="A3472" s="78">
        <v>49128</v>
      </c>
      <c r="B3472" s="77">
        <f>+PT!A3474</f>
        <v>0</v>
      </c>
      <c r="C3472" s="77">
        <f t="shared" si="57"/>
        <v>3471</v>
      </c>
    </row>
    <row r="3473" spans="1:3" x14ac:dyDescent="0.2">
      <c r="A3473" s="78">
        <v>49129</v>
      </c>
      <c r="B3473" s="77">
        <f>+PT!A3475</f>
        <v>0</v>
      </c>
      <c r="C3473" s="77">
        <f t="shared" si="57"/>
        <v>3472</v>
      </c>
    </row>
    <row r="3474" spans="1:3" x14ac:dyDescent="0.2">
      <c r="A3474" s="78">
        <v>49130</v>
      </c>
      <c r="B3474" s="77">
        <f>+PT!A3476</f>
        <v>0</v>
      </c>
      <c r="C3474" s="77">
        <f t="shared" si="57"/>
        <v>3473</v>
      </c>
    </row>
    <row r="3475" spans="1:3" x14ac:dyDescent="0.2">
      <c r="A3475" s="78">
        <v>49131</v>
      </c>
      <c r="B3475" s="77">
        <f>+PT!A3477</f>
        <v>0</v>
      </c>
      <c r="C3475" s="77">
        <f t="shared" si="57"/>
        <v>3474</v>
      </c>
    </row>
    <row r="3476" spans="1:3" x14ac:dyDescent="0.2">
      <c r="A3476" s="78">
        <v>49132</v>
      </c>
      <c r="B3476" s="77">
        <f>+PT!A3478</f>
        <v>0</v>
      </c>
      <c r="C3476" s="77">
        <f t="shared" si="57"/>
        <v>3475</v>
      </c>
    </row>
    <row r="3477" spans="1:3" x14ac:dyDescent="0.2">
      <c r="A3477" s="78">
        <v>49133</v>
      </c>
      <c r="B3477" s="77">
        <f>+PT!A3479</f>
        <v>0</v>
      </c>
      <c r="C3477" s="77">
        <f t="shared" si="57"/>
        <v>3476</v>
      </c>
    </row>
    <row r="3478" spans="1:3" x14ac:dyDescent="0.2">
      <c r="A3478" s="78">
        <v>49134</v>
      </c>
      <c r="B3478" s="77">
        <f>+PT!A3480</f>
        <v>0</v>
      </c>
      <c r="C3478" s="77">
        <f t="shared" si="57"/>
        <v>3477</v>
      </c>
    </row>
    <row r="3479" spans="1:3" x14ac:dyDescent="0.2">
      <c r="A3479" s="78">
        <v>49135</v>
      </c>
      <c r="B3479" s="77">
        <f>+PT!A3481</f>
        <v>0</v>
      </c>
      <c r="C3479" s="77">
        <f t="shared" si="57"/>
        <v>3478</v>
      </c>
    </row>
    <row r="3480" spans="1:3" x14ac:dyDescent="0.2">
      <c r="A3480" s="78">
        <v>49136</v>
      </c>
      <c r="B3480" s="77">
        <f>+PT!A3482</f>
        <v>0</v>
      </c>
      <c r="C3480" s="77">
        <f t="shared" si="57"/>
        <v>3479</v>
      </c>
    </row>
    <row r="3481" spans="1:3" x14ac:dyDescent="0.2">
      <c r="A3481" s="78">
        <v>49137</v>
      </c>
      <c r="B3481" s="77">
        <f>+PT!A3483</f>
        <v>0</v>
      </c>
      <c r="C3481" s="77">
        <f t="shared" si="57"/>
        <v>3480</v>
      </c>
    </row>
    <row r="3482" spans="1:3" x14ac:dyDescent="0.2">
      <c r="A3482" s="78">
        <v>49138</v>
      </c>
      <c r="B3482" s="77">
        <f>+PT!A3484</f>
        <v>0</v>
      </c>
      <c r="C3482" s="77">
        <f t="shared" si="57"/>
        <v>3481</v>
      </c>
    </row>
    <row r="3483" spans="1:3" x14ac:dyDescent="0.2">
      <c r="A3483" s="78">
        <v>49139</v>
      </c>
      <c r="B3483" s="77">
        <f>+PT!A3485</f>
        <v>0</v>
      </c>
      <c r="C3483" s="77">
        <f t="shared" si="57"/>
        <v>3482</v>
      </c>
    </row>
    <row r="3484" spans="1:3" x14ac:dyDescent="0.2">
      <c r="A3484" s="78">
        <v>49140</v>
      </c>
      <c r="B3484" s="77">
        <f>+PT!A3486</f>
        <v>0</v>
      </c>
      <c r="C3484" s="77">
        <f t="shared" si="57"/>
        <v>3483</v>
      </c>
    </row>
    <row r="3485" spans="1:3" x14ac:dyDescent="0.2">
      <c r="A3485" s="78">
        <v>49141</v>
      </c>
      <c r="B3485" s="77">
        <f>+PT!A3487</f>
        <v>0</v>
      </c>
      <c r="C3485" s="77">
        <f t="shared" si="57"/>
        <v>3484</v>
      </c>
    </row>
    <row r="3486" spans="1:3" x14ac:dyDescent="0.2">
      <c r="A3486" s="78">
        <v>49142</v>
      </c>
      <c r="B3486" s="77">
        <f>+PT!A3488</f>
        <v>0</v>
      </c>
      <c r="C3486" s="77">
        <f t="shared" si="57"/>
        <v>3485</v>
      </c>
    </row>
    <row r="3487" spans="1:3" x14ac:dyDescent="0.2">
      <c r="A3487" s="78">
        <v>49143</v>
      </c>
      <c r="B3487" s="77">
        <f>+PT!A3489</f>
        <v>0</v>
      </c>
      <c r="C3487" s="77">
        <f t="shared" si="57"/>
        <v>3486</v>
      </c>
    </row>
    <row r="3488" spans="1:3" x14ac:dyDescent="0.2">
      <c r="A3488" s="78">
        <v>49144</v>
      </c>
      <c r="B3488" s="77">
        <f>+PT!A3490</f>
        <v>0</v>
      </c>
      <c r="C3488" s="77">
        <f t="shared" si="57"/>
        <v>3487</v>
      </c>
    </row>
    <row r="3489" spans="1:3" x14ac:dyDescent="0.2">
      <c r="A3489" s="78">
        <v>49145</v>
      </c>
      <c r="B3489" s="77">
        <f>+PT!A3491</f>
        <v>0</v>
      </c>
      <c r="C3489" s="77">
        <f t="shared" si="57"/>
        <v>3488</v>
      </c>
    </row>
    <row r="3490" spans="1:3" x14ac:dyDescent="0.2">
      <c r="A3490" s="78">
        <v>49146</v>
      </c>
      <c r="B3490" s="77">
        <f>+PT!A3492</f>
        <v>0</v>
      </c>
      <c r="C3490" s="77">
        <f t="shared" si="57"/>
        <v>3489</v>
      </c>
    </row>
    <row r="3491" spans="1:3" x14ac:dyDescent="0.2">
      <c r="A3491" s="78">
        <v>49147</v>
      </c>
      <c r="B3491" s="77">
        <f>+PT!A3493</f>
        <v>0</v>
      </c>
      <c r="C3491" s="77">
        <f t="shared" si="57"/>
        <v>3490</v>
      </c>
    </row>
    <row r="3492" spans="1:3" x14ac:dyDescent="0.2">
      <c r="A3492" s="78">
        <v>49148</v>
      </c>
      <c r="B3492" s="77">
        <f>+PT!A3494</f>
        <v>0</v>
      </c>
      <c r="C3492" s="77">
        <f t="shared" si="57"/>
        <v>3491</v>
      </c>
    </row>
    <row r="3493" spans="1:3" x14ac:dyDescent="0.2">
      <c r="A3493" s="78">
        <v>49149</v>
      </c>
      <c r="B3493" s="77">
        <f>+PT!A3495</f>
        <v>0</v>
      </c>
      <c r="C3493" s="77">
        <f t="shared" si="57"/>
        <v>3492</v>
      </c>
    </row>
    <row r="3494" spans="1:3" x14ac:dyDescent="0.2">
      <c r="A3494" s="78">
        <v>49150</v>
      </c>
      <c r="B3494" s="77">
        <f>+PT!A3496</f>
        <v>0</v>
      </c>
      <c r="C3494" s="77">
        <f t="shared" si="57"/>
        <v>3493</v>
      </c>
    </row>
    <row r="3495" spans="1:3" x14ac:dyDescent="0.2">
      <c r="A3495" s="78">
        <v>49151</v>
      </c>
      <c r="B3495" s="77">
        <f>+PT!A3497</f>
        <v>0</v>
      </c>
      <c r="C3495" s="77">
        <f t="shared" si="57"/>
        <v>3494</v>
      </c>
    </row>
    <row r="3496" spans="1:3" x14ac:dyDescent="0.2">
      <c r="A3496" s="78">
        <v>49152</v>
      </c>
      <c r="B3496" s="77">
        <f>+PT!A3498</f>
        <v>0</v>
      </c>
      <c r="C3496" s="77">
        <f t="shared" si="57"/>
        <v>3495</v>
      </c>
    </row>
    <row r="3497" spans="1:3" x14ac:dyDescent="0.2">
      <c r="A3497" s="78">
        <v>49153</v>
      </c>
      <c r="B3497" s="77">
        <f>+PT!A3499</f>
        <v>0</v>
      </c>
      <c r="C3497" s="77">
        <f t="shared" si="57"/>
        <v>3496</v>
      </c>
    </row>
    <row r="3498" spans="1:3" x14ac:dyDescent="0.2">
      <c r="A3498" s="78">
        <v>49154</v>
      </c>
      <c r="B3498" s="77">
        <f>+PT!A3500</f>
        <v>0</v>
      </c>
      <c r="C3498" s="77">
        <f t="shared" si="57"/>
        <v>3497</v>
      </c>
    </row>
    <row r="3499" spans="1:3" x14ac:dyDescent="0.2">
      <c r="A3499" s="78">
        <v>49155</v>
      </c>
      <c r="B3499" s="77">
        <f>+PT!A3501</f>
        <v>0</v>
      </c>
      <c r="C3499" s="77">
        <f t="shared" si="57"/>
        <v>3498</v>
      </c>
    </row>
    <row r="3500" spans="1:3" x14ac:dyDescent="0.2">
      <c r="A3500" s="78">
        <v>49156</v>
      </c>
      <c r="B3500" s="77">
        <f>+PT!A3502</f>
        <v>0</v>
      </c>
      <c r="C3500" s="77">
        <f t="shared" si="57"/>
        <v>3499</v>
      </c>
    </row>
    <row r="3501" spans="1:3" x14ac:dyDescent="0.2">
      <c r="A3501" s="78">
        <v>49157</v>
      </c>
      <c r="B3501" s="77">
        <f>+PT!A3503</f>
        <v>0</v>
      </c>
      <c r="C3501" s="77">
        <f t="shared" si="57"/>
        <v>3500</v>
      </c>
    </row>
    <row r="3502" spans="1:3" x14ac:dyDescent="0.2">
      <c r="A3502" s="78">
        <v>49158</v>
      </c>
      <c r="B3502" s="77">
        <f>+PT!A3504</f>
        <v>0</v>
      </c>
      <c r="C3502" s="77">
        <f t="shared" si="57"/>
        <v>3501</v>
      </c>
    </row>
    <row r="3503" spans="1:3" x14ac:dyDescent="0.2">
      <c r="A3503" s="78">
        <v>49159</v>
      </c>
      <c r="B3503" s="77">
        <f>+PT!A3505</f>
        <v>0</v>
      </c>
      <c r="C3503" s="77">
        <f t="shared" si="57"/>
        <v>3502</v>
      </c>
    </row>
    <row r="3504" spans="1:3" x14ac:dyDescent="0.2">
      <c r="A3504" s="78">
        <v>49160</v>
      </c>
      <c r="B3504" s="77">
        <f>+PT!A3506</f>
        <v>0</v>
      </c>
      <c r="C3504" s="77">
        <f t="shared" si="57"/>
        <v>3503</v>
      </c>
    </row>
    <row r="3505" spans="1:3" x14ac:dyDescent="0.2">
      <c r="A3505" s="78">
        <v>49161</v>
      </c>
      <c r="B3505" s="77">
        <f>+PT!A3507</f>
        <v>0</v>
      </c>
      <c r="C3505" s="77">
        <f t="shared" si="57"/>
        <v>3504</v>
      </c>
    </row>
    <row r="3506" spans="1:3" x14ac:dyDescent="0.2">
      <c r="A3506" s="78">
        <v>49162</v>
      </c>
      <c r="B3506" s="77">
        <f>+PT!A3508</f>
        <v>0</v>
      </c>
      <c r="C3506" s="77">
        <f t="shared" si="57"/>
        <v>3505</v>
      </c>
    </row>
    <row r="3507" spans="1:3" x14ac:dyDescent="0.2">
      <c r="A3507" s="78">
        <v>49163</v>
      </c>
      <c r="B3507" s="77">
        <f>+PT!A3509</f>
        <v>0</v>
      </c>
      <c r="C3507" s="77">
        <f t="shared" si="57"/>
        <v>3506</v>
      </c>
    </row>
    <row r="3508" spans="1:3" x14ac:dyDescent="0.2">
      <c r="A3508" s="78">
        <v>49164</v>
      </c>
      <c r="B3508" s="77">
        <f>+PT!A3510</f>
        <v>0</v>
      </c>
      <c r="C3508" s="77">
        <f t="shared" si="57"/>
        <v>3507</v>
      </c>
    </row>
    <row r="3509" spans="1:3" x14ac:dyDescent="0.2">
      <c r="A3509" s="78">
        <v>49165</v>
      </c>
      <c r="B3509" s="77">
        <f>+PT!A3511</f>
        <v>0</v>
      </c>
      <c r="C3509" s="77">
        <f t="shared" si="57"/>
        <v>3508</v>
      </c>
    </row>
    <row r="3510" spans="1:3" x14ac:dyDescent="0.2">
      <c r="A3510" s="78">
        <v>49166</v>
      </c>
      <c r="B3510" s="77">
        <f>+PT!A3512</f>
        <v>0</v>
      </c>
      <c r="C3510" s="77">
        <f t="shared" si="57"/>
        <v>3509</v>
      </c>
    </row>
    <row r="3511" spans="1:3" x14ac:dyDescent="0.2">
      <c r="A3511" s="78">
        <v>49167</v>
      </c>
      <c r="B3511" s="77">
        <f>+PT!A3513</f>
        <v>0</v>
      </c>
      <c r="C3511" s="77">
        <f t="shared" si="57"/>
        <v>3510</v>
      </c>
    </row>
    <row r="3512" spans="1:3" x14ac:dyDescent="0.2">
      <c r="A3512" s="78">
        <v>49168</v>
      </c>
      <c r="B3512" s="77">
        <f>+PT!A3514</f>
        <v>0</v>
      </c>
      <c r="C3512" s="77">
        <f t="shared" si="57"/>
        <v>3511</v>
      </c>
    </row>
    <row r="3513" spans="1:3" x14ac:dyDescent="0.2">
      <c r="A3513" s="78">
        <v>49169</v>
      </c>
      <c r="B3513" s="77">
        <f>+PT!A3515</f>
        <v>0</v>
      </c>
      <c r="C3513" s="77">
        <f t="shared" si="57"/>
        <v>3512</v>
      </c>
    </row>
    <row r="3514" spans="1:3" x14ac:dyDescent="0.2">
      <c r="A3514" s="78">
        <v>49170</v>
      </c>
      <c r="B3514" s="77">
        <f>+PT!A3516</f>
        <v>0</v>
      </c>
      <c r="C3514" s="77">
        <f t="shared" si="57"/>
        <v>3513</v>
      </c>
    </row>
    <row r="3515" spans="1:3" x14ac:dyDescent="0.2">
      <c r="A3515" s="78">
        <v>49171</v>
      </c>
      <c r="B3515" s="77">
        <f>+PT!A3517</f>
        <v>0</v>
      </c>
      <c r="C3515" s="77">
        <f t="shared" si="57"/>
        <v>3514</v>
      </c>
    </row>
    <row r="3516" spans="1:3" x14ac:dyDescent="0.2">
      <c r="A3516" s="78">
        <v>49172</v>
      </c>
      <c r="B3516" s="77">
        <f>+PT!A3518</f>
        <v>0</v>
      </c>
      <c r="C3516" s="77">
        <f t="shared" si="57"/>
        <v>3515</v>
      </c>
    </row>
    <row r="3517" spans="1:3" x14ac:dyDescent="0.2">
      <c r="A3517" s="78">
        <v>49173</v>
      </c>
      <c r="B3517" s="77">
        <f>+PT!A3519</f>
        <v>0</v>
      </c>
      <c r="C3517" s="77">
        <f t="shared" si="57"/>
        <v>3516</v>
      </c>
    </row>
    <row r="3518" spans="1:3" x14ac:dyDescent="0.2">
      <c r="A3518" s="78">
        <v>49174</v>
      </c>
      <c r="B3518" s="77">
        <f>+PT!A3520</f>
        <v>0</v>
      </c>
      <c r="C3518" s="77">
        <f t="shared" si="57"/>
        <v>3517</v>
      </c>
    </row>
    <row r="3519" spans="1:3" x14ac:dyDescent="0.2">
      <c r="A3519" s="78">
        <v>49175</v>
      </c>
      <c r="B3519" s="77">
        <f>+PT!A3521</f>
        <v>0</v>
      </c>
      <c r="C3519" s="77">
        <f t="shared" si="57"/>
        <v>3518</v>
      </c>
    </row>
    <row r="3520" spans="1:3" x14ac:dyDescent="0.2">
      <c r="A3520" s="78">
        <v>49176</v>
      </c>
      <c r="B3520" s="77">
        <f>+PT!A3522</f>
        <v>0</v>
      </c>
      <c r="C3520" s="77">
        <f t="shared" si="57"/>
        <v>3519</v>
      </c>
    </row>
    <row r="3521" spans="1:3" x14ac:dyDescent="0.2">
      <c r="A3521" s="78">
        <v>49177</v>
      </c>
      <c r="B3521" s="77">
        <f>+PT!A3523</f>
        <v>0</v>
      </c>
      <c r="C3521" s="77">
        <f t="shared" si="57"/>
        <v>3520</v>
      </c>
    </row>
    <row r="3522" spans="1:3" x14ac:dyDescent="0.2">
      <c r="A3522" s="78">
        <v>49178</v>
      </c>
      <c r="B3522" s="77">
        <f>+PT!A3524</f>
        <v>0</v>
      </c>
      <c r="C3522" s="77">
        <f t="shared" si="57"/>
        <v>3521</v>
      </c>
    </row>
    <row r="3523" spans="1:3" x14ac:dyDescent="0.2">
      <c r="A3523" s="78">
        <v>49179</v>
      </c>
      <c r="B3523" s="77">
        <f>+PT!A3525</f>
        <v>0</v>
      </c>
      <c r="C3523" s="77">
        <f t="shared" si="57"/>
        <v>3522</v>
      </c>
    </row>
    <row r="3524" spans="1:3" x14ac:dyDescent="0.2">
      <c r="A3524" s="78">
        <v>49180</v>
      </c>
      <c r="B3524" s="77">
        <f>+PT!A3526</f>
        <v>0</v>
      </c>
      <c r="C3524" s="77">
        <f t="shared" ref="C3524:C3587" si="58">+C3523+1</f>
        <v>3523</v>
      </c>
    </row>
    <row r="3525" spans="1:3" x14ac:dyDescent="0.2">
      <c r="A3525" s="78">
        <v>49181</v>
      </c>
      <c r="B3525" s="77">
        <f>+PT!A3527</f>
        <v>0</v>
      </c>
      <c r="C3525" s="77">
        <f t="shared" si="58"/>
        <v>3524</v>
      </c>
    </row>
    <row r="3526" spans="1:3" x14ac:dyDescent="0.2">
      <c r="A3526" s="78">
        <v>49182</v>
      </c>
      <c r="B3526" s="77">
        <f>+PT!A3528</f>
        <v>0</v>
      </c>
      <c r="C3526" s="77">
        <f t="shared" si="58"/>
        <v>3525</v>
      </c>
    </row>
    <row r="3527" spans="1:3" x14ac:dyDescent="0.2">
      <c r="A3527" s="78">
        <v>49183</v>
      </c>
      <c r="B3527" s="77">
        <f>+PT!A3529</f>
        <v>0</v>
      </c>
      <c r="C3527" s="77">
        <f t="shared" si="58"/>
        <v>3526</v>
      </c>
    </row>
    <row r="3528" spans="1:3" x14ac:dyDescent="0.2">
      <c r="A3528" s="78">
        <v>49184</v>
      </c>
      <c r="B3528" s="77">
        <f>+PT!A3530</f>
        <v>0</v>
      </c>
      <c r="C3528" s="77">
        <f t="shared" si="58"/>
        <v>3527</v>
      </c>
    </row>
    <row r="3529" spans="1:3" x14ac:dyDescent="0.2">
      <c r="A3529" s="78">
        <v>49185</v>
      </c>
      <c r="B3529" s="77">
        <f>+PT!A3531</f>
        <v>0</v>
      </c>
      <c r="C3529" s="77">
        <f t="shared" si="58"/>
        <v>3528</v>
      </c>
    </row>
    <row r="3530" spans="1:3" x14ac:dyDescent="0.2">
      <c r="A3530" s="78">
        <v>49186</v>
      </c>
      <c r="B3530" s="77">
        <f>+PT!A3532</f>
        <v>0</v>
      </c>
      <c r="C3530" s="77">
        <f t="shared" si="58"/>
        <v>3529</v>
      </c>
    </row>
    <row r="3531" spans="1:3" x14ac:dyDescent="0.2">
      <c r="A3531" s="78">
        <v>49187</v>
      </c>
      <c r="B3531" s="77">
        <f>+PT!A3533</f>
        <v>0</v>
      </c>
      <c r="C3531" s="77">
        <f t="shared" si="58"/>
        <v>3530</v>
      </c>
    </row>
    <row r="3532" spans="1:3" x14ac:dyDescent="0.2">
      <c r="A3532" s="78">
        <v>49188</v>
      </c>
      <c r="B3532" s="77">
        <f>+PT!A3534</f>
        <v>0</v>
      </c>
      <c r="C3532" s="77">
        <f t="shared" si="58"/>
        <v>3531</v>
      </c>
    </row>
    <row r="3533" spans="1:3" x14ac:dyDescent="0.2">
      <c r="A3533" s="78">
        <v>49189</v>
      </c>
      <c r="B3533" s="77">
        <f>+PT!A3535</f>
        <v>0</v>
      </c>
      <c r="C3533" s="77">
        <f t="shared" si="58"/>
        <v>3532</v>
      </c>
    </row>
    <row r="3534" spans="1:3" x14ac:dyDescent="0.2">
      <c r="A3534" s="78">
        <v>49190</v>
      </c>
      <c r="B3534" s="77">
        <f>+PT!A3536</f>
        <v>0</v>
      </c>
      <c r="C3534" s="77">
        <f t="shared" si="58"/>
        <v>3533</v>
      </c>
    </row>
    <row r="3535" spans="1:3" x14ac:dyDescent="0.2">
      <c r="A3535" s="78">
        <v>49191</v>
      </c>
      <c r="B3535" s="77">
        <f>+PT!A3537</f>
        <v>0</v>
      </c>
      <c r="C3535" s="77">
        <f t="shared" si="58"/>
        <v>3534</v>
      </c>
    </row>
    <row r="3536" spans="1:3" x14ac:dyDescent="0.2">
      <c r="A3536" s="78">
        <v>49192</v>
      </c>
      <c r="B3536" s="77">
        <f>+PT!A3538</f>
        <v>0</v>
      </c>
      <c r="C3536" s="77">
        <f t="shared" si="58"/>
        <v>3535</v>
      </c>
    </row>
    <row r="3537" spans="1:3" x14ac:dyDescent="0.2">
      <c r="A3537" s="78">
        <v>49193</v>
      </c>
      <c r="B3537" s="77">
        <f>+PT!A3539</f>
        <v>0</v>
      </c>
      <c r="C3537" s="77">
        <f t="shared" si="58"/>
        <v>3536</v>
      </c>
    </row>
    <row r="3538" spans="1:3" x14ac:dyDescent="0.2">
      <c r="A3538" s="78">
        <v>49194</v>
      </c>
      <c r="B3538" s="77">
        <f>+PT!A3540</f>
        <v>0</v>
      </c>
      <c r="C3538" s="77">
        <f t="shared" si="58"/>
        <v>3537</v>
      </c>
    </row>
    <row r="3539" spans="1:3" x14ac:dyDescent="0.2">
      <c r="A3539" s="78">
        <v>49195</v>
      </c>
      <c r="B3539" s="77">
        <f>+PT!A3541</f>
        <v>0</v>
      </c>
      <c r="C3539" s="77">
        <f t="shared" si="58"/>
        <v>3538</v>
      </c>
    </row>
    <row r="3540" spans="1:3" x14ac:dyDescent="0.2">
      <c r="A3540" s="78">
        <v>49196</v>
      </c>
      <c r="B3540" s="77">
        <f>+PT!A3542</f>
        <v>0</v>
      </c>
      <c r="C3540" s="77">
        <f t="shared" si="58"/>
        <v>3539</v>
      </c>
    </row>
    <row r="3541" spans="1:3" x14ac:dyDescent="0.2">
      <c r="A3541" s="78">
        <v>49197</v>
      </c>
      <c r="B3541" s="77">
        <f>+PT!A3543</f>
        <v>0</v>
      </c>
      <c r="C3541" s="77">
        <f t="shared" si="58"/>
        <v>3540</v>
      </c>
    </row>
    <row r="3542" spans="1:3" x14ac:dyDescent="0.2">
      <c r="A3542" s="78">
        <v>49198</v>
      </c>
      <c r="B3542" s="77">
        <f>+PT!A3544</f>
        <v>0</v>
      </c>
      <c r="C3542" s="77">
        <f t="shared" si="58"/>
        <v>3541</v>
      </c>
    </row>
    <row r="3543" spans="1:3" x14ac:dyDescent="0.2">
      <c r="A3543" s="78">
        <v>49199</v>
      </c>
      <c r="B3543" s="77">
        <f>+PT!A3545</f>
        <v>0</v>
      </c>
      <c r="C3543" s="77">
        <f t="shared" si="58"/>
        <v>3542</v>
      </c>
    </row>
    <row r="3544" spans="1:3" x14ac:dyDescent="0.2">
      <c r="A3544" s="78">
        <v>49200</v>
      </c>
      <c r="B3544" s="77">
        <f>+PT!A3546</f>
        <v>0</v>
      </c>
      <c r="C3544" s="77">
        <f t="shared" si="58"/>
        <v>3543</v>
      </c>
    </row>
    <row r="3545" spans="1:3" x14ac:dyDescent="0.2">
      <c r="A3545" s="78">
        <v>49201</v>
      </c>
      <c r="B3545" s="77">
        <f>+PT!A3547</f>
        <v>0</v>
      </c>
      <c r="C3545" s="77">
        <f t="shared" si="58"/>
        <v>3544</v>
      </c>
    </row>
    <row r="3546" spans="1:3" x14ac:dyDescent="0.2">
      <c r="A3546" s="78">
        <v>49202</v>
      </c>
      <c r="B3546" s="77">
        <f>+PT!A3548</f>
        <v>0</v>
      </c>
      <c r="C3546" s="77">
        <f t="shared" si="58"/>
        <v>3545</v>
      </c>
    </row>
    <row r="3547" spans="1:3" x14ac:dyDescent="0.2">
      <c r="A3547" s="78">
        <v>49203</v>
      </c>
      <c r="B3547" s="77">
        <f>+PT!A3549</f>
        <v>0</v>
      </c>
      <c r="C3547" s="77">
        <f t="shared" si="58"/>
        <v>3546</v>
      </c>
    </row>
    <row r="3548" spans="1:3" x14ac:dyDescent="0.2">
      <c r="A3548" s="78">
        <v>49204</v>
      </c>
      <c r="B3548" s="77">
        <f>+PT!A3550</f>
        <v>0</v>
      </c>
      <c r="C3548" s="77">
        <f t="shared" si="58"/>
        <v>3547</v>
      </c>
    </row>
    <row r="3549" spans="1:3" x14ac:dyDescent="0.2">
      <c r="A3549" s="78">
        <v>49205</v>
      </c>
      <c r="B3549" s="77">
        <f>+PT!A3551</f>
        <v>0</v>
      </c>
      <c r="C3549" s="77">
        <f t="shared" si="58"/>
        <v>3548</v>
      </c>
    </row>
    <row r="3550" spans="1:3" x14ac:dyDescent="0.2">
      <c r="A3550" s="78">
        <v>49206</v>
      </c>
      <c r="B3550" s="77">
        <f>+PT!A3552</f>
        <v>0</v>
      </c>
      <c r="C3550" s="77">
        <f t="shared" si="58"/>
        <v>3549</v>
      </c>
    </row>
    <row r="3551" spans="1:3" x14ac:dyDescent="0.2">
      <c r="A3551" s="78">
        <v>49207</v>
      </c>
      <c r="B3551" s="77">
        <f>+PT!A3553</f>
        <v>0</v>
      </c>
      <c r="C3551" s="77">
        <f t="shared" si="58"/>
        <v>3550</v>
      </c>
    </row>
    <row r="3552" spans="1:3" x14ac:dyDescent="0.2">
      <c r="A3552" s="78">
        <v>49208</v>
      </c>
      <c r="B3552" s="77">
        <f>+PT!A3554</f>
        <v>0</v>
      </c>
      <c r="C3552" s="77">
        <f t="shared" si="58"/>
        <v>3551</v>
      </c>
    </row>
    <row r="3553" spans="1:3" x14ac:dyDescent="0.2">
      <c r="A3553" s="78">
        <v>49209</v>
      </c>
      <c r="B3553" s="77">
        <f>+PT!A3555</f>
        <v>0</v>
      </c>
      <c r="C3553" s="77">
        <f t="shared" si="58"/>
        <v>3552</v>
      </c>
    </row>
    <row r="3554" spans="1:3" x14ac:dyDescent="0.2">
      <c r="A3554" s="78">
        <v>49210</v>
      </c>
      <c r="B3554" s="77">
        <f>+PT!A3556</f>
        <v>0</v>
      </c>
      <c r="C3554" s="77">
        <f t="shared" si="58"/>
        <v>3553</v>
      </c>
    </row>
    <row r="3555" spans="1:3" x14ac:dyDescent="0.2">
      <c r="A3555" s="78">
        <v>49211</v>
      </c>
      <c r="B3555" s="77">
        <f>+PT!A3557</f>
        <v>0</v>
      </c>
      <c r="C3555" s="77">
        <f t="shared" si="58"/>
        <v>3554</v>
      </c>
    </row>
    <row r="3556" spans="1:3" x14ac:dyDescent="0.2">
      <c r="A3556" s="78">
        <v>49212</v>
      </c>
      <c r="B3556" s="77">
        <f>+PT!A3558</f>
        <v>0</v>
      </c>
      <c r="C3556" s="77">
        <f t="shared" si="58"/>
        <v>3555</v>
      </c>
    </row>
    <row r="3557" spans="1:3" x14ac:dyDescent="0.2">
      <c r="A3557" s="78">
        <v>49213</v>
      </c>
      <c r="B3557" s="77">
        <f>+PT!A3559</f>
        <v>0</v>
      </c>
      <c r="C3557" s="77">
        <f t="shared" si="58"/>
        <v>3556</v>
      </c>
    </row>
    <row r="3558" spans="1:3" x14ac:dyDescent="0.2">
      <c r="A3558" s="78">
        <v>49214</v>
      </c>
      <c r="B3558" s="77">
        <f>+PT!A3560</f>
        <v>0</v>
      </c>
      <c r="C3558" s="77">
        <f t="shared" si="58"/>
        <v>3557</v>
      </c>
    </row>
    <row r="3559" spans="1:3" x14ac:dyDescent="0.2">
      <c r="A3559" s="78">
        <v>49215</v>
      </c>
      <c r="B3559" s="77">
        <f>+PT!A3561</f>
        <v>0</v>
      </c>
      <c r="C3559" s="77">
        <f t="shared" si="58"/>
        <v>3558</v>
      </c>
    </row>
    <row r="3560" spans="1:3" x14ac:dyDescent="0.2">
      <c r="A3560" s="78">
        <v>49216</v>
      </c>
      <c r="B3560" s="77">
        <f>+PT!A3562</f>
        <v>0</v>
      </c>
      <c r="C3560" s="77">
        <f t="shared" si="58"/>
        <v>3559</v>
      </c>
    </row>
    <row r="3561" spans="1:3" x14ac:dyDescent="0.2">
      <c r="A3561" s="78">
        <v>49217</v>
      </c>
      <c r="B3561" s="77">
        <f>+PT!A3563</f>
        <v>0</v>
      </c>
      <c r="C3561" s="77">
        <f t="shared" si="58"/>
        <v>3560</v>
      </c>
    </row>
    <row r="3562" spans="1:3" x14ac:dyDescent="0.2">
      <c r="A3562" s="78">
        <v>49218</v>
      </c>
      <c r="B3562" s="77">
        <f>+PT!A3564</f>
        <v>0</v>
      </c>
      <c r="C3562" s="77">
        <f t="shared" si="58"/>
        <v>3561</v>
      </c>
    </row>
    <row r="3563" spans="1:3" x14ac:dyDescent="0.2">
      <c r="A3563" s="78">
        <v>49219</v>
      </c>
      <c r="B3563" s="77">
        <f>+PT!A3565</f>
        <v>0</v>
      </c>
      <c r="C3563" s="77">
        <f t="shared" si="58"/>
        <v>3562</v>
      </c>
    </row>
    <row r="3564" spans="1:3" x14ac:dyDescent="0.2">
      <c r="A3564" s="78">
        <v>49220</v>
      </c>
      <c r="B3564" s="77">
        <f>+PT!A3566</f>
        <v>0</v>
      </c>
      <c r="C3564" s="77">
        <f t="shared" si="58"/>
        <v>3563</v>
      </c>
    </row>
    <row r="3565" spans="1:3" x14ac:dyDescent="0.2">
      <c r="A3565" s="78">
        <v>49221</v>
      </c>
      <c r="B3565" s="77">
        <f>+PT!A3567</f>
        <v>0</v>
      </c>
      <c r="C3565" s="77">
        <f t="shared" si="58"/>
        <v>3564</v>
      </c>
    </row>
    <row r="3566" spans="1:3" x14ac:dyDescent="0.2">
      <c r="A3566" s="78">
        <v>49222</v>
      </c>
      <c r="B3566" s="77">
        <f>+PT!A3568</f>
        <v>0</v>
      </c>
      <c r="C3566" s="77">
        <f t="shared" si="58"/>
        <v>3565</v>
      </c>
    </row>
    <row r="3567" spans="1:3" x14ac:dyDescent="0.2">
      <c r="A3567" s="78">
        <v>49223</v>
      </c>
      <c r="B3567" s="77">
        <f>+PT!A3569</f>
        <v>0</v>
      </c>
      <c r="C3567" s="77">
        <f t="shared" si="58"/>
        <v>3566</v>
      </c>
    </row>
    <row r="3568" spans="1:3" x14ac:dyDescent="0.2">
      <c r="A3568" s="78">
        <v>49224</v>
      </c>
      <c r="B3568" s="77">
        <f>+PT!A3570</f>
        <v>0</v>
      </c>
      <c r="C3568" s="77">
        <f t="shared" si="58"/>
        <v>3567</v>
      </c>
    </row>
    <row r="3569" spans="1:3" x14ac:dyDescent="0.2">
      <c r="A3569" s="78">
        <v>49225</v>
      </c>
      <c r="B3569" s="77">
        <f>+PT!A3571</f>
        <v>0</v>
      </c>
      <c r="C3569" s="77">
        <f t="shared" si="58"/>
        <v>3568</v>
      </c>
    </row>
    <row r="3570" spans="1:3" x14ac:dyDescent="0.2">
      <c r="A3570" s="78">
        <v>49226</v>
      </c>
      <c r="B3570" s="77">
        <f>+PT!A3572</f>
        <v>0</v>
      </c>
      <c r="C3570" s="77">
        <f t="shared" si="58"/>
        <v>3569</v>
      </c>
    </row>
    <row r="3571" spans="1:3" x14ac:dyDescent="0.2">
      <c r="A3571" s="78">
        <v>49227</v>
      </c>
      <c r="B3571" s="77">
        <f>+PT!A3573</f>
        <v>0</v>
      </c>
      <c r="C3571" s="77">
        <f t="shared" si="58"/>
        <v>3570</v>
      </c>
    </row>
    <row r="3572" spans="1:3" x14ac:dyDescent="0.2">
      <c r="A3572" s="78">
        <v>49228</v>
      </c>
      <c r="B3572" s="77">
        <f>+PT!A3574</f>
        <v>0</v>
      </c>
      <c r="C3572" s="77">
        <f t="shared" si="58"/>
        <v>3571</v>
      </c>
    </row>
    <row r="3573" spans="1:3" x14ac:dyDescent="0.2">
      <c r="A3573" s="78">
        <v>49229</v>
      </c>
      <c r="B3573" s="77">
        <f>+PT!A3575</f>
        <v>0</v>
      </c>
      <c r="C3573" s="77">
        <f t="shared" si="58"/>
        <v>3572</v>
      </c>
    </row>
    <row r="3574" spans="1:3" x14ac:dyDescent="0.2">
      <c r="A3574" s="78">
        <v>49230</v>
      </c>
      <c r="B3574" s="77">
        <f>+PT!A3576</f>
        <v>0</v>
      </c>
      <c r="C3574" s="77">
        <f t="shared" si="58"/>
        <v>3573</v>
      </c>
    </row>
    <row r="3575" spans="1:3" x14ac:dyDescent="0.2">
      <c r="A3575" s="78">
        <v>49231</v>
      </c>
      <c r="B3575" s="77">
        <f>+PT!A3577</f>
        <v>0</v>
      </c>
      <c r="C3575" s="77">
        <f t="shared" si="58"/>
        <v>3574</v>
      </c>
    </row>
    <row r="3576" spans="1:3" x14ac:dyDescent="0.2">
      <c r="A3576" s="78">
        <v>49232</v>
      </c>
      <c r="B3576" s="77">
        <f>+PT!A3578</f>
        <v>0</v>
      </c>
      <c r="C3576" s="77">
        <f t="shared" si="58"/>
        <v>3575</v>
      </c>
    </row>
    <row r="3577" spans="1:3" x14ac:dyDescent="0.2">
      <c r="A3577" s="78">
        <v>49233</v>
      </c>
      <c r="B3577" s="77">
        <f>+PT!A3579</f>
        <v>0</v>
      </c>
      <c r="C3577" s="77">
        <f t="shared" si="58"/>
        <v>3576</v>
      </c>
    </row>
    <row r="3578" spans="1:3" x14ac:dyDescent="0.2">
      <c r="A3578" s="78">
        <v>49234</v>
      </c>
      <c r="B3578" s="77">
        <f>+PT!A3580</f>
        <v>0</v>
      </c>
      <c r="C3578" s="77">
        <f t="shared" si="58"/>
        <v>3577</v>
      </c>
    </row>
    <row r="3579" spans="1:3" x14ac:dyDescent="0.2">
      <c r="A3579" s="78">
        <v>49235</v>
      </c>
      <c r="B3579" s="77">
        <f>+PT!A3581</f>
        <v>0</v>
      </c>
      <c r="C3579" s="77">
        <f t="shared" si="58"/>
        <v>3578</v>
      </c>
    </row>
    <row r="3580" spans="1:3" x14ac:dyDescent="0.2">
      <c r="A3580" s="78">
        <v>49236</v>
      </c>
      <c r="B3580" s="77">
        <f>+PT!A3582</f>
        <v>0</v>
      </c>
      <c r="C3580" s="77">
        <f t="shared" si="58"/>
        <v>3579</v>
      </c>
    </row>
    <row r="3581" spans="1:3" x14ac:dyDescent="0.2">
      <c r="A3581" s="78">
        <v>49237</v>
      </c>
      <c r="B3581" s="77">
        <f>+PT!A3583</f>
        <v>0</v>
      </c>
      <c r="C3581" s="77">
        <f t="shared" si="58"/>
        <v>3580</v>
      </c>
    </row>
    <row r="3582" spans="1:3" x14ac:dyDescent="0.2">
      <c r="A3582" s="78">
        <v>49238</v>
      </c>
      <c r="B3582" s="77">
        <f>+PT!A3584</f>
        <v>0</v>
      </c>
      <c r="C3582" s="77">
        <f t="shared" si="58"/>
        <v>3581</v>
      </c>
    </row>
    <row r="3583" spans="1:3" x14ac:dyDescent="0.2">
      <c r="A3583" s="78">
        <v>49239</v>
      </c>
      <c r="B3583" s="77">
        <f>+PT!A3585</f>
        <v>0</v>
      </c>
      <c r="C3583" s="77">
        <f t="shared" si="58"/>
        <v>3582</v>
      </c>
    </row>
    <row r="3584" spans="1:3" x14ac:dyDescent="0.2">
      <c r="A3584" s="78">
        <v>49240</v>
      </c>
      <c r="B3584" s="77">
        <f>+PT!A3586</f>
        <v>0</v>
      </c>
      <c r="C3584" s="77">
        <f t="shared" si="58"/>
        <v>3583</v>
      </c>
    </row>
    <row r="3585" spans="1:3" x14ac:dyDescent="0.2">
      <c r="A3585" s="78">
        <v>49241</v>
      </c>
      <c r="B3585" s="77">
        <f>+PT!A3587</f>
        <v>0</v>
      </c>
      <c r="C3585" s="77">
        <f t="shared" si="58"/>
        <v>3584</v>
      </c>
    </row>
    <row r="3586" spans="1:3" x14ac:dyDescent="0.2">
      <c r="A3586" s="78">
        <v>49242</v>
      </c>
      <c r="B3586" s="77">
        <f>+PT!A3588</f>
        <v>0</v>
      </c>
      <c r="C3586" s="77">
        <f t="shared" si="58"/>
        <v>3585</v>
      </c>
    </row>
    <row r="3587" spans="1:3" x14ac:dyDescent="0.2">
      <c r="A3587" s="78">
        <v>49243</v>
      </c>
      <c r="B3587" s="77">
        <f>+PT!A3589</f>
        <v>0</v>
      </c>
      <c r="C3587" s="77">
        <f t="shared" si="58"/>
        <v>3586</v>
      </c>
    </row>
    <row r="3588" spans="1:3" x14ac:dyDescent="0.2">
      <c r="A3588" s="78">
        <v>49244</v>
      </c>
      <c r="B3588" s="77">
        <f>+PT!A3590</f>
        <v>0</v>
      </c>
      <c r="C3588" s="77">
        <f t="shared" ref="C3588:C3651" si="59">+C3587+1</f>
        <v>3587</v>
      </c>
    </row>
    <row r="3589" spans="1:3" x14ac:dyDescent="0.2">
      <c r="A3589" s="78">
        <v>49245</v>
      </c>
      <c r="B3589" s="77">
        <f>+PT!A3591</f>
        <v>0</v>
      </c>
      <c r="C3589" s="77">
        <f t="shared" si="59"/>
        <v>3588</v>
      </c>
    </row>
    <row r="3590" spans="1:3" x14ac:dyDescent="0.2">
      <c r="A3590" s="78">
        <v>49246</v>
      </c>
      <c r="B3590" s="77">
        <f>+PT!A3592</f>
        <v>0</v>
      </c>
      <c r="C3590" s="77">
        <f t="shared" si="59"/>
        <v>3589</v>
      </c>
    </row>
    <row r="3591" spans="1:3" x14ac:dyDescent="0.2">
      <c r="A3591" s="78">
        <v>49247</v>
      </c>
      <c r="B3591" s="77">
        <f>+PT!A3593</f>
        <v>0</v>
      </c>
      <c r="C3591" s="77">
        <f t="shared" si="59"/>
        <v>3590</v>
      </c>
    </row>
    <row r="3592" spans="1:3" x14ac:dyDescent="0.2">
      <c r="A3592" s="78">
        <v>49248</v>
      </c>
      <c r="B3592" s="77">
        <f>+PT!A3594</f>
        <v>0</v>
      </c>
      <c r="C3592" s="77">
        <f t="shared" si="59"/>
        <v>3591</v>
      </c>
    </row>
    <row r="3593" spans="1:3" x14ac:dyDescent="0.2">
      <c r="A3593" s="78">
        <v>49249</v>
      </c>
      <c r="B3593" s="77">
        <f>+PT!A3595</f>
        <v>0</v>
      </c>
      <c r="C3593" s="77">
        <f t="shared" si="59"/>
        <v>3592</v>
      </c>
    </row>
    <row r="3594" spans="1:3" x14ac:dyDescent="0.2">
      <c r="A3594" s="78">
        <v>49250</v>
      </c>
      <c r="B3594" s="77">
        <f>+PT!A3596</f>
        <v>0</v>
      </c>
      <c r="C3594" s="77">
        <f t="shared" si="59"/>
        <v>3593</v>
      </c>
    </row>
    <row r="3595" spans="1:3" x14ac:dyDescent="0.2">
      <c r="A3595" s="78">
        <v>49251</v>
      </c>
      <c r="B3595" s="77">
        <f>+PT!A3597</f>
        <v>0</v>
      </c>
      <c r="C3595" s="77">
        <f t="shared" si="59"/>
        <v>3594</v>
      </c>
    </row>
    <row r="3596" spans="1:3" x14ac:dyDescent="0.2">
      <c r="A3596" s="78">
        <v>49252</v>
      </c>
      <c r="B3596" s="77">
        <f>+PT!A3598</f>
        <v>0</v>
      </c>
      <c r="C3596" s="77">
        <f t="shared" si="59"/>
        <v>3595</v>
      </c>
    </row>
    <row r="3597" spans="1:3" x14ac:dyDescent="0.2">
      <c r="A3597" s="78">
        <v>49253</v>
      </c>
      <c r="B3597" s="77">
        <f>+PT!A3599</f>
        <v>0</v>
      </c>
      <c r="C3597" s="77">
        <f t="shared" si="59"/>
        <v>3596</v>
      </c>
    </row>
    <row r="3598" spans="1:3" x14ac:dyDescent="0.2">
      <c r="A3598" s="78">
        <v>49254</v>
      </c>
      <c r="B3598" s="77">
        <f>+PT!A3600</f>
        <v>0</v>
      </c>
      <c r="C3598" s="77">
        <f t="shared" si="59"/>
        <v>3597</v>
      </c>
    </row>
    <row r="3599" spans="1:3" x14ac:dyDescent="0.2">
      <c r="A3599" s="78">
        <v>49255</v>
      </c>
      <c r="B3599" s="77">
        <f>+PT!A3601</f>
        <v>0</v>
      </c>
      <c r="C3599" s="77">
        <f t="shared" si="59"/>
        <v>3598</v>
      </c>
    </row>
    <row r="3600" spans="1:3" x14ac:dyDescent="0.2">
      <c r="A3600" s="78">
        <v>49256</v>
      </c>
      <c r="B3600" s="77">
        <f>+PT!A3602</f>
        <v>0</v>
      </c>
      <c r="C3600" s="77">
        <f t="shared" si="59"/>
        <v>3599</v>
      </c>
    </row>
    <row r="3601" spans="1:3" x14ac:dyDescent="0.2">
      <c r="A3601" s="78">
        <v>49257</v>
      </c>
      <c r="B3601" s="77">
        <f>+PT!A3603</f>
        <v>0</v>
      </c>
      <c r="C3601" s="77">
        <f t="shared" si="59"/>
        <v>3600</v>
      </c>
    </row>
    <row r="3602" spans="1:3" x14ac:dyDescent="0.2">
      <c r="A3602" s="78">
        <v>49258</v>
      </c>
      <c r="B3602" s="77">
        <f>+PT!A3604</f>
        <v>0</v>
      </c>
      <c r="C3602" s="77">
        <f t="shared" si="59"/>
        <v>3601</v>
      </c>
    </row>
    <row r="3603" spans="1:3" x14ac:dyDescent="0.2">
      <c r="A3603" s="78">
        <v>49259</v>
      </c>
      <c r="B3603" s="77">
        <f>+PT!A3605</f>
        <v>0</v>
      </c>
      <c r="C3603" s="77">
        <f t="shared" si="59"/>
        <v>3602</v>
      </c>
    </row>
    <row r="3604" spans="1:3" x14ac:dyDescent="0.2">
      <c r="A3604" s="78">
        <v>49260</v>
      </c>
      <c r="B3604" s="77">
        <f>+PT!A3606</f>
        <v>0</v>
      </c>
      <c r="C3604" s="77">
        <f t="shared" si="59"/>
        <v>3603</v>
      </c>
    </row>
    <row r="3605" spans="1:3" x14ac:dyDescent="0.2">
      <c r="A3605" s="78">
        <v>49261</v>
      </c>
      <c r="B3605" s="77">
        <f>+PT!A3607</f>
        <v>0</v>
      </c>
      <c r="C3605" s="77">
        <f t="shared" si="59"/>
        <v>3604</v>
      </c>
    </row>
    <row r="3606" spans="1:3" x14ac:dyDescent="0.2">
      <c r="A3606" s="78">
        <v>49262</v>
      </c>
      <c r="B3606" s="77">
        <f>+PT!A3608</f>
        <v>0</v>
      </c>
      <c r="C3606" s="77">
        <f t="shared" si="59"/>
        <v>3605</v>
      </c>
    </row>
    <row r="3607" spans="1:3" x14ac:dyDescent="0.2">
      <c r="A3607" s="78">
        <v>49263</v>
      </c>
      <c r="B3607" s="77">
        <f>+PT!A3609</f>
        <v>0</v>
      </c>
      <c r="C3607" s="77">
        <f t="shared" si="59"/>
        <v>3606</v>
      </c>
    </row>
    <row r="3608" spans="1:3" x14ac:dyDescent="0.2">
      <c r="A3608" s="78">
        <v>49264</v>
      </c>
      <c r="B3608" s="77">
        <f>+PT!A3610</f>
        <v>0</v>
      </c>
      <c r="C3608" s="77">
        <f t="shared" si="59"/>
        <v>3607</v>
      </c>
    </row>
    <row r="3609" spans="1:3" x14ac:dyDescent="0.2">
      <c r="A3609" s="78">
        <v>49265</v>
      </c>
      <c r="B3609" s="77">
        <f>+PT!A3611</f>
        <v>0</v>
      </c>
      <c r="C3609" s="77">
        <f t="shared" si="59"/>
        <v>3608</v>
      </c>
    </row>
    <row r="3610" spans="1:3" x14ac:dyDescent="0.2">
      <c r="A3610" s="78">
        <v>49266</v>
      </c>
      <c r="B3610" s="77">
        <f>+PT!A3612</f>
        <v>0</v>
      </c>
      <c r="C3610" s="77">
        <f t="shared" si="59"/>
        <v>3609</v>
      </c>
    </row>
    <row r="3611" spans="1:3" x14ac:dyDescent="0.2">
      <c r="A3611" s="78">
        <v>49267</v>
      </c>
      <c r="B3611" s="77">
        <f>+PT!A3613</f>
        <v>0</v>
      </c>
      <c r="C3611" s="77">
        <f t="shared" si="59"/>
        <v>3610</v>
      </c>
    </row>
    <row r="3612" spans="1:3" x14ac:dyDescent="0.2">
      <c r="A3612" s="78">
        <v>49268</v>
      </c>
      <c r="B3612" s="77">
        <f>+PT!A3614</f>
        <v>0</v>
      </c>
      <c r="C3612" s="77">
        <f t="shared" si="59"/>
        <v>3611</v>
      </c>
    </row>
    <row r="3613" spans="1:3" x14ac:dyDescent="0.2">
      <c r="A3613" s="78">
        <v>49269</v>
      </c>
      <c r="B3613" s="77">
        <f>+PT!A3615</f>
        <v>0</v>
      </c>
      <c r="C3613" s="77">
        <f t="shared" si="59"/>
        <v>3612</v>
      </c>
    </row>
    <row r="3614" spans="1:3" x14ac:dyDescent="0.2">
      <c r="A3614" s="78">
        <v>49270</v>
      </c>
      <c r="B3614" s="77">
        <f>+PT!A3616</f>
        <v>0</v>
      </c>
      <c r="C3614" s="77">
        <f t="shared" si="59"/>
        <v>3613</v>
      </c>
    </row>
    <row r="3615" spans="1:3" x14ac:dyDescent="0.2">
      <c r="A3615" s="78">
        <v>49271</v>
      </c>
      <c r="B3615" s="77">
        <f>+PT!A3617</f>
        <v>0</v>
      </c>
      <c r="C3615" s="77">
        <f t="shared" si="59"/>
        <v>3614</v>
      </c>
    </row>
    <row r="3616" spans="1:3" x14ac:dyDescent="0.2">
      <c r="A3616" s="78">
        <v>49272</v>
      </c>
      <c r="B3616" s="77">
        <f>+PT!A3618</f>
        <v>0</v>
      </c>
      <c r="C3616" s="77">
        <f t="shared" si="59"/>
        <v>3615</v>
      </c>
    </row>
    <row r="3617" spans="1:3" x14ac:dyDescent="0.2">
      <c r="A3617" s="78">
        <v>49273</v>
      </c>
      <c r="B3617" s="77">
        <f>+PT!A3619</f>
        <v>0</v>
      </c>
      <c r="C3617" s="77">
        <f t="shared" si="59"/>
        <v>3616</v>
      </c>
    </row>
    <row r="3618" spans="1:3" x14ac:dyDescent="0.2">
      <c r="A3618" s="78">
        <v>49274</v>
      </c>
      <c r="B3618" s="77">
        <f>+PT!A3620</f>
        <v>0</v>
      </c>
      <c r="C3618" s="77">
        <f t="shared" si="59"/>
        <v>3617</v>
      </c>
    </row>
    <row r="3619" spans="1:3" x14ac:dyDescent="0.2">
      <c r="A3619" s="78">
        <v>49275</v>
      </c>
      <c r="B3619" s="77">
        <f>+PT!A3621</f>
        <v>0</v>
      </c>
      <c r="C3619" s="77">
        <f t="shared" si="59"/>
        <v>3618</v>
      </c>
    </row>
    <row r="3620" spans="1:3" x14ac:dyDescent="0.2">
      <c r="A3620" s="78">
        <v>49276</v>
      </c>
      <c r="B3620" s="77">
        <f>+PT!A3622</f>
        <v>0</v>
      </c>
      <c r="C3620" s="77">
        <f t="shared" si="59"/>
        <v>3619</v>
      </c>
    </row>
    <row r="3621" spans="1:3" x14ac:dyDescent="0.2">
      <c r="A3621" s="78">
        <v>49277</v>
      </c>
      <c r="B3621" s="77">
        <f>+PT!A3623</f>
        <v>0</v>
      </c>
      <c r="C3621" s="77">
        <f t="shared" si="59"/>
        <v>3620</v>
      </c>
    </row>
    <row r="3622" spans="1:3" x14ac:dyDescent="0.2">
      <c r="A3622" s="78">
        <v>49278</v>
      </c>
      <c r="B3622" s="77">
        <f>+PT!A3624</f>
        <v>0</v>
      </c>
      <c r="C3622" s="77">
        <f t="shared" si="59"/>
        <v>3621</v>
      </c>
    </row>
    <row r="3623" spans="1:3" x14ac:dyDescent="0.2">
      <c r="A3623" s="78">
        <v>49279</v>
      </c>
      <c r="B3623" s="77">
        <f>+PT!A3625</f>
        <v>0</v>
      </c>
      <c r="C3623" s="77">
        <f t="shared" si="59"/>
        <v>3622</v>
      </c>
    </row>
    <row r="3624" spans="1:3" x14ac:dyDescent="0.2">
      <c r="A3624" s="78">
        <v>49280</v>
      </c>
      <c r="B3624" s="77">
        <f>+PT!A3626</f>
        <v>0</v>
      </c>
      <c r="C3624" s="77">
        <f t="shared" si="59"/>
        <v>3623</v>
      </c>
    </row>
    <row r="3625" spans="1:3" x14ac:dyDescent="0.2">
      <c r="A3625" s="78">
        <v>49281</v>
      </c>
      <c r="B3625" s="77">
        <f>+PT!A3627</f>
        <v>0</v>
      </c>
      <c r="C3625" s="77">
        <f t="shared" si="59"/>
        <v>3624</v>
      </c>
    </row>
    <row r="3626" spans="1:3" x14ac:dyDescent="0.2">
      <c r="A3626" s="78">
        <v>49282</v>
      </c>
      <c r="B3626" s="77">
        <f>+PT!A3628</f>
        <v>0</v>
      </c>
      <c r="C3626" s="77">
        <f t="shared" si="59"/>
        <v>3625</v>
      </c>
    </row>
    <row r="3627" spans="1:3" x14ac:dyDescent="0.2">
      <c r="A3627" s="78">
        <v>49283</v>
      </c>
      <c r="B3627" s="77">
        <f>+PT!A3629</f>
        <v>0</v>
      </c>
      <c r="C3627" s="77">
        <f t="shared" si="59"/>
        <v>3626</v>
      </c>
    </row>
    <row r="3628" spans="1:3" x14ac:dyDescent="0.2">
      <c r="A3628" s="78">
        <v>49284</v>
      </c>
      <c r="B3628" s="77">
        <f>+PT!A3630</f>
        <v>0</v>
      </c>
      <c r="C3628" s="77">
        <f t="shared" si="59"/>
        <v>3627</v>
      </c>
    </row>
    <row r="3629" spans="1:3" x14ac:dyDescent="0.2">
      <c r="A3629" s="78">
        <v>49285</v>
      </c>
      <c r="B3629" s="77">
        <f>+PT!A3631</f>
        <v>0</v>
      </c>
      <c r="C3629" s="77">
        <f t="shared" si="59"/>
        <v>3628</v>
      </c>
    </row>
    <row r="3630" spans="1:3" x14ac:dyDescent="0.2">
      <c r="A3630" s="78">
        <v>49286</v>
      </c>
      <c r="B3630" s="77">
        <f>+PT!A3632</f>
        <v>0</v>
      </c>
      <c r="C3630" s="77">
        <f t="shared" si="59"/>
        <v>3629</v>
      </c>
    </row>
    <row r="3631" spans="1:3" x14ac:dyDescent="0.2">
      <c r="A3631" s="78">
        <v>49287</v>
      </c>
      <c r="B3631" s="77">
        <f>+PT!A3633</f>
        <v>0</v>
      </c>
      <c r="C3631" s="77">
        <f t="shared" si="59"/>
        <v>3630</v>
      </c>
    </row>
    <row r="3632" spans="1:3" x14ac:dyDescent="0.2">
      <c r="A3632" s="78">
        <v>49288</v>
      </c>
      <c r="B3632" s="77">
        <f>+PT!A3634</f>
        <v>0</v>
      </c>
      <c r="C3632" s="77">
        <f t="shared" si="59"/>
        <v>3631</v>
      </c>
    </row>
    <row r="3633" spans="1:3" x14ac:dyDescent="0.2">
      <c r="A3633" s="78">
        <v>49289</v>
      </c>
      <c r="B3633" s="77">
        <f>+PT!A3635</f>
        <v>0</v>
      </c>
      <c r="C3633" s="77">
        <f t="shared" si="59"/>
        <v>3632</v>
      </c>
    </row>
    <row r="3634" spans="1:3" x14ac:dyDescent="0.2">
      <c r="A3634" s="78">
        <v>49290</v>
      </c>
      <c r="B3634" s="77">
        <f>+PT!A3636</f>
        <v>0</v>
      </c>
      <c r="C3634" s="77">
        <f t="shared" si="59"/>
        <v>3633</v>
      </c>
    </row>
    <row r="3635" spans="1:3" x14ac:dyDescent="0.2">
      <c r="A3635" s="78">
        <v>49291</v>
      </c>
      <c r="B3635" s="77">
        <f>+PT!A3637</f>
        <v>0</v>
      </c>
      <c r="C3635" s="77">
        <f t="shared" si="59"/>
        <v>3634</v>
      </c>
    </row>
    <row r="3636" spans="1:3" x14ac:dyDescent="0.2">
      <c r="A3636" s="78">
        <v>49292</v>
      </c>
      <c r="B3636" s="77">
        <f>+PT!A3638</f>
        <v>0</v>
      </c>
      <c r="C3636" s="77">
        <f t="shared" si="59"/>
        <v>3635</v>
      </c>
    </row>
    <row r="3637" spans="1:3" x14ac:dyDescent="0.2">
      <c r="A3637" s="78">
        <v>49293</v>
      </c>
      <c r="B3637" s="77">
        <f>+PT!A3639</f>
        <v>0</v>
      </c>
      <c r="C3637" s="77">
        <f t="shared" si="59"/>
        <v>3636</v>
      </c>
    </row>
    <row r="3638" spans="1:3" x14ac:dyDescent="0.2">
      <c r="A3638" s="78">
        <v>49294</v>
      </c>
      <c r="B3638" s="77">
        <f>+PT!A3640</f>
        <v>0</v>
      </c>
      <c r="C3638" s="77">
        <f t="shared" si="59"/>
        <v>3637</v>
      </c>
    </row>
    <row r="3639" spans="1:3" x14ac:dyDescent="0.2">
      <c r="A3639" s="78">
        <v>49295</v>
      </c>
      <c r="B3639" s="77">
        <f>+PT!A3641</f>
        <v>0</v>
      </c>
      <c r="C3639" s="77">
        <f t="shared" si="59"/>
        <v>3638</v>
      </c>
    </row>
    <row r="3640" spans="1:3" x14ac:dyDescent="0.2">
      <c r="A3640" s="78">
        <v>49296</v>
      </c>
      <c r="B3640" s="77">
        <f>+PT!A3642</f>
        <v>0</v>
      </c>
      <c r="C3640" s="77">
        <f t="shared" si="59"/>
        <v>3639</v>
      </c>
    </row>
    <row r="3641" spans="1:3" x14ac:dyDescent="0.2">
      <c r="A3641" s="78">
        <v>49297</v>
      </c>
      <c r="B3641" s="77">
        <f>+PT!A3643</f>
        <v>0</v>
      </c>
      <c r="C3641" s="77">
        <f t="shared" si="59"/>
        <v>3640</v>
      </c>
    </row>
    <row r="3642" spans="1:3" x14ac:dyDescent="0.2">
      <c r="A3642" s="78">
        <v>49298</v>
      </c>
      <c r="B3642" s="77">
        <f>+PT!A3644</f>
        <v>0</v>
      </c>
      <c r="C3642" s="77">
        <f t="shared" si="59"/>
        <v>3641</v>
      </c>
    </row>
    <row r="3643" spans="1:3" x14ac:dyDescent="0.2">
      <c r="A3643" s="78">
        <v>49299</v>
      </c>
      <c r="B3643" s="77">
        <f>+PT!A3645</f>
        <v>0</v>
      </c>
      <c r="C3643" s="77">
        <f t="shared" si="59"/>
        <v>3642</v>
      </c>
    </row>
    <row r="3644" spans="1:3" x14ac:dyDescent="0.2">
      <c r="A3644" s="78">
        <v>49300</v>
      </c>
      <c r="B3644" s="77">
        <f>+PT!A3646</f>
        <v>0</v>
      </c>
      <c r="C3644" s="77">
        <f t="shared" si="59"/>
        <v>3643</v>
      </c>
    </row>
    <row r="3645" spans="1:3" x14ac:dyDescent="0.2">
      <c r="A3645" s="78">
        <v>49301</v>
      </c>
      <c r="B3645" s="77">
        <f>+PT!A3647</f>
        <v>0</v>
      </c>
      <c r="C3645" s="77">
        <f t="shared" si="59"/>
        <v>3644</v>
      </c>
    </row>
    <row r="3646" spans="1:3" x14ac:dyDescent="0.2">
      <c r="A3646" s="78">
        <v>49302</v>
      </c>
      <c r="B3646" s="77">
        <f>+PT!A3648</f>
        <v>0</v>
      </c>
      <c r="C3646" s="77">
        <f t="shared" si="59"/>
        <v>3645</v>
      </c>
    </row>
    <row r="3647" spans="1:3" x14ac:dyDescent="0.2">
      <c r="A3647" s="78">
        <v>49303</v>
      </c>
      <c r="B3647" s="77">
        <f>+PT!A3649</f>
        <v>0</v>
      </c>
      <c r="C3647" s="77">
        <f t="shared" si="59"/>
        <v>3646</v>
      </c>
    </row>
    <row r="3648" spans="1:3" x14ac:dyDescent="0.2">
      <c r="A3648" s="78">
        <v>49304</v>
      </c>
      <c r="B3648" s="77">
        <f>+PT!A3650</f>
        <v>0</v>
      </c>
      <c r="C3648" s="77">
        <f t="shared" si="59"/>
        <v>3647</v>
      </c>
    </row>
    <row r="3649" spans="1:3" x14ac:dyDescent="0.2">
      <c r="A3649" s="78">
        <v>49305</v>
      </c>
      <c r="B3649" s="77">
        <f>+PT!A3651</f>
        <v>0</v>
      </c>
      <c r="C3649" s="77">
        <f t="shared" si="59"/>
        <v>3648</v>
      </c>
    </row>
    <row r="3650" spans="1:3" x14ac:dyDescent="0.2">
      <c r="A3650" s="78">
        <v>49306</v>
      </c>
      <c r="B3650" s="77">
        <f>+PT!A3652</f>
        <v>0</v>
      </c>
      <c r="C3650" s="77">
        <f t="shared" si="59"/>
        <v>3649</v>
      </c>
    </row>
    <row r="3651" spans="1:3" x14ac:dyDescent="0.2">
      <c r="A3651" s="78">
        <v>49307</v>
      </c>
      <c r="B3651" s="77">
        <f>+PT!A3653</f>
        <v>0</v>
      </c>
      <c r="C3651" s="77">
        <f t="shared" si="59"/>
        <v>3650</v>
      </c>
    </row>
    <row r="3652" spans="1:3" x14ac:dyDescent="0.2">
      <c r="A3652" s="78">
        <v>49308</v>
      </c>
      <c r="B3652" s="77">
        <f>+PT!A3654</f>
        <v>0</v>
      </c>
      <c r="C3652" s="77">
        <f t="shared" ref="C3652:C3715" si="60">+C3651+1</f>
        <v>3651</v>
      </c>
    </row>
    <row r="3653" spans="1:3" x14ac:dyDescent="0.2">
      <c r="A3653" s="78">
        <v>49309</v>
      </c>
      <c r="B3653" s="77">
        <f>+PT!A3655</f>
        <v>0</v>
      </c>
      <c r="C3653" s="77">
        <f t="shared" si="60"/>
        <v>3652</v>
      </c>
    </row>
    <row r="3654" spans="1:3" x14ac:dyDescent="0.2">
      <c r="A3654" s="78">
        <v>49310</v>
      </c>
      <c r="B3654" s="77">
        <f>+PT!A3656</f>
        <v>0</v>
      </c>
      <c r="C3654" s="77">
        <f t="shared" si="60"/>
        <v>3653</v>
      </c>
    </row>
    <row r="3655" spans="1:3" x14ac:dyDescent="0.2">
      <c r="A3655" s="78">
        <v>49311</v>
      </c>
      <c r="B3655" s="77">
        <f>+PT!A3657</f>
        <v>0</v>
      </c>
      <c r="C3655" s="77">
        <f t="shared" si="60"/>
        <v>3654</v>
      </c>
    </row>
    <row r="3656" spans="1:3" x14ac:dyDescent="0.2">
      <c r="A3656" s="78">
        <v>49312</v>
      </c>
      <c r="B3656" s="77">
        <f>+PT!A3658</f>
        <v>0</v>
      </c>
      <c r="C3656" s="77">
        <f t="shared" si="60"/>
        <v>3655</v>
      </c>
    </row>
    <row r="3657" spans="1:3" x14ac:dyDescent="0.2">
      <c r="A3657" s="78">
        <v>49313</v>
      </c>
      <c r="B3657" s="77">
        <f>+PT!A3659</f>
        <v>0</v>
      </c>
      <c r="C3657" s="77">
        <f t="shared" si="60"/>
        <v>3656</v>
      </c>
    </row>
    <row r="3658" spans="1:3" x14ac:dyDescent="0.2">
      <c r="A3658" s="78">
        <v>49314</v>
      </c>
      <c r="B3658" s="77">
        <f>+PT!A3660</f>
        <v>0</v>
      </c>
      <c r="C3658" s="77">
        <f t="shared" si="60"/>
        <v>3657</v>
      </c>
    </row>
    <row r="3659" spans="1:3" x14ac:dyDescent="0.2">
      <c r="A3659" s="78">
        <v>49315</v>
      </c>
      <c r="B3659" s="77">
        <f>+PT!A3661</f>
        <v>0</v>
      </c>
      <c r="C3659" s="77">
        <f t="shared" si="60"/>
        <v>3658</v>
      </c>
    </row>
    <row r="3660" spans="1:3" x14ac:dyDescent="0.2">
      <c r="A3660" s="78">
        <v>49316</v>
      </c>
      <c r="B3660" s="77">
        <f>+PT!A3662</f>
        <v>0</v>
      </c>
      <c r="C3660" s="77">
        <f t="shared" si="60"/>
        <v>3659</v>
      </c>
    </row>
    <row r="3661" spans="1:3" x14ac:dyDescent="0.2">
      <c r="A3661" s="78">
        <v>49317</v>
      </c>
      <c r="B3661" s="77">
        <f>+PT!A3663</f>
        <v>0</v>
      </c>
      <c r="C3661" s="77">
        <f t="shared" si="60"/>
        <v>3660</v>
      </c>
    </row>
    <row r="3662" spans="1:3" x14ac:dyDescent="0.2">
      <c r="A3662" s="78">
        <v>49318</v>
      </c>
      <c r="B3662" s="77">
        <f>+PT!A3664</f>
        <v>0</v>
      </c>
      <c r="C3662" s="77">
        <f t="shared" si="60"/>
        <v>3661</v>
      </c>
    </row>
    <row r="3663" spans="1:3" x14ac:dyDescent="0.2">
      <c r="A3663" s="78">
        <v>49319</v>
      </c>
      <c r="B3663" s="77">
        <f>+PT!A3665</f>
        <v>0</v>
      </c>
      <c r="C3663" s="77">
        <f t="shared" si="60"/>
        <v>3662</v>
      </c>
    </row>
    <row r="3664" spans="1:3" x14ac:dyDescent="0.2">
      <c r="A3664" s="78">
        <v>49320</v>
      </c>
      <c r="B3664" s="77">
        <f>+PT!A3666</f>
        <v>0</v>
      </c>
      <c r="C3664" s="77">
        <f t="shared" si="60"/>
        <v>3663</v>
      </c>
    </row>
    <row r="3665" spans="1:3" x14ac:dyDescent="0.2">
      <c r="A3665" s="78">
        <v>49321</v>
      </c>
      <c r="B3665" s="77">
        <f>+PT!A3667</f>
        <v>0</v>
      </c>
      <c r="C3665" s="77">
        <f t="shared" si="60"/>
        <v>3664</v>
      </c>
    </row>
    <row r="3666" spans="1:3" x14ac:dyDescent="0.2">
      <c r="A3666" s="78">
        <v>49322</v>
      </c>
      <c r="B3666" s="77">
        <f>+PT!A3668</f>
        <v>0</v>
      </c>
      <c r="C3666" s="77">
        <f t="shared" si="60"/>
        <v>3665</v>
      </c>
    </row>
    <row r="3667" spans="1:3" x14ac:dyDescent="0.2">
      <c r="A3667" s="78">
        <v>49323</v>
      </c>
      <c r="B3667" s="77">
        <f>+PT!A3669</f>
        <v>0</v>
      </c>
      <c r="C3667" s="77">
        <f t="shared" si="60"/>
        <v>3666</v>
      </c>
    </row>
    <row r="3668" spans="1:3" x14ac:dyDescent="0.2">
      <c r="A3668" s="78">
        <v>49324</v>
      </c>
      <c r="B3668" s="77">
        <f>+PT!A3670</f>
        <v>0</v>
      </c>
      <c r="C3668" s="77">
        <f t="shared" si="60"/>
        <v>3667</v>
      </c>
    </row>
    <row r="3669" spans="1:3" x14ac:dyDescent="0.2">
      <c r="A3669" s="78">
        <v>49325</v>
      </c>
      <c r="B3669" s="77">
        <f>+PT!A3671</f>
        <v>0</v>
      </c>
      <c r="C3669" s="77">
        <f t="shared" si="60"/>
        <v>3668</v>
      </c>
    </row>
    <row r="3670" spans="1:3" x14ac:dyDescent="0.2">
      <c r="A3670" s="78">
        <v>49326</v>
      </c>
      <c r="B3670" s="77">
        <f>+PT!A3672</f>
        <v>0</v>
      </c>
      <c r="C3670" s="77">
        <f t="shared" si="60"/>
        <v>3669</v>
      </c>
    </row>
    <row r="3671" spans="1:3" x14ac:dyDescent="0.2">
      <c r="A3671" s="78">
        <v>49327</v>
      </c>
      <c r="B3671" s="77">
        <f>+PT!A3673</f>
        <v>0</v>
      </c>
      <c r="C3671" s="77">
        <f t="shared" si="60"/>
        <v>3670</v>
      </c>
    </row>
    <row r="3672" spans="1:3" x14ac:dyDescent="0.2">
      <c r="A3672" s="78">
        <v>49328</v>
      </c>
      <c r="B3672" s="77">
        <f>+PT!A3674</f>
        <v>0</v>
      </c>
      <c r="C3672" s="77">
        <f t="shared" si="60"/>
        <v>3671</v>
      </c>
    </row>
    <row r="3673" spans="1:3" x14ac:dyDescent="0.2">
      <c r="A3673" s="78">
        <v>49329</v>
      </c>
      <c r="B3673" s="77">
        <f>+PT!A3675</f>
        <v>0</v>
      </c>
      <c r="C3673" s="77">
        <f t="shared" si="60"/>
        <v>3672</v>
      </c>
    </row>
    <row r="3674" spans="1:3" x14ac:dyDescent="0.2">
      <c r="A3674" s="78">
        <v>49330</v>
      </c>
      <c r="B3674" s="77">
        <f>+PT!A3676</f>
        <v>0</v>
      </c>
      <c r="C3674" s="77">
        <f t="shared" si="60"/>
        <v>3673</v>
      </c>
    </row>
    <row r="3675" spans="1:3" x14ac:dyDescent="0.2">
      <c r="A3675" s="78">
        <v>49331</v>
      </c>
      <c r="B3675" s="77">
        <f>+PT!A3677</f>
        <v>0</v>
      </c>
      <c r="C3675" s="77">
        <f t="shared" si="60"/>
        <v>3674</v>
      </c>
    </row>
    <row r="3676" spans="1:3" x14ac:dyDescent="0.2">
      <c r="A3676" s="78">
        <v>49332</v>
      </c>
      <c r="B3676" s="77">
        <f>+PT!A3678</f>
        <v>0</v>
      </c>
      <c r="C3676" s="77">
        <f t="shared" si="60"/>
        <v>3675</v>
      </c>
    </row>
    <row r="3677" spans="1:3" x14ac:dyDescent="0.2">
      <c r="A3677" s="78">
        <v>49333</v>
      </c>
      <c r="B3677" s="77">
        <f>+PT!A3679</f>
        <v>0</v>
      </c>
      <c r="C3677" s="77">
        <f t="shared" si="60"/>
        <v>3676</v>
      </c>
    </row>
    <row r="3678" spans="1:3" x14ac:dyDescent="0.2">
      <c r="A3678" s="78">
        <v>49334</v>
      </c>
      <c r="B3678" s="77">
        <f>+PT!A3680</f>
        <v>0</v>
      </c>
      <c r="C3678" s="77">
        <f t="shared" si="60"/>
        <v>3677</v>
      </c>
    </row>
    <row r="3679" spans="1:3" x14ac:dyDescent="0.2">
      <c r="A3679" s="78">
        <v>49335</v>
      </c>
      <c r="B3679" s="77">
        <f>+PT!A3681</f>
        <v>0</v>
      </c>
      <c r="C3679" s="77">
        <f t="shared" si="60"/>
        <v>3678</v>
      </c>
    </row>
    <row r="3680" spans="1:3" x14ac:dyDescent="0.2">
      <c r="A3680" s="78">
        <v>49336</v>
      </c>
      <c r="B3680" s="77">
        <f>+PT!A3682</f>
        <v>0</v>
      </c>
      <c r="C3680" s="77">
        <f t="shared" si="60"/>
        <v>3679</v>
      </c>
    </row>
    <row r="3681" spans="1:3" x14ac:dyDescent="0.2">
      <c r="A3681" s="78">
        <v>49337</v>
      </c>
      <c r="B3681" s="77">
        <f>+PT!A3683</f>
        <v>0</v>
      </c>
      <c r="C3681" s="77">
        <f t="shared" si="60"/>
        <v>3680</v>
      </c>
    </row>
    <row r="3682" spans="1:3" x14ac:dyDescent="0.2">
      <c r="A3682" s="78">
        <v>49338</v>
      </c>
      <c r="B3682" s="77">
        <f>+PT!A3684</f>
        <v>0</v>
      </c>
      <c r="C3682" s="77">
        <f t="shared" si="60"/>
        <v>3681</v>
      </c>
    </row>
    <row r="3683" spans="1:3" x14ac:dyDescent="0.2">
      <c r="A3683" s="78">
        <v>49339</v>
      </c>
      <c r="B3683" s="77">
        <f>+PT!A3685</f>
        <v>0</v>
      </c>
      <c r="C3683" s="77">
        <f t="shared" si="60"/>
        <v>3682</v>
      </c>
    </row>
    <row r="3684" spans="1:3" x14ac:dyDescent="0.2">
      <c r="A3684" s="78">
        <v>49340</v>
      </c>
      <c r="B3684" s="77">
        <f>+PT!A3686</f>
        <v>0</v>
      </c>
      <c r="C3684" s="77">
        <f t="shared" si="60"/>
        <v>3683</v>
      </c>
    </row>
    <row r="3685" spans="1:3" x14ac:dyDescent="0.2">
      <c r="A3685" s="78">
        <v>49341</v>
      </c>
      <c r="B3685" s="77">
        <f>+PT!A3687</f>
        <v>0</v>
      </c>
      <c r="C3685" s="77">
        <f t="shared" si="60"/>
        <v>3684</v>
      </c>
    </row>
    <row r="3686" spans="1:3" x14ac:dyDescent="0.2">
      <c r="A3686" s="78">
        <v>49342</v>
      </c>
      <c r="B3686" s="77">
        <f>+PT!A3688</f>
        <v>0</v>
      </c>
      <c r="C3686" s="77">
        <f t="shared" si="60"/>
        <v>3685</v>
      </c>
    </row>
    <row r="3687" spans="1:3" x14ac:dyDescent="0.2">
      <c r="A3687" s="78">
        <v>49343</v>
      </c>
      <c r="B3687" s="77">
        <f>+PT!A3689</f>
        <v>0</v>
      </c>
      <c r="C3687" s="77">
        <f t="shared" si="60"/>
        <v>3686</v>
      </c>
    </row>
    <row r="3688" spans="1:3" x14ac:dyDescent="0.2">
      <c r="A3688" s="78">
        <v>49344</v>
      </c>
      <c r="B3688" s="77">
        <f>+PT!A3690</f>
        <v>0</v>
      </c>
      <c r="C3688" s="77">
        <f t="shared" si="60"/>
        <v>3687</v>
      </c>
    </row>
    <row r="3689" spans="1:3" x14ac:dyDescent="0.2">
      <c r="A3689" s="78">
        <v>49345</v>
      </c>
      <c r="B3689" s="77">
        <f>+PT!A3691</f>
        <v>0</v>
      </c>
      <c r="C3689" s="77">
        <f t="shared" si="60"/>
        <v>3688</v>
      </c>
    </row>
    <row r="3690" spans="1:3" x14ac:dyDescent="0.2">
      <c r="A3690" s="78">
        <v>49346</v>
      </c>
      <c r="B3690" s="77">
        <f>+PT!A3692</f>
        <v>0</v>
      </c>
      <c r="C3690" s="77">
        <f t="shared" si="60"/>
        <v>3689</v>
      </c>
    </row>
    <row r="3691" spans="1:3" x14ac:dyDescent="0.2">
      <c r="A3691" s="78">
        <v>49347</v>
      </c>
      <c r="B3691" s="77">
        <f>+PT!A3693</f>
        <v>0</v>
      </c>
      <c r="C3691" s="77">
        <f t="shared" si="60"/>
        <v>3690</v>
      </c>
    </row>
    <row r="3692" spans="1:3" x14ac:dyDescent="0.2">
      <c r="A3692" s="78">
        <v>49348</v>
      </c>
      <c r="B3692" s="77">
        <f>+PT!A3694</f>
        <v>0</v>
      </c>
      <c r="C3692" s="77">
        <f t="shared" si="60"/>
        <v>3691</v>
      </c>
    </row>
    <row r="3693" spans="1:3" x14ac:dyDescent="0.2">
      <c r="A3693" s="78">
        <v>49349</v>
      </c>
      <c r="B3693" s="77">
        <f>+PT!A3695</f>
        <v>0</v>
      </c>
      <c r="C3693" s="77">
        <f t="shared" si="60"/>
        <v>3692</v>
      </c>
    </row>
    <row r="3694" spans="1:3" x14ac:dyDescent="0.2">
      <c r="A3694" s="78">
        <v>49350</v>
      </c>
      <c r="B3694" s="77">
        <f>+PT!A3696</f>
        <v>0</v>
      </c>
      <c r="C3694" s="77">
        <f t="shared" si="60"/>
        <v>3693</v>
      </c>
    </row>
    <row r="3695" spans="1:3" x14ac:dyDescent="0.2">
      <c r="A3695" s="78">
        <v>49351</v>
      </c>
      <c r="B3695" s="77">
        <f>+PT!A3697</f>
        <v>0</v>
      </c>
      <c r="C3695" s="77">
        <f t="shared" si="60"/>
        <v>3694</v>
      </c>
    </row>
    <row r="3696" spans="1:3" x14ac:dyDescent="0.2">
      <c r="A3696" s="78">
        <v>49352</v>
      </c>
      <c r="B3696" s="77">
        <f>+PT!A3698</f>
        <v>0</v>
      </c>
      <c r="C3696" s="77">
        <f t="shared" si="60"/>
        <v>3695</v>
      </c>
    </row>
    <row r="3697" spans="1:3" x14ac:dyDescent="0.2">
      <c r="A3697" s="78">
        <v>49353</v>
      </c>
      <c r="B3697" s="77">
        <f>+PT!A3699</f>
        <v>0</v>
      </c>
      <c r="C3697" s="77">
        <f t="shared" si="60"/>
        <v>3696</v>
      </c>
    </row>
    <row r="3698" spans="1:3" x14ac:dyDescent="0.2">
      <c r="A3698" s="78">
        <v>49354</v>
      </c>
      <c r="B3698" s="77">
        <f>+PT!A3700</f>
        <v>0</v>
      </c>
      <c r="C3698" s="77">
        <f t="shared" si="60"/>
        <v>3697</v>
      </c>
    </row>
    <row r="3699" spans="1:3" x14ac:dyDescent="0.2">
      <c r="A3699" s="78">
        <v>49355</v>
      </c>
      <c r="B3699" s="77">
        <f>+PT!A3701</f>
        <v>0</v>
      </c>
      <c r="C3699" s="77">
        <f t="shared" si="60"/>
        <v>3698</v>
      </c>
    </row>
    <row r="3700" spans="1:3" x14ac:dyDescent="0.2">
      <c r="A3700" s="78">
        <v>49356</v>
      </c>
      <c r="B3700" s="77">
        <f>+PT!A3702</f>
        <v>0</v>
      </c>
      <c r="C3700" s="77">
        <f t="shared" si="60"/>
        <v>3699</v>
      </c>
    </row>
    <row r="3701" spans="1:3" x14ac:dyDescent="0.2">
      <c r="A3701" s="78">
        <v>49357</v>
      </c>
      <c r="B3701" s="77">
        <f>+PT!A3703</f>
        <v>0</v>
      </c>
      <c r="C3701" s="77">
        <f t="shared" si="60"/>
        <v>3700</v>
      </c>
    </row>
    <row r="3702" spans="1:3" x14ac:dyDescent="0.2">
      <c r="A3702" s="78">
        <v>49358</v>
      </c>
      <c r="B3702" s="77">
        <f>+PT!A3704</f>
        <v>0</v>
      </c>
      <c r="C3702" s="77">
        <f t="shared" si="60"/>
        <v>3701</v>
      </c>
    </row>
    <row r="3703" spans="1:3" x14ac:dyDescent="0.2">
      <c r="A3703" s="78">
        <v>49359</v>
      </c>
      <c r="B3703" s="77">
        <f>+PT!A3705</f>
        <v>0</v>
      </c>
      <c r="C3703" s="77">
        <f t="shared" si="60"/>
        <v>3702</v>
      </c>
    </row>
    <row r="3704" spans="1:3" x14ac:dyDescent="0.2">
      <c r="A3704" s="78">
        <v>49360</v>
      </c>
      <c r="B3704" s="77">
        <f>+PT!A3706</f>
        <v>0</v>
      </c>
      <c r="C3704" s="77">
        <f t="shared" si="60"/>
        <v>3703</v>
      </c>
    </row>
    <row r="3705" spans="1:3" x14ac:dyDescent="0.2">
      <c r="A3705" s="78">
        <v>49361</v>
      </c>
      <c r="B3705" s="77">
        <f>+PT!A3707</f>
        <v>0</v>
      </c>
      <c r="C3705" s="77">
        <f t="shared" si="60"/>
        <v>3704</v>
      </c>
    </row>
    <row r="3706" spans="1:3" x14ac:dyDescent="0.2">
      <c r="A3706" s="78">
        <v>49362</v>
      </c>
      <c r="B3706" s="77">
        <f>+PT!A3708</f>
        <v>0</v>
      </c>
      <c r="C3706" s="77">
        <f t="shared" si="60"/>
        <v>3705</v>
      </c>
    </row>
    <row r="3707" spans="1:3" x14ac:dyDescent="0.2">
      <c r="A3707" s="78">
        <v>49363</v>
      </c>
      <c r="B3707" s="77">
        <f>+PT!A3709</f>
        <v>0</v>
      </c>
      <c r="C3707" s="77">
        <f t="shared" si="60"/>
        <v>3706</v>
      </c>
    </row>
    <row r="3708" spans="1:3" x14ac:dyDescent="0.2">
      <c r="A3708" s="78">
        <v>49364</v>
      </c>
      <c r="B3708" s="77">
        <f>+PT!A3710</f>
        <v>0</v>
      </c>
      <c r="C3708" s="77">
        <f t="shared" si="60"/>
        <v>3707</v>
      </c>
    </row>
    <row r="3709" spans="1:3" x14ac:dyDescent="0.2">
      <c r="A3709" s="78">
        <v>49365</v>
      </c>
      <c r="B3709" s="77">
        <f>+PT!A3711</f>
        <v>0</v>
      </c>
      <c r="C3709" s="77">
        <f t="shared" si="60"/>
        <v>3708</v>
      </c>
    </row>
    <row r="3710" spans="1:3" x14ac:dyDescent="0.2">
      <c r="A3710" s="78">
        <v>49366</v>
      </c>
      <c r="B3710" s="77">
        <f>+PT!A3712</f>
        <v>0</v>
      </c>
      <c r="C3710" s="77">
        <f t="shared" si="60"/>
        <v>3709</v>
      </c>
    </row>
    <row r="3711" spans="1:3" x14ac:dyDescent="0.2">
      <c r="A3711" s="78">
        <v>49367</v>
      </c>
      <c r="B3711" s="77">
        <f>+PT!A3713</f>
        <v>0</v>
      </c>
      <c r="C3711" s="77">
        <f t="shared" si="60"/>
        <v>3710</v>
      </c>
    </row>
    <row r="3712" spans="1:3" x14ac:dyDescent="0.2">
      <c r="A3712" s="78">
        <v>49368</v>
      </c>
      <c r="B3712" s="77">
        <f>+PT!A3714</f>
        <v>0</v>
      </c>
      <c r="C3712" s="77">
        <f t="shared" si="60"/>
        <v>3711</v>
      </c>
    </row>
    <row r="3713" spans="1:3" x14ac:dyDescent="0.2">
      <c r="A3713" s="78">
        <v>49369</v>
      </c>
      <c r="B3713" s="77">
        <f>+PT!A3715</f>
        <v>0</v>
      </c>
      <c r="C3713" s="77">
        <f t="shared" si="60"/>
        <v>3712</v>
      </c>
    </row>
    <row r="3714" spans="1:3" x14ac:dyDescent="0.2">
      <c r="A3714" s="78">
        <v>49370</v>
      </c>
      <c r="B3714" s="77">
        <f>+PT!A3716</f>
        <v>0</v>
      </c>
      <c r="C3714" s="77">
        <f t="shared" si="60"/>
        <v>3713</v>
      </c>
    </row>
    <row r="3715" spans="1:3" x14ac:dyDescent="0.2">
      <c r="A3715" s="78">
        <v>49371</v>
      </c>
      <c r="B3715" s="77">
        <f>+PT!A3717</f>
        <v>0</v>
      </c>
      <c r="C3715" s="77">
        <f t="shared" si="60"/>
        <v>3714</v>
      </c>
    </row>
    <row r="3716" spans="1:3" x14ac:dyDescent="0.2">
      <c r="A3716" s="78">
        <v>49372</v>
      </c>
      <c r="B3716" s="77">
        <f>+PT!A3718</f>
        <v>0</v>
      </c>
      <c r="C3716" s="77">
        <f t="shared" ref="C3716:C3779" si="61">+C3715+1</f>
        <v>3715</v>
      </c>
    </row>
    <row r="3717" spans="1:3" x14ac:dyDescent="0.2">
      <c r="A3717" s="78">
        <v>49373</v>
      </c>
      <c r="B3717" s="77">
        <f>+PT!A3719</f>
        <v>0</v>
      </c>
      <c r="C3717" s="77">
        <f t="shared" si="61"/>
        <v>3716</v>
      </c>
    </row>
    <row r="3718" spans="1:3" x14ac:dyDescent="0.2">
      <c r="A3718" s="78">
        <v>49374</v>
      </c>
      <c r="B3718" s="77">
        <f>+PT!A3720</f>
        <v>0</v>
      </c>
      <c r="C3718" s="77">
        <f t="shared" si="61"/>
        <v>3717</v>
      </c>
    </row>
    <row r="3719" spans="1:3" x14ac:dyDescent="0.2">
      <c r="A3719" s="78">
        <v>49375</v>
      </c>
      <c r="B3719" s="77">
        <f>+PT!A3721</f>
        <v>0</v>
      </c>
      <c r="C3719" s="77">
        <f t="shared" si="61"/>
        <v>3718</v>
      </c>
    </row>
    <row r="3720" spans="1:3" x14ac:dyDescent="0.2">
      <c r="A3720" s="78">
        <v>49376</v>
      </c>
      <c r="B3720" s="77">
        <f>+PT!A3722</f>
        <v>0</v>
      </c>
      <c r="C3720" s="77">
        <f t="shared" si="61"/>
        <v>3719</v>
      </c>
    </row>
    <row r="3721" spans="1:3" x14ac:dyDescent="0.2">
      <c r="A3721" s="78">
        <v>49377</v>
      </c>
      <c r="B3721" s="77">
        <f>+PT!A3723</f>
        <v>0</v>
      </c>
      <c r="C3721" s="77">
        <f t="shared" si="61"/>
        <v>3720</v>
      </c>
    </row>
    <row r="3722" spans="1:3" x14ac:dyDescent="0.2">
      <c r="A3722" s="78">
        <v>49378</v>
      </c>
      <c r="B3722" s="77">
        <f>+PT!A3724</f>
        <v>0</v>
      </c>
      <c r="C3722" s="77">
        <f t="shared" si="61"/>
        <v>3721</v>
      </c>
    </row>
    <row r="3723" spans="1:3" x14ac:dyDescent="0.2">
      <c r="A3723" s="78">
        <v>49379</v>
      </c>
      <c r="B3723" s="77">
        <f>+PT!A3725</f>
        <v>0</v>
      </c>
      <c r="C3723" s="77">
        <f t="shared" si="61"/>
        <v>3722</v>
      </c>
    </row>
    <row r="3724" spans="1:3" x14ac:dyDescent="0.2">
      <c r="A3724" s="78">
        <v>49380</v>
      </c>
      <c r="B3724" s="77">
        <f>+PT!A3726</f>
        <v>0</v>
      </c>
      <c r="C3724" s="77">
        <f t="shared" si="61"/>
        <v>3723</v>
      </c>
    </row>
    <row r="3725" spans="1:3" x14ac:dyDescent="0.2">
      <c r="A3725" s="78">
        <v>49381</v>
      </c>
      <c r="B3725" s="77">
        <f>+PT!A3727</f>
        <v>0</v>
      </c>
      <c r="C3725" s="77">
        <f t="shared" si="61"/>
        <v>3724</v>
      </c>
    </row>
    <row r="3726" spans="1:3" x14ac:dyDescent="0.2">
      <c r="A3726" s="78">
        <v>49382</v>
      </c>
      <c r="B3726" s="77">
        <f>+PT!A3728</f>
        <v>0</v>
      </c>
      <c r="C3726" s="77">
        <f t="shared" si="61"/>
        <v>3725</v>
      </c>
    </row>
    <row r="3727" spans="1:3" x14ac:dyDescent="0.2">
      <c r="A3727" s="78">
        <v>49383</v>
      </c>
      <c r="B3727" s="77">
        <f>+PT!A3729</f>
        <v>0</v>
      </c>
      <c r="C3727" s="77">
        <f t="shared" si="61"/>
        <v>3726</v>
      </c>
    </row>
    <row r="3728" spans="1:3" x14ac:dyDescent="0.2">
      <c r="A3728" s="78">
        <v>49384</v>
      </c>
      <c r="B3728" s="77">
        <f>+PT!A3730</f>
        <v>0</v>
      </c>
      <c r="C3728" s="77">
        <f t="shared" si="61"/>
        <v>3727</v>
      </c>
    </row>
    <row r="3729" spans="1:3" x14ac:dyDescent="0.2">
      <c r="A3729" s="78">
        <v>49385</v>
      </c>
      <c r="B3729" s="77">
        <f>+PT!A3731</f>
        <v>0</v>
      </c>
      <c r="C3729" s="77">
        <f t="shared" si="61"/>
        <v>3728</v>
      </c>
    </row>
    <row r="3730" spans="1:3" x14ac:dyDescent="0.2">
      <c r="A3730" s="78">
        <v>49386</v>
      </c>
      <c r="B3730" s="77">
        <f>+PT!A3732</f>
        <v>0</v>
      </c>
      <c r="C3730" s="77">
        <f t="shared" si="61"/>
        <v>3729</v>
      </c>
    </row>
    <row r="3731" spans="1:3" x14ac:dyDescent="0.2">
      <c r="A3731" s="78">
        <v>49387</v>
      </c>
      <c r="B3731" s="77">
        <f>+PT!A3733</f>
        <v>0</v>
      </c>
      <c r="C3731" s="77">
        <f t="shared" si="61"/>
        <v>3730</v>
      </c>
    </row>
    <row r="3732" spans="1:3" x14ac:dyDescent="0.2">
      <c r="A3732" s="78">
        <v>49388</v>
      </c>
      <c r="B3732" s="77">
        <f>+PT!A3734</f>
        <v>0</v>
      </c>
      <c r="C3732" s="77">
        <f t="shared" si="61"/>
        <v>3731</v>
      </c>
    </row>
    <row r="3733" spans="1:3" x14ac:dyDescent="0.2">
      <c r="A3733" s="78">
        <v>49389</v>
      </c>
      <c r="B3733" s="77">
        <f>+PT!A3735</f>
        <v>0</v>
      </c>
      <c r="C3733" s="77">
        <f t="shared" si="61"/>
        <v>3732</v>
      </c>
    </row>
    <row r="3734" spans="1:3" x14ac:dyDescent="0.2">
      <c r="A3734" s="78">
        <v>49390</v>
      </c>
      <c r="B3734" s="77">
        <f>+PT!A3736</f>
        <v>0</v>
      </c>
      <c r="C3734" s="77">
        <f t="shared" si="61"/>
        <v>3733</v>
      </c>
    </row>
    <row r="3735" spans="1:3" x14ac:dyDescent="0.2">
      <c r="A3735" s="78">
        <v>49391</v>
      </c>
      <c r="B3735" s="77">
        <f>+PT!A3737</f>
        <v>0</v>
      </c>
      <c r="C3735" s="77">
        <f t="shared" si="61"/>
        <v>3734</v>
      </c>
    </row>
    <row r="3736" spans="1:3" x14ac:dyDescent="0.2">
      <c r="A3736" s="78">
        <v>49392</v>
      </c>
      <c r="B3736" s="77">
        <f>+PT!A3738</f>
        <v>0</v>
      </c>
      <c r="C3736" s="77">
        <f t="shared" si="61"/>
        <v>3735</v>
      </c>
    </row>
    <row r="3737" spans="1:3" x14ac:dyDescent="0.2">
      <c r="A3737" s="78">
        <v>49393</v>
      </c>
      <c r="B3737" s="77">
        <f>+PT!A3739</f>
        <v>0</v>
      </c>
      <c r="C3737" s="77">
        <f t="shared" si="61"/>
        <v>3736</v>
      </c>
    </row>
    <row r="3738" spans="1:3" x14ac:dyDescent="0.2">
      <c r="A3738" s="78">
        <v>49394</v>
      </c>
      <c r="B3738" s="77">
        <f>+PT!A3740</f>
        <v>0</v>
      </c>
      <c r="C3738" s="77">
        <f t="shared" si="61"/>
        <v>3737</v>
      </c>
    </row>
    <row r="3739" spans="1:3" x14ac:dyDescent="0.2">
      <c r="A3739" s="78">
        <v>49395</v>
      </c>
      <c r="B3739" s="77">
        <f>+PT!A3741</f>
        <v>0</v>
      </c>
      <c r="C3739" s="77">
        <f t="shared" si="61"/>
        <v>3738</v>
      </c>
    </row>
    <row r="3740" spans="1:3" x14ac:dyDescent="0.2">
      <c r="A3740" s="78">
        <v>49396</v>
      </c>
      <c r="B3740" s="77">
        <f>+PT!A3742</f>
        <v>0</v>
      </c>
      <c r="C3740" s="77">
        <f t="shared" si="61"/>
        <v>3739</v>
      </c>
    </row>
    <row r="3741" spans="1:3" x14ac:dyDescent="0.2">
      <c r="A3741" s="78">
        <v>49397</v>
      </c>
      <c r="B3741" s="77">
        <f>+PT!A3743</f>
        <v>0</v>
      </c>
      <c r="C3741" s="77">
        <f t="shared" si="61"/>
        <v>3740</v>
      </c>
    </row>
    <row r="3742" spans="1:3" x14ac:dyDescent="0.2">
      <c r="A3742" s="78">
        <v>49398</v>
      </c>
      <c r="B3742" s="77">
        <f>+PT!A3744</f>
        <v>0</v>
      </c>
      <c r="C3742" s="77">
        <f t="shared" si="61"/>
        <v>3741</v>
      </c>
    </row>
    <row r="3743" spans="1:3" x14ac:dyDescent="0.2">
      <c r="A3743" s="78">
        <v>49399</v>
      </c>
      <c r="B3743" s="77">
        <f>+PT!A3745</f>
        <v>0</v>
      </c>
      <c r="C3743" s="77">
        <f t="shared" si="61"/>
        <v>3742</v>
      </c>
    </row>
    <row r="3744" spans="1:3" x14ac:dyDescent="0.2">
      <c r="A3744" s="78">
        <v>49400</v>
      </c>
      <c r="B3744" s="77">
        <f>+PT!A3746</f>
        <v>0</v>
      </c>
      <c r="C3744" s="77">
        <f t="shared" si="61"/>
        <v>3743</v>
      </c>
    </row>
    <row r="3745" spans="1:3" x14ac:dyDescent="0.2">
      <c r="A3745" s="78">
        <v>49401</v>
      </c>
      <c r="B3745" s="77">
        <f>+PT!A3747</f>
        <v>0</v>
      </c>
      <c r="C3745" s="77">
        <f t="shared" si="61"/>
        <v>3744</v>
      </c>
    </row>
    <row r="3746" spans="1:3" x14ac:dyDescent="0.2">
      <c r="A3746" s="78">
        <v>49402</v>
      </c>
      <c r="B3746" s="77">
        <f>+PT!A3748</f>
        <v>0</v>
      </c>
      <c r="C3746" s="77">
        <f t="shared" si="61"/>
        <v>3745</v>
      </c>
    </row>
    <row r="3747" spans="1:3" x14ac:dyDescent="0.2">
      <c r="A3747" s="78">
        <v>49403</v>
      </c>
      <c r="B3747" s="77">
        <f>+PT!A3749</f>
        <v>0</v>
      </c>
      <c r="C3747" s="77">
        <f t="shared" si="61"/>
        <v>3746</v>
      </c>
    </row>
    <row r="3748" spans="1:3" x14ac:dyDescent="0.2">
      <c r="A3748" s="78">
        <v>49404</v>
      </c>
      <c r="B3748" s="77">
        <f>+PT!A3750</f>
        <v>0</v>
      </c>
      <c r="C3748" s="77">
        <f t="shared" si="61"/>
        <v>3747</v>
      </c>
    </row>
    <row r="3749" spans="1:3" x14ac:dyDescent="0.2">
      <c r="A3749" s="78">
        <v>49405</v>
      </c>
      <c r="B3749" s="77">
        <f>+PT!A3751</f>
        <v>0</v>
      </c>
      <c r="C3749" s="77">
        <f t="shared" si="61"/>
        <v>3748</v>
      </c>
    </row>
    <row r="3750" spans="1:3" x14ac:dyDescent="0.2">
      <c r="A3750" s="78">
        <v>49406</v>
      </c>
      <c r="B3750" s="77">
        <f>+PT!A3752</f>
        <v>0</v>
      </c>
      <c r="C3750" s="77">
        <f t="shared" si="61"/>
        <v>3749</v>
      </c>
    </row>
    <row r="3751" spans="1:3" x14ac:dyDescent="0.2">
      <c r="A3751" s="78">
        <v>49407</v>
      </c>
      <c r="B3751" s="77">
        <f>+PT!A3753</f>
        <v>0</v>
      </c>
      <c r="C3751" s="77">
        <f t="shared" si="61"/>
        <v>3750</v>
      </c>
    </row>
    <row r="3752" spans="1:3" x14ac:dyDescent="0.2">
      <c r="A3752" s="78">
        <v>49408</v>
      </c>
      <c r="B3752" s="77">
        <f>+PT!A3754</f>
        <v>0</v>
      </c>
      <c r="C3752" s="77">
        <f t="shared" si="61"/>
        <v>3751</v>
      </c>
    </row>
    <row r="3753" spans="1:3" x14ac:dyDescent="0.2">
      <c r="A3753" s="78">
        <v>49409</v>
      </c>
      <c r="B3753" s="77">
        <f>+PT!A3755</f>
        <v>0</v>
      </c>
      <c r="C3753" s="77">
        <f t="shared" si="61"/>
        <v>3752</v>
      </c>
    </row>
    <row r="3754" spans="1:3" x14ac:dyDescent="0.2">
      <c r="A3754" s="78">
        <v>49410</v>
      </c>
      <c r="B3754" s="77">
        <f>+PT!A3756</f>
        <v>0</v>
      </c>
      <c r="C3754" s="77">
        <f t="shared" si="61"/>
        <v>3753</v>
      </c>
    </row>
    <row r="3755" spans="1:3" x14ac:dyDescent="0.2">
      <c r="A3755" s="78">
        <v>49411</v>
      </c>
      <c r="B3755" s="77">
        <f>+PT!A3757</f>
        <v>0</v>
      </c>
      <c r="C3755" s="77">
        <f t="shared" si="61"/>
        <v>3754</v>
      </c>
    </row>
    <row r="3756" spans="1:3" x14ac:dyDescent="0.2">
      <c r="A3756" s="78">
        <v>49412</v>
      </c>
      <c r="B3756" s="77">
        <f>+PT!A3758</f>
        <v>0</v>
      </c>
      <c r="C3756" s="77">
        <f t="shared" si="61"/>
        <v>3755</v>
      </c>
    </row>
    <row r="3757" spans="1:3" x14ac:dyDescent="0.2">
      <c r="A3757" s="78">
        <v>49413</v>
      </c>
      <c r="B3757" s="77">
        <f>+PT!A3759</f>
        <v>0</v>
      </c>
      <c r="C3757" s="77">
        <f t="shared" si="61"/>
        <v>3756</v>
      </c>
    </row>
    <row r="3758" spans="1:3" x14ac:dyDescent="0.2">
      <c r="A3758" s="78">
        <v>49414</v>
      </c>
      <c r="B3758" s="77">
        <f>+PT!A3760</f>
        <v>0</v>
      </c>
      <c r="C3758" s="77">
        <f t="shared" si="61"/>
        <v>3757</v>
      </c>
    </row>
    <row r="3759" spans="1:3" x14ac:dyDescent="0.2">
      <c r="A3759" s="78">
        <v>49415</v>
      </c>
      <c r="B3759" s="77">
        <f>+PT!A3761</f>
        <v>0</v>
      </c>
      <c r="C3759" s="77">
        <f t="shared" si="61"/>
        <v>3758</v>
      </c>
    </row>
    <row r="3760" spans="1:3" x14ac:dyDescent="0.2">
      <c r="A3760" s="78">
        <v>49416</v>
      </c>
      <c r="B3760" s="77">
        <f>+PT!A3762</f>
        <v>0</v>
      </c>
      <c r="C3760" s="77">
        <f t="shared" si="61"/>
        <v>3759</v>
      </c>
    </row>
    <row r="3761" spans="1:3" x14ac:dyDescent="0.2">
      <c r="A3761" s="78">
        <v>49417</v>
      </c>
      <c r="B3761" s="77">
        <f>+PT!A3763</f>
        <v>0</v>
      </c>
      <c r="C3761" s="77">
        <f t="shared" si="61"/>
        <v>3760</v>
      </c>
    </row>
    <row r="3762" spans="1:3" x14ac:dyDescent="0.2">
      <c r="A3762" s="78">
        <v>49418</v>
      </c>
      <c r="B3762" s="77">
        <f>+PT!A3764</f>
        <v>0</v>
      </c>
      <c r="C3762" s="77">
        <f t="shared" si="61"/>
        <v>3761</v>
      </c>
    </row>
    <row r="3763" spans="1:3" x14ac:dyDescent="0.2">
      <c r="A3763" s="78">
        <v>49419</v>
      </c>
      <c r="B3763" s="77">
        <f>+PT!A3765</f>
        <v>0</v>
      </c>
      <c r="C3763" s="77">
        <f t="shared" si="61"/>
        <v>3762</v>
      </c>
    </row>
    <row r="3764" spans="1:3" x14ac:dyDescent="0.2">
      <c r="A3764" s="78">
        <v>49420</v>
      </c>
      <c r="B3764" s="77">
        <f>+PT!A3766</f>
        <v>0</v>
      </c>
      <c r="C3764" s="77">
        <f t="shared" si="61"/>
        <v>3763</v>
      </c>
    </row>
    <row r="3765" spans="1:3" x14ac:dyDescent="0.2">
      <c r="A3765" s="78">
        <v>49421</v>
      </c>
      <c r="B3765" s="77">
        <f>+PT!A3767</f>
        <v>0</v>
      </c>
      <c r="C3765" s="77">
        <f t="shared" si="61"/>
        <v>3764</v>
      </c>
    </row>
    <row r="3766" spans="1:3" x14ac:dyDescent="0.2">
      <c r="A3766" s="78">
        <v>49422</v>
      </c>
      <c r="B3766" s="77">
        <f>+PT!A3768</f>
        <v>0</v>
      </c>
      <c r="C3766" s="77">
        <f t="shared" si="61"/>
        <v>3765</v>
      </c>
    </row>
    <row r="3767" spans="1:3" x14ac:dyDescent="0.2">
      <c r="A3767" s="78">
        <v>49423</v>
      </c>
      <c r="B3767" s="77">
        <f>+PT!A3769</f>
        <v>0</v>
      </c>
      <c r="C3767" s="77">
        <f t="shared" si="61"/>
        <v>3766</v>
      </c>
    </row>
    <row r="3768" spans="1:3" x14ac:dyDescent="0.2">
      <c r="A3768" s="78">
        <v>49424</v>
      </c>
      <c r="B3768" s="77">
        <f>+PT!A3770</f>
        <v>0</v>
      </c>
      <c r="C3768" s="77">
        <f t="shared" si="61"/>
        <v>3767</v>
      </c>
    </row>
    <row r="3769" spans="1:3" x14ac:dyDescent="0.2">
      <c r="A3769" s="78">
        <v>49425</v>
      </c>
      <c r="B3769" s="77">
        <f>+PT!A3771</f>
        <v>0</v>
      </c>
      <c r="C3769" s="77">
        <f t="shared" si="61"/>
        <v>3768</v>
      </c>
    </row>
    <row r="3770" spans="1:3" x14ac:dyDescent="0.2">
      <c r="A3770" s="78">
        <v>49426</v>
      </c>
      <c r="B3770" s="77">
        <f>+PT!A3772</f>
        <v>0</v>
      </c>
      <c r="C3770" s="77">
        <f t="shared" si="61"/>
        <v>3769</v>
      </c>
    </row>
    <row r="3771" spans="1:3" x14ac:dyDescent="0.2">
      <c r="A3771" s="78">
        <v>49427</v>
      </c>
      <c r="B3771" s="77">
        <f>+PT!A3773</f>
        <v>0</v>
      </c>
      <c r="C3771" s="77">
        <f t="shared" si="61"/>
        <v>3770</v>
      </c>
    </row>
    <row r="3772" spans="1:3" x14ac:dyDescent="0.2">
      <c r="A3772" s="78">
        <v>49428</v>
      </c>
      <c r="B3772" s="77">
        <f>+PT!A3774</f>
        <v>0</v>
      </c>
      <c r="C3772" s="77">
        <f t="shared" si="61"/>
        <v>3771</v>
      </c>
    </row>
    <row r="3773" spans="1:3" x14ac:dyDescent="0.2">
      <c r="A3773" s="78">
        <v>49429</v>
      </c>
      <c r="B3773" s="77">
        <f>+PT!A3775</f>
        <v>0</v>
      </c>
      <c r="C3773" s="77">
        <f t="shared" si="61"/>
        <v>3772</v>
      </c>
    </row>
    <row r="3774" spans="1:3" x14ac:dyDescent="0.2">
      <c r="A3774" s="78">
        <v>49430</v>
      </c>
      <c r="B3774" s="77">
        <f>+PT!A3776</f>
        <v>0</v>
      </c>
      <c r="C3774" s="77">
        <f t="shared" si="61"/>
        <v>3773</v>
      </c>
    </row>
    <row r="3775" spans="1:3" x14ac:dyDescent="0.2">
      <c r="A3775" s="78">
        <v>49431</v>
      </c>
      <c r="B3775" s="77">
        <f>+PT!A3777</f>
        <v>0</v>
      </c>
      <c r="C3775" s="77">
        <f t="shared" si="61"/>
        <v>3774</v>
      </c>
    </row>
    <row r="3776" spans="1:3" x14ac:dyDescent="0.2">
      <c r="A3776" s="78">
        <v>49432</v>
      </c>
      <c r="B3776" s="77">
        <f>+PT!A3778</f>
        <v>0</v>
      </c>
      <c r="C3776" s="77">
        <f t="shared" si="61"/>
        <v>3775</v>
      </c>
    </row>
    <row r="3777" spans="1:3" x14ac:dyDescent="0.2">
      <c r="A3777" s="78">
        <v>49433</v>
      </c>
      <c r="B3777" s="77">
        <f>+PT!A3779</f>
        <v>0</v>
      </c>
      <c r="C3777" s="77">
        <f t="shared" si="61"/>
        <v>3776</v>
      </c>
    </row>
    <row r="3778" spans="1:3" x14ac:dyDescent="0.2">
      <c r="A3778" s="78">
        <v>49434</v>
      </c>
      <c r="B3778" s="77">
        <f>+PT!A3780</f>
        <v>0</v>
      </c>
      <c r="C3778" s="77">
        <f t="shared" si="61"/>
        <v>3777</v>
      </c>
    </row>
    <row r="3779" spans="1:3" x14ac:dyDescent="0.2">
      <c r="A3779" s="78">
        <v>49435</v>
      </c>
      <c r="B3779" s="77">
        <f>+PT!A3781</f>
        <v>0</v>
      </c>
      <c r="C3779" s="77">
        <f t="shared" si="61"/>
        <v>3778</v>
      </c>
    </row>
    <row r="3780" spans="1:3" x14ac:dyDescent="0.2">
      <c r="A3780" s="78">
        <v>49436</v>
      </c>
      <c r="B3780" s="77">
        <f>+PT!A3782</f>
        <v>0</v>
      </c>
      <c r="C3780" s="77">
        <f t="shared" ref="C3780:C3843" si="62">+C3779+1</f>
        <v>3779</v>
      </c>
    </row>
    <row r="3781" spans="1:3" x14ac:dyDescent="0.2">
      <c r="A3781" s="78">
        <v>49437</v>
      </c>
      <c r="B3781" s="77">
        <f>+PT!A3783</f>
        <v>0</v>
      </c>
      <c r="C3781" s="77">
        <f t="shared" si="62"/>
        <v>3780</v>
      </c>
    </row>
    <row r="3782" spans="1:3" x14ac:dyDescent="0.2">
      <c r="A3782" s="78">
        <v>49438</v>
      </c>
      <c r="B3782" s="77">
        <f>+PT!A3784</f>
        <v>0</v>
      </c>
      <c r="C3782" s="77">
        <f t="shared" si="62"/>
        <v>3781</v>
      </c>
    </row>
    <row r="3783" spans="1:3" x14ac:dyDescent="0.2">
      <c r="A3783" s="78">
        <v>49439</v>
      </c>
      <c r="B3783" s="77">
        <f>+PT!A3785</f>
        <v>0</v>
      </c>
      <c r="C3783" s="77">
        <f t="shared" si="62"/>
        <v>3782</v>
      </c>
    </row>
    <row r="3784" spans="1:3" x14ac:dyDescent="0.2">
      <c r="A3784" s="78">
        <v>49440</v>
      </c>
      <c r="B3784" s="77">
        <f>+PT!A3786</f>
        <v>0</v>
      </c>
      <c r="C3784" s="77">
        <f t="shared" si="62"/>
        <v>3783</v>
      </c>
    </row>
    <row r="3785" spans="1:3" x14ac:dyDescent="0.2">
      <c r="A3785" s="78">
        <v>49441</v>
      </c>
      <c r="B3785" s="77">
        <f>+PT!A3787</f>
        <v>0</v>
      </c>
      <c r="C3785" s="77">
        <f t="shared" si="62"/>
        <v>3784</v>
      </c>
    </row>
    <row r="3786" spans="1:3" x14ac:dyDescent="0.2">
      <c r="A3786" s="78">
        <v>49442</v>
      </c>
      <c r="B3786" s="77">
        <f>+PT!A3788</f>
        <v>0</v>
      </c>
      <c r="C3786" s="77">
        <f t="shared" si="62"/>
        <v>3785</v>
      </c>
    </row>
    <row r="3787" spans="1:3" x14ac:dyDescent="0.2">
      <c r="A3787" s="78">
        <v>49443</v>
      </c>
      <c r="B3787" s="77">
        <f>+PT!A3789</f>
        <v>0</v>
      </c>
      <c r="C3787" s="77">
        <f t="shared" si="62"/>
        <v>3786</v>
      </c>
    </row>
    <row r="3788" spans="1:3" x14ac:dyDescent="0.2">
      <c r="A3788" s="78">
        <v>49444</v>
      </c>
      <c r="B3788" s="77">
        <f>+PT!A3790</f>
        <v>0</v>
      </c>
      <c r="C3788" s="77">
        <f t="shared" si="62"/>
        <v>3787</v>
      </c>
    </row>
    <row r="3789" spans="1:3" x14ac:dyDescent="0.2">
      <c r="A3789" s="78">
        <v>49445</v>
      </c>
      <c r="B3789" s="77">
        <f>+PT!A3791</f>
        <v>0</v>
      </c>
      <c r="C3789" s="77">
        <f t="shared" si="62"/>
        <v>3788</v>
      </c>
    </row>
    <row r="3790" spans="1:3" x14ac:dyDescent="0.2">
      <c r="A3790" s="78">
        <v>49446</v>
      </c>
      <c r="B3790" s="77">
        <f>+PT!A3792</f>
        <v>0</v>
      </c>
      <c r="C3790" s="77">
        <f t="shared" si="62"/>
        <v>3789</v>
      </c>
    </row>
    <row r="3791" spans="1:3" x14ac:dyDescent="0.2">
      <c r="A3791" s="78">
        <v>49447</v>
      </c>
      <c r="B3791" s="77">
        <f>+PT!A3793</f>
        <v>0</v>
      </c>
      <c r="C3791" s="77">
        <f t="shared" si="62"/>
        <v>3790</v>
      </c>
    </row>
    <row r="3792" spans="1:3" x14ac:dyDescent="0.2">
      <c r="A3792" s="78">
        <v>49448</v>
      </c>
      <c r="B3792" s="77">
        <f>+PT!A3794</f>
        <v>0</v>
      </c>
      <c r="C3792" s="77">
        <f t="shared" si="62"/>
        <v>3791</v>
      </c>
    </row>
    <row r="3793" spans="1:3" x14ac:dyDescent="0.2">
      <c r="A3793" s="78">
        <v>49449</v>
      </c>
      <c r="B3793" s="77">
        <f>+PT!A3795</f>
        <v>0</v>
      </c>
      <c r="C3793" s="77">
        <f t="shared" si="62"/>
        <v>3792</v>
      </c>
    </row>
    <row r="3794" spans="1:3" x14ac:dyDescent="0.2">
      <c r="A3794" s="78">
        <v>49450</v>
      </c>
      <c r="B3794" s="77">
        <f>+PT!A3796</f>
        <v>0</v>
      </c>
      <c r="C3794" s="77">
        <f t="shared" si="62"/>
        <v>3793</v>
      </c>
    </row>
    <row r="3795" spans="1:3" x14ac:dyDescent="0.2">
      <c r="A3795" s="78">
        <v>49451</v>
      </c>
      <c r="B3795" s="77">
        <f>+PT!A3797</f>
        <v>0</v>
      </c>
      <c r="C3795" s="77">
        <f t="shared" si="62"/>
        <v>3794</v>
      </c>
    </row>
    <row r="3796" spans="1:3" x14ac:dyDescent="0.2">
      <c r="A3796" s="78">
        <v>49452</v>
      </c>
      <c r="B3796" s="77">
        <f>+PT!A3798</f>
        <v>0</v>
      </c>
      <c r="C3796" s="77">
        <f t="shared" si="62"/>
        <v>3795</v>
      </c>
    </row>
    <row r="3797" spans="1:3" x14ac:dyDescent="0.2">
      <c r="A3797" s="78">
        <v>49453</v>
      </c>
      <c r="B3797" s="77">
        <f>+PT!A3799</f>
        <v>0</v>
      </c>
      <c r="C3797" s="77">
        <f t="shared" si="62"/>
        <v>3796</v>
      </c>
    </row>
    <row r="3798" spans="1:3" x14ac:dyDescent="0.2">
      <c r="A3798" s="78">
        <v>49454</v>
      </c>
      <c r="B3798" s="77">
        <f>+PT!A3800</f>
        <v>0</v>
      </c>
      <c r="C3798" s="77">
        <f t="shared" si="62"/>
        <v>3797</v>
      </c>
    </row>
    <row r="3799" spans="1:3" x14ac:dyDescent="0.2">
      <c r="A3799" s="78">
        <v>49455</v>
      </c>
      <c r="B3799" s="77">
        <f>+PT!A3801</f>
        <v>0</v>
      </c>
      <c r="C3799" s="77">
        <f t="shared" si="62"/>
        <v>3798</v>
      </c>
    </row>
    <row r="3800" spans="1:3" x14ac:dyDescent="0.2">
      <c r="A3800" s="78">
        <v>49456</v>
      </c>
      <c r="B3800" s="77">
        <f>+PT!A3802</f>
        <v>0</v>
      </c>
      <c r="C3800" s="77">
        <f t="shared" si="62"/>
        <v>3799</v>
      </c>
    </row>
    <row r="3801" spans="1:3" x14ac:dyDescent="0.2">
      <c r="A3801" s="78">
        <v>49457</v>
      </c>
      <c r="B3801" s="77">
        <f>+PT!A3803</f>
        <v>0</v>
      </c>
      <c r="C3801" s="77">
        <f t="shared" si="62"/>
        <v>3800</v>
      </c>
    </row>
    <row r="3802" spans="1:3" x14ac:dyDescent="0.2">
      <c r="A3802" s="78">
        <v>49458</v>
      </c>
      <c r="B3802" s="77">
        <f>+PT!A3804</f>
        <v>0</v>
      </c>
      <c r="C3802" s="77">
        <f t="shared" si="62"/>
        <v>3801</v>
      </c>
    </row>
    <row r="3803" spans="1:3" x14ac:dyDescent="0.2">
      <c r="A3803" s="78">
        <v>49459</v>
      </c>
      <c r="B3803" s="77">
        <f>+PT!A3805</f>
        <v>0</v>
      </c>
      <c r="C3803" s="77">
        <f t="shared" si="62"/>
        <v>3802</v>
      </c>
    </row>
    <row r="3804" spans="1:3" x14ac:dyDescent="0.2">
      <c r="A3804" s="78">
        <v>49460</v>
      </c>
      <c r="B3804" s="77">
        <f>+PT!A3806</f>
        <v>0</v>
      </c>
      <c r="C3804" s="77">
        <f t="shared" si="62"/>
        <v>3803</v>
      </c>
    </row>
    <row r="3805" spans="1:3" x14ac:dyDescent="0.2">
      <c r="A3805" s="78">
        <v>49461</v>
      </c>
      <c r="B3805" s="77">
        <f>+PT!A3807</f>
        <v>0</v>
      </c>
      <c r="C3805" s="77">
        <f t="shared" si="62"/>
        <v>3804</v>
      </c>
    </row>
    <row r="3806" spans="1:3" x14ac:dyDescent="0.2">
      <c r="A3806" s="78">
        <v>49462</v>
      </c>
      <c r="B3806" s="77">
        <f>+PT!A3808</f>
        <v>0</v>
      </c>
      <c r="C3806" s="77">
        <f t="shared" si="62"/>
        <v>3805</v>
      </c>
    </row>
    <row r="3807" spans="1:3" x14ac:dyDescent="0.2">
      <c r="A3807" s="78">
        <v>49463</v>
      </c>
      <c r="B3807" s="77">
        <f>+PT!A3809</f>
        <v>0</v>
      </c>
      <c r="C3807" s="77">
        <f t="shared" si="62"/>
        <v>3806</v>
      </c>
    </row>
    <row r="3808" spans="1:3" x14ac:dyDescent="0.2">
      <c r="A3808" s="78">
        <v>49464</v>
      </c>
      <c r="B3808" s="77">
        <f>+PT!A3810</f>
        <v>0</v>
      </c>
      <c r="C3808" s="77">
        <f t="shared" si="62"/>
        <v>3807</v>
      </c>
    </row>
    <row r="3809" spans="1:3" x14ac:dyDescent="0.2">
      <c r="A3809" s="78">
        <v>49465</v>
      </c>
      <c r="B3809" s="77">
        <f>+PT!A3811</f>
        <v>0</v>
      </c>
      <c r="C3809" s="77">
        <f t="shared" si="62"/>
        <v>3808</v>
      </c>
    </row>
    <row r="3810" spans="1:3" x14ac:dyDescent="0.2">
      <c r="A3810" s="78">
        <v>49466</v>
      </c>
      <c r="B3810" s="77">
        <f>+PT!A3812</f>
        <v>0</v>
      </c>
      <c r="C3810" s="77">
        <f t="shared" si="62"/>
        <v>3809</v>
      </c>
    </row>
    <row r="3811" spans="1:3" x14ac:dyDescent="0.2">
      <c r="A3811" s="78">
        <v>49467</v>
      </c>
      <c r="B3811" s="77">
        <f>+PT!A3813</f>
        <v>0</v>
      </c>
      <c r="C3811" s="77">
        <f t="shared" si="62"/>
        <v>3810</v>
      </c>
    </row>
    <row r="3812" spans="1:3" x14ac:dyDescent="0.2">
      <c r="A3812" s="78">
        <v>49468</v>
      </c>
      <c r="B3812" s="77">
        <f>+PT!A3814</f>
        <v>0</v>
      </c>
      <c r="C3812" s="77">
        <f t="shared" si="62"/>
        <v>3811</v>
      </c>
    </row>
    <row r="3813" spans="1:3" x14ac:dyDescent="0.2">
      <c r="A3813" s="78">
        <v>49469</v>
      </c>
      <c r="B3813" s="77">
        <f>+PT!A3815</f>
        <v>0</v>
      </c>
      <c r="C3813" s="77">
        <f t="shared" si="62"/>
        <v>3812</v>
      </c>
    </row>
    <row r="3814" spans="1:3" x14ac:dyDescent="0.2">
      <c r="A3814" s="78">
        <v>49470</v>
      </c>
      <c r="B3814" s="77">
        <f>+PT!A3816</f>
        <v>0</v>
      </c>
      <c r="C3814" s="77">
        <f t="shared" si="62"/>
        <v>3813</v>
      </c>
    </row>
    <row r="3815" spans="1:3" x14ac:dyDescent="0.2">
      <c r="A3815" s="78">
        <v>49471</v>
      </c>
      <c r="B3815" s="77">
        <f>+PT!A3817</f>
        <v>0</v>
      </c>
      <c r="C3815" s="77">
        <f t="shared" si="62"/>
        <v>3814</v>
      </c>
    </row>
    <row r="3816" spans="1:3" x14ac:dyDescent="0.2">
      <c r="A3816" s="78">
        <v>49472</v>
      </c>
      <c r="B3816" s="77">
        <f>+PT!A3818</f>
        <v>0</v>
      </c>
      <c r="C3816" s="77">
        <f t="shared" si="62"/>
        <v>3815</v>
      </c>
    </row>
    <row r="3817" spans="1:3" x14ac:dyDescent="0.2">
      <c r="A3817" s="78">
        <v>49473</v>
      </c>
      <c r="B3817" s="77">
        <f>+PT!A3819</f>
        <v>0</v>
      </c>
      <c r="C3817" s="77">
        <f t="shared" si="62"/>
        <v>3816</v>
      </c>
    </row>
    <row r="3818" spans="1:3" x14ac:dyDescent="0.2">
      <c r="A3818" s="78">
        <v>49474</v>
      </c>
      <c r="B3818" s="77">
        <f>+PT!A3820</f>
        <v>0</v>
      </c>
      <c r="C3818" s="77">
        <f t="shared" si="62"/>
        <v>3817</v>
      </c>
    </row>
    <row r="3819" spans="1:3" x14ac:dyDescent="0.2">
      <c r="A3819" s="78">
        <v>49475</v>
      </c>
      <c r="B3819" s="77">
        <f>+PT!A3821</f>
        <v>0</v>
      </c>
      <c r="C3819" s="77">
        <f t="shared" si="62"/>
        <v>3818</v>
      </c>
    </row>
    <row r="3820" spans="1:3" x14ac:dyDescent="0.2">
      <c r="A3820" s="78">
        <v>49476</v>
      </c>
      <c r="B3820" s="77">
        <f>+PT!A3822</f>
        <v>0</v>
      </c>
      <c r="C3820" s="77">
        <f t="shared" si="62"/>
        <v>3819</v>
      </c>
    </row>
    <row r="3821" spans="1:3" x14ac:dyDescent="0.2">
      <c r="A3821" s="78">
        <v>49477</v>
      </c>
      <c r="B3821" s="77">
        <f>+PT!A3823</f>
        <v>0</v>
      </c>
      <c r="C3821" s="77">
        <f t="shared" si="62"/>
        <v>3820</v>
      </c>
    </row>
    <row r="3822" spans="1:3" x14ac:dyDescent="0.2">
      <c r="A3822" s="78">
        <v>49478</v>
      </c>
      <c r="B3822" s="77">
        <f>+PT!A3824</f>
        <v>0</v>
      </c>
      <c r="C3822" s="77">
        <f t="shared" si="62"/>
        <v>3821</v>
      </c>
    </row>
    <row r="3823" spans="1:3" x14ac:dyDescent="0.2">
      <c r="A3823" s="78">
        <v>49479</v>
      </c>
      <c r="B3823" s="77">
        <f>+PT!A3825</f>
        <v>0</v>
      </c>
      <c r="C3823" s="77">
        <f t="shared" si="62"/>
        <v>3822</v>
      </c>
    </row>
    <row r="3824" spans="1:3" x14ac:dyDescent="0.2">
      <c r="A3824" s="78">
        <v>49480</v>
      </c>
      <c r="B3824" s="77">
        <f>+PT!A3826</f>
        <v>0</v>
      </c>
      <c r="C3824" s="77">
        <f t="shared" si="62"/>
        <v>3823</v>
      </c>
    </row>
    <row r="3825" spans="1:3" x14ac:dyDescent="0.2">
      <c r="A3825" s="78">
        <v>49481</v>
      </c>
      <c r="B3825" s="77">
        <f>+PT!A3827</f>
        <v>0</v>
      </c>
      <c r="C3825" s="77">
        <f t="shared" si="62"/>
        <v>3824</v>
      </c>
    </row>
    <row r="3826" spans="1:3" x14ac:dyDescent="0.2">
      <c r="A3826" s="78">
        <v>49482</v>
      </c>
      <c r="B3826" s="77">
        <f>+PT!A3828</f>
        <v>0</v>
      </c>
      <c r="C3826" s="77">
        <f t="shared" si="62"/>
        <v>3825</v>
      </c>
    </row>
    <row r="3827" spans="1:3" x14ac:dyDescent="0.2">
      <c r="A3827" s="78">
        <v>49483</v>
      </c>
      <c r="B3827" s="77">
        <f>+PT!A3829</f>
        <v>0</v>
      </c>
      <c r="C3827" s="77">
        <f t="shared" si="62"/>
        <v>3826</v>
      </c>
    </row>
    <row r="3828" spans="1:3" x14ac:dyDescent="0.2">
      <c r="A3828" s="78">
        <v>49484</v>
      </c>
      <c r="B3828" s="77">
        <f>+PT!A3830</f>
        <v>0</v>
      </c>
      <c r="C3828" s="77">
        <f t="shared" si="62"/>
        <v>3827</v>
      </c>
    </row>
    <row r="3829" spans="1:3" x14ac:dyDescent="0.2">
      <c r="A3829" s="78">
        <v>49485</v>
      </c>
      <c r="B3829" s="77">
        <f>+PT!A3831</f>
        <v>0</v>
      </c>
      <c r="C3829" s="77">
        <f t="shared" si="62"/>
        <v>3828</v>
      </c>
    </row>
    <row r="3830" spans="1:3" x14ac:dyDescent="0.2">
      <c r="A3830" s="78">
        <v>49486</v>
      </c>
      <c r="B3830" s="77">
        <f>+PT!A3832</f>
        <v>0</v>
      </c>
      <c r="C3830" s="77">
        <f t="shared" si="62"/>
        <v>3829</v>
      </c>
    </row>
    <row r="3831" spans="1:3" x14ac:dyDescent="0.2">
      <c r="A3831" s="78">
        <v>49487</v>
      </c>
      <c r="B3831" s="77">
        <f>+PT!A3833</f>
        <v>0</v>
      </c>
      <c r="C3831" s="77">
        <f t="shared" si="62"/>
        <v>3830</v>
      </c>
    </row>
    <row r="3832" spans="1:3" x14ac:dyDescent="0.2">
      <c r="A3832" s="78">
        <v>49488</v>
      </c>
      <c r="B3832" s="77">
        <f>+PT!A3834</f>
        <v>0</v>
      </c>
      <c r="C3832" s="77">
        <f t="shared" si="62"/>
        <v>3831</v>
      </c>
    </row>
    <row r="3833" spans="1:3" x14ac:dyDescent="0.2">
      <c r="A3833" s="78">
        <v>49489</v>
      </c>
      <c r="B3833" s="77">
        <f>+PT!A3835</f>
        <v>0</v>
      </c>
      <c r="C3833" s="77">
        <f t="shared" si="62"/>
        <v>3832</v>
      </c>
    </row>
    <row r="3834" spans="1:3" x14ac:dyDescent="0.2">
      <c r="A3834" s="78">
        <v>49490</v>
      </c>
      <c r="B3834" s="77">
        <f>+PT!A3836</f>
        <v>0</v>
      </c>
      <c r="C3834" s="77">
        <f t="shared" si="62"/>
        <v>3833</v>
      </c>
    </row>
    <row r="3835" spans="1:3" x14ac:dyDescent="0.2">
      <c r="A3835" s="78">
        <v>49491</v>
      </c>
      <c r="B3835" s="77">
        <f>+PT!A3837</f>
        <v>0</v>
      </c>
      <c r="C3835" s="77">
        <f t="shared" si="62"/>
        <v>3834</v>
      </c>
    </row>
    <row r="3836" spans="1:3" x14ac:dyDescent="0.2">
      <c r="A3836" s="78">
        <v>49492</v>
      </c>
      <c r="B3836" s="77">
        <f>+PT!A3838</f>
        <v>0</v>
      </c>
      <c r="C3836" s="77">
        <f t="shared" si="62"/>
        <v>3835</v>
      </c>
    </row>
    <row r="3837" spans="1:3" x14ac:dyDescent="0.2">
      <c r="A3837" s="78">
        <v>49493</v>
      </c>
      <c r="B3837" s="77">
        <f>+PT!A3839</f>
        <v>0</v>
      </c>
      <c r="C3837" s="77">
        <f t="shared" si="62"/>
        <v>3836</v>
      </c>
    </row>
    <row r="3838" spans="1:3" x14ac:dyDescent="0.2">
      <c r="A3838" s="78">
        <v>49494</v>
      </c>
      <c r="B3838" s="77">
        <f>+PT!A3840</f>
        <v>0</v>
      </c>
      <c r="C3838" s="77">
        <f t="shared" si="62"/>
        <v>3837</v>
      </c>
    </row>
    <row r="3839" spans="1:3" x14ac:dyDescent="0.2">
      <c r="A3839" s="78">
        <v>49495</v>
      </c>
      <c r="B3839" s="77">
        <f>+PT!A3841</f>
        <v>0</v>
      </c>
      <c r="C3839" s="77">
        <f t="shared" si="62"/>
        <v>3838</v>
      </c>
    </row>
    <row r="3840" spans="1:3" x14ac:dyDescent="0.2">
      <c r="A3840" s="78">
        <v>49496</v>
      </c>
      <c r="B3840" s="77">
        <f>+PT!A3842</f>
        <v>0</v>
      </c>
      <c r="C3840" s="77">
        <f t="shared" si="62"/>
        <v>3839</v>
      </c>
    </row>
    <row r="3841" spans="1:3" x14ac:dyDescent="0.2">
      <c r="A3841" s="78">
        <v>49497</v>
      </c>
      <c r="B3841" s="77">
        <f>+PT!A3843</f>
        <v>0</v>
      </c>
      <c r="C3841" s="77">
        <f t="shared" si="62"/>
        <v>3840</v>
      </c>
    </row>
    <row r="3842" spans="1:3" x14ac:dyDescent="0.2">
      <c r="A3842" s="78">
        <v>49498</v>
      </c>
      <c r="B3842" s="77">
        <f>+PT!A3844</f>
        <v>0</v>
      </c>
      <c r="C3842" s="77">
        <f t="shared" si="62"/>
        <v>3841</v>
      </c>
    </row>
    <row r="3843" spans="1:3" x14ac:dyDescent="0.2">
      <c r="A3843" s="78">
        <v>49499</v>
      </c>
      <c r="B3843" s="77">
        <f>+PT!A3845</f>
        <v>0</v>
      </c>
      <c r="C3843" s="77">
        <f t="shared" si="62"/>
        <v>3842</v>
      </c>
    </row>
    <row r="3844" spans="1:3" x14ac:dyDescent="0.2">
      <c r="A3844" s="78">
        <v>49500</v>
      </c>
      <c r="B3844" s="77">
        <f>+PT!A3846</f>
        <v>0</v>
      </c>
      <c r="C3844" s="77">
        <f t="shared" ref="C3844:C3907" si="63">+C3843+1</f>
        <v>3843</v>
      </c>
    </row>
    <row r="3845" spans="1:3" x14ac:dyDescent="0.2">
      <c r="A3845" s="78">
        <v>49501</v>
      </c>
      <c r="B3845" s="77">
        <f>+PT!A3847</f>
        <v>0</v>
      </c>
      <c r="C3845" s="77">
        <f t="shared" si="63"/>
        <v>3844</v>
      </c>
    </row>
    <row r="3846" spans="1:3" x14ac:dyDescent="0.2">
      <c r="A3846" s="78">
        <v>49502</v>
      </c>
      <c r="B3846" s="77">
        <f>+PT!A3848</f>
        <v>0</v>
      </c>
      <c r="C3846" s="77">
        <f t="shared" si="63"/>
        <v>3845</v>
      </c>
    </row>
    <row r="3847" spans="1:3" x14ac:dyDescent="0.2">
      <c r="A3847" s="78">
        <v>49503</v>
      </c>
      <c r="B3847" s="77">
        <f>+PT!A3849</f>
        <v>0</v>
      </c>
      <c r="C3847" s="77">
        <f t="shared" si="63"/>
        <v>3846</v>
      </c>
    </row>
    <row r="3848" spans="1:3" x14ac:dyDescent="0.2">
      <c r="A3848" s="78">
        <v>49504</v>
      </c>
      <c r="B3848" s="77">
        <f>+PT!A3850</f>
        <v>0</v>
      </c>
      <c r="C3848" s="77">
        <f t="shared" si="63"/>
        <v>3847</v>
      </c>
    </row>
    <row r="3849" spans="1:3" x14ac:dyDescent="0.2">
      <c r="A3849" s="78">
        <v>49505</v>
      </c>
      <c r="B3849" s="77">
        <f>+PT!A3851</f>
        <v>0</v>
      </c>
      <c r="C3849" s="77">
        <f t="shared" si="63"/>
        <v>3848</v>
      </c>
    </row>
    <row r="3850" spans="1:3" x14ac:dyDescent="0.2">
      <c r="A3850" s="78">
        <v>49506</v>
      </c>
      <c r="B3850" s="77">
        <f>+PT!A3852</f>
        <v>0</v>
      </c>
      <c r="C3850" s="77">
        <f t="shared" si="63"/>
        <v>3849</v>
      </c>
    </row>
    <row r="3851" spans="1:3" x14ac:dyDescent="0.2">
      <c r="A3851" s="78">
        <v>49507</v>
      </c>
      <c r="B3851" s="77">
        <f>+PT!A3853</f>
        <v>0</v>
      </c>
      <c r="C3851" s="77">
        <f t="shared" si="63"/>
        <v>3850</v>
      </c>
    </row>
    <row r="3852" spans="1:3" x14ac:dyDescent="0.2">
      <c r="A3852" s="78">
        <v>49508</v>
      </c>
      <c r="B3852" s="77">
        <f>+PT!A3854</f>
        <v>0</v>
      </c>
      <c r="C3852" s="77">
        <f t="shared" si="63"/>
        <v>3851</v>
      </c>
    </row>
    <row r="3853" spans="1:3" x14ac:dyDescent="0.2">
      <c r="A3853" s="78">
        <v>49509</v>
      </c>
      <c r="B3853" s="77">
        <f>+PT!A3855</f>
        <v>0</v>
      </c>
      <c r="C3853" s="77">
        <f t="shared" si="63"/>
        <v>3852</v>
      </c>
    </row>
    <row r="3854" spans="1:3" x14ac:dyDescent="0.2">
      <c r="A3854" s="78">
        <v>49510</v>
      </c>
      <c r="B3854" s="77">
        <f>+PT!A3856</f>
        <v>0</v>
      </c>
      <c r="C3854" s="77">
        <f t="shared" si="63"/>
        <v>3853</v>
      </c>
    </row>
    <row r="3855" spans="1:3" x14ac:dyDescent="0.2">
      <c r="A3855" s="78">
        <v>49511</v>
      </c>
      <c r="B3855" s="77">
        <f>+PT!A3857</f>
        <v>0</v>
      </c>
      <c r="C3855" s="77">
        <f t="shared" si="63"/>
        <v>3854</v>
      </c>
    </row>
    <row r="3856" spans="1:3" x14ac:dyDescent="0.2">
      <c r="A3856" s="78">
        <v>49512</v>
      </c>
      <c r="B3856" s="77">
        <f>+PT!A3858</f>
        <v>0</v>
      </c>
      <c r="C3856" s="77">
        <f t="shared" si="63"/>
        <v>3855</v>
      </c>
    </row>
    <row r="3857" spans="1:3" x14ac:dyDescent="0.2">
      <c r="A3857" s="78">
        <v>49513</v>
      </c>
      <c r="B3857" s="77">
        <f>+PT!A3859</f>
        <v>0</v>
      </c>
      <c r="C3857" s="77">
        <f t="shared" si="63"/>
        <v>3856</v>
      </c>
    </row>
    <row r="3858" spans="1:3" x14ac:dyDescent="0.2">
      <c r="A3858" s="78">
        <v>49514</v>
      </c>
      <c r="B3858" s="77">
        <f>+PT!A3860</f>
        <v>0</v>
      </c>
      <c r="C3858" s="77">
        <f t="shared" si="63"/>
        <v>3857</v>
      </c>
    </row>
    <row r="3859" spans="1:3" x14ac:dyDescent="0.2">
      <c r="A3859" s="78">
        <v>49515</v>
      </c>
      <c r="B3859" s="77">
        <f>+PT!A3861</f>
        <v>0</v>
      </c>
      <c r="C3859" s="77">
        <f t="shared" si="63"/>
        <v>3858</v>
      </c>
    </row>
    <row r="3860" spans="1:3" x14ac:dyDescent="0.2">
      <c r="A3860" s="78">
        <v>49516</v>
      </c>
      <c r="B3860" s="77">
        <f>+PT!A3862</f>
        <v>0</v>
      </c>
      <c r="C3860" s="77">
        <f t="shared" si="63"/>
        <v>3859</v>
      </c>
    </row>
    <row r="3861" spans="1:3" x14ac:dyDescent="0.2">
      <c r="A3861" s="78">
        <v>49517</v>
      </c>
      <c r="B3861" s="77">
        <f>+PT!A3863</f>
        <v>0</v>
      </c>
      <c r="C3861" s="77">
        <f t="shared" si="63"/>
        <v>3860</v>
      </c>
    </row>
    <row r="3862" spans="1:3" x14ac:dyDescent="0.2">
      <c r="A3862" s="78">
        <v>49518</v>
      </c>
      <c r="B3862" s="77">
        <f>+PT!A3864</f>
        <v>0</v>
      </c>
      <c r="C3862" s="77">
        <f t="shared" si="63"/>
        <v>3861</v>
      </c>
    </row>
    <row r="3863" spans="1:3" x14ac:dyDescent="0.2">
      <c r="A3863" s="78">
        <v>49519</v>
      </c>
      <c r="B3863" s="77">
        <f>+PT!A3865</f>
        <v>0</v>
      </c>
      <c r="C3863" s="77">
        <f t="shared" si="63"/>
        <v>3862</v>
      </c>
    </row>
    <row r="3864" spans="1:3" x14ac:dyDescent="0.2">
      <c r="A3864" s="78">
        <v>49520</v>
      </c>
      <c r="B3864" s="77">
        <f>+PT!A3866</f>
        <v>0</v>
      </c>
      <c r="C3864" s="77">
        <f t="shared" si="63"/>
        <v>3863</v>
      </c>
    </row>
    <row r="3865" spans="1:3" x14ac:dyDescent="0.2">
      <c r="A3865" s="78">
        <v>49521</v>
      </c>
      <c r="B3865" s="77">
        <f>+PT!A3867</f>
        <v>0</v>
      </c>
      <c r="C3865" s="77">
        <f t="shared" si="63"/>
        <v>3864</v>
      </c>
    </row>
    <row r="3866" spans="1:3" x14ac:dyDescent="0.2">
      <c r="A3866" s="78">
        <v>49522</v>
      </c>
      <c r="B3866" s="77">
        <f>+PT!A3868</f>
        <v>0</v>
      </c>
      <c r="C3866" s="77">
        <f t="shared" si="63"/>
        <v>3865</v>
      </c>
    </row>
    <row r="3867" spans="1:3" x14ac:dyDescent="0.2">
      <c r="A3867" s="78">
        <v>49523</v>
      </c>
      <c r="B3867" s="77">
        <f>+PT!A3869</f>
        <v>0</v>
      </c>
      <c r="C3867" s="77">
        <f t="shared" si="63"/>
        <v>3866</v>
      </c>
    </row>
    <row r="3868" spans="1:3" x14ac:dyDescent="0.2">
      <c r="A3868" s="78">
        <v>49524</v>
      </c>
      <c r="B3868" s="77">
        <f>+PT!A3870</f>
        <v>0</v>
      </c>
      <c r="C3868" s="77">
        <f t="shared" si="63"/>
        <v>3867</v>
      </c>
    </row>
    <row r="3869" spans="1:3" x14ac:dyDescent="0.2">
      <c r="A3869" s="78">
        <v>49525</v>
      </c>
      <c r="B3869" s="77">
        <f>+PT!A3871</f>
        <v>0</v>
      </c>
      <c r="C3869" s="77">
        <f t="shared" si="63"/>
        <v>3868</v>
      </c>
    </row>
    <row r="3870" spans="1:3" x14ac:dyDescent="0.2">
      <c r="A3870" s="78">
        <v>49526</v>
      </c>
      <c r="B3870" s="77">
        <f>+PT!A3872</f>
        <v>0</v>
      </c>
      <c r="C3870" s="77">
        <f t="shared" si="63"/>
        <v>3869</v>
      </c>
    </row>
    <row r="3871" spans="1:3" x14ac:dyDescent="0.2">
      <c r="A3871" s="78">
        <v>49527</v>
      </c>
      <c r="B3871" s="77">
        <f>+PT!A3873</f>
        <v>0</v>
      </c>
      <c r="C3871" s="77">
        <f t="shared" si="63"/>
        <v>3870</v>
      </c>
    </row>
    <row r="3872" spans="1:3" x14ac:dyDescent="0.2">
      <c r="A3872" s="78">
        <v>49528</v>
      </c>
      <c r="B3872" s="77">
        <f>+PT!A3874</f>
        <v>0</v>
      </c>
      <c r="C3872" s="77">
        <f t="shared" si="63"/>
        <v>3871</v>
      </c>
    </row>
    <row r="3873" spans="1:3" x14ac:dyDescent="0.2">
      <c r="A3873" s="78">
        <v>49529</v>
      </c>
      <c r="B3873" s="77">
        <f>+PT!A3875</f>
        <v>0</v>
      </c>
      <c r="C3873" s="77">
        <f t="shared" si="63"/>
        <v>3872</v>
      </c>
    </row>
    <row r="3874" spans="1:3" x14ac:dyDescent="0.2">
      <c r="A3874" s="78">
        <v>49530</v>
      </c>
      <c r="B3874" s="77">
        <f>+PT!A3876</f>
        <v>0</v>
      </c>
      <c r="C3874" s="77">
        <f t="shared" si="63"/>
        <v>3873</v>
      </c>
    </row>
    <row r="3875" spans="1:3" x14ac:dyDescent="0.2">
      <c r="A3875" s="78">
        <v>49531</v>
      </c>
      <c r="B3875" s="77">
        <f>+PT!A3877</f>
        <v>0</v>
      </c>
      <c r="C3875" s="77">
        <f t="shared" si="63"/>
        <v>3874</v>
      </c>
    </row>
    <row r="3876" spans="1:3" x14ac:dyDescent="0.2">
      <c r="A3876" s="78">
        <v>49532</v>
      </c>
      <c r="B3876" s="77">
        <f>+PT!A3878</f>
        <v>0</v>
      </c>
      <c r="C3876" s="77">
        <f t="shared" si="63"/>
        <v>3875</v>
      </c>
    </row>
    <row r="3877" spans="1:3" x14ac:dyDescent="0.2">
      <c r="A3877" s="78">
        <v>49533</v>
      </c>
      <c r="B3877" s="77">
        <f>+PT!A3879</f>
        <v>0</v>
      </c>
      <c r="C3877" s="77">
        <f t="shared" si="63"/>
        <v>3876</v>
      </c>
    </row>
    <row r="3878" spans="1:3" x14ac:dyDescent="0.2">
      <c r="A3878" s="78">
        <v>49534</v>
      </c>
      <c r="B3878" s="77">
        <f>+PT!A3880</f>
        <v>0</v>
      </c>
      <c r="C3878" s="77">
        <f t="shared" si="63"/>
        <v>3877</v>
      </c>
    </row>
    <row r="3879" spans="1:3" x14ac:dyDescent="0.2">
      <c r="A3879" s="78">
        <v>49535</v>
      </c>
      <c r="B3879" s="77">
        <f>+PT!A3881</f>
        <v>0</v>
      </c>
      <c r="C3879" s="77">
        <f t="shared" si="63"/>
        <v>3878</v>
      </c>
    </row>
    <row r="3880" spans="1:3" x14ac:dyDescent="0.2">
      <c r="A3880" s="78">
        <v>49536</v>
      </c>
      <c r="B3880" s="77">
        <f>+PT!A3882</f>
        <v>0</v>
      </c>
      <c r="C3880" s="77">
        <f t="shared" si="63"/>
        <v>3879</v>
      </c>
    </row>
    <row r="3881" spans="1:3" x14ac:dyDescent="0.2">
      <c r="A3881" s="78">
        <v>49537</v>
      </c>
      <c r="B3881" s="77">
        <f>+PT!A3883</f>
        <v>0</v>
      </c>
      <c r="C3881" s="77">
        <f t="shared" si="63"/>
        <v>3880</v>
      </c>
    </row>
    <row r="3882" spans="1:3" x14ac:dyDescent="0.2">
      <c r="A3882" s="78">
        <v>49538</v>
      </c>
      <c r="B3882" s="77">
        <f>+PT!A3884</f>
        <v>0</v>
      </c>
      <c r="C3882" s="77">
        <f t="shared" si="63"/>
        <v>3881</v>
      </c>
    </row>
    <row r="3883" spans="1:3" x14ac:dyDescent="0.2">
      <c r="A3883" s="78">
        <v>49539</v>
      </c>
      <c r="B3883" s="77">
        <f>+PT!A3885</f>
        <v>0</v>
      </c>
      <c r="C3883" s="77">
        <f t="shared" si="63"/>
        <v>3882</v>
      </c>
    </row>
    <row r="3884" spans="1:3" x14ac:dyDescent="0.2">
      <c r="A3884" s="78">
        <v>49540</v>
      </c>
      <c r="B3884" s="77">
        <f>+PT!A3886</f>
        <v>0</v>
      </c>
      <c r="C3884" s="77">
        <f t="shared" si="63"/>
        <v>3883</v>
      </c>
    </row>
    <row r="3885" spans="1:3" x14ac:dyDescent="0.2">
      <c r="A3885" s="78">
        <v>49541</v>
      </c>
      <c r="B3885" s="77">
        <f>+PT!A3887</f>
        <v>0</v>
      </c>
      <c r="C3885" s="77">
        <f t="shared" si="63"/>
        <v>3884</v>
      </c>
    </row>
    <row r="3886" spans="1:3" x14ac:dyDescent="0.2">
      <c r="A3886" s="78">
        <v>49542</v>
      </c>
      <c r="B3886" s="77">
        <f>+PT!A3888</f>
        <v>0</v>
      </c>
      <c r="C3886" s="77">
        <f t="shared" si="63"/>
        <v>3885</v>
      </c>
    </row>
    <row r="3887" spans="1:3" x14ac:dyDescent="0.2">
      <c r="A3887" s="78">
        <v>49543</v>
      </c>
      <c r="B3887" s="77">
        <f>+PT!A3889</f>
        <v>0</v>
      </c>
      <c r="C3887" s="77">
        <f t="shared" si="63"/>
        <v>3886</v>
      </c>
    </row>
    <row r="3888" spans="1:3" x14ac:dyDescent="0.2">
      <c r="A3888" s="78">
        <v>49544</v>
      </c>
      <c r="B3888" s="77">
        <f>+PT!A3890</f>
        <v>0</v>
      </c>
      <c r="C3888" s="77">
        <f t="shared" si="63"/>
        <v>3887</v>
      </c>
    </row>
    <row r="3889" spans="1:3" x14ac:dyDescent="0.2">
      <c r="A3889" s="78">
        <v>49545</v>
      </c>
      <c r="B3889" s="77">
        <f>+PT!A3891</f>
        <v>0</v>
      </c>
      <c r="C3889" s="77">
        <f t="shared" si="63"/>
        <v>3888</v>
      </c>
    </row>
    <row r="3890" spans="1:3" x14ac:dyDescent="0.2">
      <c r="A3890" s="78">
        <v>49546</v>
      </c>
      <c r="B3890" s="77">
        <f>+PT!A3892</f>
        <v>0</v>
      </c>
      <c r="C3890" s="77">
        <f t="shared" si="63"/>
        <v>3889</v>
      </c>
    </row>
    <row r="3891" spans="1:3" x14ac:dyDescent="0.2">
      <c r="A3891" s="78">
        <v>49547</v>
      </c>
      <c r="B3891" s="77">
        <f>+PT!A3893</f>
        <v>0</v>
      </c>
      <c r="C3891" s="77">
        <f t="shared" si="63"/>
        <v>3890</v>
      </c>
    </row>
    <row r="3892" spans="1:3" x14ac:dyDescent="0.2">
      <c r="A3892" s="78">
        <v>49548</v>
      </c>
      <c r="B3892" s="77">
        <f>+PT!A3894</f>
        <v>0</v>
      </c>
      <c r="C3892" s="77">
        <f t="shared" si="63"/>
        <v>3891</v>
      </c>
    </row>
    <row r="3893" spans="1:3" x14ac:dyDescent="0.2">
      <c r="A3893" s="78">
        <v>49549</v>
      </c>
      <c r="B3893" s="77">
        <f>+PT!A3895</f>
        <v>0</v>
      </c>
      <c r="C3893" s="77">
        <f t="shared" si="63"/>
        <v>3892</v>
      </c>
    </row>
    <row r="3894" spans="1:3" x14ac:dyDescent="0.2">
      <c r="A3894" s="78">
        <v>49550</v>
      </c>
      <c r="B3894" s="77">
        <f>+PT!A3896</f>
        <v>0</v>
      </c>
      <c r="C3894" s="77">
        <f t="shared" si="63"/>
        <v>3893</v>
      </c>
    </row>
    <row r="3895" spans="1:3" x14ac:dyDescent="0.2">
      <c r="A3895" s="78">
        <v>49551</v>
      </c>
      <c r="B3895" s="77">
        <f>+PT!A3897</f>
        <v>0</v>
      </c>
      <c r="C3895" s="77">
        <f t="shared" si="63"/>
        <v>3894</v>
      </c>
    </row>
    <row r="3896" spans="1:3" x14ac:dyDescent="0.2">
      <c r="A3896" s="78">
        <v>49552</v>
      </c>
      <c r="B3896" s="77">
        <f>+PT!A3898</f>
        <v>0</v>
      </c>
      <c r="C3896" s="77">
        <f t="shared" si="63"/>
        <v>3895</v>
      </c>
    </row>
    <row r="3897" spans="1:3" x14ac:dyDescent="0.2">
      <c r="A3897" s="78">
        <v>49553</v>
      </c>
      <c r="B3897" s="77">
        <f>+PT!A3899</f>
        <v>0</v>
      </c>
      <c r="C3897" s="77">
        <f t="shared" si="63"/>
        <v>3896</v>
      </c>
    </row>
    <row r="3898" spans="1:3" x14ac:dyDescent="0.2">
      <c r="A3898" s="78">
        <v>49554</v>
      </c>
      <c r="B3898" s="77">
        <f>+PT!A3900</f>
        <v>0</v>
      </c>
      <c r="C3898" s="77">
        <f t="shared" si="63"/>
        <v>3897</v>
      </c>
    </row>
    <row r="3899" spans="1:3" x14ac:dyDescent="0.2">
      <c r="A3899" s="78">
        <v>49555</v>
      </c>
      <c r="B3899" s="77">
        <f>+PT!A3901</f>
        <v>0</v>
      </c>
      <c r="C3899" s="77">
        <f t="shared" si="63"/>
        <v>3898</v>
      </c>
    </row>
    <row r="3900" spans="1:3" x14ac:dyDescent="0.2">
      <c r="A3900" s="78">
        <v>49556</v>
      </c>
      <c r="B3900" s="77">
        <f>+PT!A3902</f>
        <v>0</v>
      </c>
      <c r="C3900" s="77">
        <f t="shared" si="63"/>
        <v>3899</v>
      </c>
    </row>
    <row r="3901" spans="1:3" x14ac:dyDescent="0.2">
      <c r="A3901" s="78">
        <v>49557</v>
      </c>
      <c r="B3901" s="77">
        <f>+PT!A3903</f>
        <v>0</v>
      </c>
      <c r="C3901" s="77">
        <f t="shared" si="63"/>
        <v>3900</v>
      </c>
    </row>
    <row r="3902" spans="1:3" x14ac:dyDescent="0.2">
      <c r="A3902" s="78">
        <v>49558</v>
      </c>
      <c r="B3902" s="77">
        <f>+PT!A3904</f>
        <v>0</v>
      </c>
      <c r="C3902" s="77">
        <f t="shared" si="63"/>
        <v>3901</v>
      </c>
    </row>
    <row r="3903" spans="1:3" x14ac:dyDescent="0.2">
      <c r="A3903" s="78">
        <v>49559</v>
      </c>
      <c r="B3903" s="77">
        <f>+PT!A3905</f>
        <v>0</v>
      </c>
      <c r="C3903" s="77">
        <f t="shared" si="63"/>
        <v>3902</v>
      </c>
    </row>
    <row r="3904" spans="1:3" x14ac:dyDescent="0.2">
      <c r="A3904" s="78">
        <v>49560</v>
      </c>
      <c r="B3904" s="77">
        <f>+PT!A3906</f>
        <v>0</v>
      </c>
      <c r="C3904" s="77">
        <f t="shared" si="63"/>
        <v>3903</v>
      </c>
    </row>
    <row r="3905" spans="1:3" x14ac:dyDescent="0.2">
      <c r="A3905" s="78">
        <v>49561</v>
      </c>
      <c r="B3905" s="77">
        <f>+PT!A3907</f>
        <v>0</v>
      </c>
      <c r="C3905" s="77">
        <f t="shared" si="63"/>
        <v>3904</v>
      </c>
    </row>
    <row r="3906" spans="1:3" x14ac:dyDescent="0.2">
      <c r="A3906" s="78">
        <v>49562</v>
      </c>
      <c r="B3906" s="77">
        <f>+PT!A3908</f>
        <v>0</v>
      </c>
      <c r="C3906" s="77">
        <f t="shared" si="63"/>
        <v>3905</v>
      </c>
    </row>
    <row r="3907" spans="1:3" x14ac:dyDescent="0.2">
      <c r="A3907" s="78">
        <v>49563</v>
      </c>
      <c r="B3907" s="77">
        <f>+PT!A3909</f>
        <v>0</v>
      </c>
      <c r="C3907" s="77">
        <f t="shared" si="63"/>
        <v>3906</v>
      </c>
    </row>
    <row r="3908" spans="1:3" x14ac:dyDescent="0.2">
      <c r="A3908" s="78">
        <v>49564</v>
      </c>
      <c r="B3908" s="77">
        <f>+PT!A3910</f>
        <v>0</v>
      </c>
      <c r="C3908" s="77">
        <f t="shared" ref="C3908:C3971" si="64">+C3907+1</f>
        <v>3907</v>
      </c>
    </row>
    <row r="3909" spans="1:3" x14ac:dyDescent="0.2">
      <c r="A3909" s="78">
        <v>49565</v>
      </c>
      <c r="B3909" s="77">
        <f>+PT!A3911</f>
        <v>0</v>
      </c>
      <c r="C3909" s="77">
        <f t="shared" si="64"/>
        <v>3908</v>
      </c>
    </row>
    <row r="3910" spans="1:3" x14ac:dyDescent="0.2">
      <c r="A3910" s="78">
        <v>49566</v>
      </c>
      <c r="B3910" s="77">
        <f>+PT!A3912</f>
        <v>0</v>
      </c>
      <c r="C3910" s="77">
        <f t="shared" si="64"/>
        <v>3909</v>
      </c>
    </row>
    <row r="3911" spans="1:3" x14ac:dyDescent="0.2">
      <c r="A3911" s="78">
        <v>49567</v>
      </c>
      <c r="B3911" s="77">
        <f>+PT!A3913</f>
        <v>0</v>
      </c>
      <c r="C3911" s="77">
        <f t="shared" si="64"/>
        <v>3910</v>
      </c>
    </row>
    <row r="3912" spans="1:3" x14ac:dyDescent="0.2">
      <c r="A3912" s="78">
        <v>49568</v>
      </c>
      <c r="B3912" s="77">
        <f>+PT!A3914</f>
        <v>0</v>
      </c>
      <c r="C3912" s="77">
        <f t="shared" si="64"/>
        <v>3911</v>
      </c>
    </row>
    <row r="3913" spans="1:3" x14ac:dyDescent="0.2">
      <c r="A3913" s="78">
        <v>49569</v>
      </c>
      <c r="B3913" s="77">
        <f>+PT!A3915</f>
        <v>0</v>
      </c>
      <c r="C3913" s="77">
        <f t="shared" si="64"/>
        <v>3912</v>
      </c>
    </row>
    <row r="3914" spans="1:3" x14ac:dyDescent="0.2">
      <c r="A3914" s="78">
        <v>49570</v>
      </c>
      <c r="B3914" s="77">
        <f>+PT!A3916</f>
        <v>0</v>
      </c>
      <c r="C3914" s="77">
        <f t="shared" si="64"/>
        <v>3913</v>
      </c>
    </row>
    <row r="3915" spans="1:3" x14ac:dyDescent="0.2">
      <c r="A3915" s="78">
        <v>49571</v>
      </c>
      <c r="B3915" s="77">
        <f>+PT!A3917</f>
        <v>0</v>
      </c>
      <c r="C3915" s="77">
        <f t="shared" si="64"/>
        <v>3914</v>
      </c>
    </row>
    <row r="3916" spans="1:3" x14ac:dyDescent="0.2">
      <c r="A3916" s="78">
        <v>49572</v>
      </c>
      <c r="B3916" s="77">
        <f>+PT!A3918</f>
        <v>0</v>
      </c>
      <c r="C3916" s="77">
        <f t="shared" si="64"/>
        <v>3915</v>
      </c>
    </row>
    <row r="3917" spans="1:3" x14ac:dyDescent="0.2">
      <c r="A3917" s="78">
        <v>49573</v>
      </c>
      <c r="B3917" s="77">
        <f>+PT!A3919</f>
        <v>0</v>
      </c>
      <c r="C3917" s="77">
        <f t="shared" si="64"/>
        <v>3916</v>
      </c>
    </row>
    <row r="3918" spans="1:3" x14ac:dyDescent="0.2">
      <c r="A3918" s="78">
        <v>49574</v>
      </c>
      <c r="B3918" s="77">
        <f>+PT!A3920</f>
        <v>0</v>
      </c>
      <c r="C3918" s="77">
        <f t="shared" si="64"/>
        <v>3917</v>
      </c>
    </row>
    <row r="3919" spans="1:3" x14ac:dyDescent="0.2">
      <c r="A3919" s="78">
        <v>49575</v>
      </c>
      <c r="B3919" s="77">
        <f>+PT!A3921</f>
        <v>0</v>
      </c>
      <c r="C3919" s="77">
        <f t="shared" si="64"/>
        <v>3918</v>
      </c>
    </row>
    <row r="3920" spans="1:3" x14ac:dyDescent="0.2">
      <c r="A3920" s="78">
        <v>49576</v>
      </c>
      <c r="B3920" s="77">
        <f>+PT!A3922</f>
        <v>0</v>
      </c>
      <c r="C3920" s="77">
        <f t="shared" si="64"/>
        <v>3919</v>
      </c>
    </row>
    <row r="3921" spans="1:3" x14ac:dyDescent="0.2">
      <c r="A3921" s="78">
        <v>49577</v>
      </c>
      <c r="B3921" s="77">
        <f>+PT!A3923</f>
        <v>0</v>
      </c>
      <c r="C3921" s="77">
        <f t="shared" si="64"/>
        <v>3920</v>
      </c>
    </row>
    <row r="3922" spans="1:3" x14ac:dyDescent="0.2">
      <c r="A3922" s="78">
        <v>49578</v>
      </c>
      <c r="B3922" s="77">
        <f>+PT!A3924</f>
        <v>0</v>
      </c>
      <c r="C3922" s="77">
        <f t="shared" si="64"/>
        <v>3921</v>
      </c>
    </row>
    <row r="3923" spans="1:3" x14ac:dyDescent="0.2">
      <c r="A3923" s="78">
        <v>49579</v>
      </c>
      <c r="B3923" s="77">
        <f>+PT!A3925</f>
        <v>0</v>
      </c>
      <c r="C3923" s="77">
        <f t="shared" si="64"/>
        <v>3922</v>
      </c>
    </row>
    <row r="3924" spans="1:3" x14ac:dyDescent="0.2">
      <c r="A3924" s="78">
        <v>49580</v>
      </c>
      <c r="B3924" s="77">
        <f>+PT!A3926</f>
        <v>0</v>
      </c>
      <c r="C3924" s="77">
        <f t="shared" si="64"/>
        <v>3923</v>
      </c>
    </row>
    <row r="3925" spans="1:3" x14ac:dyDescent="0.2">
      <c r="A3925" s="78">
        <v>49581</v>
      </c>
      <c r="B3925" s="77">
        <f>+PT!A3927</f>
        <v>0</v>
      </c>
      <c r="C3925" s="77">
        <f t="shared" si="64"/>
        <v>3924</v>
      </c>
    </row>
    <row r="3926" spans="1:3" x14ac:dyDescent="0.2">
      <c r="A3926" s="78">
        <v>49582</v>
      </c>
      <c r="B3926" s="77">
        <f>+PT!A3928</f>
        <v>0</v>
      </c>
      <c r="C3926" s="77">
        <f t="shared" si="64"/>
        <v>3925</v>
      </c>
    </row>
    <row r="3927" spans="1:3" x14ac:dyDescent="0.2">
      <c r="A3927" s="78">
        <v>49583</v>
      </c>
      <c r="B3927" s="77">
        <f>+PT!A3929</f>
        <v>0</v>
      </c>
      <c r="C3927" s="77">
        <f t="shared" si="64"/>
        <v>3926</v>
      </c>
    </row>
    <row r="3928" spans="1:3" x14ac:dyDescent="0.2">
      <c r="A3928" s="78">
        <v>49584</v>
      </c>
      <c r="B3928" s="77">
        <f>+PT!A3930</f>
        <v>0</v>
      </c>
      <c r="C3928" s="77">
        <f t="shared" si="64"/>
        <v>3927</v>
      </c>
    </row>
    <row r="3929" spans="1:3" x14ac:dyDescent="0.2">
      <c r="A3929" s="78">
        <v>49585</v>
      </c>
      <c r="B3929" s="77">
        <f>+PT!A3931</f>
        <v>0</v>
      </c>
      <c r="C3929" s="77">
        <f t="shared" si="64"/>
        <v>3928</v>
      </c>
    </row>
    <row r="3930" spans="1:3" x14ac:dyDescent="0.2">
      <c r="A3930" s="78">
        <v>49586</v>
      </c>
      <c r="B3930" s="77">
        <f>+PT!A3932</f>
        <v>0</v>
      </c>
      <c r="C3930" s="77">
        <f t="shared" si="64"/>
        <v>3929</v>
      </c>
    </row>
    <row r="3931" spans="1:3" x14ac:dyDescent="0.2">
      <c r="A3931" s="78">
        <v>49587</v>
      </c>
      <c r="B3931" s="77">
        <f>+PT!A3933</f>
        <v>0</v>
      </c>
      <c r="C3931" s="77">
        <f t="shared" si="64"/>
        <v>3930</v>
      </c>
    </row>
    <row r="3932" spans="1:3" x14ac:dyDescent="0.2">
      <c r="A3932" s="78">
        <v>49588</v>
      </c>
      <c r="B3932" s="77">
        <f>+PT!A3934</f>
        <v>0</v>
      </c>
      <c r="C3932" s="77">
        <f t="shared" si="64"/>
        <v>3931</v>
      </c>
    </row>
    <row r="3933" spans="1:3" x14ac:dyDescent="0.2">
      <c r="A3933" s="78">
        <v>49589</v>
      </c>
      <c r="B3933" s="77">
        <f>+PT!A3935</f>
        <v>0</v>
      </c>
      <c r="C3933" s="77">
        <f t="shared" si="64"/>
        <v>3932</v>
      </c>
    </row>
    <row r="3934" spans="1:3" x14ac:dyDescent="0.2">
      <c r="A3934" s="78">
        <v>49590</v>
      </c>
      <c r="B3934" s="77">
        <f>+PT!A3936</f>
        <v>0</v>
      </c>
      <c r="C3934" s="77">
        <f t="shared" si="64"/>
        <v>3933</v>
      </c>
    </row>
    <row r="3935" spans="1:3" x14ac:dyDescent="0.2">
      <c r="A3935" s="78">
        <v>49591</v>
      </c>
      <c r="B3935" s="77">
        <f>+PT!A3937</f>
        <v>0</v>
      </c>
      <c r="C3935" s="77">
        <f t="shared" si="64"/>
        <v>3934</v>
      </c>
    </row>
    <row r="3936" spans="1:3" x14ac:dyDescent="0.2">
      <c r="A3936" s="78">
        <v>49592</v>
      </c>
      <c r="B3936" s="77">
        <f>+PT!A3938</f>
        <v>0</v>
      </c>
      <c r="C3936" s="77">
        <f t="shared" si="64"/>
        <v>3935</v>
      </c>
    </row>
    <row r="3937" spans="1:3" x14ac:dyDescent="0.2">
      <c r="A3937" s="78">
        <v>49593</v>
      </c>
      <c r="B3937" s="77">
        <f>+PT!A3939</f>
        <v>0</v>
      </c>
      <c r="C3937" s="77">
        <f t="shared" si="64"/>
        <v>3936</v>
      </c>
    </row>
    <row r="3938" spans="1:3" x14ac:dyDescent="0.2">
      <c r="A3938" s="78">
        <v>49594</v>
      </c>
      <c r="B3938" s="77">
        <f>+PT!A3940</f>
        <v>0</v>
      </c>
      <c r="C3938" s="77">
        <f t="shared" si="64"/>
        <v>3937</v>
      </c>
    </row>
    <row r="3939" spans="1:3" x14ac:dyDescent="0.2">
      <c r="A3939" s="78">
        <v>49595</v>
      </c>
      <c r="B3939" s="77">
        <f>+PT!A3941</f>
        <v>0</v>
      </c>
      <c r="C3939" s="77">
        <f t="shared" si="64"/>
        <v>3938</v>
      </c>
    </row>
    <row r="3940" spans="1:3" x14ac:dyDescent="0.2">
      <c r="A3940" s="78">
        <v>49596</v>
      </c>
      <c r="B3940" s="77">
        <f>+PT!A3942</f>
        <v>0</v>
      </c>
      <c r="C3940" s="77">
        <f t="shared" si="64"/>
        <v>3939</v>
      </c>
    </row>
    <row r="3941" spans="1:3" x14ac:dyDescent="0.2">
      <c r="A3941" s="78">
        <v>49597</v>
      </c>
      <c r="B3941" s="77">
        <f>+PT!A3943</f>
        <v>0</v>
      </c>
      <c r="C3941" s="77">
        <f t="shared" si="64"/>
        <v>3940</v>
      </c>
    </row>
    <row r="3942" spans="1:3" x14ac:dyDescent="0.2">
      <c r="A3942" s="78">
        <v>49598</v>
      </c>
      <c r="B3942" s="77">
        <f>+PT!A3944</f>
        <v>0</v>
      </c>
      <c r="C3942" s="77">
        <f t="shared" si="64"/>
        <v>3941</v>
      </c>
    </row>
    <row r="3943" spans="1:3" x14ac:dyDescent="0.2">
      <c r="A3943" s="78">
        <v>49599</v>
      </c>
      <c r="B3943" s="77">
        <f>+PT!A3945</f>
        <v>0</v>
      </c>
      <c r="C3943" s="77">
        <f t="shared" si="64"/>
        <v>3942</v>
      </c>
    </row>
    <row r="3944" spans="1:3" x14ac:dyDescent="0.2">
      <c r="A3944" s="78">
        <v>49600</v>
      </c>
      <c r="B3944" s="77">
        <f>+PT!A3946</f>
        <v>0</v>
      </c>
      <c r="C3944" s="77">
        <f t="shared" si="64"/>
        <v>3943</v>
      </c>
    </row>
    <row r="3945" spans="1:3" x14ac:dyDescent="0.2">
      <c r="A3945" s="78">
        <v>49601</v>
      </c>
      <c r="B3945" s="77">
        <f>+PT!A3947</f>
        <v>0</v>
      </c>
      <c r="C3945" s="77">
        <f t="shared" si="64"/>
        <v>3944</v>
      </c>
    </row>
    <row r="3946" spans="1:3" x14ac:dyDescent="0.2">
      <c r="A3946" s="78">
        <v>49602</v>
      </c>
      <c r="B3946" s="77">
        <f>+PT!A3948</f>
        <v>0</v>
      </c>
      <c r="C3946" s="77">
        <f t="shared" si="64"/>
        <v>3945</v>
      </c>
    </row>
    <row r="3947" spans="1:3" x14ac:dyDescent="0.2">
      <c r="A3947" s="78">
        <v>49603</v>
      </c>
      <c r="B3947" s="77">
        <f>+PT!A3949</f>
        <v>0</v>
      </c>
      <c r="C3947" s="77">
        <f t="shared" si="64"/>
        <v>3946</v>
      </c>
    </row>
    <row r="3948" spans="1:3" x14ac:dyDescent="0.2">
      <c r="A3948" s="78">
        <v>49604</v>
      </c>
      <c r="B3948" s="77">
        <f>+PT!A3950</f>
        <v>0</v>
      </c>
      <c r="C3948" s="77">
        <f t="shared" si="64"/>
        <v>3947</v>
      </c>
    </row>
    <row r="3949" spans="1:3" x14ac:dyDescent="0.2">
      <c r="A3949" s="78">
        <v>49605</v>
      </c>
      <c r="B3949" s="77">
        <f>+PT!A3951</f>
        <v>0</v>
      </c>
      <c r="C3949" s="77">
        <f t="shared" si="64"/>
        <v>3948</v>
      </c>
    </row>
    <row r="3950" spans="1:3" x14ac:dyDescent="0.2">
      <c r="A3950" s="78">
        <v>49606</v>
      </c>
      <c r="B3950" s="77">
        <f>+PT!A3952</f>
        <v>0</v>
      </c>
      <c r="C3950" s="77">
        <f t="shared" si="64"/>
        <v>3949</v>
      </c>
    </row>
    <row r="3951" spans="1:3" x14ac:dyDescent="0.2">
      <c r="A3951" s="78">
        <v>49607</v>
      </c>
      <c r="B3951" s="77">
        <f>+PT!A3953</f>
        <v>0</v>
      </c>
      <c r="C3951" s="77">
        <f t="shared" si="64"/>
        <v>3950</v>
      </c>
    </row>
    <row r="3952" spans="1:3" x14ac:dyDescent="0.2">
      <c r="A3952" s="78">
        <v>49608</v>
      </c>
      <c r="B3952" s="77">
        <f>+PT!A3954</f>
        <v>0</v>
      </c>
      <c r="C3952" s="77">
        <f t="shared" si="64"/>
        <v>3951</v>
      </c>
    </row>
    <row r="3953" spans="1:3" x14ac:dyDescent="0.2">
      <c r="A3953" s="78">
        <v>49609</v>
      </c>
      <c r="B3953" s="77">
        <f>+PT!A3955</f>
        <v>0</v>
      </c>
      <c r="C3953" s="77">
        <f t="shared" si="64"/>
        <v>3952</v>
      </c>
    </row>
    <row r="3954" spans="1:3" x14ac:dyDescent="0.2">
      <c r="A3954" s="78">
        <v>49610</v>
      </c>
      <c r="B3954" s="77">
        <f>+PT!A3956</f>
        <v>0</v>
      </c>
      <c r="C3954" s="77">
        <f t="shared" si="64"/>
        <v>3953</v>
      </c>
    </row>
    <row r="3955" spans="1:3" x14ac:dyDescent="0.2">
      <c r="A3955" s="78">
        <v>49611</v>
      </c>
      <c r="B3955" s="77">
        <f>+PT!A3957</f>
        <v>0</v>
      </c>
      <c r="C3955" s="77">
        <f t="shared" si="64"/>
        <v>3954</v>
      </c>
    </row>
    <row r="3956" spans="1:3" x14ac:dyDescent="0.2">
      <c r="A3956" s="78">
        <v>49612</v>
      </c>
      <c r="B3956" s="77">
        <f>+PT!A3958</f>
        <v>0</v>
      </c>
      <c r="C3956" s="77">
        <f t="shared" si="64"/>
        <v>3955</v>
      </c>
    </row>
    <row r="3957" spans="1:3" x14ac:dyDescent="0.2">
      <c r="A3957" s="78">
        <v>49613</v>
      </c>
      <c r="B3957" s="77">
        <f>+PT!A3959</f>
        <v>0</v>
      </c>
      <c r="C3957" s="77">
        <f t="shared" si="64"/>
        <v>3956</v>
      </c>
    </row>
    <row r="3958" spans="1:3" x14ac:dyDescent="0.2">
      <c r="A3958" s="78">
        <v>49614</v>
      </c>
      <c r="B3958" s="77">
        <f>+PT!A3960</f>
        <v>0</v>
      </c>
      <c r="C3958" s="77">
        <f t="shared" si="64"/>
        <v>3957</v>
      </c>
    </row>
    <row r="3959" spans="1:3" x14ac:dyDescent="0.2">
      <c r="A3959" s="78">
        <v>49615</v>
      </c>
      <c r="B3959" s="77">
        <f>+PT!A3961</f>
        <v>0</v>
      </c>
      <c r="C3959" s="77">
        <f t="shared" si="64"/>
        <v>3958</v>
      </c>
    </row>
    <row r="3960" spans="1:3" x14ac:dyDescent="0.2">
      <c r="A3960" s="78">
        <v>49616</v>
      </c>
      <c r="B3960" s="77">
        <f>+PT!A3962</f>
        <v>0</v>
      </c>
      <c r="C3960" s="77">
        <f t="shared" si="64"/>
        <v>3959</v>
      </c>
    </row>
    <row r="3961" spans="1:3" x14ac:dyDescent="0.2">
      <c r="A3961" s="78">
        <v>49617</v>
      </c>
      <c r="B3961" s="77">
        <f>+PT!A3963</f>
        <v>0</v>
      </c>
      <c r="C3961" s="77">
        <f t="shared" si="64"/>
        <v>3960</v>
      </c>
    </row>
    <row r="3962" spans="1:3" x14ac:dyDescent="0.2">
      <c r="A3962" s="78">
        <v>49618</v>
      </c>
      <c r="B3962" s="77">
        <f>+PT!A3964</f>
        <v>0</v>
      </c>
      <c r="C3962" s="77">
        <f t="shared" si="64"/>
        <v>3961</v>
      </c>
    </row>
    <row r="3963" spans="1:3" x14ac:dyDescent="0.2">
      <c r="A3963" s="78">
        <v>49619</v>
      </c>
      <c r="B3963" s="77">
        <f>+PT!A3965</f>
        <v>0</v>
      </c>
      <c r="C3963" s="77">
        <f t="shared" si="64"/>
        <v>3962</v>
      </c>
    </row>
    <row r="3964" spans="1:3" x14ac:dyDescent="0.2">
      <c r="A3964" s="78">
        <v>49620</v>
      </c>
      <c r="B3964" s="77">
        <f>+PT!A3966</f>
        <v>0</v>
      </c>
      <c r="C3964" s="77">
        <f t="shared" si="64"/>
        <v>3963</v>
      </c>
    </row>
    <row r="3965" spans="1:3" x14ac:dyDescent="0.2">
      <c r="A3965" s="78">
        <v>49621</v>
      </c>
      <c r="B3965" s="77">
        <f>+PT!A3967</f>
        <v>0</v>
      </c>
      <c r="C3965" s="77">
        <f t="shared" si="64"/>
        <v>3964</v>
      </c>
    </row>
    <row r="3966" spans="1:3" x14ac:dyDescent="0.2">
      <c r="A3966" s="78">
        <v>49622</v>
      </c>
      <c r="B3966" s="77">
        <f>+PT!A3968</f>
        <v>0</v>
      </c>
      <c r="C3966" s="77">
        <f t="shared" si="64"/>
        <v>3965</v>
      </c>
    </row>
    <row r="3967" spans="1:3" x14ac:dyDescent="0.2">
      <c r="A3967" s="78">
        <v>49623</v>
      </c>
      <c r="B3967" s="77">
        <f>+PT!A3969</f>
        <v>0</v>
      </c>
      <c r="C3967" s="77">
        <f t="shared" si="64"/>
        <v>3966</v>
      </c>
    </row>
    <row r="3968" spans="1:3" x14ac:dyDescent="0.2">
      <c r="A3968" s="78">
        <v>49624</v>
      </c>
      <c r="B3968" s="77">
        <f>+PT!A3970</f>
        <v>0</v>
      </c>
      <c r="C3968" s="77">
        <f t="shared" si="64"/>
        <v>3967</v>
      </c>
    </row>
    <row r="3969" spans="1:3" x14ac:dyDescent="0.2">
      <c r="A3969" s="78">
        <v>49625</v>
      </c>
      <c r="B3969" s="77">
        <f>+PT!A3971</f>
        <v>0</v>
      </c>
      <c r="C3969" s="77">
        <f t="shared" si="64"/>
        <v>3968</v>
      </c>
    </row>
    <row r="3970" spans="1:3" x14ac:dyDescent="0.2">
      <c r="A3970" s="78">
        <v>49626</v>
      </c>
      <c r="B3970" s="77">
        <f>+PT!A3972</f>
        <v>0</v>
      </c>
      <c r="C3970" s="77">
        <f t="shared" si="64"/>
        <v>3969</v>
      </c>
    </row>
    <row r="3971" spans="1:3" x14ac:dyDescent="0.2">
      <c r="A3971" s="78">
        <v>49627</v>
      </c>
      <c r="B3971" s="77">
        <f>+PT!A3973</f>
        <v>0</v>
      </c>
      <c r="C3971" s="77">
        <f t="shared" si="64"/>
        <v>3970</v>
      </c>
    </row>
    <row r="3972" spans="1:3" x14ac:dyDescent="0.2">
      <c r="A3972" s="78">
        <v>49628</v>
      </c>
      <c r="B3972" s="77">
        <f>+PT!A3974</f>
        <v>0</v>
      </c>
      <c r="C3972" s="77">
        <f t="shared" ref="C3972:C4035" si="65">+C3971+1</f>
        <v>3971</v>
      </c>
    </row>
    <row r="3973" spans="1:3" x14ac:dyDescent="0.2">
      <c r="A3973" s="78">
        <v>49629</v>
      </c>
      <c r="B3973" s="77">
        <f>+PT!A3975</f>
        <v>0</v>
      </c>
      <c r="C3973" s="77">
        <f t="shared" si="65"/>
        <v>3972</v>
      </c>
    </row>
    <row r="3974" spans="1:3" x14ac:dyDescent="0.2">
      <c r="A3974" s="78">
        <v>49630</v>
      </c>
      <c r="B3974" s="77">
        <f>+PT!A3976</f>
        <v>0</v>
      </c>
      <c r="C3974" s="77">
        <f t="shared" si="65"/>
        <v>3973</v>
      </c>
    </row>
    <row r="3975" spans="1:3" x14ac:dyDescent="0.2">
      <c r="A3975" s="78">
        <v>49631</v>
      </c>
      <c r="B3975" s="77">
        <f>+PT!A3977</f>
        <v>0</v>
      </c>
      <c r="C3975" s="77">
        <f t="shared" si="65"/>
        <v>3974</v>
      </c>
    </row>
    <row r="3976" spans="1:3" x14ac:dyDescent="0.2">
      <c r="A3976" s="78">
        <v>49632</v>
      </c>
      <c r="B3976" s="77">
        <f>+PT!A3978</f>
        <v>0</v>
      </c>
      <c r="C3976" s="77">
        <f t="shared" si="65"/>
        <v>3975</v>
      </c>
    </row>
    <row r="3977" spans="1:3" x14ac:dyDescent="0.2">
      <c r="A3977" s="78">
        <v>49633</v>
      </c>
      <c r="B3977" s="77">
        <f>+PT!A3979</f>
        <v>0</v>
      </c>
      <c r="C3977" s="77">
        <f t="shared" si="65"/>
        <v>3976</v>
      </c>
    </row>
    <row r="3978" spans="1:3" x14ac:dyDescent="0.2">
      <c r="A3978" s="78">
        <v>49634</v>
      </c>
      <c r="B3978" s="77">
        <f>+PT!A3980</f>
        <v>0</v>
      </c>
      <c r="C3978" s="77">
        <f t="shared" si="65"/>
        <v>3977</v>
      </c>
    </row>
    <row r="3979" spans="1:3" x14ac:dyDescent="0.2">
      <c r="A3979" s="78">
        <v>49635</v>
      </c>
      <c r="B3979" s="77">
        <f>+PT!A3981</f>
        <v>0</v>
      </c>
      <c r="C3979" s="77">
        <f t="shared" si="65"/>
        <v>3978</v>
      </c>
    </row>
    <row r="3980" spans="1:3" x14ac:dyDescent="0.2">
      <c r="A3980" s="78">
        <v>49636</v>
      </c>
      <c r="B3980" s="77">
        <f>+PT!A3982</f>
        <v>0</v>
      </c>
      <c r="C3980" s="77">
        <f t="shared" si="65"/>
        <v>3979</v>
      </c>
    </row>
    <row r="3981" spans="1:3" x14ac:dyDescent="0.2">
      <c r="A3981" s="78">
        <v>49637</v>
      </c>
      <c r="B3981" s="77">
        <f>+PT!A3983</f>
        <v>0</v>
      </c>
      <c r="C3981" s="77">
        <f t="shared" si="65"/>
        <v>3980</v>
      </c>
    </row>
    <row r="3982" spans="1:3" x14ac:dyDescent="0.2">
      <c r="A3982" s="78">
        <v>49638</v>
      </c>
      <c r="B3982" s="77">
        <f>+PT!A3984</f>
        <v>0</v>
      </c>
      <c r="C3982" s="77">
        <f t="shared" si="65"/>
        <v>3981</v>
      </c>
    </row>
    <row r="3983" spans="1:3" x14ac:dyDescent="0.2">
      <c r="A3983" s="78">
        <v>49639</v>
      </c>
      <c r="B3983" s="77">
        <f>+PT!A3985</f>
        <v>0</v>
      </c>
      <c r="C3983" s="77">
        <f t="shared" si="65"/>
        <v>3982</v>
      </c>
    </row>
    <row r="3984" spans="1:3" x14ac:dyDescent="0.2">
      <c r="A3984" s="78">
        <v>49640</v>
      </c>
      <c r="B3984" s="77">
        <f>+PT!A3986</f>
        <v>0</v>
      </c>
      <c r="C3984" s="77">
        <f t="shared" si="65"/>
        <v>3983</v>
      </c>
    </row>
    <row r="3985" spans="1:3" x14ac:dyDescent="0.2">
      <c r="A3985" s="78">
        <v>49641</v>
      </c>
      <c r="B3985" s="77">
        <f>+PT!A3987</f>
        <v>0</v>
      </c>
      <c r="C3985" s="77">
        <f t="shared" si="65"/>
        <v>3984</v>
      </c>
    </row>
    <row r="3986" spans="1:3" x14ac:dyDescent="0.2">
      <c r="A3986" s="78">
        <v>49642</v>
      </c>
      <c r="B3986" s="77">
        <f>+PT!A3988</f>
        <v>0</v>
      </c>
      <c r="C3986" s="77">
        <f t="shared" si="65"/>
        <v>3985</v>
      </c>
    </row>
    <row r="3987" spans="1:3" x14ac:dyDescent="0.2">
      <c r="A3987" s="78">
        <v>49643</v>
      </c>
      <c r="B3987" s="77">
        <f>+PT!A3989</f>
        <v>0</v>
      </c>
      <c r="C3987" s="77">
        <f t="shared" si="65"/>
        <v>3986</v>
      </c>
    </row>
    <row r="3988" spans="1:3" x14ac:dyDescent="0.2">
      <c r="A3988" s="78">
        <v>49644</v>
      </c>
      <c r="B3988" s="77">
        <f>+PT!A3990</f>
        <v>0</v>
      </c>
      <c r="C3988" s="77">
        <f t="shared" si="65"/>
        <v>3987</v>
      </c>
    </row>
    <row r="3989" spans="1:3" x14ac:dyDescent="0.2">
      <c r="A3989" s="78">
        <v>49645</v>
      </c>
      <c r="B3989" s="77">
        <f>+PT!A3991</f>
        <v>0</v>
      </c>
      <c r="C3989" s="77">
        <f t="shared" si="65"/>
        <v>3988</v>
      </c>
    </row>
    <row r="3990" spans="1:3" x14ac:dyDescent="0.2">
      <c r="A3990" s="78">
        <v>49646</v>
      </c>
      <c r="B3990" s="77">
        <f>+PT!A3992</f>
        <v>0</v>
      </c>
      <c r="C3990" s="77">
        <f t="shared" si="65"/>
        <v>3989</v>
      </c>
    </row>
    <row r="3991" spans="1:3" x14ac:dyDescent="0.2">
      <c r="A3991" s="78">
        <v>49647</v>
      </c>
      <c r="B3991" s="77">
        <f>+PT!A3993</f>
        <v>0</v>
      </c>
      <c r="C3991" s="77">
        <f t="shared" si="65"/>
        <v>3990</v>
      </c>
    </row>
    <row r="3992" spans="1:3" x14ac:dyDescent="0.2">
      <c r="A3992" s="78">
        <v>49648</v>
      </c>
      <c r="B3992" s="77">
        <f>+PT!A3994</f>
        <v>0</v>
      </c>
      <c r="C3992" s="77">
        <f t="shared" si="65"/>
        <v>3991</v>
      </c>
    </row>
    <row r="3993" spans="1:3" x14ac:dyDescent="0.2">
      <c r="A3993" s="78">
        <v>49649</v>
      </c>
      <c r="B3993" s="77">
        <f>+PT!A3995</f>
        <v>0</v>
      </c>
      <c r="C3993" s="77">
        <f t="shared" si="65"/>
        <v>3992</v>
      </c>
    </row>
    <row r="3994" spans="1:3" x14ac:dyDescent="0.2">
      <c r="A3994" s="78">
        <v>49650</v>
      </c>
      <c r="B3994" s="77">
        <f>+PT!A3996</f>
        <v>0</v>
      </c>
      <c r="C3994" s="77">
        <f t="shared" si="65"/>
        <v>3993</v>
      </c>
    </row>
    <row r="3995" spans="1:3" x14ac:dyDescent="0.2">
      <c r="A3995" s="78">
        <v>49651</v>
      </c>
      <c r="B3995" s="77">
        <f>+PT!A3997</f>
        <v>0</v>
      </c>
      <c r="C3995" s="77">
        <f t="shared" si="65"/>
        <v>3994</v>
      </c>
    </row>
    <row r="3996" spans="1:3" x14ac:dyDescent="0.2">
      <c r="A3996" s="78">
        <v>49652</v>
      </c>
      <c r="B3996" s="77">
        <f>+PT!A3998</f>
        <v>0</v>
      </c>
      <c r="C3996" s="77">
        <f t="shared" si="65"/>
        <v>3995</v>
      </c>
    </row>
    <row r="3997" spans="1:3" x14ac:dyDescent="0.2">
      <c r="A3997" s="78">
        <v>49653</v>
      </c>
      <c r="B3997" s="77">
        <f>+PT!A3999</f>
        <v>0</v>
      </c>
      <c r="C3997" s="77">
        <f t="shared" si="65"/>
        <v>3996</v>
      </c>
    </row>
    <row r="3998" spans="1:3" x14ac:dyDescent="0.2">
      <c r="A3998" s="78">
        <v>49654</v>
      </c>
      <c r="B3998" s="77">
        <f>+PT!A4000</f>
        <v>0</v>
      </c>
      <c r="C3998" s="77">
        <f t="shared" si="65"/>
        <v>3997</v>
      </c>
    </row>
    <row r="3999" spans="1:3" x14ac:dyDescent="0.2">
      <c r="A3999" s="78">
        <v>49655</v>
      </c>
      <c r="B3999" s="77">
        <f>+PT!A4001</f>
        <v>0</v>
      </c>
      <c r="C3999" s="77">
        <f t="shared" si="65"/>
        <v>3998</v>
      </c>
    </row>
    <row r="4000" spans="1:3" x14ac:dyDescent="0.2">
      <c r="A4000" s="78">
        <v>49656</v>
      </c>
      <c r="B4000" s="77">
        <f>+PT!A4002</f>
        <v>0</v>
      </c>
      <c r="C4000" s="77">
        <f t="shared" si="65"/>
        <v>3999</v>
      </c>
    </row>
    <row r="4001" spans="1:3" x14ac:dyDescent="0.2">
      <c r="A4001" s="78">
        <v>49657</v>
      </c>
      <c r="B4001" s="77">
        <f>+PT!A4003</f>
        <v>0</v>
      </c>
      <c r="C4001" s="77">
        <f t="shared" si="65"/>
        <v>4000</v>
      </c>
    </row>
    <row r="4002" spans="1:3" x14ac:dyDescent="0.2">
      <c r="A4002" s="78">
        <v>49658</v>
      </c>
      <c r="B4002" s="77">
        <f>+PT!A4004</f>
        <v>0</v>
      </c>
      <c r="C4002" s="77">
        <f t="shared" si="65"/>
        <v>4001</v>
      </c>
    </row>
    <row r="4003" spans="1:3" x14ac:dyDescent="0.2">
      <c r="A4003" s="78">
        <v>49659</v>
      </c>
      <c r="B4003" s="77">
        <f>+PT!A4005</f>
        <v>0</v>
      </c>
      <c r="C4003" s="77">
        <f t="shared" si="65"/>
        <v>4002</v>
      </c>
    </row>
    <row r="4004" spans="1:3" x14ac:dyDescent="0.2">
      <c r="A4004" s="78">
        <v>49660</v>
      </c>
      <c r="B4004" s="77">
        <f>+PT!A4006</f>
        <v>0</v>
      </c>
      <c r="C4004" s="77">
        <f t="shared" si="65"/>
        <v>4003</v>
      </c>
    </row>
    <row r="4005" spans="1:3" x14ac:dyDescent="0.2">
      <c r="A4005" s="78">
        <v>49661</v>
      </c>
      <c r="B4005" s="77">
        <f>+PT!A4007</f>
        <v>0</v>
      </c>
      <c r="C4005" s="77">
        <f t="shared" si="65"/>
        <v>4004</v>
      </c>
    </row>
    <row r="4006" spans="1:3" x14ac:dyDescent="0.2">
      <c r="A4006" s="78">
        <v>49662</v>
      </c>
      <c r="B4006" s="77">
        <f>+PT!A4008</f>
        <v>0</v>
      </c>
      <c r="C4006" s="77">
        <f t="shared" si="65"/>
        <v>4005</v>
      </c>
    </row>
    <row r="4007" spans="1:3" x14ac:dyDescent="0.2">
      <c r="A4007" s="78">
        <v>49663</v>
      </c>
      <c r="B4007" s="77">
        <f>+PT!A4009</f>
        <v>0</v>
      </c>
      <c r="C4007" s="77">
        <f t="shared" si="65"/>
        <v>4006</v>
      </c>
    </row>
    <row r="4008" spans="1:3" x14ac:dyDescent="0.2">
      <c r="A4008" s="78">
        <v>49664</v>
      </c>
      <c r="B4008" s="77">
        <f>+PT!A4010</f>
        <v>0</v>
      </c>
      <c r="C4008" s="77">
        <f t="shared" si="65"/>
        <v>4007</v>
      </c>
    </row>
    <row r="4009" spans="1:3" x14ac:dyDescent="0.2">
      <c r="A4009" s="78">
        <v>49665</v>
      </c>
      <c r="B4009" s="77">
        <f>+PT!A4011</f>
        <v>0</v>
      </c>
      <c r="C4009" s="77">
        <f t="shared" si="65"/>
        <v>4008</v>
      </c>
    </row>
    <row r="4010" spans="1:3" x14ac:dyDescent="0.2">
      <c r="A4010" s="78">
        <v>49666</v>
      </c>
      <c r="B4010" s="77">
        <f>+PT!A4012</f>
        <v>0</v>
      </c>
      <c r="C4010" s="77">
        <f t="shared" si="65"/>
        <v>4009</v>
      </c>
    </row>
    <row r="4011" spans="1:3" x14ac:dyDescent="0.2">
      <c r="A4011" s="78">
        <v>49667</v>
      </c>
      <c r="B4011" s="77">
        <f>+PT!A4013</f>
        <v>0</v>
      </c>
      <c r="C4011" s="77">
        <f t="shared" si="65"/>
        <v>4010</v>
      </c>
    </row>
    <row r="4012" spans="1:3" x14ac:dyDescent="0.2">
      <c r="A4012" s="78">
        <v>49668</v>
      </c>
      <c r="B4012" s="77">
        <f>+PT!A4014</f>
        <v>0</v>
      </c>
      <c r="C4012" s="77">
        <f t="shared" si="65"/>
        <v>4011</v>
      </c>
    </row>
    <row r="4013" spans="1:3" x14ac:dyDescent="0.2">
      <c r="A4013" s="78">
        <v>49669</v>
      </c>
      <c r="B4013" s="77">
        <f>+PT!A4015</f>
        <v>0</v>
      </c>
      <c r="C4013" s="77">
        <f t="shared" si="65"/>
        <v>4012</v>
      </c>
    </row>
    <row r="4014" spans="1:3" x14ac:dyDescent="0.2">
      <c r="A4014" s="78">
        <v>49670</v>
      </c>
      <c r="B4014" s="77">
        <f>+PT!A4016</f>
        <v>0</v>
      </c>
      <c r="C4014" s="77">
        <f t="shared" si="65"/>
        <v>4013</v>
      </c>
    </row>
    <row r="4015" spans="1:3" x14ac:dyDescent="0.2">
      <c r="A4015" s="78">
        <v>49671</v>
      </c>
      <c r="B4015" s="77">
        <f>+PT!A4017</f>
        <v>0</v>
      </c>
      <c r="C4015" s="77">
        <f t="shared" si="65"/>
        <v>4014</v>
      </c>
    </row>
    <row r="4016" spans="1:3" x14ac:dyDescent="0.2">
      <c r="A4016" s="78">
        <v>49672</v>
      </c>
      <c r="B4016" s="77">
        <f>+PT!A4018</f>
        <v>0</v>
      </c>
      <c r="C4016" s="77">
        <f t="shared" si="65"/>
        <v>4015</v>
      </c>
    </row>
    <row r="4017" spans="1:3" x14ac:dyDescent="0.2">
      <c r="A4017" s="78">
        <v>49673</v>
      </c>
      <c r="B4017" s="77">
        <f>+PT!A4019</f>
        <v>0</v>
      </c>
      <c r="C4017" s="77">
        <f t="shared" si="65"/>
        <v>4016</v>
      </c>
    </row>
    <row r="4018" spans="1:3" x14ac:dyDescent="0.2">
      <c r="A4018" s="78">
        <v>49674</v>
      </c>
      <c r="B4018" s="77">
        <f>+PT!A4020</f>
        <v>0</v>
      </c>
      <c r="C4018" s="77">
        <f t="shared" si="65"/>
        <v>4017</v>
      </c>
    </row>
    <row r="4019" spans="1:3" x14ac:dyDescent="0.2">
      <c r="A4019" s="78">
        <v>49675</v>
      </c>
      <c r="B4019" s="77">
        <f>+PT!A4021</f>
        <v>0</v>
      </c>
      <c r="C4019" s="77">
        <f t="shared" si="65"/>
        <v>4018</v>
      </c>
    </row>
    <row r="4020" spans="1:3" x14ac:dyDescent="0.2">
      <c r="A4020" s="78">
        <v>49676</v>
      </c>
      <c r="B4020" s="77">
        <f>+PT!A4022</f>
        <v>0</v>
      </c>
      <c r="C4020" s="77">
        <f t="shared" si="65"/>
        <v>4019</v>
      </c>
    </row>
    <row r="4021" spans="1:3" x14ac:dyDescent="0.2">
      <c r="A4021" s="78">
        <v>49677</v>
      </c>
      <c r="B4021" s="77">
        <f>+PT!A4023</f>
        <v>0</v>
      </c>
      <c r="C4021" s="77">
        <f t="shared" si="65"/>
        <v>4020</v>
      </c>
    </row>
    <row r="4022" spans="1:3" x14ac:dyDescent="0.2">
      <c r="A4022" s="78">
        <v>49678</v>
      </c>
      <c r="B4022" s="77">
        <f>+PT!A4024</f>
        <v>0</v>
      </c>
      <c r="C4022" s="77">
        <f t="shared" si="65"/>
        <v>4021</v>
      </c>
    </row>
    <row r="4023" spans="1:3" x14ac:dyDescent="0.2">
      <c r="A4023" s="78">
        <v>49679</v>
      </c>
      <c r="B4023" s="77">
        <f>+PT!A4025</f>
        <v>0</v>
      </c>
      <c r="C4023" s="77">
        <f t="shared" si="65"/>
        <v>4022</v>
      </c>
    </row>
    <row r="4024" spans="1:3" x14ac:dyDescent="0.2">
      <c r="A4024" s="78">
        <v>49680</v>
      </c>
      <c r="B4024" s="77">
        <f>+PT!A4026</f>
        <v>0</v>
      </c>
      <c r="C4024" s="77">
        <f t="shared" si="65"/>
        <v>4023</v>
      </c>
    </row>
    <row r="4025" spans="1:3" x14ac:dyDescent="0.2">
      <c r="A4025" s="78">
        <v>49681</v>
      </c>
      <c r="B4025" s="77">
        <f>+PT!A4027</f>
        <v>0</v>
      </c>
      <c r="C4025" s="77">
        <f t="shared" si="65"/>
        <v>4024</v>
      </c>
    </row>
    <row r="4026" spans="1:3" x14ac:dyDescent="0.2">
      <c r="A4026" s="78">
        <v>49682</v>
      </c>
      <c r="B4026" s="77">
        <f>+PT!A4028</f>
        <v>0</v>
      </c>
      <c r="C4026" s="77">
        <f t="shared" si="65"/>
        <v>4025</v>
      </c>
    </row>
    <row r="4027" spans="1:3" x14ac:dyDescent="0.2">
      <c r="A4027" s="78">
        <v>49683</v>
      </c>
      <c r="B4027" s="77">
        <f>+PT!A4029</f>
        <v>0</v>
      </c>
      <c r="C4027" s="77">
        <f t="shared" si="65"/>
        <v>4026</v>
      </c>
    </row>
    <row r="4028" spans="1:3" x14ac:dyDescent="0.2">
      <c r="A4028" s="78">
        <v>49684</v>
      </c>
      <c r="B4028" s="77">
        <f>+PT!A4030</f>
        <v>0</v>
      </c>
      <c r="C4028" s="77">
        <f t="shared" si="65"/>
        <v>4027</v>
      </c>
    </row>
    <row r="4029" spans="1:3" x14ac:dyDescent="0.2">
      <c r="A4029" s="78">
        <v>49685</v>
      </c>
      <c r="B4029" s="77">
        <f>+PT!A4031</f>
        <v>0</v>
      </c>
      <c r="C4029" s="77">
        <f t="shared" si="65"/>
        <v>4028</v>
      </c>
    </row>
    <row r="4030" spans="1:3" x14ac:dyDescent="0.2">
      <c r="A4030" s="78">
        <v>49686</v>
      </c>
      <c r="B4030" s="77">
        <f>+PT!A4032</f>
        <v>0</v>
      </c>
      <c r="C4030" s="77">
        <f t="shared" si="65"/>
        <v>4029</v>
      </c>
    </row>
    <row r="4031" spans="1:3" x14ac:dyDescent="0.2">
      <c r="A4031" s="78">
        <v>49687</v>
      </c>
      <c r="B4031" s="77">
        <f>+PT!A4033</f>
        <v>0</v>
      </c>
      <c r="C4031" s="77">
        <f t="shared" si="65"/>
        <v>4030</v>
      </c>
    </row>
    <row r="4032" spans="1:3" x14ac:dyDescent="0.2">
      <c r="A4032" s="78">
        <v>49688</v>
      </c>
      <c r="B4032" s="77">
        <f>+PT!A4034</f>
        <v>0</v>
      </c>
      <c r="C4032" s="77">
        <f t="shared" si="65"/>
        <v>4031</v>
      </c>
    </row>
    <row r="4033" spans="1:3" x14ac:dyDescent="0.2">
      <c r="A4033" s="78">
        <v>49689</v>
      </c>
      <c r="B4033" s="77">
        <f>+PT!A4035</f>
        <v>0</v>
      </c>
      <c r="C4033" s="77">
        <f t="shared" si="65"/>
        <v>4032</v>
      </c>
    </row>
    <row r="4034" spans="1:3" x14ac:dyDescent="0.2">
      <c r="A4034" s="78">
        <v>49690</v>
      </c>
      <c r="B4034" s="77">
        <f>+PT!A4036</f>
        <v>0</v>
      </c>
      <c r="C4034" s="77">
        <f t="shared" si="65"/>
        <v>4033</v>
      </c>
    </row>
    <row r="4035" spans="1:3" x14ac:dyDescent="0.2">
      <c r="A4035" s="78">
        <v>49691</v>
      </c>
      <c r="B4035" s="77">
        <f>+PT!A4037</f>
        <v>0</v>
      </c>
      <c r="C4035" s="77">
        <f t="shared" si="65"/>
        <v>4034</v>
      </c>
    </row>
    <row r="4036" spans="1:3" x14ac:dyDescent="0.2">
      <c r="A4036" s="78">
        <v>49692</v>
      </c>
      <c r="B4036" s="77">
        <f>+PT!A4038</f>
        <v>0</v>
      </c>
      <c r="C4036" s="77">
        <f t="shared" ref="C4036:C4099" si="66">+C4035+1</f>
        <v>4035</v>
      </c>
    </row>
    <row r="4037" spans="1:3" x14ac:dyDescent="0.2">
      <c r="A4037" s="78">
        <v>49693</v>
      </c>
      <c r="B4037" s="77">
        <f>+PT!A4039</f>
        <v>0</v>
      </c>
      <c r="C4037" s="77">
        <f t="shared" si="66"/>
        <v>4036</v>
      </c>
    </row>
    <row r="4038" spans="1:3" x14ac:dyDescent="0.2">
      <c r="A4038" s="78">
        <v>49694</v>
      </c>
      <c r="B4038" s="77">
        <f>+PT!A4040</f>
        <v>0</v>
      </c>
      <c r="C4038" s="77">
        <f t="shared" si="66"/>
        <v>4037</v>
      </c>
    </row>
    <row r="4039" spans="1:3" x14ac:dyDescent="0.2">
      <c r="A4039" s="78">
        <v>49695</v>
      </c>
      <c r="B4039" s="77">
        <f>+PT!A4041</f>
        <v>0</v>
      </c>
      <c r="C4039" s="77">
        <f t="shared" si="66"/>
        <v>4038</v>
      </c>
    </row>
    <row r="4040" spans="1:3" x14ac:dyDescent="0.2">
      <c r="A4040" s="78">
        <v>49696</v>
      </c>
      <c r="B4040" s="77">
        <f>+PT!A4042</f>
        <v>0</v>
      </c>
      <c r="C4040" s="77">
        <f t="shared" si="66"/>
        <v>4039</v>
      </c>
    </row>
    <row r="4041" spans="1:3" x14ac:dyDescent="0.2">
      <c r="A4041" s="78">
        <v>49697</v>
      </c>
      <c r="B4041" s="77">
        <f>+PT!A4043</f>
        <v>0</v>
      </c>
      <c r="C4041" s="77">
        <f t="shared" si="66"/>
        <v>4040</v>
      </c>
    </row>
    <row r="4042" spans="1:3" x14ac:dyDescent="0.2">
      <c r="A4042" s="78">
        <v>49698</v>
      </c>
      <c r="B4042" s="77">
        <f>+PT!A4044</f>
        <v>0</v>
      </c>
      <c r="C4042" s="77">
        <f t="shared" si="66"/>
        <v>4041</v>
      </c>
    </row>
    <row r="4043" spans="1:3" x14ac:dyDescent="0.2">
      <c r="A4043" s="78">
        <v>49699</v>
      </c>
      <c r="B4043" s="77">
        <f>+PT!A4045</f>
        <v>0</v>
      </c>
      <c r="C4043" s="77">
        <f t="shared" si="66"/>
        <v>4042</v>
      </c>
    </row>
    <row r="4044" spans="1:3" x14ac:dyDescent="0.2">
      <c r="A4044" s="78">
        <v>49700</v>
      </c>
      <c r="B4044" s="77">
        <f>+PT!A4046</f>
        <v>0</v>
      </c>
      <c r="C4044" s="77">
        <f t="shared" si="66"/>
        <v>4043</v>
      </c>
    </row>
    <row r="4045" spans="1:3" x14ac:dyDescent="0.2">
      <c r="A4045" s="78">
        <v>49701</v>
      </c>
      <c r="B4045" s="77">
        <f>+PT!A4047</f>
        <v>0</v>
      </c>
      <c r="C4045" s="77">
        <f t="shared" si="66"/>
        <v>4044</v>
      </c>
    </row>
    <row r="4046" spans="1:3" x14ac:dyDescent="0.2">
      <c r="A4046" s="78">
        <v>49702</v>
      </c>
      <c r="B4046" s="77">
        <f>+PT!A4048</f>
        <v>0</v>
      </c>
      <c r="C4046" s="77">
        <f t="shared" si="66"/>
        <v>4045</v>
      </c>
    </row>
    <row r="4047" spans="1:3" x14ac:dyDescent="0.2">
      <c r="A4047" s="78">
        <v>49703</v>
      </c>
      <c r="B4047" s="77">
        <f>+PT!A4049</f>
        <v>0</v>
      </c>
      <c r="C4047" s="77">
        <f t="shared" si="66"/>
        <v>4046</v>
      </c>
    </row>
    <row r="4048" spans="1:3" x14ac:dyDescent="0.2">
      <c r="A4048" s="78">
        <v>49704</v>
      </c>
      <c r="B4048" s="77">
        <f>+PT!A4050</f>
        <v>0</v>
      </c>
      <c r="C4048" s="77">
        <f t="shared" si="66"/>
        <v>4047</v>
      </c>
    </row>
    <row r="4049" spans="1:3" x14ac:dyDescent="0.2">
      <c r="A4049" s="78">
        <v>49705</v>
      </c>
      <c r="B4049" s="77">
        <f>+PT!A4051</f>
        <v>0</v>
      </c>
      <c r="C4049" s="77">
        <f t="shared" si="66"/>
        <v>4048</v>
      </c>
    </row>
    <row r="4050" spans="1:3" x14ac:dyDescent="0.2">
      <c r="A4050" s="78">
        <v>49706</v>
      </c>
      <c r="B4050" s="77">
        <f>+PT!A4052</f>
        <v>0</v>
      </c>
      <c r="C4050" s="77">
        <f t="shared" si="66"/>
        <v>4049</v>
      </c>
    </row>
    <row r="4051" spans="1:3" x14ac:dyDescent="0.2">
      <c r="A4051" s="78">
        <v>49707</v>
      </c>
      <c r="B4051" s="77">
        <f>+PT!A4053</f>
        <v>0</v>
      </c>
      <c r="C4051" s="77">
        <f t="shared" si="66"/>
        <v>4050</v>
      </c>
    </row>
    <row r="4052" spans="1:3" x14ac:dyDescent="0.2">
      <c r="A4052" s="78">
        <v>49708</v>
      </c>
      <c r="B4052" s="77">
        <f>+PT!A4054</f>
        <v>0</v>
      </c>
      <c r="C4052" s="77">
        <f t="shared" si="66"/>
        <v>4051</v>
      </c>
    </row>
    <row r="4053" spans="1:3" x14ac:dyDescent="0.2">
      <c r="A4053" s="78">
        <v>49709</v>
      </c>
      <c r="B4053" s="77">
        <f>+PT!A4055</f>
        <v>0</v>
      </c>
      <c r="C4053" s="77">
        <f t="shared" si="66"/>
        <v>4052</v>
      </c>
    </row>
    <row r="4054" spans="1:3" x14ac:dyDescent="0.2">
      <c r="A4054" s="78">
        <v>49710</v>
      </c>
      <c r="B4054" s="77">
        <f>+PT!A4056</f>
        <v>0</v>
      </c>
      <c r="C4054" s="77">
        <f t="shared" si="66"/>
        <v>4053</v>
      </c>
    </row>
    <row r="4055" spans="1:3" x14ac:dyDescent="0.2">
      <c r="A4055" s="78">
        <v>49711</v>
      </c>
      <c r="B4055" s="77">
        <f>+PT!A4057</f>
        <v>0</v>
      </c>
      <c r="C4055" s="77">
        <f t="shared" si="66"/>
        <v>4054</v>
      </c>
    </row>
    <row r="4056" spans="1:3" x14ac:dyDescent="0.2">
      <c r="A4056" s="78">
        <v>49712</v>
      </c>
      <c r="B4056" s="77">
        <f>+PT!A4058</f>
        <v>0</v>
      </c>
      <c r="C4056" s="77">
        <f t="shared" si="66"/>
        <v>4055</v>
      </c>
    </row>
    <row r="4057" spans="1:3" x14ac:dyDescent="0.2">
      <c r="A4057" s="78">
        <v>49713</v>
      </c>
      <c r="B4057" s="77">
        <f>+PT!A4059</f>
        <v>0</v>
      </c>
      <c r="C4057" s="77">
        <f t="shared" si="66"/>
        <v>4056</v>
      </c>
    </row>
    <row r="4058" spans="1:3" x14ac:dyDescent="0.2">
      <c r="A4058" s="78">
        <v>49714</v>
      </c>
      <c r="B4058" s="77">
        <f>+PT!A4060</f>
        <v>0</v>
      </c>
      <c r="C4058" s="77">
        <f t="shared" si="66"/>
        <v>4057</v>
      </c>
    </row>
    <row r="4059" spans="1:3" x14ac:dyDescent="0.2">
      <c r="A4059" s="78">
        <v>49715</v>
      </c>
      <c r="B4059" s="77">
        <f>+PT!A4061</f>
        <v>0</v>
      </c>
      <c r="C4059" s="77">
        <f t="shared" si="66"/>
        <v>4058</v>
      </c>
    </row>
    <row r="4060" spans="1:3" x14ac:dyDescent="0.2">
      <c r="A4060" s="78">
        <v>49716</v>
      </c>
      <c r="B4060" s="77">
        <f>+PT!A4062</f>
        <v>0</v>
      </c>
      <c r="C4060" s="77">
        <f t="shared" si="66"/>
        <v>4059</v>
      </c>
    </row>
    <row r="4061" spans="1:3" x14ac:dyDescent="0.2">
      <c r="A4061" s="78">
        <v>49717</v>
      </c>
      <c r="B4061" s="77">
        <f>+PT!A4063</f>
        <v>0</v>
      </c>
      <c r="C4061" s="77">
        <f t="shared" si="66"/>
        <v>4060</v>
      </c>
    </row>
    <row r="4062" spans="1:3" x14ac:dyDescent="0.2">
      <c r="A4062" s="78">
        <v>49718</v>
      </c>
      <c r="B4062" s="77">
        <f>+PT!A4064</f>
        <v>0</v>
      </c>
      <c r="C4062" s="77">
        <f t="shared" si="66"/>
        <v>4061</v>
      </c>
    </row>
    <row r="4063" spans="1:3" x14ac:dyDescent="0.2">
      <c r="A4063" s="78">
        <v>49719</v>
      </c>
      <c r="B4063" s="77">
        <f>+PT!A4065</f>
        <v>0</v>
      </c>
      <c r="C4063" s="77">
        <f t="shared" si="66"/>
        <v>4062</v>
      </c>
    </row>
    <row r="4064" spans="1:3" x14ac:dyDescent="0.2">
      <c r="A4064" s="78">
        <v>49720</v>
      </c>
      <c r="B4064" s="77">
        <f>+PT!A4066</f>
        <v>0</v>
      </c>
      <c r="C4064" s="77">
        <f t="shared" si="66"/>
        <v>4063</v>
      </c>
    </row>
    <row r="4065" spans="1:3" x14ac:dyDescent="0.2">
      <c r="A4065" s="78">
        <v>49721</v>
      </c>
      <c r="B4065" s="77">
        <f>+PT!A4067</f>
        <v>0</v>
      </c>
      <c r="C4065" s="77">
        <f t="shared" si="66"/>
        <v>4064</v>
      </c>
    </row>
    <row r="4066" spans="1:3" x14ac:dyDescent="0.2">
      <c r="A4066" s="78">
        <v>49722</v>
      </c>
      <c r="B4066" s="77">
        <f>+PT!A4068</f>
        <v>0</v>
      </c>
      <c r="C4066" s="77">
        <f t="shared" si="66"/>
        <v>4065</v>
      </c>
    </row>
    <row r="4067" spans="1:3" x14ac:dyDescent="0.2">
      <c r="A4067" s="78">
        <v>49723</v>
      </c>
      <c r="B4067" s="77">
        <f>+PT!A4069</f>
        <v>0</v>
      </c>
      <c r="C4067" s="77">
        <f t="shared" si="66"/>
        <v>4066</v>
      </c>
    </row>
    <row r="4068" spans="1:3" x14ac:dyDescent="0.2">
      <c r="A4068" s="78">
        <v>49724</v>
      </c>
      <c r="B4068" s="77">
        <f>+PT!A4070</f>
        <v>0</v>
      </c>
      <c r="C4068" s="77">
        <f t="shared" si="66"/>
        <v>4067</v>
      </c>
    </row>
    <row r="4069" spans="1:3" x14ac:dyDescent="0.2">
      <c r="A4069" s="78">
        <v>49725</v>
      </c>
      <c r="B4069" s="77">
        <f>+PT!A4071</f>
        <v>0</v>
      </c>
      <c r="C4069" s="77">
        <f t="shared" si="66"/>
        <v>4068</v>
      </c>
    </row>
    <row r="4070" spans="1:3" x14ac:dyDescent="0.2">
      <c r="A4070" s="78">
        <v>49726</v>
      </c>
      <c r="B4070" s="77">
        <f>+PT!A4072</f>
        <v>0</v>
      </c>
      <c r="C4070" s="77">
        <f t="shared" si="66"/>
        <v>4069</v>
      </c>
    </row>
    <row r="4071" spans="1:3" x14ac:dyDescent="0.2">
      <c r="A4071" s="78">
        <v>49727</v>
      </c>
      <c r="B4071" s="77">
        <f>+PT!A4073</f>
        <v>0</v>
      </c>
      <c r="C4071" s="77">
        <f t="shared" si="66"/>
        <v>4070</v>
      </c>
    </row>
    <row r="4072" spans="1:3" x14ac:dyDescent="0.2">
      <c r="A4072" s="78">
        <v>49728</v>
      </c>
      <c r="B4072" s="77">
        <f>+PT!A4074</f>
        <v>0</v>
      </c>
      <c r="C4072" s="77">
        <f t="shared" si="66"/>
        <v>4071</v>
      </c>
    </row>
    <row r="4073" spans="1:3" x14ac:dyDescent="0.2">
      <c r="A4073" s="78">
        <v>49729</v>
      </c>
      <c r="B4073" s="77">
        <f>+PT!A4075</f>
        <v>0</v>
      </c>
      <c r="C4073" s="77">
        <f t="shared" si="66"/>
        <v>4072</v>
      </c>
    </row>
    <row r="4074" spans="1:3" x14ac:dyDescent="0.2">
      <c r="A4074" s="78">
        <v>49730</v>
      </c>
      <c r="B4074" s="77">
        <f>+PT!A4076</f>
        <v>0</v>
      </c>
      <c r="C4074" s="77">
        <f t="shared" si="66"/>
        <v>4073</v>
      </c>
    </row>
    <row r="4075" spans="1:3" x14ac:dyDescent="0.2">
      <c r="A4075" s="78">
        <v>49731</v>
      </c>
      <c r="B4075" s="77">
        <f>+PT!A4077</f>
        <v>0</v>
      </c>
      <c r="C4075" s="77">
        <f t="shared" si="66"/>
        <v>4074</v>
      </c>
    </row>
    <row r="4076" spans="1:3" x14ac:dyDescent="0.2">
      <c r="A4076" s="78">
        <v>49732</v>
      </c>
      <c r="B4076" s="77">
        <f>+PT!A4078</f>
        <v>0</v>
      </c>
      <c r="C4076" s="77">
        <f t="shared" si="66"/>
        <v>4075</v>
      </c>
    </row>
    <row r="4077" spans="1:3" x14ac:dyDescent="0.2">
      <c r="A4077" s="78">
        <v>49733</v>
      </c>
      <c r="B4077" s="77">
        <f>+PT!A4079</f>
        <v>0</v>
      </c>
      <c r="C4077" s="77">
        <f t="shared" si="66"/>
        <v>4076</v>
      </c>
    </row>
    <row r="4078" spans="1:3" x14ac:dyDescent="0.2">
      <c r="A4078" s="78">
        <v>49734</v>
      </c>
      <c r="B4078" s="77">
        <f>+PT!A4080</f>
        <v>0</v>
      </c>
      <c r="C4078" s="77">
        <f t="shared" si="66"/>
        <v>4077</v>
      </c>
    </row>
    <row r="4079" spans="1:3" x14ac:dyDescent="0.2">
      <c r="A4079" s="78">
        <v>49735</v>
      </c>
      <c r="B4079" s="77">
        <f>+PT!A4081</f>
        <v>0</v>
      </c>
      <c r="C4079" s="77">
        <f t="shared" si="66"/>
        <v>4078</v>
      </c>
    </row>
    <row r="4080" spans="1:3" x14ac:dyDescent="0.2">
      <c r="A4080" s="78">
        <v>49736</v>
      </c>
      <c r="B4080" s="77">
        <f>+PT!A4082</f>
        <v>0</v>
      </c>
      <c r="C4080" s="77">
        <f t="shared" si="66"/>
        <v>4079</v>
      </c>
    </row>
    <row r="4081" spans="1:3" x14ac:dyDescent="0.2">
      <c r="A4081" s="78">
        <v>49737</v>
      </c>
      <c r="B4081" s="77">
        <f>+PT!A4083</f>
        <v>0</v>
      </c>
      <c r="C4081" s="77">
        <f t="shared" si="66"/>
        <v>4080</v>
      </c>
    </row>
    <row r="4082" spans="1:3" x14ac:dyDescent="0.2">
      <c r="A4082" s="78">
        <v>49738</v>
      </c>
      <c r="B4082" s="77">
        <f>+PT!A4084</f>
        <v>0</v>
      </c>
      <c r="C4082" s="77">
        <f t="shared" si="66"/>
        <v>4081</v>
      </c>
    </row>
    <row r="4083" spans="1:3" x14ac:dyDescent="0.2">
      <c r="A4083" s="78">
        <v>49739</v>
      </c>
      <c r="B4083" s="77">
        <f>+PT!A4085</f>
        <v>0</v>
      </c>
      <c r="C4083" s="77">
        <f t="shared" si="66"/>
        <v>4082</v>
      </c>
    </row>
    <row r="4084" spans="1:3" x14ac:dyDescent="0.2">
      <c r="A4084" s="78">
        <v>49740</v>
      </c>
      <c r="B4084" s="77">
        <f>+PT!A4086</f>
        <v>0</v>
      </c>
      <c r="C4084" s="77">
        <f t="shared" si="66"/>
        <v>4083</v>
      </c>
    </row>
    <row r="4085" spans="1:3" x14ac:dyDescent="0.2">
      <c r="A4085" s="78">
        <v>49741</v>
      </c>
      <c r="B4085" s="77">
        <f>+PT!A4087</f>
        <v>0</v>
      </c>
      <c r="C4085" s="77">
        <f t="shared" si="66"/>
        <v>4084</v>
      </c>
    </row>
    <row r="4086" spans="1:3" x14ac:dyDescent="0.2">
      <c r="A4086" s="78">
        <v>49742</v>
      </c>
      <c r="B4086" s="77">
        <f>+PT!A4088</f>
        <v>0</v>
      </c>
      <c r="C4086" s="77">
        <f t="shared" si="66"/>
        <v>4085</v>
      </c>
    </row>
    <row r="4087" spans="1:3" x14ac:dyDescent="0.2">
      <c r="A4087" s="78">
        <v>49743</v>
      </c>
      <c r="B4087" s="77">
        <f>+PT!A4089</f>
        <v>0</v>
      </c>
      <c r="C4087" s="77">
        <f t="shared" si="66"/>
        <v>4086</v>
      </c>
    </row>
    <row r="4088" spans="1:3" x14ac:dyDescent="0.2">
      <c r="A4088" s="78">
        <v>49744</v>
      </c>
      <c r="B4088" s="77">
        <f>+PT!A4090</f>
        <v>0</v>
      </c>
      <c r="C4088" s="77">
        <f t="shared" si="66"/>
        <v>4087</v>
      </c>
    </row>
    <row r="4089" spans="1:3" x14ac:dyDescent="0.2">
      <c r="A4089" s="78">
        <v>49745</v>
      </c>
      <c r="B4089" s="77">
        <f>+PT!A4091</f>
        <v>0</v>
      </c>
      <c r="C4089" s="77">
        <f t="shared" si="66"/>
        <v>4088</v>
      </c>
    </row>
    <row r="4090" spans="1:3" x14ac:dyDescent="0.2">
      <c r="A4090" s="78">
        <v>49746</v>
      </c>
      <c r="B4090" s="77">
        <f>+PT!A4092</f>
        <v>0</v>
      </c>
      <c r="C4090" s="77">
        <f t="shared" si="66"/>
        <v>4089</v>
      </c>
    </row>
    <row r="4091" spans="1:3" x14ac:dyDescent="0.2">
      <c r="A4091" s="78">
        <v>49747</v>
      </c>
      <c r="B4091" s="77">
        <f>+PT!A4093</f>
        <v>0</v>
      </c>
      <c r="C4091" s="77">
        <f t="shared" si="66"/>
        <v>4090</v>
      </c>
    </row>
    <row r="4092" spans="1:3" x14ac:dyDescent="0.2">
      <c r="A4092" s="78">
        <v>49748</v>
      </c>
      <c r="B4092" s="77">
        <f>+PT!A4094</f>
        <v>0</v>
      </c>
      <c r="C4092" s="77">
        <f t="shared" si="66"/>
        <v>4091</v>
      </c>
    </row>
    <row r="4093" spans="1:3" x14ac:dyDescent="0.2">
      <c r="A4093" s="78">
        <v>49749</v>
      </c>
      <c r="B4093" s="77">
        <f>+PT!A4095</f>
        <v>0</v>
      </c>
      <c r="C4093" s="77">
        <f t="shared" si="66"/>
        <v>4092</v>
      </c>
    </row>
    <row r="4094" spans="1:3" x14ac:dyDescent="0.2">
      <c r="A4094" s="78">
        <v>49750</v>
      </c>
      <c r="B4094" s="77">
        <f>+PT!A4096</f>
        <v>0</v>
      </c>
      <c r="C4094" s="77">
        <f t="shared" si="66"/>
        <v>4093</v>
      </c>
    </row>
    <row r="4095" spans="1:3" x14ac:dyDescent="0.2">
      <c r="A4095" s="78">
        <v>49751</v>
      </c>
      <c r="B4095" s="77">
        <f>+PT!A4097</f>
        <v>0</v>
      </c>
      <c r="C4095" s="77">
        <f t="shared" si="66"/>
        <v>4094</v>
      </c>
    </row>
    <row r="4096" spans="1:3" x14ac:dyDescent="0.2">
      <c r="A4096" s="78">
        <v>49752</v>
      </c>
      <c r="B4096" s="77">
        <f>+PT!A4098</f>
        <v>0</v>
      </c>
      <c r="C4096" s="77">
        <f t="shared" si="66"/>
        <v>4095</v>
      </c>
    </row>
    <row r="4097" spans="1:3" x14ac:dyDescent="0.2">
      <c r="A4097" s="78">
        <v>49753</v>
      </c>
      <c r="B4097" s="77">
        <f>+PT!A4099</f>
        <v>0</v>
      </c>
      <c r="C4097" s="77">
        <f t="shared" si="66"/>
        <v>4096</v>
      </c>
    </row>
    <row r="4098" spans="1:3" x14ac:dyDescent="0.2">
      <c r="A4098" s="78">
        <v>49754</v>
      </c>
      <c r="B4098" s="77">
        <f>+PT!A4100</f>
        <v>0</v>
      </c>
      <c r="C4098" s="77">
        <f t="shared" si="66"/>
        <v>4097</v>
      </c>
    </row>
    <row r="4099" spans="1:3" x14ac:dyDescent="0.2">
      <c r="A4099" s="78">
        <v>49755</v>
      </c>
      <c r="B4099" s="77">
        <f>+PT!A4101</f>
        <v>0</v>
      </c>
      <c r="C4099" s="77">
        <f t="shared" si="66"/>
        <v>4098</v>
      </c>
    </row>
    <row r="4100" spans="1:3" x14ac:dyDescent="0.2">
      <c r="A4100" s="78">
        <v>49756</v>
      </c>
      <c r="B4100" s="77">
        <f>+PT!A4102</f>
        <v>0</v>
      </c>
      <c r="C4100" s="77">
        <f t="shared" ref="C4100:C4163" si="67">+C4099+1</f>
        <v>4099</v>
      </c>
    </row>
    <row r="4101" spans="1:3" x14ac:dyDescent="0.2">
      <c r="A4101" s="78">
        <v>49757</v>
      </c>
      <c r="B4101" s="77">
        <f>+PT!A4103</f>
        <v>0</v>
      </c>
      <c r="C4101" s="77">
        <f t="shared" si="67"/>
        <v>4100</v>
      </c>
    </row>
    <row r="4102" spans="1:3" x14ac:dyDescent="0.2">
      <c r="A4102" s="78">
        <v>49758</v>
      </c>
      <c r="B4102" s="77">
        <f>+PT!A4104</f>
        <v>0</v>
      </c>
      <c r="C4102" s="77">
        <f t="shared" si="67"/>
        <v>4101</v>
      </c>
    </row>
    <row r="4103" spans="1:3" x14ac:dyDescent="0.2">
      <c r="A4103" s="78">
        <v>49759</v>
      </c>
      <c r="B4103" s="77">
        <f>+PT!A4105</f>
        <v>0</v>
      </c>
      <c r="C4103" s="77">
        <f t="shared" si="67"/>
        <v>4102</v>
      </c>
    </row>
    <row r="4104" spans="1:3" x14ac:dyDescent="0.2">
      <c r="A4104" s="78">
        <v>49760</v>
      </c>
      <c r="B4104" s="77">
        <f>+PT!A4106</f>
        <v>0</v>
      </c>
      <c r="C4104" s="77">
        <f t="shared" si="67"/>
        <v>4103</v>
      </c>
    </row>
    <row r="4105" spans="1:3" x14ac:dyDescent="0.2">
      <c r="A4105" s="78">
        <v>49761</v>
      </c>
      <c r="B4105" s="77">
        <f>+PT!A4107</f>
        <v>0</v>
      </c>
      <c r="C4105" s="77">
        <f t="shared" si="67"/>
        <v>4104</v>
      </c>
    </row>
    <row r="4106" spans="1:3" x14ac:dyDescent="0.2">
      <c r="A4106" s="78">
        <v>49762</v>
      </c>
      <c r="B4106" s="77">
        <f>+PT!A4108</f>
        <v>0</v>
      </c>
      <c r="C4106" s="77">
        <f t="shared" si="67"/>
        <v>4105</v>
      </c>
    </row>
    <row r="4107" spans="1:3" x14ac:dyDescent="0.2">
      <c r="A4107" s="78">
        <v>49763</v>
      </c>
      <c r="B4107" s="77">
        <f>+PT!A4109</f>
        <v>0</v>
      </c>
      <c r="C4107" s="77">
        <f t="shared" si="67"/>
        <v>4106</v>
      </c>
    </row>
    <row r="4108" spans="1:3" x14ac:dyDescent="0.2">
      <c r="A4108" s="78">
        <v>49764</v>
      </c>
      <c r="B4108" s="77">
        <f>+PT!A4110</f>
        <v>0</v>
      </c>
      <c r="C4108" s="77">
        <f t="shared" si="67"/>
        <v>4107</v>
      </c>
    </row>
    <row r="4109" spans="1:3" x14ac:dyDescent="0.2">
      <c r="A4109" s="78">
        <v>49765</v>
      </c>
      <c r="B4109" s="77">
        <f>+PT!A4111</f>
        <v>0</v>
      </c>
      <c r="C4109" s="77">
        <f t="shared" si="67"/>
        <v>4108</v>
      </c>
    </row>
    <row r="4110" spans="1:3" x14ac:dyDescent="0.2">
      <c r="A4110" s="78">
        <v>49766</v>
      </c>
      <c r="B4110" s="77">
        <f>+PT!A4112</f>
        <v>0</v>
      </c>
      <c r="C4110" s="77">
        <f t="shared" si="67"/>
        <v>4109</v>
      </c>
    </row>
    <row r="4111" spans="1:3" x14ac:dyDescent="0.2">
      <c r="A4111" s="78">
        <v>49767</v>
      </c>
      <c r="B4111" s="77">
        <f>+PT!A4113</f>
        <v>0</v>
      </c>
      <c r="C4111" s="77">
        <f t="shared" si="67"/>
        <v>4110</v>
      </c>
    </row>
    <row r="4112" spans="1:3" x14ac:dyDescent="0.2">
      <c r="A4112" s="78">
        <v>49768</v>
      </c>
      <c r="B4112" s="77">
        <f>+PT!A4114</f>
        <v>0</v>
      </c>
      <c r="C4112" s="77">
        <f t="shared" si="67"/>
        <v>4111</v>
      </c>
    </row>
    <row r="4113" spans="1:3" x14ac:dyDescent="0.2">
      <c r="A4113" s="78">
        <v>49769</v>
      </c>
      <c r="B4113" s="77">
        <f>+PT!A4115</f>
        <v>0</v>
      </c>
      <c r="C4113" s="77">
        <f t="shared" si="67"/>
        <v>4112</v>
      </c>
    </row>
    <row r="4114" spans="1:3" x14ac:dyDescent="0.2">
      <c r="A4114" s="78">
        <v>49770</v>
      </c>
      <c r="B4114" s="77">
        <f>+PT!A4116</f>
        <v>0</v>
      </c>
      <c r="C4114" s="77">
        <f t="shared" si="67"/>
        <v>4113</v>
      </c>
    </row>
    <row r="4115" spans="1:3" x14ac:dyDescent="0.2">
      <c r="A4115" s="78">
        <v>49771</v>
      </c>
      <c r="B4115" s="77">
        <f>+PT!A4117</f>
        <v>0</v>
      </c>
      <c r="C4115" s="77">
        <f t="shared" si="67"/>
        <v>4114</v>
      </c>
    </row>
    <row r="4116" spans="1:3" x14ac:dyDescent="0.2">
      <c r="A4116" s="78">
        <v>49772</v>
      </c>
      <c r="B4116" s="77">
        <f>+PT!A4118</f>
        <v>0</v>
      </c>
      <c r="C4116" s="77">
        <f t="shared" si="67"/>
        <v>4115</v>
      </c>
    </row>
    <row r="4117" spans="1:3" x14ac:dyDescent="0.2">
      <c r="A4117" s="78">
        <v>49773</v>
      </c>
      <c r="B4117" s="77">
        <f>+PT!A4119</f>
        <v>0</v>
      </c>
      <c r="C4117" s="77">
        <f t="shared" si="67"/>
        <v>4116</v>
      </c>
    </row>
    <row r="4118" spans="1:3" x14ac:dyDescent="0.2">
      <c r="A4118" s="78">
        <v>49774</v>
      </c>
      <c r="B4118" s="77">
        <f>+PT!A4120</f>
        <v>0</v>
      </c>
      <c r="C4118" s="77">
        <f t="shared" si="67"/>
        <v>4117</v>
      </c>
    </row>
    <row r="4119" spans="1:3" x14ac:dyDescent="0.2">
      <c r="A4119" s="78">
        <v>49775</v>
      </c>
      <c r="B4119" s="77">
        <f>+PT!A4121</f>
        <v>0</v>
      </c>
      <c r="C4119" s="77">
        <f t="shared" si="67"/>
        <v>4118</v>
      </c>
    </row>
    <row r="4120" spans="1:3" x14ac:dyDescent="0.2">
      <c r="A4120" s="78">
        <v>49776</v>
      </c>
      <c r="B4120" s="77">
        <f>+PT!A4122</f>
        <v>0</v>
      </c>
      <c r="C4120" s="77">
        <f t="shared" si="67"/>
        <v>4119</v>
      </c>
    </row>
    <row r="4121" spans="1:3" x14ac:dyDescent="0.2">
      <c r="A4121" s="78">
        <v>49777</v>
      </c>
      <c r="B4121" s="77">
        <f>+PT!A4123</f>
        <v>0</v>
      </c>
      <c r="C4121" s="77">
        <f t="shared" si="67"/>
        <v>4120</v>
      </c>
    </row>
    <row r="4122" spans="1:3" x14ac:dyDescent="0.2">
      <c r="A4122" s="78">
        <v>49778</v>
      </c>
      <c r="B4122" s="77">
        <f>+PT!A4124</f>
        <v>0</v>
      </c>
      <c r="C4122" s="77">
        <f t="shared" si="67"/>
        <v>4121</v>
      </c>
    </row>
    <row r="4123" spans="1:3" x14ac:dyDescent="0.2">
      <c r="A4123" s="78">
        <v>49779</v>
      </c>
      <c r="B4123" s="77">
        <f>+PT!A4125</f>
        <v>0</v>
      </c>
      <c r="C4123" s="77">
        <f t="shared" si="67"/>
        <v>4122</v>
      </c>
    </row>
    <row r="4124" spans="1:3" x14ac:dyDescent="0.2">
      <c r="A4124" s="78">
        <v>49780</v>
      </c>
      <c r="B4124" s="77">
        <f>+PT!A4126</f>
        <v>0</v>
      </c>
      <c r="C4124" s="77">
        <f t="shared" si="67"/>
        <v>4123</v>
      </c>
    </row>
    <row r="4125" spans="1:3" x14ac:dyDescent="0.2">
      <c r="A4125" s="78">
        <v>49781</v>
      </c>
      <c r="B4125" s="77">
        <f>+PT!A4127</f>
        <v>0</v>
      </c>
      <c r="C4125" s="77">
        <f t="shared" si="67"/>
        <v>4124</v>
      </c>
    </row>
    <row r="4126" spans="1:3" x14ac:dyDescent="0.2">
      <c r="A4126" s="78">
        <v>49782</v>
      </c>
      <c r="B4126" s="77">
        <f>+PT!A4128</f>
        <v>0</v>
      </c>
      <c r="C4126" s="77">
        <f t="shared" si="67"/>
        <v>4125</v>
      </c>
    </row>
    <row r="4127" spans="1:3" x14ac:dyDescent="0.2">
      <c r="A4127" s="78">
        <v>49783</v>
      </c>
      <c r="B4127" s="77">
        <f>+PT!A4129</f>
        <v>0</v>
      </c>
      <c r="C4127" s="77">
        <f t="shared" si="67"/>
        <v>4126</v>
      </c>
    </row>
    <row r="4128" spans="1:3" x14ac:dyDescent="0.2">
      <c r="A4128" s="78">
        <v>49784</v>
      </c>
      <c r="B4128" s="77">
        <f>+PT!A4130</f>
        <v>0</v>
      </c>
      <c r="C4128" s="77">
        <f t="shared" si="67"/>
        <v>4127</v>
      </c>
    </row>
    <row r="4129" spans="1:3" x14ac:dyDescent="0.2">
      <c r="A4129" s="78">
        <v>49785</v>
      </c>
      <c r="B4129" s="77">
        <f>+PT!A4131</f>
        <v>0</v>
      </c>
      <c r="C4129" s="77">
        <f t="shared" si="67"/>
        <v>4128</v>
      </c>
    </row>
    <row r="4130" spans="1:3" x14ac:dyDescent="0.2">
      <c r="A4130" s="78">
        <v>49786</v>
      </c>
      <c r="B4130" s="77">
        <f>+PT!A4132</f>
        <v>0</v>
      </c>
      <c r="C4130" s="77">
        <f t="shared" si="67"/>
        <v>4129</v>
      </c>
    </row>
    <row r="4131" spans="1:3" x14ac:dyDescent="0.2">
      <c r="A4131" s="78">
        <v>49787</v>
      </c>
      <c r="B4131" s="77">
        <f>+PT!A4133</f>
        <v>0</v>
      </c>
      <c r="C4131" s="77">
        <f t="shared" si="67"/>
        <v>4130</v>
      </c>
    </row>
    <row r="4132" spans="1:3" x14ac:dyDescent="0.2">
      <c r="A4132" s="78">
        <v>49788</v>
      </c>
      <c r="B4132" s="77">
        <f>+PT!A4134</f>
        <v>0</v>
      </c>
      <c r="C4132" s="77">
        <f t="shared" si="67"/>
        <v>4131</v>
      </c>
    </row>
    <row r="4133" spans="1:3" x14ac:dyDescent="0.2">
      <c r="A4133" s="78">
        <v>49789</v>
      </c>
      <c r="B4133" s="77">
        <f>+PT!A4135</f>
        <v>0</v>
      </c>
      <c r="C4133" s="77">
        <f t="shared" si="67"/>
        <v>4132</v>
      </c>
    </row>
    <row r="4134" spans="1:3" x14ac:dyDescent="0.2">
      <c r="A4134" s="78">
        <v>49790</v>
      </c>
      <c r="B4134" s="77">
        <f>+PT!A4136</f>
        <v>0</v>
      </c>
      <c r="C4134" s="77">
        <f t="shared" si="67"/>
        <v>4133</v>
      </c>
    </row>
    <row r="4135" spans="1:3" x14ac:dyDescent="0.2">
      <c r="A4135" s="78">
        <v>49791</v>
      </c>
      <c r="B4135" s="77">
        <f>+PT!A4137</f>
        <v>0</v>
      </c>
      <c r="C4135" s="77">
        <f t="shared" si="67"/>
        <v>4134</v>
      </c>
    </row>
    <row r="4136" spans="1:3" x14ac:dyDescent="0.2">
      <c r="A4136" s="78">
        <v>49792</v>
      </c>
      <c r="B4136" s="77">
        <f>+PT!A4138</f>
        <v>0</v>
      </c>
      <c r="C4136" s="77">
        <f t="shared" si="67"/>
        <v>4135</v>
      </c>
    </row>
    <row r="4137" spans="1:3" x14ac:dyDescent="0.2">
      <c r="A4137" s="78">
        <v>49793</v>
      </c>
      <c r="B4137" s="77">
        <f>+PT!A4139</f>
        <v>0</v>
      </c>
      <c r="C4137" s="77">
        <f t="shared" si="67"/>
        <v>4136</v>
      </c>
    </row>
    <row r="4138" spans="1:3" x14ac:dyDescent="0.2">
      <c r="A4138" s="78">
        <v>49794</v>
      </c>
      <c r="B4138" s="77">
        <f>+PT!A4140</f>
        <v>0</v>
      </c>
      <c r="C4138" s="77">
        <f t="shared" si="67"/>
        <v>4137</v>
      </c>
    </row>
    <row r="4139" spans="1:3" x14ac:dyDescent="0.2">
      <c r="A4139" s="78">
        <v>49795</v>
      </c>
      <c r="B4139" s="77">
        <f>+PT!A4141</f>
        <v>0</v>
      </c>
      <c r="C4139" s="77">
        <f t="shared" si="67"/>
        <v>4138</v>
      </c>
    </row>
    <row r="4140" spans="1:3" x14ac:dyDescent="0.2">
      <c r="A4140" s="78">
        <v>49796</v>
      </c>
      <c r="B4140" s="77">
        <f>+PT!A4142</f>
        <v>0</v>
      </c>
      <c r="C4140" s="77">
        <f t="shared" si="67"/>
        <v>4139</v>
      </c>
    </row>
    <row r="4141" spans="1:3" x14ac:dyDescent="0.2">
      <c r="A4141" s="78">
        <v>49797</v>
      </c>
      <c r="B4141" s="77">
        <f>+PT!A4143</f>
        <v>0</v>
      </c>
      <c r="C4141" s="77">
        <f t="shared" si="67"/>
        <v>4140</v>
      </c>
    </row>
    <row r="4142" spans="1:3" x14ac:dyDescent="0.2">
      <c r="A4142" s="78">
        <v>49798</v>
      </c>
      <c r="B4142" s="77">
        <f>+PT!A4144</f>
        <v>0</v>
      </c>
      <c r="C4142" s="77">
        <f t="shared" si="67"/>
        <v>4141</v>
      </c>
    </row>
    <row r="4143" spans="1:3" x14ac:dyDescent="0.2">
      <c r="A4143" s="78">
        <v>49799</v>
      </c>
      <c r="B4143" s="77">
        <f>+PT!A4145</f>
        <v>0</v>
      </c>
      <c r="C4143" s="77">
        <f t="shared" si="67"/>
        <v>4142</v>
      </c>
    </row>
    <row r="4144" spans="1:3" x14ac:dyDescent="0.2">
      <c r="A4144" s="78">
        <v>49800</v>
      </c>
      <c r="B4144" s="77">
        <f>+PT!A4146</f>
        <v>0</v>
      </c>
      <c r="C4144" s="77">
        <f t="shared" si="67"/>
        <v>4143</v>
      </c>
    </row>
    <row r="4145" spans="1:3" x14ac:dyDescent="0.2">
      <c r="A4145" s="78">
        <v>49801</v>
      </c>
      <c r="B4145" s="77">
        <f>+PT!A4147</f>
        <v>0</v>
      </c>
      <c r="C4145" s="77">
        <f t="shared" si="67"/>
        <v>4144</v>
      </c>
    </row>
    <row r="4146" spans="1:3" x14ac:dyDescent="0.2">
      <c r="A4146" s="78">
        <v>49802</v>
      </c>
      <c r="B4146" s="77">
        <f>+PT!A4148</f>
        <v>0</v>
      </c>
      <c r="C4146" s="77">
        <f t="shared" si="67"/>
        <v>4145</v>
      </c>
    </row>
    <row r="4147" spans="1:3" x14ac:dyDescent="0.2">
      <c r="A4147" s="78">
        <v>49803</v>
      </c>
      <c r="B4147" s="77">
        <f>+PT!A4149</f>
        <v>0</v>
      </c>
      <c r="C4147" s="77">
        <f t="shared" si="67"/>
        <v>4146</v>
      </c>
    </row>
    <row r="4148" spans="1:3" x14ac:dyDescent="0.2">
      <c r="A4148" s="78">
        <v>49804</v>
      </c>
      <c r="B4148" s="77">
        <f>+PT!A4150</f>
        <v>0</v>
      </c>
      <c r="C4148" s="77">
        <f t="shared" si="67"/>
        <v>4147</v>
      </c>
    </row>
    <row r="4149" spans="1:3" x14ac:dyDescent="0.2">
      <c r="A4149" s="78">
        <v>49805</v>
      </c>
      <c r="B4149" s="77">
        <f>+PT!A4151</f>
        <v>0</v>
      </c>
      <c r="C4149" s="77">
        <f t="shared" si="67"/>
        <v>4148</v>
      </c>
    </row>
    <row r="4150" spans="1:3" x14ac:dyDescent="0.2">
      <c r="A4150" s="78">
        <v>49806</v>
      </c>
      <c r="B4150" s="77">
        <f>+PT!A4152</f>
        <v>0</v>
      </c>
      <c r="C4150" s="77">
        <f t="shared" si="67"/>
        <v>4149</v>
      </c>
    </row>
    <row r="4151" spans="1:3" x14ac:dyDescent="0.2">
      <c r="A4151" s="78">
        <v>49807</v>
      </c>
      <c r="B4151" s="77">
        <f>+PT!A4153</f>
        <v>0</v>
      </c>
      <c r="C4151" s="77">
        <f t="shared" si="67"/>
        <v>4150</v>
      </c>
    </row>
    <row r="4152" spans="1:3" x14ac:dyDescent="0.2">
      <c r="A4152" s="78">
        <v>49808</v>
      </c>
      <c r="B4152" s="77">
        <f>+PT!A4154</f>
        <v>0</v>
      </c>
      <c r="C4152" s="77">
        <f t="shared" si="67"/>
        <v>4151</v>
      </c>
    </row>
    <row r="4153" spans="1:3" x14ac:dyDescent="0.2">
      <c r="A4153" s="78">
        <v>49809</v>
      </c>
      <c r="B4153" s="77">
        <f>+PT!A4155</f>
        <v>0</v>
      </c>
      <c r="C4153" s="77">
        <f t="shared" si="67"/>
        <v>4152</v>
      </c>
    </row>
    <row r="4154" spans="1:3" x14ac:dyDescent="0.2">
      <c r="A4154" s="78">
        <v>49810</v>
      </c>
      <c r="B4154" s="77">
        <f>+PT!A4156</f>
        <v>0</v>
      </c>
      <c r="C4154" s="77">
        <f t="shared" si="67"/>
        <v>4153</v>
      </c>
    </row>
    <row r="4155" spans="1:3" x14ac:dyDescent="0.2">
      <c r="A4155" s="78">
        <v>49811</v>
      </c>
      <c r="B4155" s="77">
        <f>+PT!A4157</f>
        <v>0</v>
      </c>
      <c r="C4155" s="77">
        <f t="shared" si="67"/>
        <v>4154</v>
      </c>
    </row>
    <row r="4156" spans="1:3" x14ac:dyDescent="0.2">
      <c r="A4156" s="78">
        <v>49812</v>
      </c>
      <c r="B4156" s="77">
        <f>+PT!A4158</f>
        <v>0</v>
      </c>
      <c r="C4156" s="77">
        <f t="shared" si="67"/>
        <v>4155</v>
      </c>
    </row>
    <row r="4157" spans="1:3" x14ac:dyDescent="0.2">
      <c r="A4157" s="78">
        <v>49813</v>
      </c>
      <c r="B4157" s="77">
        <f>+PT!A4159</f>
        <v>0</v>
      </c>
      <c r="C4157" s="77">
        <f t="shared" si="67"/>
        <v>4156</v>
      </c>
    </row>
    <row r="4158" spans="1:3" x14ac:dyDescent="0.2">
      <c r="A4158" s="78">
        <v>49814</v>
      </c>
      <c r="B4158" s="77">
        <f>+PT!A4160</f>
        <v>0</v>
      </c>
      <c r="C4158" s="77">
        <f t="shared" si="67"/>
        <v>4157</v>
      </c>
    </row>
    <row r="4159" spans="1:3" x14ac:dyDescent="0.2">
      <c r="A4159" s="78">
        <v>49815</v>
      </c>
      <c r="B4159" s="77">
        <f>+PT!A4161</f>
        <v>0</v>
      </c>
      <c r="C4159" s="77">
        <f t="shared" si="67"/>
        <v>4158</v>
      </c>
    </row>
    <row r="4160" spans="1:3" x14ac:dyDescent="0.2">
      <c r="A4160" s="78">
        <v>49816</v>
      </c>
      <c r="B4160" s="77">
        <f>+PT!A4162</f>
        <v>0</v>
      </c>
      <c r="C4160" s="77">
        <f t="shared" si="67"/>
        <v>4159</v>
      </c>
    </row>
    <row r="4161" spans="1:3" x14ac:dyDescent="0.2">
      <c r="A4161" s="78">
        <v>49817</v>
      </c>
      <c r="B4161" s="77">
        <f>+PT!A4163</f>
        <v>0</v>
      </c>
      <c r="C4161" s="77">
        <f t="shared" si="67"/>
        <v>4160</v>
      </c>
    </row>
    <row r="4162" spans="1:3" x14ac:dyDescent="0.2">
      <c r="A4162" s="78">
        <v>49818</v>
      </c>
      <c r="B4162" s="77">
        <f>+PT!A4164</f>
        <v>0</v>
      </c>
      <c r="C4162" s="77">
        <f t="shared" si="67"/>
        <v>4161</v>
      </c>
    </row>
    <row r="4163" spans="1:3" x14ac:dyDescent="0.2">
      <c r="A4163" s="78">
        <v>49819</v>
      </c>
      <c r="B4163" s="77">
        <f>+PT!A4165</f>
        <v>0</v>
      </c>
      <c r="C4163" s="77">
        <f t="shared" si="67"/>
        <v>4162</v>
      </c>
    </row>
    <row r="4164" spans="1:3" x14ac:dyDescent="0.2">
      <c r="A4164" s="78">
        <v>49820</v>
      </c>
      <c r="B4164" s="77">
        <f>+PT!A4166</f>
        <v>0</v>
      </c>
      <c r="C4164" s="77">
        <f t="shared" ref="C4164:C4227" si="68">+C4163+1</f>
        <v>4163</v>
      </c>
    </row>
    <row r="4165" spans="1:3" x14ac:dyDescent="0.2">
      <c r="A4165" s="78">
        <v>49821</v>
      </c>
      <c r="B4165" s="77">
        <f>+PT!A4167</f>
        <v>0</v>
      </c>
      <c r="C4165" s="77">
        <f t="shared" si="68"/>
        <v>4164</v>
      </c>
    </row>
    <row r="4166" spans="1:3" x14ac:dyDescent="0.2">
      <c r="A4166" s="78">
        <v>49822</v>
      </c>
      <c r="B4166" s="77">
        <f>+PT!A4168</f>
        <v>0</v>
      </c>
      <c r="C4166" s="77">
        <f t="shared" si="68"/>
        <v>4165</v>
      </c>
    </row>
    <row r="4167" spans="1:3" x14ac:dyDescent="0.2">
      <c r="A4167" s="78">
        <v>49823</v>
      </c>
      <c r="B4167" s="77">
        <f>+PT!A4169</f>
        <v>0</v>
      </c>
      <c r="C4167" s="77">
        <f t="shared" si="68"/>
        <v>4166</v>
      </c>
    </row>
    <row r="4168" spans="1:3" x14ac:dyDescent="0.2">
      <c r="A4168" s="78">
        <v>49824</v>
      </c>
      <c r="B4168" s="77">
        <f>+PT!A4170</f>
        <v>0</v>
      </c>
      <c r="C4168" s="77">
        <f t="shared" si="68"/>
        <v>4167</v>
      </c>
    </row>
    <row r="4169" spans="1:3" x14ac:dyDescent="0.2">
      <c r="A4169" s="78">
        <v>49825</v>
      </c>
      <c r="B4169" s="77">
        <f>+PT!A4171</f>
        <v>0</v>
      </c>
      <c r="C4169" s="77">
        <f t="shared" si="68"/>
        <v>4168</v>
      </c>
    </row>
    <row r="4170" spans="1:3" x14ac:dyDescent="0.2">
      <c r="A4170" s="78">
        <v>49826</v>
      </c>
      <c r="B4170" s="77">
        <f>+PT!A4172</f>
        <v>0</v>
      </c>
      <c r="C4170" s="77">
        <f t="shared" si="68"/>
        <v>4169</v>
      </c>
    </row>
    <row r="4171" spans="1:3" x14ac:dyDescent="0.2">
      <c r="A4171" s="78">
        <v>49827</v>
      </c>
      <c r="B4171" s="77">
        <f>+PT!A4173</f>
        <v>0</v>
      </c>
      <c r="C4171" s="77">
        <f t="shared" si="68"/>
        <v>4170</v>
      </c>
    </row>
    <row r="4172" spans="1:3" x14ac:dyDescent="0.2">
      <c r="A4172" s="78">
        <v>49828</v>
      </c>
      <c r="B4172" s="77">
        <f>+PT!A4174</f>
        <v>0</v>
      </c>
      <c r="C4172" s="77">
        <f t="shared" si="68"/>
        <v>4171</v>
      </c>
    </row>
    <row r="4173" spans="1:3" x14ac:dyDescent="0.2">
      <c r="A4173" s="78">
        <v>49829</v>
      </c>
      <c r="B4173" s="77">
        <f>+PT!A4175</f>
        <v>0</v>
      </c>
      <c r="C4173" s="77">
        <f t="shared" si="68"/>
        <v>4172</v>
      </c>
    </row>
    <row r="4174" spans="1:3" x14ac:dyDescent="0.2">
      <c r="A4174" s="78">
        <v>49830</v>
      </c>
      <c r="B4174" s="77">
        <f>+PT!A4176</f>
        <v>0</v>
      </c>
      <c r="C4174" s="77">
        <f t="shared" si="68"/>
        <v>4173</v>
      </c>
    </row>
    <row r="4175" spans="1:3" x14ac:dyDescent="0.2">
      <c r="A4175" s="78">
        <v>49831</v>
      </c>
      <c r="B4175" s="77">
        <f>+PT!A4177</f>
        <v>0</v>
      </c>
      <c r="C4175" s="77">
        <f t="shared" si="68"/>
        <v>4174</v>
      </c>
    </row>
    <row r="4176" spans="1:3" x14ac:dyDescent="0.2">
      <c r="A4176" s="78">
        <v>49832</v>
      </c>
      <c r="B4176" s="77">
        <f>+PT!A4178</f>
        <v>0</v>
      </c>
      <c r="C4176" s="77">
        <f t="shared" si="68"/>
        <v>4175</v>
      </c>
    </row>
    <row r="4177" spans="1:3" x14ac:dyDescent="0.2">
      <c r="A4177" s="78">
        <v>49833</v>
      </c>
      <c r="B4177" s="77">
        <f>+PT!A4179</f>
        <v>0</v>
      </c>
      <c r="C4177" s="77">
        <f t="shared" si="68"/>
        <v>4176</v>
      </c>
    </row>
    <row r="4178" spans="1:3" x14ac:dyDescent="0.2">
      <c r="A4178" s="78">
        <v>49834</v>
      </c>
      <c r="B4178" s="77">
        <f>+PT!A4180</f>
        <v>0</v>
      </c>
      <c r="C4178" s="77">
        <f t="shared" si="68"/>
        <v>4177</v>
      </c>
    </row>
    <row r="4179" spans="1:3" x14ac:dyDescent="0.2">
      <c r="A4179" s="78">
        <v>49835</v>
      </c>
      <c r="B4179" s="77">
        <f>+PT!A4181</f>
        <v>0</v>
      </c>
      <c r="C4179" s="77">
        <f t="shared" si="68"/>
        <v>4178</v>
      </c>
    </row>
    <row r="4180" spans="1:3" x14ac:dyDescent="0.2">
      <c r="A4180" s="78">
        <v>49836</v>
      </c>
      <c r="B4180" s="77">
        <f>+PT!A4182</f>
        <v>0</v>
      </c>
      <c r="C4180" s="77">
        <f t="shared" si="68"/>
        <v>4179</v>
      </c>
    </row>
    <row r="4181" spans="1:3" x14ac:dyDescent="0.2">
      <c r="A4181" s="78">
        <v>49837</v>
      </c>
      <c r="B4181" s="77">
        <f>+PT!A4183</f>
        <v>0</v>
      </c>
      <c r="C4181" s="77">
        <f t="shared" si="68"/>
        <v>4180</v>
      </c>
    </row>
    <row r="4182" spans="1:3" x14ac:dyDescent="0.2">
      <c r="A4182" s="78">
        <v>49838</v>
      </c>
      <c r="B4182" s="77">
        <f>+PT!A4184</f>
        <v>0</v>
      </c>
      <c r="C4182" s="77">
        <f t="shared" si="68"/>
        <v>4181</v>
      </c>
    </row>
    <row r="4183" spans="1:3" x14ac:dyDescent="0.2">
      <c r="A4183" s="78">
        <v>49839</v>
      </c>
      <c r="B4183" s="77">
        <f>+PT!A4185</f>
        <v>0</v>
      </c>
      <c r="C4183" s="77">
        <f t="shared" si="68"/>
        <v>4182</v>
      </c>
    </row>
    <row r="4184" spans="1:3" x14ac:dyDescent="0.2">
      <c r="A4184" s="78">
        <v>49840</v>
      </c>
      <c r="B4184" s="77">
        <f>+PT!A4186</f>
        <v>0</v>
      </c>
      <c r="C4184" s="77">
        <f t="shared" si="68"/>
        <v>4183</v>
      </c>
    </row>
    <row r="4185" spans="1:3" x14ac:dyDescent="0.2">
      <c r="A4185" s="78">
        <v>49841</v>
      </c>
      <c r="B4185" s="77">
        <f>+PT!A4187</f>
        <v>0</v>
      </c>
      <c r="C4185" s="77">
        <f t="shared" si="68"/>
        <v>4184</v>
      </c>
    </row>
    <row r="4186" spans="1:3" x14ac:dyDescent="0.2">
      <c r="A4186" s="78">
        <v>49842</v>
      </c>
      <c r="B4186" s="77">
        <f>+PT!A4188</f>
        <v>0</v>
      </c>
      <c r="C4186" s="77">
        <f t="shared" si="68"/>
        <v>4185</v>
      </c>
    </row>
    <row r="4187" spans="1:3" x14ac:dyDescent="0.2">
      <c r="A4187" s="78">
        <v>49843</v>
      </c>
      <c r="B4187" s="77">
        <f>+PT!A4189</f>
        <v>0</v>
      </c>
      <c r="C4187" s="77">
        <f t="shared" si="68"/>
        <v>4186</v>
      </c>
    </row>
    <row r="4188" spans="1:3" x14ac:dyDescent="0.2">
      <c r="A4188" s="78">
        <v>49844</v>
      </c>
      <c r="B4188" s="77">
        <f>+PT!A4190</f>
        <v>0</v>
      </c>
      <c r="C4188" s="77">
        <f t="shared" si="68"/>
        <v>4187</v>
      </c>
    </row>
    <row r="4189" spans="1:3" x14ac:dyDescent="0.2">
      <c r="A4189" s="78">
        <v>49845</v>
      </c>
      <c r="B4189" s="77">
        <f>+PT!A4191</f>
        <v>0</v>
      </c>
      <c r="C4189" s="77">
        <f t="shared" si="68"/>
        <v>4188</v>
      </c>
    </row>
    <row r="4190" spans="1:3" x14ac:dyDescent="0.2">
      <c r="A4190" s="78">
        <v>49846</v>
      </c>
      <c r="B4190" s="77">
        <f>+PT!A4192</f>
        <v>0</v>
      </c>
      <c r="C4190" s="77">
        <f t="shared" si="68"/>
        <v>4189</v>
      </c>
    </row>
    <row r="4191" spans="1:3" x14ac:dyDescent="0.2">
      <c r="A4191" s="78">
        <v>49847</v>
      </c>
      <c r="B4191" s="77">
        <f>+PT!A4193</f>
        <v>0</v>
      </c>
      <c r="C4191" s="77">
        <f t="shared" si="68"/>
        <v>4190</v>
      </c>
    </row>
    <row r="4192" spans="1:3" x14ac:dyDescent="0.2">
      <c r="A4192" s="78">
        <v>49848</v>
      </c>
      <c r="B4192" s="77">
        <f>+PT!A4194</f>
        <v>0</v>
      </c>
      <c r="C4192" s="77">
        <f t="shared" si="68"/>
        <v>4191</v>
      </c>
    </row>
    <row r="4193" spans="1:3" x14ac:dyDescent="0.2">
      <c r="A4193" s="78">
        <v>49849</v>
      </c>
      <c r="B4193" s="77">
        <f>+PT!A4195</f>
        <v>0</v>
      </c>
      <c r="C4193" s="77">
        <f t="shared" si="68"/>
        <v>4192</v>
      </c>
    </row>
    <row r="4194" spans="1:3" x14ac:dyDescent="0.2">
      <c r="A4194" s="78">
        <v>49850</v>
      </c>
      <c r="B4194" s="77">
        <f>+PT!A4196</f>
        <v>0</v>
      </c>
      <c r="C4194" s="77">
        <f t="shared" si="68"/>
        <v>4193</v>
      </c>
    </row>
    <row r="4195" spans="1:3" x14ac:dyDescent="0.2">
      <c r="A4195" s="78">
        <v>49851</v>
      </c>
      <c r="B4195" s="77">
        <f>+PT!A4197</f>
        <v>0</v>
      </c>
      <c r="C4195" s="77">
        <f t="shared" si="68"/>
        <v>4194</v>
      </c>
    </row>
    <row r="4196" spans="1:3" x14ac:dyDescent="0.2">
      <c r="A4196" s="78">
        <v>49852</v>
      </c>
      <c r="B4196" s="77">
        <f>+PT!A4198</f>
        <v>0</v>
      </c>
      <c r="C4196" s="77">
        <f t="shared" si="68"/>
        <v>4195</v>
      </c>
    </row>
    <row r="4197" spans="1:3" x14ac:dyDescent="0.2">
      <c r="A4197" s="78">
        <v>49853</v>
      </c>
      <c r="B4197" s="77">
        <f>+PT!A4199</f>
        <v>0</v>
      </c>
      <c r="C4197" s="77">
        <f t="shared" si="68"/>
        <v>4196</v>
      </c>
    </row>
    <row r="4198" spans="1:3" x14ac:dyDescent="0.2">
      <c r="A4198" s="78">
        <v>49854</v>
      </c>
      <c r="B4198" s="77">
        <f>+PT!A4200</f>
        <v>0</v>
      </c>
      <c r="C4198" s="77">
        <f t="shared" si="68"/>
        <v>4197</v>
      </c>
    </row>
    <row r="4199" spans="1:3" x14ac:dyDescent="0.2">
      <c r="A4199" s="78">
        <v>49855</v>
      </c>
      <c r="B4199" s="77">
        <f>+PT!A4201</f>
        <v>0</v>
      </c>
      <c r="C4199" s="77">
        <f t="shared" si="68"/>
        <v>4198</v>
      </c>
    </row>
    <row r="4200" spans="1:3" x14ac:dyDescent="0.2">
      <c r="A4200" s="78">
        <v>49856</v>
      </c>
      <c r="B4200" s="77">
        <f>+PT!A4202</f>
        <v>0</v>
      </c>
      <c r="C4200" s="77">
        <f t="shared" si="68"/>
        <v>4199</v>
      </c>
    </row>
    <row r="4201" spans="1:3" x14ac:dyDescent="0.2">
      <c r="A4201" s="78">
        <v>49857</v>
      </c>
      <c r="B4201" s="77">
        <f>+PT!A4203</f>
        <v>0</v>
      </c>
      <c r="C4201" s="77">
        <f t="shared" si="68"/>
        <v>4200</v>
      </c>
    </row>
    <row r="4202" spans="1:3" x14ac:dyDescent="0.2">
      <c r="A4202" s="78">
        <v>49858</v>
      </c>
      <c r="B4202" s="77">
        <f>+PT!A4204</f>
        <v>0</v>
      </c>
      <c r="C4202" s="77">
        <f t="shared" si="68"/>
        <v>4201</v>
      </c>
    </row>
    <row r="4203" spans="1:3" x14ac:dyDescent="0.2">
      <c r="A4203" s="78">
        <v>49859</v>
      </c>
      <c r="B4203" s="77">
        <f>+PT!A4205</f>
        <v>0</v>
      </c>
      <c r="C4203" s="77">
        <f t="shared" si="68"/>
        <v>4202</v>
      </c>
    </row>
    <row r="4204" spans="1:3" x14ac:dyDescent="0.2">
      <c r="A4204" s="78">
        <v>49860</v>
      </c>
      <c r="B4204" s="77">
        <f>+PT!A4206</f>
        <v>0</v>
      </c>
      <c r="C4204" s="77">
        <f t="shared" si="68"/>
        <v>4203</v>
      </c>
    </row>
    <row r="4205" spans="1:3" x14ac:dyDescent="0.2">
      <c r="A4205" s="78">
        <v>49861</v>
      </c>
      <c r="B4205" s="77">
        <f>+PT!A4207</f>
        <v>0</v>
      </c>
      <c r="C4205" s="77">
        <f t="shared" si="68"/>
        <v>4204</v>
      </c>
    </row>
    <row r="4206" spans="1:3" x14ac:dyDescent="0.2">
      <c r="A4206" s="78">
        <v>49862</v>
      </c>
      <c r="B4206" s="77">
        <f>+PT!A4208</f>
        <v>0</v>
      </c>
      <c r="C4206" s="77">
        <f t="shared" si="68"/>
        <v>4205</v>
      </c>
    </row>
    <row r="4207" spans="1:3" x14ac:dyDescent="0.2">
      <c r="A4207" s="78">
        <v>49863</v>
      </c>
      <c r="B4207" s="77">
        <f>+PT!A4209</f>
        <v>0</v>
      </c>
      <c r="C4207" s="77">
        <f t="shared" si="68"/>
        <v>4206</v>
      </c>
    </row>
    <row r="4208" spans="1:3" x14ac:dyDescent="0.2">
      <c r="A4208" s="78">
        <v>49864</v>
      </c>
      <c r="B4208" s="77">
        <f>+PT!A4210</f>
        <v>0</v>
      </c>
      <c r="C4208" s="77">
        <f t="shared" si="68"/>
        <v>4207</v>
      </c>
    </row>
    <row r="4209" spans="1:3" x14ac:dyDescent="0.2">
      <c r="A4209" s="78">
        <v>49865</v>
      </c>
      <c r="B4209" s="77">
        <f>+PT!A4211</f>
        <v>0</v>
      </c>
      <c r="C4209" s="77">
        <f t="shared" si="68"/>
        <v>4208</v>
      </c>
    </row>
    <row r="4210" spans="1:3" x14ac:dyDescent="0.2">
      <c r="A4210" s="78">
        <v>49866</v>
      </c>
      <c r="B4210" s="77">
        <f>+PT!A4212</f>
        <v>0</v>
      </c>
      <c r="C4210" s="77">
        <f t="shared" si="68"/>
        <v>4209</v>
      </c>
    </row>
    <row r="4211" spans="1:3" x14ac:dyDescent="0.2">
      <c r="A4211" s="78">
        <v>49867</v>
      </c>
      <c r="B4211" s="77">
        <f>+PT!A4213</f>
        <v>0</v>
      </c>
      <c r="C4211" s="77">
        <f t="shared" si="68"/>
        <v>4210</v>
      </c>
    </row>
    <row r="4212" spans="1:3" x14ac:dyDescent="0.2">
      <c r="A4212" s="78">
        <v>49868</v>
      </c>
      <c r="B4212" s="77">
        <f>+PT!A4214</f>
        <v>0</v>
      </c>
      <c r="C4212" s="77">
        <f t="shared" si="68"/>
        <v>4211</v>
      </c>
    </row>
    <row r="4213" spans="1:3" x14ac:dyDescent="0.2">
      <c r="A4213" s="78">
        <v>49869</v>
      </c>
      <c r="B4213" s="77">
        <f>+PT!A4215</f>
        <v>0</v>
      </c>
      <c r="C4213" s="77">
        <f t="shared" si="68"/>
        <v>4212</v>
      </c>
    </row>
    <row r="4214" spans="1:3" x14ac:dyDescent="0.2">
      <c r="A4214" s="78">
        <v>49870</v>
      </c>
      <c r="B4214" s="77">
        <f>+PT!A4216</f>
        <v>0</v>
      </c>
      <c r="C4214" s="77">
        <f t="shared" si="68"/>
        <v>4213</v>
      </c>
    </row>
    <row r="4215" spans="1:3" x14ac:dyDescent="0.2">
      <c r="A4215" s="78">
        <v>49871</v>
      </c>
      <c r="B4215" s="77">
        <f>+PT!A4217</f>
        <v>0</v>
      </c>
      <c r="C4215" s="77">
        <f t="shared" si="68"/>
        <v>4214</v>
      </c>
    </row>
    <row r="4216" spans="1:3" x14ac:dyDescent="0.2">
      <c r="A4216" s="78">
        <v>49872</v>
      </c>
      <c r="B4216" s="77">
        <f>+PT!A4218</f>
        <v>0</v>
      </c>
      <c r="C4216" s="77">
        <f t="shared" si="68"/>
        <v>4215</v>
      </c>
    </row>
    <row r="4217" spans="1:3" x14ac:dyDescent="0.2">
      <c r="A4217" s="78">
        <v>49873</v>
      </c>
      <c r="B4217" s="77">
        <f>+PT!A4219</f>
        <v>0</v>
      </c>
      <c r="C4217" s="77">
        <f t="shared" si="68"/>
        <v>4216</v>
      </c>
    </row>
    <row r="4218" spans="1:3" x14ac:dyDescent="0.2">
      <c r="A4218" s="78">
        <v>49874</v>
      </c>
      <c r="B4218" s="77">
        <f>+PT!A4220</f>
        <v>0</v>
      </c>
      <c r="C4218" s="77">
        <f t="shared" si="68"/>
        <v>4217</v>
      </c>
    </row>
    <row r="4219" spans="1:3" x14ac:dyDescent="0.2">
      <c r="A4219" s="78">
        <v>49875</v>
      </c>
      <c r="B4219" s="77">
        <f>+PT!A4221</f>
        <v>0</v>
      </c>
      <c r="C4219" s="77">
        <f t="shared" si="68"/>
        <v>4218</v>
      </c>
    </row>
    <row r="4220" spans="1:3" x14ac:dyDescent="0.2">
      <c r="A4220" s="78">
        <v>49876</v>
      </c>
      <c r="B4220" s="77">
        <f>+PT!A4222</f>
        <v>0</v>
      </c>
      <c r="C4220" s="77">
        <f t="shared" si="68"/>
        <v>4219</v>
      </c>
    </row>
    <row r="4221" spans="1:3" x14ac:dyDescent="0.2">
      <c r="A4221" s="78">
        <v>49877</v>
      </c>
      <c r="B4221" s="77">
        <f>+PT!A4223</f>
        <v>0</v>
      </c>
      <c r="C4221" s="77">
        <f t="shared" si="68"/>
        <v>4220</v>
      </c>
    </row>
    <row r="4222" spans="1:3" x14ac:dyDescent="0.2">
      <c r="A4222" s="78">
        <v>49878</v>
      </c>
      <c r="B4222" s="77">
        <f>+PT!A4224</f>
        <v>0</v>
      </c>
      <c r="C4222" s="77">
        <f t="shared" si="68"/>
        <v>4221</v>
      </c>
    </row>
    <row r="4223" spans="1:3" x14ac:dyDescent="0.2">
      <c r="A4223" s="78">
        <v>49879</v>
      </c>
      <c r="B4223" s="77">
        <f>+PT!A4225</f>
        <v>0</v>
      </c>
      <c r="C4223" s="77">
        <f t="shared" si="68"/>
        <v>4222</v>
      </c>
    </row>
    <row r="4224" spans="1:3" x14ac:dyDescent="0.2">
      <c r="A4224" s="78">
        <v>49880</v>
      </c>
      <c r="B4224" s="77">
        <f>+PT!A4226</f>
        <v>0</v>
      </c>
      <c r="C4224" s="77">
        <f t="shared" si="68"/>
        <v>4223</v>
      </c>
    </row>
    <row r="4225" spans="1:3" x14ac:dyDescent="0.2">
      <c r="A4225" s="78">
        <v>49881</v>
      </c>
      <c r="B4225" s="77">
        <f>+PT!A4227</f>
        <v>0</v>
      </c>
      <c r="C4225" s="77">
        <f t="shared" si="68"/>
        <v>4224</v>
      </c>
    </row>
    <row r="4226" spans="1:3" x14ac:dyDescent="0.2">
      <c r="A4226" s="78">
        <v>49882</v>
      </c>
      <c r="B4226" s="77">
        <f>+PT!A4228</f>
        <v>0</v>
      </c>
      <c r="C4226" s="77">
        <f t="shared" si="68"/>
        <v>4225</v>
      </c>
    </row>
    <row r="4227" spans="1:3" x14ac:dyDescent="0.2">
      <c r="A4227" s="78">
        <v>49883</v>
      </c>
      <c r="B4227" s="77">
        <f>+PT!A4229</f>
        <v>0</v>
      </c>
      <c r="C4227" s="77">
        <f t="shared" si="68"/>
        <v>4226</v>
      </c>
    </row>
    <row r="4228" spans="1:3" x14ac:dyDescent="0.2">
      <c r="A4228" s="78">
        <v>49884</v>
      </c>
      <c r="B4228" s="77">
        <f>+PT!A4230</f>
        <v>0</v>
      </c>
      <c r="C4228" s="77">
        <f t="shared" ref="C4228:C4291" si="69">+C4227+1</f>
        <v>4227</v>
      </c>
    </row>
    <row r="4229" spans="1:3" x14ac:dyDescent="0.2">
      <c r="A4229" s="78">
        <v>49885</v>
      </c>
      <c r="B4229" s="77">
        <f>+PT!A4231</f>
        <v>0</v>
      </c>
      <c r="C4229" s="77">
        <f t="shared" si="69"/>
        <v>4228</v>
      </c>
    </row>
    <row r="4230" spans="1:3" x14ac:dyDescent="0.2">
      <c r="A4230" s="78">
        <v>49886</v>
      </c>
      <c r="B4230" s="77">
        <f>+PT!A4232</f>
        <v>0</v>
      </c>
      <c r="C4230" s="77">
        <f t="shared" si="69"/>
        <v>4229</v>
      </c>
    </row>
    <row r="4231" spans="1:3" x14ac:dyDescent="0.2">
      <c r="A4231" s="78">
        <v>49887</v>
      </c>
      <c r="B4231" s="77">
        <f>+PT!A4233</f>
        <v>0</v>
      </c>
      <c r="C4231" s="77">
        <f t="shared" si="69"/>
        <v>4230</v>
      </c>
    </row>
    <row r="4232" spans="1:3" x14ac:dyDescent="0.2">
      <c r="A4232" s="78">
        <v>49888</v>
      </c>
      <c r="B4232" s="77">
        <f>+PT!A4234</f>
        <v>0</v>
      </c>
      <c r="C4232" s="77">
        <f t="shared" si="69"/>
        <v>4231</v>
      </c>
    </row>
    <row r="4233" spans="1:3" x14ac:dyDescent="0.2">
      <c r="A4233" s="78">
        <v>49889</v>
      </c>
      <c r="B4233" s="77">
        <f>+PT!A4235</f>
        <v>0</v>
      </c>
      <c r="C4233" s="77">
        <f t="shared" si="69"/>
        <v>4232</v>
      </c>
    </row>
    <row r="4234" spans="1:3" x14ac:dyDescent="0.2">
      <c r="A4234" s="78">
        <v>49890</v>
      </c>
      <c r="B4234" s="77">
        <f>+PT!A4236</f>
        <v>0</v>
      </c>
      <c r="C4234" s="77">
        <f t="shared" si="69"/>
        <v>4233</v>
      </c>
    </row>
    <row r="4235" spans="1:3" x14ac:dyDescent="0.2">
      <c r="A4235" s="78">
        <v>49891</v>
      </c>
      <c r="B4235" s="77">
        <f>+PT!A4237</f>
        <v>0</v>
      </c>
      <c r="C4235" s="77">
        <f t="shared" si="69"/>
        <v>4234</v>
      </c>
    </row>
    <row r="4236" spans="1:3" x14ac:dyDescent="0.2">
      <c r="A4236" s="78">
        <v>49892</v>
      </c>
      <c r="B4236" s="77">
        <f>+PT!A4238</f>
        <v>0</v>
      </c>
      <c r="C4236" s="77">
        <f t="shared" si="69"/>
        <v>4235</v>
      </c>
    </row>
    <row r="4237" spans="1:3" x14ac:dyDescent="0.2">
      <c r="A4237" s="78">
        <v>49893</v>
      </c>
      <c r="B4237" s="77">
        <f>+PT!A4239</f>
        <v>0</v>
      </c>
      <c r="C4237" s="77">
        <f t="shared" si="69"/>
        <v>4236</v>
      </c>
    </row>
    <row r="4238" spans="1:3" x14ac:dyDescent="0.2">
      <c r="A4238" s="78">
        <v>49894</v>
      </c>
      <c r="B4238" s="77">
        <f>+PT!A4240</f>
        <v>0</v>
      </c>
      <c r="C4238" s="77">
        <f t="shared" si="69"/>
        <v>4237</v>
      </c>
    </row>
    <row r="4239" spans="1:3" x14ac:dyDescent="0.2">
      <c r="A4239" s="78">
        <v>49895</v>
      </c>
      <c r="B4239" s="77">
        <f>+PT!A4241</f>
        <v>0</v>
      </c>
      <c r="C4239" s="77">
        <f t="shared" si="69"/>
        <v>4238</v>
      </c>
    </row>
    <row r="4240" spans="1:3" x14ac:dyDescent="0.2">
      <c r="A4240" s="78">
        <v>49896</v>
      </c>
      <c r="B4240" s="77">
        <f>+PT!A4242</f>
        <v>0</v>
      </c>
      <c r="C4240" s="77">
        <f t="shared" si="69"/>
        <v>4239</v>
      </c>
    </row>
    <row r="4241" spans="1:3" x14ac:dyDescent="0.2">
      <c r="A4241" s="78">
        <v>49897</v>
      </c>
      <c r="B4241" s="77">
        <f>+PT!A4243</f>
        <v>0</v>
      </c>
      <c r="C4241" s="77">
        <f t="shared" si="69"/>
        <v>4240</v>
      </c>
    </row>
    <row r="4242" spans="1:3" x14ac:dyDescent="0.2">
      <c r="A4242" s="78">
        <v>49898</v>
      </c>
      <c r="B4242" s="77">
        <f>+PT!A4244</f>
        <v>0</v>
      </c>
      <c r="C4242" s="77">
        <f t="shared" si="69"/>
        <v>4241</v>
      </c>
    </row>
    <row r="4243" spans="1:3" x14ac:dyDescent="0.2">
      <c r="A4243" s="78">
        <v>49899</v>
      </c>
      <c r="B4243" s="77">
        <f>+PT!A4245</f>
        <v>0</v>
      </c>
      <c r="C4243" s="77">
        <f t="shared" si="69"/>
        <v>4242</v>
      </c>
    </row>
    <row r="4244" spans="1:3" x14ac:dyDescent="0.2">
      <c r="A4244" s="78">
        <v>49900</v>
      </c>
      <c r="B4244" s="77">
        <f>+PT!A4246</f>
        <v>0</v>
      </c>
      <c r="C4244" s="77">
        <f t="shared" si="69"/>
        <v>4243</v>
      </c>
    </row>
    <row r="4245" spans="1:3" x14ac:dyDescent="0.2">
      <c r="A4245" s="78">
        <v>49901</v>
      </c>
      <c r="B4245" s="77">
        <f>+PT!A4247</f>
        <v>0</v>
      </c>
      <c r="C4245" s="77">
        <f t="shared" si="69"/>
        <v>4244</v>
      </c>
    </row>
    <row r="4246" spans="1:3" x14ac:dyDescent="0.2">
      <c r="A4246" s="78">
        <v>49902</v>
      </c>
      <c r="B4246" s="77">
        <f>+PT!A4248</f>
        <v>0</v>
      </c>
      <c r="C4246" s="77">
        <f t="shared" si="69"/>
        <v>4245</v>
      </c>
    </row>
    <row r="4247" spans="1:3" x14ac:dyDescent="0.2">
      <c r="A4247" s="78">
        <v>49903</v>
      </c>
      <c r="B4247" s="77">
        <f>+PT!A4249</f>
        <v>0</v>
      </c>
      <c r="C4247" s="77">
        <f t="shared" si="69"/>
        <v>4246</v>
      </c>
    </row>
    <row r="4248" spans="1:3" x14ac:dyDescent="0.2">
      <c r="A4248" s="78">
        <v>49904</v>
      </c>
      <c r="B4248" s="77">
        <f>+PT!A4250</f>
        <v>0</v>
      </c>
      <c r="C4248" s="77">
        <f t="shared" si="69"/>
        <v>4247</v>
      </c>
    </row>
    <row r="4249" spans="1:3" x14ac:dyDescent="0.2">
      <c r="A4249" s="78">
        <v>49905</v>
      </c>
      <c r="B4249" s="77">
        <f>+PT!A4251</f>
        <v>0</v>
      </c>
      <c r="C4249" s="77">
        <f t="shared" si="69"/>
        <v>4248</v>
      </c>
    </row>
    <row r="4250" spans="1:3" x14ac:dyDescent="0.2">
      <c r="A4250" s="78">
        <v>49906</v>
      </c>
      <c r="B4250" s="77">
        <f>+PT!A4252</f>
        <v>0</v>
      </c>
      <c r="C4250" s="77">
        <f t="shared" si="69"/>
        <v>4249</v>
      </c>
    </row>
    <row r="4251" spans="1:3" x14ac:dyDescent="0.2">
      <c r="A4251" s="78">
        <v>49907</v>
      </c>
      <c r="B4251" s="77">
        <f>+PT!A4253</f>
        <v>0</v>
      </c>
      <c r="C4251" s="77">
        <f t="shared" si="69"/>
        <v>4250</v>
      </c>
    </row>
    <row r="4252" spans="1:3" x14ac:dyDescent="0.2">
      <c r="A4252" s="78">
        <v>49908</v>
      </c>
      <c r="B4252" s="77">
        <f>+PT!A4254</f>
        <v>0</v>
      </c>
      <c r="C4252" s="77">
        <f t="shared" si="69"/>
        <v>4251</v>
      </c>
    </row>
    <row r="4253" spans="1:3" x14ac:dyDescent="0.2">
      <c r="A4253" s="78">
        <v>49909</v>
      </c>
      <c r="B4253" s="77">
        <f>+PT!A4255</f>
        <v>0</v>
      </c>
      <c r="C4253" s="77">
        <f t="shared" si="69"/>
        <v>4252</v>
      </c>
    </row>
    <row r="4254" spans="1:3" x14ac:dyDescent="0.2">
      <c r="A4254" s="78">
        <v>49910</v>
      </c>
      <c r="B4254" s="77">
        <f>+PT!A4256</f>
        <v>0</v>
      </c>
      <c r="C4254" s="77">
        <f t="shared" si="69"/>
        <v>4253</v>
      </c>
    </row>
    <row r="4255" spans="1:3" x14ac:dyDescent="0.2">
      <c r="A4255" s="78">
        <v>49911</v>
      </c>
      <c r="B4255" s="77">
        <f>+PT!A4257</f>
        <v>0</v>
      </c>
      <c r="C4255" s="77">
        <f t="shared" si="69"/>
        <v>4254</v>
      </c>
    </row>
    <row r="4256" spans="1:3" x14ac:dyDescent="0.2">
      <c r="A4256" s="78">
        <v>49912</v>
      </c>
      <c r="B4256" s="77">
        <f>+PT!A4258</f>
        <v>0</v>
      </c>
      <c r="C4256" s="77">
        <f t="shared" si="69"/>
        <v>4255</v>
      </c>
    </row>
    <row r="4257" spans="1:3" x14ac:dyDescent="0.2">
      <c r="A4257" s="78">
        <v>49913</v>
      </c>
      <c r="B4257" s="77">
        <f>+PT!A4259</f>
        <v>0</v>
      </c>
      <c r="C4257" s="77">
        <f t="shared" si="69"/>
        <v>4256</v>
      </c>
    </row>
    <row r="4258" spans="1:3" x14ac:dyDescent="0.2">
      <c r="A4258" s="78">
        <v>49914</v>
      </c>
      <c r="B4258" s="77">
        <f>+PT!A4260</f>
        <v>0</v>
      </c>
      <c r="C4258" s="77">
        <f t="shared" si="69"/>
        <v>4257</v>
      </c>
    </row>
    <row r="4259" spans="1:3" x14ac:dyDescent="0.2">
      <c r="A4259" s="78">
        <v>49915</v>
      </c>
      <c r="B4259" s="77">
        <f>+PT!A4261</f>
        <v>0</v>
      </c>
      <c r="C4259" s="77">
        <f t="shared" si="69"/>
        <v>4258</v>
      </c>
    </row>
    <row r="4260" spans="1:3" x14ac:dyDescent="0.2">
      <c r="A4260" s="78">
        <v>49916</v>
      </c>
      <c r="B4260" s="77">
        <f>+PT!A4262</f>
        <v>0</v>
      </c>
      <c r="C4260" s="77">
        <f t="shared" si="69"/>
        <v>4259</v>
      </c>
    </row>
    <row r="4261" spans="1:3" x14ac:dyDescent="0.2">
      <c r="A4261" s="78">
        <v>49917</v>
      </c>
      <c r="B4261" s="77">
        <f>+PT!A4263</f>
        <v>0</v>
      </c>
      <c r="C4261" s="77">
        <f t="shared" si="69"/>
        <v>4260</v>
      </c>
    </row>
    <row r="4262" spans="1:3" x14ac:dyDescent="0.2">
      <c r="A4262" s="78">
        <v>49918</v>
      </c>
      <c r="B4262" s="77">
        <f>+PT!A4264</f>
        <v>0</v>
      </c>
      <c r="C4262" s="77">
        <f t="shared" si="69"/>
        <v>4261</v>
      </c>
    </row>
    <row r="4263" spans="1:3" x14ac:dyDescent="0.2">
      <c r="A4263" s="78">
        <v>49919</v>
      </c>
      <c r="B4263" s="77">
        <f>+PT!A4265</f>
        <v>0</v>
      </c>
      <c r="C4263" s="77">
        <f t="shared" si="69"/>
        <v>4262</v>
      </c>
    </row>
    <row r="4264" spans="1:3" x14ac:dyDescent="0.2">
      <c r="A4264" s="78">
        <v>49920</v>
      </c>
      <c r="B4264" s="77">
        <f>+PT!A4266</f>
        <v>0</v>
      </c>
      <c r="C4264" s="77">
        <f t="shared" si="69"/>
        <v>4263</v>
      </c>
    </row>
    <row r="4265" spans="1:3" x14ac:dyDescent="0.2">
      <c r="A4265" s="78">
        <v>49921</v>
      </c>
      <c r="B4265" s="77">
        <f>+PT!A4267</f>
        <v>0</v>
      </c>
      <c r="C4265" s="77">
        <f t="shared" si="69"/>
        <v>4264</v>
      </c>
    </row>
    <row r="4266" spans="1:3" x14ac:dyDescent="0.2">
      <c r="A4266" s="78">
        <v>49922</v>
      </c>
      <c r="B4266" s="77">
        <f>+PT!A4268</f>
        <v>0</v>
      </c>
      <c r="C4266" s="77">
        <f t="shared" si="69"/>
        <v>4265</v>
      </c>
    </row>
    <row r="4267" spans="1:3" x14ac:dyDescent="0.2">
      <c r="A4267" s="78">
        <v>49923</v>
      </c>
      <c r="B4267" s="77">
        <f>+PT!A4269</f>
        <v>0</v>
      </c>
      <c r="C4267" s="77">
        <f t="shared" si="69"/>
        <v>4266</v>
      </c>
    </row>
    <row r="4268" spans="1:3" x14ac:dyDescent="0.2">
      <c r="A4268" s="78">
        <v>49924</v>
      </c>
      <c r="B4268" s="77">
        <f>+PT!A4270</f>
        <v>0</v>
      </c>
      <c r="C4268" s="77">
        <f t="shared" si="69"/>
        <v>4267</v>
      </c>
    </row>
    <row r="4269" spans="1:3" x14ac:dyDescent="0.2">
      <c r="A4269" s="78">
        <v>49925</v>
      </c>
      <c r="B4269" s="77">
        <f>+PT!A4271</f>
        <v>0</v>
      </c>
      <c r="C4269" s="77">
        <f t="shared" si="69"/>
        <v>4268</v>
      </c>
    </row>
    <row r="4270" spans="1:3" x14ac:dyDescent="0.2">
      <c r="A4270" s="78">
        <v>49926</v>
      </c>
      <c r="B4270" s="77">
        <f>+PT!A4272</f>
        <v>0</v>
      </c>
      <c r="C4270" s="77">
        <f t="shared" si="69"/>
        <v>4269</v>
      </c>
    </row>
    <row r="4271" spans="1:3" x14ac:dyDescent="0.2">
      <c r="A4271" s="78">
        <v>49927</v>
      </c>
      <c r="B4271" s="77">
        <f>+PT!A4273</f>
        <v>0</v>
      </c>
      <c r="C4271" s="77">
        <f t="shared" si="69"/>
        <v>4270</v>
      </c>
    </row>
    <row r="4272" spans="1:3" x14ac:dyDescent="0.2">
      <c r="A4272" s="78">
        <v>49928</v>
      </c>
      <c r="B4272" s="77">
        <f>+PT!A4274</f>
        <v>0</v>
      </c>
      <c r="C4272" s="77">
        <f t="shared" si="69"/>
        <v>4271</v>
      </c>
    </row>
    <row r="4273" spans="1:3" x14ac:dyDescent="0.2">
      <c r="A4273" s="78">
        <v>49929</v>
      </c>
      <c r="B4273" s="77">
        <f>+PT!A4275</f>
        <v>0</v>
      </c>
      <c r="C4273" s="77">
        <f t="shared" si="69"/>
        <v>4272</v>
      </c>
    </row>
    <row r="4274" spans="1:3" x14ac:dyDescent="0.2">
      <c r="A4274" s="78">
        <v>49930</v>
      </c>
      <c r="B4274" s="77">
        <f>+PT!A4276</f>
        <v>0</v>
      </c>
      <c r="C4274" s="77">
        <f t="shared" si="69"/>
        <v>4273</v>
      </c>
    </row>
    <row r="4275" spans="1:3" x14ac:dyDescent="0.2">
      <c r="A4275" s="78">
        <v>49931</v>
      </c>
      <c r="B4275" s="77">
        <f>+PT!A4277</f>
        <v>0</v>
      </c>
      <c r="C4275" s="77">
        <f t="shared" si="69"/>
        <v>4274</v>
      </c>
    </row>
    <row r="4276" spans="1:3" x14ac:dyDescent="0.2">
      <c r="A4276" s="78">
        <v>49932</v>
      </c>
      <c r="B4276" s="77">
        <f>+PT!A4278</f>
        <v>0</v>
      </c>
      <c r="C4276" s="77">
        <f t="shared" si="69"/>
        <v>4275</v>
      </c>
    </row>
    <row r="4277" spans="1:3" x14ac:dyDescent="0.2">
      <c r="A4277" s="78">
        <v>49933</v>
      </c>
      <c r="B4277" s="77">
        <f>+PT!A4279</f>
        <v>0</v>
      </c>
      <c r="C4277" s="77">
        <f t="shared" si="69"/>
        <v>4276</v>
      </c>
    </row>
    <row r="4278" spans="1:3" x14ac:dyDescent="0.2">
      <c r="A4278" s="78">
        <v>49934</v>
      </c>
      <c r="B4278" s="77">
        <f>+PT!A4280</f>
        <v>0</v>
      </c>
      <c r="C4278" s="77">
        <f t="shared" si="69"/>
        <v>4277</v>
      </c>
    </row>
    <row r="4279" spans="1:3" x14ac:dyDescent="0.2">
      <c r="A4279" s="78">
        <v>49935</v>
      </c>
      <c r="B4279" s="77">
        <f>+PT!A4281</f>
        <v>0</v>
      </c>
      <c r="C4279" s="77">
        <f t="shared" si="69"/>
        <v>4278</v>
      </c>
    </row>
    <row r="4280" spans="1:3" x14ac:dyDescent="0.2">
      <c r="A4280" s="78">
        <v>49936</v>
      </c>
      <c r="B4280" s="77">
        <f>+PT!A4282</f>
        <v>0</v>
      </c>
      <c r="C4280" s="77">
        <f t="shared" si="69"/>
        <v>4279</v>
      </c>
    </row>
    <row r="4281" spans="1:3" x14ac:dyDescent="0.2">
      <c r="A4281" s="78">
        <v>49937</v>
      </c>
      <c r="B4281" s="77">
        <f>+PT!A4283</f>
        <v>0</v>
      </c>
      <c r="C4281" s="77">
        <f t="shared" si="69"/>
        <v>4280</v>
      </c>
    </row>
    <row r="4282" spans="1:3" x14ac:dyDescent="0.2">
      <c r="A4282" s="78">
        <v>49938</v>
      </c>
      <c r="B4282" s="77">
        <f>+PT!A4284</f>
        <v>0</v>
      </c>
      <c r="C4282" s="77">
        <f t="shared" si="69"/>
        <v>4281</v>
      </c>
    </row>
    <row r="4283" spans="1:3" x14ac:dyDescent="0.2">
      <c r="A4283" s="78">
        <v>49939</v>
      </c>
      <c r="B4283" s="77">
        <f>+PT!A4285</f>
        <v>0</v>
      </c>
      <c r="C4283" s="77">
        <f t="shared" si="69"/>
        <v>4282</v>
      </c>
    </row>
    <row r="4284" spans="1:3" x14ac:dyDescent="0.2">
      <c r="A4284" s="78">
        <v>49940</v>
      </c>
      <c r="B4284" s="77">
        <f>+PT!A4286</f>
        <v>0</v>
      </c>
      <c r="C4284" s="77">
        <f t="shared" si="69"/>
        <v>4283</v>
      </c>
    </row>
    <row r="4285" spans="1:3" x14ac:dyDescent="0.2">
      <c r="A4285" s="78">
        <v>49941</v>
      </c>
      <c r="B4285" s="77">
        <f>+PT!A4287</f>
        <v>0</v>
      </c>
      <c r="C4285" s="77">
        <f t="shared" si="69"/>
        <v>4284</v>
      </c>
    </row>
    <row r="4286" spans="1:3" x14ac:dyDescent="0.2">
      <c r="A4286" s="78">
        <v>49942</v>
      </c>
      <c r="B4286" s="77">
        <f>+PT!A4288</f>
        <v>0</v>
      </c>
      <c r="C4286" s="77">
        <f t="shared" si="69"/>
        <v>4285</v>
      </c>
    </row>
    <row r="4287" spans="1:3" x14ac:dyDescent="0.2">
      <c r="A4287" s="78">
        <v>49943</v>
      </c>
      <c r="B4287" s="77">
        <f>+PT!A4289</f>
        <v>0</v>
      </c>
      <c r="C4287" s="77">
        <f t="shared" si="69"/>
        <v>4286</v>
      </c>
    </row>
    <row r="4288" spans="1:3" x14ac:dyDescent="0.2">
      <c r="A4288" s="78">
        <v>49944</v>
      </c>
      <c r="B4288" s="77">
        <f>+PT!A4290</f>
        <v>0</v>
      </c>
      <c r="C4288" s="77">
        <f t="shared" si="69"/>
        <v>4287</v>
      </c>
    </row>
    <row r="4289" spans="1:3" x14ac:dyDescent="0.2">
      <c r="A4289" s="78">
        <v>49945</v>
      </c>
      <c r="B4289" s="77">
        <f>+PT!A4291</f>
        <v>0</v>
      </c>
      <c r="C4289" s="77">
        <f t="shared" si="69"/>
        <v>4288</v>
      </c>
    </row>
    <row r="4290" spans="1:3" x14ac:dyDescent="0.2">
      <c r="A4290" s="78">
        <v>49946</v>
      </c>
      <c r="B4290" s="77">
        <f>+PT!A4292</f>
        <v>0</v>
      </c>
      <c r="C4290" s="77">
        <f t="shared" si="69"/>
        <v>4289</v>
      </c>
    </row>
    <row r="4291" spans="1:3" x14ac:dyDescent="0.2">
      <c r="A4291" s="78">
        <v>49947</v>
      </c>
      <c r="B4291" s="77">
        <f>+PT!A4293</f>
        <v>0</v>
      </c>
      <c r="C4291" s="77">
        <f t="shared" si="69"/>
        <v>4290</v>
      </c>
    </row>
    <row r="4292" spans="1:3" x14ac:dyDescent="0.2">
      <c r="A4292" s="78">
        <v>49948</v>
      </c>
      <c r="B4292" s="77">
        <f>+PT!A4294</f>
        <v>0</v>
      </c>
      <c r="C4292" s="77">
        <f t="shared" ref="C4292:C4355" si="70">+C4291+1</f>
        <v>4291</v>
      </c>
    </row>
    <row r="4293" spans="1:3" x14ac:dyDescent="0.2">
      <c r="A4293" s="78">
        <v>49949</v>
      </c>
      <c r="B4293" s="77">
        <f>+PT!A4295</f>
        <v>0</v>
      </c>
      <c r="C4293" s="77">
        <f t="shared" si="70"/>
        <v>4292</v>
      </c>
    </row>
    <row r="4294" spans="1:3" x14ac:dyDescent="0.2">
      <c r="A4294" s="78">
        <v>49950</v>
      </c>
      <c r="B4294" s="77">
        <f>+PT!A4296</f>
        <v>0</v>
      </c>
      <c r="C4294" s="77">
        <f t="shared" si="70"/>
        <v>4293</v>
      </c>
    </row>
    <row r="4295" spans="1:3" x14ac:dyDescent="0.2">
      <c r="A4295" s="78">
        <v>49951</v>
      </c>
      <c r="B4295" s="77">
        <f>+PT!A4297</f>
        <v>0</v>
      </c>
      <c r="C4295" s="77">
        <f t="shared" si="70"/>
        <v>4294</v>
      </c>
    </row>
    <row r="4296" spans="1:3" x14ac:dyDescent="0.2">
      <c r="A4296" s="78">
        <v>49952</v>
      </c>
      <c r="B4296" s="77">
        <f>+PT!A4298</f>
        <v>0</v>
      </c>
      <c r="C4296" s="77">
        <f t="shared" si="70"/>
        <v>4295</v>
      </c>
    </row>
    <row r="4297" spans="1:3" x14ac:dyDescent="0.2">
      <c r="A4297" s="78">
        <v>49953</v>
      </c>
      <c r="B4297" s="77">
        <f>+PT!A4299</f>
        <v>0</v>
      </c>
      <c r="C4297" s="77">
        <f t="shared" si="70"/>
        <v>4296</v>
      </c>
    </row>
    <row r="4298" spans="1:3" x14ac:dyDescent="0.2">
      <c r="A4298" s="78">
        <v>49954</v>
      </c>
      <c r="B4298" s="77">
        <f>+PT!A4300</f>
        <v>0</v>
      </c>
      <c r="C4298" s="77">
        <f t="shared" si="70"/>
        <v>4297</v>
      </c>
    </row>
    <row r="4299" spans="1:3" x14ac:dyDescent="0.2">
      <c r="A4299" s="78">
        <v>49955</v>
      </c>
      <c r="B4299" s="77">
        <f>+PT!A4301</f>
        <v>0</v>
      </c>
      <c r="C4299" s="77">
        <f t="shared" si="70"/>
        <v>4298</v>
      </c>
    </row>
    <row r="4300" spans="1:3" x14ac:dyDescent="0.2">
      <c r="A4300" s="78">
        <v>49956</v>
      </c>
      <c r="B4300" s="77">
        <f>+PT!A4302</f>
        <v>0</v>
      </c>
      <c r="C4300" s="77">
        <f t="shared" si="70"/>
        <v>4299</v>
      </c>
    </row>
    <row r="4301" spans="1:3" x14ac:dyDescent="0.2">
      <c r="A4301" s="78">
        <v>49957</v>
      </c>
      <c r="B4301" s="77">
        <f>+PT!A4303</f>
        <v>0</v>
      </c>
      <c r="C4301" s="77">
        <f t="shared" si="70"/>
        <v>4300</v>
      </c>
    </row>
    <row r="4302" spans="1:3" x14ac:dyDescent="0.2">
      <c r="A4302" s="78">
        <v>49958</v>
      </c>
      <c r="B4302" s="77">
        <f>+PT!A4304</f>
        <v>0</v>
      </c>
      <c r="C4302" s="77">
        <f t="shared" si="70"/>
        <v>4301</v>
      </c>
    </row>
    <row r="4303" spans="1:3" x14ac:dyDescent="0.2">
      <c r="A4303" s="78">
        <v>49959</v>
      </c>
      <c r="B4303" s="77">
        <f>+PT!A4305</f>
        <v>0</v>
      </c>
      <c r="C4303" s="77">
        <f t="shared" si="70"/>
        <v>4302</v>
      </c>
    </row>
    <row r="4304" spans="1:3" x14ac:dyDescent="0.2">
      <c r="A4304" s="78">
        <v>49960</v>
      </c>
      <c r="B4304" s="77">
        <f>+PT!A4306</f>
        <v>0</v>
      </c>
      <c r="C4304" s="77">
        <f t="shared" si="70"/>
        <v>4303</v>
      </c>
    </row>
    <row r="4305" spans="1:3" x14ac:dyDescent="0.2">
      <c r="A4305" s="78">
        <v>49961</v>
      </c>
      <c r="B4305" s="77">
        <f>+PT!A4307</f>
        <v>0</v>
      </c>
      <c r="C4305" s="77">
        <f t="shared" si="70"/>
        <v>4304</v>
      </c>
    </row>
    <row r="4306" spans="1:3" x14ac:dyDescent="0.2">
      <c r="A4306" s="78">
        <v>49962</v>
      </c>
      <c r="B4306" s="77">
        <f>+PT!A4308</f>
        <v>0</v>
      </c>
      <c r="C4306" s="77">
        <f t="shared" si="70"/>
        <v>4305</v>
      </c>
    </row>
    <row r="4307" spans="1:3" x14ac:dyDescent="0.2">
      <c r="A4307" s="78">
        <v>49963</v>
      </c>
      <c r="B4307" s="77">
        <f>+PT!A4309</f>
        <v>0</v>
      </c>
      <c r="C4307" s="77">
        <f t="shared" si="70"/>
        <v>4306</v>
      </c>
    </row>
    <row r="4308" spans="1:3" x14ac:dyDescent="0.2">
      <c r="A4308" s="78">
        <v>49964</v>
      </c>
      <c r="B4308" s="77">
        <f>+PT!A4310</f>
        <v>0</v>
      </c>
      <c r="C4308" s="77">
        <f t="shared" si="70"/>
        <v>4307</v>
      </c>
    </row>
    <row r="4309" spans="1:3" x14ac:dyDescent="0.2">
      <c r="A4309" s="78">
        <v>49965</v>
      </c>
      <c r="B4309" s="77">
        <f>+PT!A4311</f>
        <v>0</v>
      </c>
      <c r="C4309" s="77">
        <f t="shared" si="70"/>
        <v>4308</v>
      </c>
    </row>
    <row r="4310" spans="1:3" x14ac:dyDescent="0.2">
      <c r="A4310" s="78">
        <v>49966</v>
      </c>
      <c r="B4310" s="77">
        <f>+PT!A4312</f>
        <v>0</v>
      </c>
      <c r="C4310" s="77">
        <f t="shared" si="70"/>
        <v>4309</v>
      </c>
    </row>
    <row r="4311" spans="1:3" x14ac:dyDescent="0.2">
      <c r="A4311" s="78">
        <v>49967</v>
      </c>
      <c r="B4311" s="77">
        <f>+PT!A4313</f>
        <v>0</v>
      </c>
      <c r="C4311" s="77">
        <f t="shared" si="70"/>
        <v>4310</v>
      </c>
    </row>
    <row r="4312" spans="1:3" x14ac:dyDescent="0.2">
      <c r="A4312" s="78">
        <v>49968</v>
      </c>
      <c r="B4312" s="77">
        <f>+PT!A4314</f>
        <v>0</v>
      </c>
      <c r="C4312" s="77">
        <f t="shared" si="70"/>
        <v>4311</v>
      </c>
    </row>
    <row r="4313" spans="1:3" x14ac:dyDescent="0.2">
      <c r="A4313" s="78">
        <v>49969</v>
      </c>
      <c r="B4313" s="77">
        <f>+PT!A4315</f>
        <v>0</v>
      </c>
      <c r="C4313" s="77">
        <f t="shared" si="70"/>
        <v>4312</v>
      </c>
    </row>
    <row r="4314" spans="1:3" x14ac:dyDescent="0.2">
      <c r="A4314" s="78">
        <v>49970</v>
      </c>
      <c r="B4314" s="77">
        <f>+PT!A4316</f>
        <v>0</v>
      </c>
      <c r="C4314" s="77">
        <f t="shared" si="70"/>
        <v>4313</v>
      </c>
    </row>
    <row r="4315" spans="1:3" x14ac:dyDescent="0.2">
      <c r="A4315" s="78">
        <v>49971</v>
      </c>
      <c r="B4315" s="77">
        <f>+PT!A4317</f>
        <v>0</v>
      </c>
      <c r="C4315" s="77">
        <f t="shared" si="70"/>
        <v>4314</v>
      </c>
    </row>
    <row r="4316" spans="1:3" x14ac:dyDescent="0.2">
      <c r="A4316" s="78">
        <v>49972</v>
      </c>
      <c r="B4316" s="77">
        <f>+PT!A4318</f>
        <v>0</v>
      </c>
      <c r="C4316" s="77">
        <f t="shared" si="70"/>
        <v>4315</v>
      </c>
    </row>
    <row r="4317" spans="1:3" x14ac:dyDescent="0.2">
      <c r="A4317" s="78">
        <v>49973</v>
      </c>
      <c r="B4317" s="77">
        <f>+PT!A4319</f>
        <v>0</v>
      </c>
      <c r="C4317" s="77">
        <f t="shared" si="70"/>
        <v>4316</v>
      </c>
    </row>
    <row r="4318" spans="1:3" x14ac:dyDescent="0.2">
      <c r="A4318" s="78">
        <v>49974</v>
      </c>
      <c r="B4318" s="77">
        <f>+PT!A4320</f>
        <v>0</v>
      </c>
      <c r="C4318" s="77">
        <f t="shared" si="70"/>
        <v>4317</v>
      </c>
    </row>
    <row r="4319" spans="1:3" x14ac:dyDescent="0.2">
      <c r="A4319" s="78">
        <v>49975</v>
      </c>
      <c r="B4319" s="77">
        <f>+PT!A4321</f>
        <v>0</v>
      </c>
      <c r="C4319" s="77">
        <f t="shared" si="70"/>
        <v>4318</v>
      </c>
    </row>
    <row r="4320" spans="1:3" x14ac:dyDescent="0.2">
      <c r="A4320" s="78">
        <v>49976</v>
      </c>
      <c r="B4320" s="77">
        <f>+PT!A4322</f>
        <v>0</v>
      </c>
      <c r="C4320" s="77">
        <f t="shared" si="70"/>
        <v>4319</v>
      </c>
    </row>
    <row r="4321" spans="1:3" x14ac:dyDescent="0.2">
      <c r="A4321" s="78">
        <v>49977</v>
      </c>
      <c r="B4321" s="77">
        <f>+PT!A4323</f>
        <v>0</v>
      </c>
      <c r="C4321" s="77">
        <f t="shared" si="70"/>
        <v>4320</v>
      </c>
    </row>
    <row r="4322" spans="1:3" x14ac:dyDescent="0.2">
      <c r="A4322" s="78">
        <v>49978</v>
      </c>
      <c r="B4322" s="77">
        <f>+PT!A4324</f>
        <v>0</v>
      </c>
      <c r="C4322" s="77">
        <f t="shared" si="70"/>
        <v>4321</v>
      </c>
    </row>
    <row r="4323" spans="1:3" x14ac:dyDescent="0.2">
      <c r="A4323" s="78">
        <v>49979</v>
      </c>
      <c r="B4323" s="77">
        <f>+PT!A4325</f>
        <v>0</v>
      </c>
      <c r="C4323" s="77">
        <f t="shared" si="70"/>
        <v>4322</v>
      </c>
    </row>
    <row r="4324" spans="1:3" x14ac:dyDescent="0.2">
      <c r="A4324" s="78">
        <v>49980</v>
      </c>
      <c r="B4324" s="77">
        <f>+PT!A4326</f>
        <v>0</v>
      </c>
      <c r="C4324" s="77">
        <f t="shared" si="70"/>
        <v>4323</v>
      </c>
    </row>
    <row r="4325" spans="1:3" x14ac:dyDescent="0.2">
      <c r="A4325" s="78">
        <v>49981</v>
      </c>
      <c r="B4325" s="77">
        <f>+PT!A4327</f>
        <v>0</v>
      </c>
      <c r="C4325" s="77">
        <f t="shared" si="70"/>
        <v>4324</v>
      </c>
    </row>
    <row r="4326" spans="1:3" x14ac:dyDescent="0.2">
      <c r="A4326" s="78">
        <v>49982</v>
      </c>
      <c r="B4326" s="77">
        <f>+PT!A4328</f>
        <v>0</v>
      </c>
      <c r="C4326" s="77">
        <f t="shared" si="70"/>
        <v>4325</v>
      </c>
    </row>
    <row r="4327" spans="1:3" x14ac:dyDescent="0.2">
      <c r="A4327" s="78">
        <v>49983</v>
      </c>
      <c r="B4327" s="77">
        <f>+PT!A4329</f>
        <v>0</v>
      </c>
      <c r="C4327" s="77">
        <f t="shared" si="70"/>
        <v>4326</v>
      </c>
    </row>
    <row r="4328" spans="1:3" x14ac:dyDescent="0.2">
      <c r="A4328" s="78">
        <v>49984</v>
      </c>
      <c r="B4328" s="77">
        <f>+PT!A4330</f>
        <v>0</v>
      </c>
      <c r="C4328" s="77">
        <f t="shared" si="70"/>
        <v>4327</v>
      </c>
    </row>
    <row r="4329" spans="1:3" x14ac:dyDescent="0.2">
      <c r="A4329" s="78">
        <v>49985</v>
      </c>
      <c r="B4329" s="77">
        <f>+PT!A4331</f>
        <v>0</v>
      </c>
      <c r="C4329" s="77">
        <f t="shared" si="70"/>
        <v>4328</v>
      </c>
    </row>
    <row r="4330" spans="1:3" x14ac:dyDescent="0.2">
      <c r="A4330" s="78">
        <v>49986</v>
      </c>
      <c r="B4330" s="77">
        <f>+PT!A4332</f>
        <v>0</v>
      </c>
      <c r="C4330" s="77">
        <f t="shared" si="70"/>
        <v>4329</v>
      </c>
    </row>
    <row r="4331" spans="1:3" x14ac:dyDescent="0.2">
      <c r="A4331" s="78">
        <v>49987</v>
      </c>
      <c r="B4331" s="77">
        <f>+PT!A4333</f>
        <v>0</v>
      </c>
      <c r="C4331" s="77">
        <f t="shared" si="70"/>
        <v>4330</v>
      </c>
    </row>
    <row r="4332" spans="1:3" x14ac:dyDescent="0.2">
      <c r="A4332" s="78">
        <v>49988</v>
      </c>
      <c r="B4332" s="77">
        <f>+PT!A4334</f>
        <v>0</v>
      </c>
      <c r="C4332" s="77">
        <f t="shared" si="70"/>
        <v>4331</v>
      </c>
    </row>
    <row r="4333" spans="1:3" x14ac:dyDescent="0.2">
      <c r="A4333" s="78">
        <v>49989</v>
      </c>
      <c r="B4333" s="77">
        <f>+PT!A4335</f>
        <v>0</v>
      </c>
      <c r="C4333" s="77">
        <f t="shared" si="70"/>
        <v>4332</v>
      </c>
    </row>
    <row r="4334" spans="1:3" x14ac:dyDescent="0.2">
      <c r="A4334" s="78">
        <v>49990</v>
      </c>
      <c r="B4334" s="77">
        <f>+PT!A4336</f>
        <v>0</v>
      </c>
      <c r="C4334" s="77">
        <f t="shared" si="70"/>
        <v>4333</v>
      </c>
    </row>
    <row r="4335" spans="1:3" x14ac:dyDescent="0.2">
      <c r="A4335" s="78">
        <v>49991</v>
      </c>
      <c r="B4335" s="77">
        <f>+PT!A4337</f>
        <v>0</v>
      </c>
      <c r="C4335" s="77">
        <f t="shared" si="70"/>
        <v>4334</v>
      </c>
    </row>
    <row r="4336" spans="1:3" x14ac:dyDescent="0.2">
      <c r="A4336" s="78">
        <v>49992</v>
      </c>
      <c r="B4336" s="77">
        <f>+PT!A4338</f>
        <v>0</v>
      </c>
      <c r="C4336" s="77">
        <f t="shared" si="70"/>
        <v>4335</v>
      </c>
    </row>
    <row r="4337" spans="1:3" x14ac:dyDescent="0.2">
      <c r="A4337" s="78">
        <v>49993</v>
      </c>
      <c r="B4337" s="77">
        <f>+PT!A4339</f>
        <v>0</v>
      </c>
      <c r="C4337" s="77">
        <f t="shared" si="70"/>
        <v>4336</v>
      </c>
    </row>
    <row r="4338" spans="1:3" x14ac:dyDescent="0.2">
      <c r="A4338" s="78">
        <v>49994</v>
      </c>
      <c r="B4338" s="77">
        <f>+PT!A4340</f>
        <v>0</v>
      </c>
      <c r="C4338" s="77">
        <f t="shared" si="70"/>
        <v>4337</v>
      </c>
    </row>
    <row r="4339" spans="1:3" x14ac:dyDescent="0.2">
      <c r="A4339" s="78">
        <v>49995</v>
      </c>
      <c r="B4339" s="77">
        <f>+PT!A4341</f>
        <v>0</v>
      </c>
      <c r="C4339" s="77">
        <f t="shared" si="70"/>
        <v>4338</v>
      </c>
    </row>
    <row r="4340" spans="1:3" x14ac:dyDescent="0.2">
      <c r="A4340" s="78">
        <v>49996</v>
      </c>
      <c r="B4340" s="77">
        <f>+PT!A4342</f>
        <v>0</v>
      </c>
      <c r="C4340" s="77">
        <f t="shared" si="70"/>
        <v>4339</v>
      </c>
    </row>
    <row r="4341" spans="1:3" x14ac:dyDescent="0.2">
      <c r="A4341" s="78">
        <v>49997</v>
      </c>
      <c r="B4341" s="77">
        <f>+PT!A4343</f>
        <v>0</v>
      </c>
      <c r="C4341" s="77">
        <f t="shared" si="70"/>
        <v>4340</v>
      </c>
    </row>
    <row r="4342" spans="1:3" x14ac:dyDescent="0.2">
      <c r="A4342" s="78">
        <v>49998</v>
      </c>
      <c r="B4342" s="77">
        <f>+PT!A4344</f>
        <v>0</v>
      </c>
      <c r="C4342" s="77">
        <f t="shared" si="70"/>
        <v>4341</v>
      </c>
    </row>
    <row r="4343" spans="1:3" x14ac:dyDescent="0.2">
      <c r="A4343" s="78">
        <v>49999</v>
      </c>
      <c r="B4343" s="77">
        <f>+PT!A4345</f>
        <v>0</v>
      </c>
      <c r="C4343" s="77">
        <f t="shared" si="70"/>
        <v>4342</v>
      </c>
    </row>
    <row r="4344" spans="1:3" x14ac:dyDescent="0.2">
      <c r="A4344" s="78">
        <v>50000</v>
      </c>
      <c r="B4344" s="77">
        <f>+PT!A4346</f>
        <v>0</v>
      </c>
      <c r="C4344" s="77">
        <f t="shared" si="70"/>
        <v>4343</v>
      </c>
    </row>
    <row r="4345" spans="1:3" x14ac:dyDescent="0.2">
      <c r="A4345" s="78">
        <v>50001</v>
      </c>
      <c r="B4345" s="77">
        <f>+PT!A4347</f>
        <v>0</v>
      </c>
      <c r="C4345" s="77">
        <f t="shared" si="70"/>
        <v>4344</v>
      </c>
    </row>
    <row r="4346" spans="1:3" x14ac:dyDescent="0.2">
      <c r="A4346" s="78">
        <v>50002</v>
      </c>
      <c r="B4346" s="77">
        <f>+PT!A4348</f>
        <v>0</v>
      </c>
      <c r="C4346" s="77">
        <f t="shared" si="70"/>
        <v>4345</v>
      </c>
    </row>
    <row r="4347" spans="1:3" x14ac:dyDescent="0.2">
      <c r="A4347" s="78">
        <v>50003</v>
      </c>
      <c r="B4347" s="77">
        <f>+PT!A4349</f>
        <v>0</v>
      </c>
      <c r="C4347" s="77">
        <f t="shared" si="70"/>
        <v>4346</v>
      </c>
    </row>
    <row r="4348" spans="1:3" x14ac:dyDescent="0.2">
      <c r="A4348" s="78">
        <v>50004</v>
      </c>
      <c r="B4348" s="77">
        <f>+PT!A4350</f>
        <v>0</v>
      </c>
      <c r="C4348" s="77">
        <f t="shared" si="70"/>
        <v>4347</v>
      </c>
    </row>
    <row r="4349" spans="1:3" x14ac:dyDescent="0.2">
      <c r="A4349" s="78">
        <v>50005</v>
      </c>
      <c r="B4349" s="77">
        <f>+PT!A4351</f>
        <v>0</v>
      </c>
      <c r="C4349" s="77">
        <f t="shared" si="70"/>
        <v>4348</v>
      </c>
    </row>
    <row r="4350" spans="1:3" x14ac:dyDescent="0.2">
      <c r="A4350" s="78">
        <v>50006</v>
      </c>
      <c r="B4350" s="77">
        <f>+PT!A4352</f>
        <v>0</v>
      </c>
      <c r="C4350" s="77">
        <f t="shared" si="70"/>
        <v>4349</v>
      </c>
    </row>
    <row r="4351" spans="1:3" x14ac:dyDescent="0.2">
      <c r="A4351" s="78">
        <v>50007</v>
      </c>
      <c r="B4351" s="77">
        <f>+PT!A4353</f>
        <v>0</v>
      </c>
      <c r="C4351" s="77">
        <f t="shared" si="70"/>
        <v>4350</v>
      </c>
    </row>
    <row r="4352" spans="1:3" x14ac:dyDescent="0.2">
      <c r="A4352" s="78">
        <v>50008</v>
      </c>
      <c r="B4352" s="77">
        <f>+PT!A4354</f>
        <v>0</v>
      </c>
      <c r="C4352" s="77">
        <f t="shared" si="70"/>
        <v>4351</v>
      </c>
    </row>
    <row r="4353" spans="1:3" x14ac:dyDescent="0.2">
      <c r="A4353" s="78">
        <v>50009</v>
      </c>
      <c r="B4353" s="77">
        <f>+PT!A4355</f>
        <v>0</v>
      </c>
      <c r="C4353" s="77">
        <f t="shared" si="70"/>
        <v>4352</v>
      </c>
    </row>
    <row r="4354" spans="1:3" x14ac:dyDescent="0.2">
      <c r="A4354" s="78">
        <v>50010</v>
      </c>
      <c r="B4354" s="77">
        <f>+PT!A4356</f>
        <v>0</v>
      </c>
      <c r="C4354" s="77">
        <f t="shared" si="70"/>
        <v>4353</v>
      </c>
    </row>
    <row r="4355" spans="1:3" x14ac:dyDescent="0.2">
      <c r="A4355" s="78">
        <v>50011</v>
      </c>
      <c r="B4355" s="77">
        <f>+PT!A4357</f>
        <v>0</v>
      </c>
      <c r="C4355" s="77">
        <f t="shared" si="70"/>
        <v>4354</v>
      </c>
    </row>
    <row r="4356" spans="1:3" x14ac:dyDescent="0.2">
      <c r="A4356" s="78">
        <v>50012</v>
      </c>
      <c r="B4356" s="77">
        <f>+PT!A4358</f>
        <v>0</v>
      </c>
      <c r="C4356" s="77">
        <f t="shared" ref="C4356:C4419" si="71">+C4355+1</f>
        <v>4355</v>
      </c>
    </row>
    <row r="4357" spans="1:3" x14ac:dyDescent="0.2">
      <c r="A4357" s="78">
        <v>50013</v>
      </c>
      <c r="B4357" s="77">
        <f>+PT!A4359</f>
        <v>0</v>
      </c>
      <c r="C4357" s="77">
        <f t="shared" si="71"/>
        <v>4356</v>
      </c>
    </row>
    <row r="4358" spans="1:3" x14ac:dyDescent="0.2">
      <c r="A4358" s="78">
        <v>50014</v>
      </c>
      <c r="B4358" s="77">
        <f>+PT!A4360</f>
        <v>0</v>
      </c>
      <c r="C4358" s="77">
        <f t="shared" si="71"/>
        <v>4357</v>
      </c>
    </row>
    <row r="4359" spans="1:3" x14ac:dyDescent="0.2">
      <c r="A4359" s="78">
        <v>50015</v>
      </c>
      <c r="B4359" s="77">
        <f>+PT!A4361</f>
        <v>0</v>
      </c>
      <c r="C4359" s="77">
        <f t="shared" si="71"/>
        <v>4358</v>
      </c>
    </row>
    <row r="4360" spans="1:3" x14ac:dyDescent="0.2">
      <c r="A4360" s="78">
        <v>50016</v>
      </c>
      <c r="B4360" s="77">
        <f>+PT!A4362</f>
        <v>0</v>
      </c>
      <c r="C4360" s="77">
        <f t="shared" si="71"/>
        <v>4359</v>
      </c>
    </row>
    <row r="4361" spans="1:3" x14ac:dyDescent="0.2">
      <c r="A4361" s="78">
        <v>50017</v>
      </c>
      <c r="B4361" s="77">
        <f>+PT!A4363</f>
        <v>0</v>
      </c>
      <c r="C4361" s="77">
        <f t="shared" si="71"/>
        <v>4360</v>
      </c>
    </row>
    <row r="4362" spans="1:3" x14ac:dyDescent="0.2">
      <c r="A4362" s="78">
        <v>50018</v>
      </c>
      <c r="B4362" s="77">
        <f>+PT!A4364</f>
        <v>0</v>
      </c>
      <c r="C4362" s="77">
        <f t="shared" si="71"/>
        <v>4361</v>
      </c>
    </row>
    <row r="4363" spans="1:3" x14ac:dyDescent="0.2">
      <c r="A4363" s="78">
        <v>50019</v>
      </c>
      <c r="B4363" s="77">
        <f>+PT!A4365</f>
        <v>0</v>
      </c>
      <c r="C4363" s="77">
        <f t="shared" si="71"/>
        <v>4362</v>
      </c>
    </row>
    <row r="4364" spans="1:3" x14ac:dyDescent="0.2">
      <c r="A4364" s="78">
        <v>50020</v>
      </c>
      <c r="B4364" s="77">
        <f>+PT!A4366</f>
        <v>0</v>
      </c>
      <c r="C4364" s="77">
        <f t="shared" si="71"/>
        <v>4363</v>
      </c>
    </row>
    <row r="4365" spans="1:3" x14ac:dyDescent="0.2">
      <c r="A4365" s="78">
        <v>50021</v>
      </c>
      <c r="B4365" s="77">
        <f>+PT!A4367</f>
        <v>0</v>
      </c>
      <c r="C4365" s="77">
        <f t="shared" si="71"/>
        <v>4364</v>
      </c>
    </row>
    <row r="4366" spans="1:3" x14ac:dyDescent="0.2">
      <c r="A4366" s="78">
        <v>50022</v>
      </c>
      <c r="B4366" s="77">
        <f>+PT!A4368</f>
        <v>0</v>
      </c>
      <c r="C4366" s="77">
        <f t="shared" si="71"/>
        <v>4365</v>
      </c>
    </row>
    <row r="4367" spans="1:3" x14ac:dyDescent="0.2">
      <c r="A4367" s="78">
        <v>50023</v>
      </c>
      <c r="B4367" s="77">
        <f>+PT!A4369</f>
        <v>0</v>
      </c>
      <c r="C4367" s="77">
        <f t="shared" si="71"/>
        <v>4366</v>
      </c>
    </row>
    <row r="4368" spans="1:3" x14ac:dyDescent="0.2">
      <c r="A4368" s="78">
        <v>50024</v>
      </c>
      <c r="B4368" s="77">
        <f>+PT!A4370</f>
        <v>0</v>
      </c>
      <c r="C4368" s="77">
        <f t="shared" si="71"/>
        <v>4367</v>
      </c>
    </row>
    <row r="4369" spans="1:3" x14ac:dyDescent="0.2">
      <c r="A4369" s="78">
        <v>50025</v>
      </c>
      <c r="B4369" s="77">
        <f>+PT!A4371</f>
        <v>0</v>
      </c>
      <c r="C4369" s="77">
        <f t="shared" si="71"/>
        <v>4368</v>
      </c>
    </row>
    <row r="4370" spans="1:3" x14ac:dyDescent="0.2">
      <c r="A4370" s="78">
        <v>50026</v>
      </c>
      <c r="B4370" s="77">
        <f>+PT!A4372</f>
        <v>0</v>
      </c>
      <c r="C4370" s="77">
        <f t="shared" si="71"/>
        <v>4369</v>
      </c>
    </row>
    <row r="4371" spans="1:3" x14ac:dyDescent="0.2">
      <c r="A4371" s="78">
        <v>50027</v>
      </c>
      <c r="B4371" s="77">
        <f>+PT!A4373</f>
        <v>0</v>
      </c>
      <c r="C4371" s="77">
        <f t="shared" si="71"/>
        <v>4370</v>
      </c>
    </row>
    <row r="4372" spans="1:3" x14ac:dyDescent="0.2">
      <c r="A4372" s="78">
        <v>50028</v>
      </c>
      <c r="B4372" s="77">
        <f>+PT!A4374</f>
        <v>0</v>
      </c>
      <c r="C4372" s="77">
        <f t="shared" si="71"/>
        <v>4371</v>
      </c>
    </row>
    <row r="4373" spans="1:3" x14ac:dyDescent="0.2">
      <c r="A4373" s="78">
        <v>50029</v>
      </c>
      <c r="B4373" s="77">
        <f>+PT!A4375</f>
        <v>0</v>
      </c>
      <c r="C4373" s="77">
        <f t="shared" si="71"/>
        <v>4372</v>
      </c>
    </row>
    <row r="4374" spans="1:3" x14ac:dyDescent="0.2">
      <c r="A4374" s="78">
        <v>50030</v>
      </c>
      <c r="B4374" s="77">
        <f>+PT!A4376</f>
        <v>0</v>
      </c>
      <c r="C4374" s="77">
        <f t="shared" si="71"/>
        <v>4373</v>
      </c>
    </row>
    <row r="4375" spans="1:3" x14ac:dyDescent="0.2">
      <c r="A4375" s="78">
        <v>50031</v>
      </c>
      <c r="B4375" s="77">
        <f>+PT!A4377</f>
        <v>0</v>
      </c>
      <c r="C4375" s="77">
        <f t="shared" si="71"/>
        <v>4374</v>
      </c>
    </row>
    <row r="4376" spans="1:3" x14ac:dyDescent="0.2">
      <c r="A4376" s="78">
        <v>50032</v>
      </c>
      <c r="B4376" s="77">
        <f>+PT!A4378</f>
        <v>0</v>
      </c>
      <c r="C4376" s="77">
        <f t="shared" si="71"/>
        <v>4375</v>
      </c>
    </row>
    <row r="4377" spans="1:3" x14ac:dyDescent="0.2">
      <c r="A4377" s="78">
        <v>50033</v>
      </c>
      <c r="B4377" s="77">
        <f>+PT!A4379</f>
        <v>0</v>
      </c>
      <c r="C4377" s="77">
        <f t="shared" si="71"/>
        <v>4376</v>
      </c>
    </row>
    <row r="4378" spans="1:3" x14ac:dyDescent="0.2">
      <c r="A4378" s="78">
        <v>50034</v>
      </c>
      <c r="B4378" s="77">
        <f>+PT!A4380</f>
        <v>0</v>
      </c>
      <c r="C4378" s="77">
        <f t="shared" si="71"/>
        <v>4377</v>
      </c>
    </row>
    <row r="4379" spans="1:3" x14ac:dyDescent="0.2">
      <c r="A4379" s="78">
        <v>50035</v>
      </c>
      <c r="B4379" s="77">
        <f>+PT!A4381</f>
        <v>0</v>
      </c>
      <c r="C4379" s="77">
        <f t="shared" si="71"/>
        <v>4378</v>
      </c>
    </row>
    <row r="4380" spans="1:3" x14ac:dyDescent="0.2">
      <c r="A4380" s="78">
        <v>50036</v>
      </c>
      <c r="B4380" s="77">
        <f>+PT!A4382</f>
        <v>0</v>
      </c>
      <c r="C4380" s="77">
        <f t="shared" si="71"/>
        <v>4379</v>
      </c>
    </row>
    <row r="4381" spans="1:3" x14ac:dyDescent="0.2">
      <c r="A4381" s="78">
        <v>50037</v>
      </c>
      <c r="B4381" s="77">
        <f>+PT!A4383</f>
        <v>0</v>
      </c>
      <c r="C4381" s="77">
        <f t="shared" si="71"/>
        <v>4380</v>
      </c>
    </row>
    <row r="4382" spans="1:3" x14ac:dyDescent="0.2">
      <c r="A4382" s="78">
        <v>50038</v>
      </c>
      <c r="B4382" s="77">
        <f>+PT!A4384</f>
        <v>0</v>
      </c>
      <c r="C4382" s="77">
        <f t="shared" si="71"/>
        <v>4381</v>
      </c>
    </row>
    <row r="4383" spans="1:3" x14ac:dyDescent="0.2">
      <c r="A4383" s="78">
        <v>50039</v>
      </c>
      <c r="B4383" s="77">
        <f>+PT!A4385</f>
        <v>0</v>
      </c>
      <c r="C4383" s="77">
        <f t="shared" si="71"/>
        <v>4382</v>
      </c>
    </row>
    <row r="4384" spans="1:3" x14ac:dyDescent="0.2">
      <c r="A4384" s="78">
        <v>50040</v>
      </c>
      <c r="B4384" s="77">
        <f>+PT!A4386</f>
        <v>0</v>
      </c>
      <c r="C4384" s="77">
        <f t="shared" si="71"/>
        <v>4383</v>
      </c>
    </row>
    <row r="4385" spans="1:3" x14ac:dyDescent="0.2">
      <c r="A4385" s="78">
        <v>50041</v>
      </c>
      <c r="B4385" s="77">
        <f>+PT!A4387</f>
        <v>0</v>
      </c>
      <c r="C4385" s="77">
        <f t="shared" si="71"/>
        <v>4384</v>
      </c>
    </row>
    <row r="4386" spans="1:3" x14ac:dyDescent="0.2">
      <c r="A4386" s="78">
        <v>50042</v>
      </c>
      <c r="B4386" s="77">
        <f>+PT!A4388</f>
        <v>0</v>
      </c>
      <c r="C4386" s="77">
        <f t="shared" si="71"/>
        <v>4385</v>
      </c>
    </row>
    <row r="4387" spans="1:3" x14ac:dyDescent="0.2">
      <c r="A4387" s="78">
        <v>50043</v>
      </c>
      <c r="B4387" s="77">
        <f>+PT!A4389</f>
        <v>0</v>
      </c>
      <c r="C4387" s="77">
        <f t="shared" si="71"/>
        <v>4386</v>
      </c>
    </row>
    <row r="4388" spans="1:3" x14ac:dyDescent="0.2">
      <c r="A4388" s="78">
        <v>50044</v>
      </c>
      <c r="B4388" s="77">
        <f>+PT!A4390</f>
        <v>0</v>
      </c>
      <c r="C4388" s="77">
        <f t="shared" si="71"/>
        <v>4387</v>
      </c>
    </row>
    <row r="4389" spans="1:3" x14ac:dyDescent="0.2">
      <c r="A4389" s="78">
        <v>50045</v>
      </c>
      <c r="B4389" s="77">
        <f>+PT!A4391</f>
        <v>0</v>
      </c>
      <c r="C4389" s="77">
        <f t="shared" si="71"/>
        <v>4388</v>
      </c>
    </row>
    <row r="4390" spans="1:3" x14ac:dyDescent="0.2">
      <c r="A4390" s="78">
        <v>50046</v>
      </c>
      <c r="B4390" s="77">
        <f>+PT!A4392</f>
        <v>0</v>
      </c>
      <c r="C4390" s="77">
        <f t="shared" si="71"/>
        <v>4389</v>
      </c>
    </row>
    <row r="4391" spans="1:3" x14ac:dyDescent="0.2">
      <c r="A4391" s="78">
        <v>50047</v>
      </c>
      <c r="B4391" s="77">
        <f>+PT!A4393</f>
        <v>0</v>
      </c>
      <c r="C4391" s="77">
        <f t="shared" si="71"/>
        <v>4390</v>
      </c>
    </row>
    <row r="4392" spans="1:3" x14ac:dyDescent="0.2">
      <c r="A4392" s="78">
        <v>50048</v>
      </c>
      <c r="B4392" s="77">
        <f>+PT!A4394</f>
        <v>0</v>
      </c>
      <c r="C4392" s="77">
        <f t="shared" si="71"/>
        <v>4391</v>
      </c>
    </row>
    <row r="4393" spans="1:3" x14ac:dyDescent="0.2">
      <c r="A4393" s="78">
        <v>50049</v>
      </c>
      <c r="B4393" s="77">
        <f>+PT!A4395</f>
        <v>0</v>
      </c>
      <c r="C4393" s="77">
        <f t="shared" si="71"/>
        <v>4392</v>
      </c>
    </row>
    <row r="4394" spans="1:3" x14ac:dyDescent="0.2">
      <c r="A4394" s="78">
        <v>50050</v>
      </c>
      <c r="B4394" s="77">
        <f>+PT!A4396</f>
        <v>0</v>
      </c>
      <c r="C4394" s="77">
        <f t="shared" si="71"/>
        <v>4393</v>
      </c>
    </row>
    <row r="4395" spans="1:3" x14ac:dyDescent="0.2">
      <c r="A4395" s="78">
        <v>50051</v>
      </c>
      <c r="B4395" s="77">
        <f>+PT!A4397</f>
        <v>0</v>
      </c>
      <c r="C4395" s="77">
        <f t="shared" si="71"/>
        <v>4394</v>
      </c>
    </row>
    <row r="4396" spans="1:3" x14ac:dyDescent="0.2">
      <c r="A4396" s="78">
        <v>50052</v>
      </c>
      <c r="B4396" s="77">
        <f>+PT!A4398</f>
        <v>0</v>
      </c>
      <c r="C4396" s="77">
        <f t="shared" si="71"/>
        <v>4395</v>
      </c>
    </row>
    <row r="4397" spans="1:3" x14ac:dyDescent="0.2">
      <c r="A4397" s="78">
        <v>50053</v>
      </c>
      <c r="B4397" s="77">
        <f>+PT!A4399</f>
        <v>0</v>
      </c>
      <c r="C4397" s="77">
        <f t="shared" si="71"/>
        <v>4396</v>
      </c>
    </row>
    <row r="4398" spans="1:3" x14ac:dyDescent="0.2">
      <c r="A4398" s="78">
        <v>50054</v>
      </c>
      <c r="B4398" s="77">
        <f>+PT!A4400</f>
        <v>0</v>
      </c>
      <c r="C4398" s="77">
        <f t="shared" si="71"/>
        <v>4397</v>
      </c>
    </row>
    <row r="4399" spans="1:3" x14ac:dyDescent="0.2">
      <c r="A4399" s="78">
        <v>50055</v>
      </c>
      <c r="B4399" s="77">
        <f>+PT!A4401</f>
        <v>0</v>
      </c>
      <c r="C4399" s="77">
        <f t="shared" si="71"/>
        <v>4398</v>
      </c>
    </row>
    <row r="4400" spans="1:3" x14ac:dyDescent="0.2">
      <c r="A4400" s="78">
        <v>50056</v>
      </c>
      <c r="B4400" s="77">
        <f>+PT!A4402</f>
        <v>0</v>
      </c>
      <c r="C4400" s="77">
        <f t="shared" si="71"/>
        <v>4399</v>
      </c>
    </row>
    <row r="4401" spans="1:3" x14ac:dyDescent="0.2">
      <c r="A4401" s="78">
        <v>50057</v>
      </c>
      <c r="B4401" s="77">
        <f>+PT!A4403</f>
        <v>0</v>
      </c>
      <c r="C4401" s="77">
        <f t="shared" si="71"/>
        <v>4400</v>
      </c>
    </row>
    <row r="4402" spans="1:3" x14ac:dyDescent="0.2">
      <c r="A4402" s="78">
        <v>50058</v>
      </c>
      <c r="B4402" s="77">
        <f>+PT!A4404</f>
        <v>0</v>
      </c>
      <c r="C4402" s="77">
        <f t="shared" si="71"/>
        <v>4401</v>
      </c>
    </row>
    <row r="4403" spans="1:3" x14ac:dyDescent="0.2">
      <c r="A4403" s="78">
        <v>50059</v>
      </c>
      <c r="B4403" s="77">
        <f>+PT!A4405</f>
        <v>0</v>
      </c>
      <c r="C4403" s="77">
        <f t="shared" si="71"/>
        <v>4402</v>
      </c>
    </row>
    <row r="4404" spans="1:3" x14ac:dyDescent="0.2">
      <c r="A4404" s="78">
        <v>50060</v>
      </c>
      <c r="B4404" s="77">
        <f>+PT!A4406</f>
        <v>0</v>
      </c>
      <c r="C4404" s="77">
        <f t="shared" si="71"/>
        <v>4403</v>
      </c>
    </row>
    <row r="4405" spans="1:3" x14ac:dyDescent="0.2">
      <c r="A4405" s="78">
        <v>50061</v>
      </c>
      <c r="B4405" s="77">
        <f>+PT!A4407</f>
        <v>0</v>
      </c>
      <c r="C4405" s="77">
        <f t="shared" si="71"/>
        <v>4404</v>
      </c>
    </row>
    <row r="4406" spans="1:3" x14ac:dyDescent="0.2">
      <c r="A4406" s="78">
        <v>50062</v>
      </c>
      <c r="B4406" s="77">
        <f>+PT!A4408</f>
        <v>0</v>
      </c>
      <c r="C4406" s="77">
        <f t="shared" si="71"/>
        <v>4405</v>
      </c>
    </row>
    <row r="4407" spans="1:3" x14ac:dyDescent="0.2">
      <c r="A4407" s="78">
        <v>50063</v>
      </c>
      <c r="B4407" s="77">
        <f>+PT!A4409</f>
        <v>0</v>
      </c>
      <c r="C4407" s="77">
        <f t="shared" si="71"/>
        <v>4406</v>
      </c>
    </row>
    <row r="4408" spans="1:3" x14ac:dyDescent="0.2">
      <c r="A4408" s="78">
        <v>50064</v>
      </c>
      <c r="B4408" s="77">
        <f>+PT!A4410</f>
        <v>0</v>
      </c>
      <c r="C4408" s="77">
        <f t="shared" si="71"/>
        <v>4407</v>
      </c>
    </row>
    <row r="4409" spans="1:3" x14ac:dyDescent="0.2">
      <c r="A4409" s="78">
        <v>50065</v>
      </c>
      <c r="B4409" s="77">
        <f>+PT!A4411</f>
        <v>0</v>
      </c>
      <c r="C4409" s="77">
        <f t="shared" si="71"/>
        <v>4408</v>
      </c>
    </row>
    <row r="4410" spans="1:3" x14ac:dyDescent="0.2">
      <c r="A4410" s="78">
        <v>50066</v>
      </c>
      <c r="B4410" s="77">
        <f>+PT!A4412</f>
        <v>0</v>
      </c>
      <c r="C4410" s="77">
        <f t="shared" si="71"/>
        <v>4409</v>
      </c>
    </row>
    <row r="4411" spans="1:3" x14ac:dyDescent="0.2">
      <c r="A4411" s="78">
        <v>50067</v>
      </c>
      <c r="B4411" s="77">
        <f>+PT!A4413</f>
        <v>0</v>
      </c>
      <c r="C4411" s="77">
        <f t="shared" si="71"/>
        <v>4410</v>
      </c>
    </row>
    <row r="4412" spans="1:3" x14ac:dyDescent="0.2">
      <c r="A4412" s="78">
        <v>50068</v>
      </c>
      <c r="B4412" s="77">
        <f>+PT!A4414</f>
        <v>0</v>
      </c>
      <c r="C4412" s="77">
        <f t="shared" si="71"/>
        <v>4411</v>
      </c>
    </row>
    <row r="4413" spans="1:3" x14ac:dyDescent="0.2">
      <c r="A4413" s="78">
        <v>50069</v>
      </c>
      <c r="B4413" s="77">
        <f>+PT!A4415</f>
        <v>0</v>
      </c>
      <c r="C4413" s="77">
        <f t="shared" si="71"/>
        <v>4412</v>
      </c>
    </row>
    <row r="4414" spans="1:3" x14ac:dyDescent="0.2">
      <c r="A4414" s="78">
        <v>50070</v>
      </c>
      <c r="B4414" s="77">
        <f>+PT!A4416</f>
        <v>0</v>
      </c>
      <c r="C4414" s="77">
        <f t="shared" si="71"/>
        <v>4413</v>
      </c>
    </row>
    <row r="4415" spans="1:3" x14ac:dyDescent="0.2">
      <c r="A4415" s="78">
        <v>50071</v>
      </c>
      <c r="B4415" s="77">
        <f>+PT!A4417</f>
        <v>0</v>
      </c>
      <c r="C4415" s="77">
        <f t="shared" si="71"/>
        <v>4414</v>
      </c>
    </row>
    <row r="4416" spans="1:3" x14ac:dyDescent="0.2">
      <c r="A4416" s="78">
        <v>50072</v>
      </c>
      <c r="B4416" s="77">
        <f>+PT!A4418</f>
        <v>0</v>
      </c>
      <c r="C4416" s="77">
        <f t="shared" si="71"/>
        <v>4415</v>
      </c>
    </row>
    <row r="4417" spans="1:3" x14ac:dyDescent="0.2">
      <c r="A4417" s="78">
        <v>50073</v>
      </c>
      <c r="B4417" s="77">
        <f>+PT!A4419</f>
        <v>0</v>
      </c>
      <c r="C4417" s="77">
        <f t="shared" si="71"/>
        <v>4416</v>
      </c>
    </row>
    <row r="4418" spans="1:3" x14ac:dyDescent="0.2">
      <c r="A4418" s="78">
        <v>50074</v>
      </c>
      <c r="B4418" s="77">
        <f>+PT!A4420</f>
        <v>0</v>
      </c>
      <c r="C4418" s="77">
        <f t="shared" si="71"/>
        <v>4417</v>
      </c>
    </row>
    <row r="4419" spans="1:3" x14ac:dyDescent="0.2">
      <c r="A4419" s="78">
        <v>50075</v>
      </c>
      <c r="B4419" s="77">
        <f>+PT!A4421</f>
        <v>0</v>
      </c>
      <c r="C4419" s="77">
        <f t="shared" si="71"/>
        <v>4418</v>
      </c>
    </row>
    <row r="4420" spans="1:3" x14ac:dyDescent="0.2">
      <c r="A4420" s="78">
        <v>50076</v>
      </c>
      <c r="B4420" s="77">
        <f>+PT!A4422</f>
        <v>0</v>
      </c>
      <c r="C4420" s="77">
        <f t="shared" ref="C4420:C4483" si="72">+C4419+1</f>
        <v>4419</v>
      </c>
    </row>
    <row r="4421" spans="1:3" x14ac:dyDescent="0.2">
      <c r="A4421" s="78">
        <v>50077</v>
      </c>
      <c r="B4421" s="77">
        <f>+PT!A4423</f>
        <v>0</v>
      </c>
      <c r="C4421" s="77">
        <f t="shared" si="72"/>
        <v>4420</v>
      </c>
    </row>
    <row r="4422" spans="1:3" x14ac:dyDescent="0.2">
      <c r="A4422" s="78">
        <v>50078</v>
      </c>
      <c r="B4422" s="77">
        <f>+PT!A4424</f>
        <v>0</v>
      </c>
      <c r="C4422" s="77">
        <f t="shared" si="72"/>
        <v>4421</v>
      </c>
    </row>
    <row r="4423" spans="1:3" x14ac:dyDescent="0.2">
      <c r="A4423" s="78">
        <v>50079</v>
      </c>
      <c r="B4423" s="77">
        <f>+PT!A4425</f>
        <v>0</v>
      </c>
      <c r="C4423" s="77">
        <f t="shared" si="72"/>
        <v>4422</v>
      </c>
    </row>
    <row r="4424" spans="1:3" x14ac:dyDescent="0.2">
      <c r="A4424" s="78">
        <v>50080</v>
      </c>
      <c r="B4424" s="77">
        <f>+PT!A4426</f>
        <v>0</v>
      </c>
      <c r="C4424" s="77">
        <f t="shared" si="72"/>
        <v>4423</v>
      </c>
    </row>
    <row r="4425" spans="1:3" x14ac:dyDescent="0.2">
      <c r="A4425" s="78">
        <v>50081</v>
      </c>
      <c r="B4425" s="77">
        <f>+PT!A4427</f>
        <v>0</v>
      </c>
      <c r="C4425" s="77">
        <f t="shared" si="72"/>
        <v>4424</v>
      </c>
    </row>
    <row r="4426" spans="1:3" x14ac:dyDescent="0.2">
      <c r="A4426" s="78">
        <v>50082</v>
      </c>
      <c r="B4426" s="77">
        <f>+PT!A4428</f>
        <v>0</v>
      </c>
      <c r="C4426" s="77">
        <f t="shared" si="72"/>
        <v>4425</v>
      </c>
    </row>
    <row r="4427" spans="1:3" x14ac:dyDescent="0.2">
      <c r="A4427" s="78">
        <v>50083</v>
      </c>
      <c r="B4427" s="77">
        <f>+PT!A4429</f>
        <v>0</v>
      </c>
      <c r="C4427" s="77">
        <f t="shared" si="72"/>
        <v>4426</v>
      </c>
    </row>
    <row r="4428" spans="1:3" x14ac:dyDescent="0.2">
      <c r="A4428" s="78">
        <v>50084</v>
      </c>
      <c r="B4428" s="77">
        <f>+PT!A4430</f>
        <v>0</v>
      </c>
      <c r="C4428" s="77">
        <f t="shared" si="72"/>
        <v>4427</v>
      </c>
    </row>
    <row r="4429" spans="1:3" x14ac:dyDescent="0.2">
      <c r="A4429" s="78">
        <v>50085</v>
      </c>
      <c r="B4429" s="77">
        <f>+PT!A4431</f>
        <v>0</v>
      </c>
      <c r="C4429" s="77">
        <f t="shared" si="72"/>
        <v>4428</v>
      </c>
    </row>
    <row r="4430" spans="1:3" x14ac:dyDescent="0.2">
      <c r="A4430" s="78">
        <v>50086</v>
      </c>
      <c r="B4430" s="77">
        <f>+PT!A4432</f>
        <v>0</v>
      </c>
      <c r="C4430" s="77">
        <f t="shared" si="72"/>
        <v>4429</v>
      </c>
    </row>
    <row r="4431" spans="1:3" x14ac:dyDescent="0.2">
      <c r="A4431" s="78">
        <v>50087</v>
      </c>
      <c r="B4431" s="77">
        <f>+PT!A4433</f>
        <v>0</v>
      </c>
      <c r="C4431" s="77">
        <f t="shared" si="72"/>
        <v>4430</v>
      </c>
    </row>
    <row r="4432" spans="1:3" x14ac:dyDescent="0.2">
      <c r="A4432" s="78">
        <v>50088</v>
      </c>
      <c r="B4432" s="77">
        <f>+PT!A4434</f>
        <v>0</v>
      </c>
      <c r="C4432" s="77">
        <f t="shared" si="72"/>
        <v>4431</v>
      </c>
    </row>
    <row r="4433" spans="1:3" x14ac:dyDescent="0.2">
      <c r="A4433" s="78">
        <v>50089</v>
      </c>
      <c r="B4433" s="77">
        <f>+PT!A4435</f>
        <v>0</v>
      </c>
      <c r="C4433" s="77">
        <f t="shared" si="72"/>
        <v>4432</v>
      </c>
    </row>
    <row r="4434" spans="1:3" x14ac:dyDescent="0.2">
      <c r="A4434" s="78">
        <v>50090</v>
      </c>
      <c r="B4434" s="77">
        <f>+PT!A4436</f>
        <v>0</v>
      </c>
      <c r="C4434" s="77">
        <f t="shared" si="72"/>
        <v>4433</v>
      </c>
    </row>
    <row r="4435" spans="1:3" x14ac:dyDescent="0.2">
      <c r="A4435" s="78">
        <v>50091</v>
      </c>
      <c r="B4435" s="77">
        <f>+PT!A4437</f>
        <v>0</v>
      </c>
      <c r="C4435" s="77">
        <f t="shared" si="72"/>
        <v>4434</v>
      </c>
    </row>
    <row r="4436" spans="1:3" x14ac:dyDescent="0.2">
      <c r="A4436" s="78">
        <v>50092</v>
      </c>
      <c r="B4436" s="77">
        <f>+PT!A4438</f>
        <v>0</v>
      </c>
      <c r="C4436" s="77">
        <f t="shared" si="72"/>
        <v>4435</v>
      </c>
    </row>
    <row r="4437" spans="1:3" x14ac:dyDescent="0.2">
      <c r="A4437" s="78">
        <v>50093</v>
      </c>
      <c r="B4437" s="77">
        <f>+PT!A4439</f>
        <v>0</v>
      </c>
      <c r="C4437" s="77">
        <f t="shared" si="72"/>
        <v>4436</v>
      </c>
    </row>
    <row r="4438" spans="1:3" x14ac:dyDescent="0.2">
      <c r="A4438" s="78">
        <v>50094</v>
      </c>
      <c r="B4438" s="77">
        <f>+PT!A4440</f>
        <v>0</v>
      </c>
      <c r="C4438" s="77">
        <f t="shared" si="72"/>
        <v>4437</v>
      </c>
    </row>
    <row r="4439" spans="1:3" x14ac:dyDescent="0.2">
      <c r="A4439" s="78">
        <v>50095</v>
      </c>
      <c r="B4439" s="77">
        <f>+PT!A4441</f>
        <v>0</v>
      </c>
      <c r="C4439" s="77">
        <f t="shared" si="72"/>
        <v>4438</v>
      </c>
    </row>
    <row r="4440" spans="1:3" x14ac:dyDescent="0.2">
      <c r="A4440" s="78">
        <v>50096</v>
      </c>
      <c r="B4440" s="77">
        <f>+PT!A4442</f>
        <v>0</v>
      </c>
      <c r="C4440" s="77">
        <f t="shared" si="72"/>
        <v>4439</v>
      </c>
    </row>
    <row r="4441" spans="1:3" x14ac:dyDescent="0.2">
      <c r="A4441" s="78">
        <v>50097</v>
      </c>
      <c r="B4441" s="77">
        <f>+PT!A4443</f>
        <v>0</v>
      </c>
      <c r="C4441" s="77">
        <f t="shared" si="72"/>
        <v>4440</v>
      </c>
    </row>
    <row r="4442" spans="1:3" x14ac:dyDescent="0.2">
      <c r="A4442" s="78">
        <v>50098</v>
      </c>
      <c r="B4442" s="77">
        <f>+PT!A4444</f>
        <v>0</v>
      </c>
      <c r="C4442" s="77">
        <f t="shared" si="72"/>
        <v>4441</v>
      </c>
    </row>
    <row r="4443" spans="1:3" x14ac:dyDescent="0.2">
      <c r="A4443" s="78">
        <v>50099</v>
      </c>
      <c r="B4443" s="77">
        <f>+PT!A4445</f>
        <v>0</v>
      </c>
      <c r="C4443" s="77">
        <f t="shared" si="72"/>
        <v>4442</v>
      </c>
    </row>
    <row r="4444" spans="1:3" x14ac:dyDescent="0.2">
      <c r="A4444" s="78">
        <v>50100</v>
      </c>
      <c r="B4444" s="77">
        <f>+PT!A4446</f>
        <v>0</v>
      </c>
      <c r="C4444" s="77">
        <f t="shared" si="72"/>
        <v>4443</v>
      </c>
    </row>
    <row r="4445" spans="1:3" x14ac:dyDescent="0.2">
      <c r="A4445" s="78">
        <v>50101</v>
      </c>
      <c r="B4445" s="77">
        <f>+PT!A4447</f>
        <v>0</v>
      </c>
      <c r="C4445" s="77">
        <f t="shared" si="72"/>
        <v>4444</v>
      </c>
    </row>
    <row r="4446" spans="1:3" x14ac:dyDescent="0.2">
      <c r="A4446" s="78">
        <v>50102</v>
      </c>
      <c r="B4446" s="77">
        <f>+PT!A4448</f>
        <v>0</v>
      </c>
      <c r="C4446" s="77">
        <f t="shared" si="72"/>
        <v>4445</v>
      </c>
    </row>
    <row r="4447" spans="1:3" x14ac:dyDescent="0.2">
      <c r="A4447" s="78">
        <v>50103</v>
      </c>
      <c r="B4447" s="77">
        <f>+PT!A4449</f>
        <v>0</v>
      </c>
      <c r="C4447" s="77">
        <f t="shared" si="72"/>
        <v>4446</v>
      </c>
    </row>
    <row r="4448" spans="1:3" x14ac:dyDescent="0.2">
      <c r="A4448" s="78">
        <v>50104</v>
      </c>
      <c r="B4448" s="77">
        <f>+PT!A4450</f>
        <v>0</v>
      </c>
      <c r="C4448" s="77">
        <f t="shared" si="72"/>
        <v>4447</v>
      </c>
    </row>
    <row r="4449" spans="1:3" x14ac:dyDescent="0.2">
      <c r="A4449" s="78">
        <v>50105</v>
      </c>
      <c r="B4449" s="77">
        <f>+PT!A4451</f>
        <v>0</v>
      </c>
      <c r="C4449" s="77">
        <f t="shared" si="72"/>
        <v>4448</v>
      </c>
    </row>
    <row r="4450" spans="1:3" x14ac:dyDescent="0.2">
      <c r="A4450" s="78">
        <v>50106</v>
      </c>
      <c r="B4450" s="77">
        <f>+PT!A4452</f>
        <v>0</v>
      </c>
      <c r="C4450" s="77">
        <f t="shared" si="72"/>
        <v>4449</v>
      </c>
    </row>
    <row r="4451" spans="1:3" x14ac:dyDescent="0.2">
      <c r="A4451" s="78">
        <v>50107</v>
      </c>
      <c r="B4451" s="77">
        <f>+PT!A4453</f>
        <v>0</v>
      </c>
      <c r="C4451" s="77">
        <f t="shared" si="72"/>
        <v>4450</v>
      </c>
    </row>
    <row r="4452" spans="1:3" x14ac:dyDescent="0.2">
      <c r="A4452" s="78">
        <v>50108</v>
      </c>
      <c r="B4452" s="77">
        <f>+PT!A4454</f>
        <v>0</v>
      </c>
      <c r="C4452" s="77">
        <f t="shared" si="72"/>
        <v>4451</v>
      </c>
    </row>
    <row r="4453" spans="1:3" x14ac:dyDescent="0.2">
      <c r="A4453" s="78">
        <v>50109</v>
      </c>
      <c r="B4453" s="77">
        <f>+PT!A4455</f>
        <v>0</v>
      </c>
      <c r="C4453" s="77">
        <f t="shared" si="72"/>
        <v>4452</v>
      </c>
    </row>
    <row r="4454" spans="1:3" x14ac:dyDescent="0.2">
      <c r="A4454" s="78">
        <v>50110</v>
      </c>
      <c r="B4454" s="77">
        <f>+PT!A4456</f>
        <v>0</v>
      </c>
      <c r="C4454" s="77">
        <f t="shared" si="72"/>
        <v>4453</v>
      </c>
    </row>
    <row r="4455" spans="1:3" x14ac:dyDescent="0.2">
      <c r="A4455" s="78">
        <v>50111</v>
      </c>
      <c r="B4455" s="77">
        <f>+PT!A4457</f>
        <v>0</v>
      </c>
      <c r="C4455" s="77">
        <f t="shared" si="72"/>
        <v>4454</v>
      </c>
    </row>
    <row r="4456" spans="1:3" x14ac:dyDescent="0.2">
      <c r="A4456" s="78">
        <v>50112</v>
      </c>
      <c r="B4456" s="77">
        <f>+PT!A4458</f>
        <v>0</v>
      </c>
      <c r="C4456" s="77">
        <f t="shared" si="72"/>
        <v>4455</v>
      </c>
    </row>
    <row r="4457" spans="1:3" x14ac:dyDescent="0.2">
      <c r="A4457" s="78">
        <v>50113</v>
      </c>
      <c r="B4457" s="77">
        <f>+PT!A4459</f>
        <v>0</v>
      </c>
      <c r="C4457" s="77">
        <f t="shared" si="72"/>
        <v>4456</v>
      </c>
    </row>
    <row r="4458" spans="1:3" x14ac:dyDescent="0.2">
      <c r="A4458" s="78">
        <v>50114</v>
      </c>
      <c r="B4458" s="77">
        <f>+PT!A4460</f>
        <v>0</v>
      </c>
      <c r="C4458" s="77">
        <f t="shared" si="72"/>
        <v>4457</v>
      </c>
    </row>
    <row r="4459" spans="1:3" x14ac:dyDescent="0.2">
      <c r="A4459" s="78">
        <v>50115</v>
      </c>
      <c r="B4459" s="77">
        <f>+PT!A4461</f>
        <v>0</v>
      </c>
      <c r="C4459" s="77">
        <f t="shared" si="72"/>
        <v>4458</v>
      </c>
    </row>
    <row r="4460" spans="1:3" x14ac:dyDescent="0.2">
      <c r="A4460" s="78">
        <v>50116</v>
      </c>
      <c r="B4460" s="77">
        <f>+PT!A4462</f>
        <v>0</v>
      </c>
      <c r="C4460" s="77">
        <f t="shared" si="72"/>
        <v>4459</v>
      </c>
    </row>
    <row r="4461" spans="1:3" x14ac:dyDescent="0.2">
      <c r="A4461" s="78">
        <v>50117</v>
      </c>
      <c r="B4461" s="77">
        <f>+PT!A4463</f>
        <v>0</v>
      </c>
      <c r="C4461" s="77">
        <f t="shared" si="72"/>
        <v>4460</v>
      </c>
    </row>
    <row r="4462" spans="1:3" x14ac:dyDescent="0.2">
      <c r="A4462" s="78">
        <v>50118</v>
      </c>
      <c r="B4462" s="77">
        <f>+PT!A4464</f>
        <v>0</v>
      </c>
      <c r="C4462" s="77">
        <f t="shared" si="72"/>
        <v>4461</v>
      </c>
    </row>
    <row r="4463" spans="1:3" x14ac:dyDescent="0.2">
      <c r="A4463" s="78">
        <v>50119</v>
      </c>
      <c r="B4463" s="77">
        <f>+PT!A4465</f>
        <v>0</v>
      </c>
      <c r="C4463" s="77">
        <f t="shared" si="72"/>
        <v>4462</v>
      </c>
    </row>
    <row r="4464" spans="1:3" x14ac:dyDescent="0.2">
      <c r="A4464" s="78">
        <v>50120</v>
      </c>
      <c r="B4464" s="77">
        <f>+PT!A4466</f>
        <v>0</v>
      </c>
      <c r="C4464" s="77">
        <f t="shared" si="72"/>
        <v>4463</v>
      </c>
    </row>
    <row r="4465" spans="1:3" x14ac:dyDescent="0.2">
      <c r="A4465" s="78">
        <v>50121</v>
      </c>
      <c r="B4465" s="77">
        <f>+PT!A4467</f>
        <v>0</v>
      </c>
      <c r="C4465" s="77">
        <f t="shared" si="72"/>
        <v>4464</v>
      </c>
    </row>
    <row r="4466" spans="1:3" x14ac:dyDescent="0.2">
      <c r="A4466" s="78">
        <v>50122</v>
      </c>
      <c r="B4466" s="77">
        <f>+PT!A4468</f>
        <v>0</v>
      </c>
      <c r="C4466" s="77">
        <f t="shared" si="72"/>
        <v>4465</v>
      </c>
    </row>
    <row r="4467" spans="1:3" x14ac:dyDescent="0.2">
      <c r="A4467" s="78">
        <v>50123</v>
      </c>
      <c r="B4467" s="77">
        <f>+PT!A4469</f>
        <v>0</v>
      </c>
      <c r="C4467" s="77">
        <f t="shared" si="72"/>
        <v>4466</v>
      </c>
    </row>
    <row r="4468" spans="1:3" x14ac:dyDescent="0.2">
      <c r="A4468" s="78">
        <v>50124</v>
      </c>
      <c r="B4468" s="77">
        <f>+PT!A4470</f>
        <v>0</v>
      </c>
      <c r="C4468" s="77">
        <f t="shared" si="72"/>
        <v>4467</v>
      </c>
    </row>
    <row r="4469" spans="1:3" x14ac:dyDescent="0.2">
      <c r="A4469" s="78">
        <v>50125</v>
      </c>
      <c r="B4469" s="77">
        <f>+PT!A4471</f>
        <v>0</v>
      </c>
      <c r="C4469" s="77">
        <f t="shared" si="72"/>
        <v>4468</v>
      </c>
    </row>
    <row r="4470" spans="1:3" x14ac:dyDescent="0.2">
      <c r="A4470" s="78">
        <v>50126</v>
      </c>
      <c r="B4470" s="77">
        <f>+PT!A4472</f>
        <v>0</v>
      </c>
      <c r="C4470" s="77">
        <f t="shared" si="72"/>
        <v>4469</v>
      </c>
    </row>
    <row r="4471" spans="1:3" x14ac:dyDescent="0.2">
      <c r="A4471" s="78">
        <v>50127</v>
      </c>
      <c r="B4471" s="77">
        <f>+PT!A4473</f>
        <v>0</v>
      </c>
      <c r="C4471" s="77">
        <f t="shared" si="72"/>
        <v>4470</v>
      </c>
    </row>
    <row r="4472" spans="1:3" x14ac:dyDescent="0.2">
      <c r="A4472" s="78">
        <v>50128</v>
      </c>
      <c r="B4472" s="77">
        <f>+PT!A4474</f>
        <v>0</v>
      </c>
      <c r="C4472" s="77">
        <f t="shared" si="72"/>
        <v>4471</v>
      </c>
    </row>
    <row r="4473" spans="1:3" x14ac:dyDescent="0.2">
      <c r="A4473" s="78">
        <v>50129</v>
      </c>
      <c r="B4473" s="77">
        <f>+PT!A4475</f>
        <v>0</v>
      </c>
      <c r="C4473" s="77">
        <f t="shared" si="72"/>
        <v>4472</v>
      </c>
    </row>
    <row r="4474" spans="1:3" x14ac:dyDescent="0.2">
      <c r="A4474" s="78">
        <v>50130</v>
      </c>
      <c r="B4474" s="77">
        <f>+PT!A4476</f>
        <v>0</v>
      </c>
      <c r="C4474" s="77">
        <f t="shared" si="72"/>
        <v>4473</v>
      </c>
    </row>
    <row r="4475" spans="1:3" x14ac:dyDescent="0.2">
      <c r="A4475" s="78">
        <v>50131</v>
      </c>
      <c r="B4475" s="77">
        <f>+PT!A4477</f>
        <v>0</v>
      </c>
      <c r="C4475" s="77">
        <f t="shared" si="72"/>
        <v>4474</v>
      </c>
    </row>
    <row r="4476" spans="1:3" x14ac:dyDescent="0.2">
      <c r="A4476" s="78">
        <v>50132</v>
      </c>
      <c r="B4476" s="77">
        <f>+PT!A4478</f>
        <v>0</v>
      </c>
      <c r="C4476" s="77">
        <f t="shared" si="72"/>
        <v>4475</v>
      </c>
    </row>
    <row r="4477" spans="1:3" x14ac:dyDescent="0.2">
      <c r="A4477" s="78">
        <v>50133</v>
      </c>
      <c r="B4477" s="77">
        <f>+PT!A4479</f>
        <v>0</v>
      </c>
      <c r="C4477" s="77">
        <f t="shared" si="72"/>
        <v>4476</v>
      </c>
    </row>
    <row r="4478" spans="1:3" x14ac:dyDescent="0.2">
      <c r="A4478" s="78">
        <v>50134</v>
      </c>
      <c r="B4478" s="77">
        <f>+PT!A4480</f>
        <v>0</v>
      </c>
      <c r="C4478" s="77">
        <f t="shared" si="72"/>
        <v>4477</v>
      </c>
    </row>
    <row r="4479" spans="1:3" x14ac:dyDescent="0.2">
      <c r="A4479" s="78">
        <v>50135</v>
      </c>
      <c r="B4479" s="77">
        <f>+PT!A4481</f>
        <v>0</v>
      </c>
      <c r="C4479" s="77">
        <f t="shared" si="72"/>
        <v>4478</v>
      </c>
    </row>
    <row r="4480" spans="1:3" x14ac:dyDescent="0.2">
      <c r="A4480" s="78">
        <v>50136</v>
      </c>
      <c r="B4480" s="77">
        <f>+PT!A4482</f>
        <v>0</v>
      </c>
      <c r="C4480" s="77">
        <f t="shared" si="72"/>
        <v>4479</v>
      </c>
    </row>
    <row r="4481" spans="1:3" x14ac:dyDescent="0.2">
      <c r="A4481" s="78">
        <v>50137</v>
      </c>
      <c r="B4481" s="77">
        <f>+PT!A4483</f>
        <v>0</v>
      </c>
      <c r="C4481" s="77">
        <f t="shared" si="72"/>
        <v>4480</v>
      </c>
    </row>
    <row r="4482" spans="1:3" x14ac:dyDescent="0.2">
      <c r="A4482" s="78">
        <v>50138</v>
      </c>
      <c r="B4482" s="77">
        <f>+PT!A4484</f>
        <v>0</v>
      </c>
      <c r="C4482" s="77">
        <f t="shared" si="72"/>
        <v>4481</v>
      </c>
    </row>
    <row r="4483" spans="1:3" x14ac:dyDescent="0.2">
      <c r="A4483" s="78">
        <v>50139</v>
      </c>
      <c r="B4483" s="77">
        <f>+PT!A4485</f>
        <v>0</v>
      </c>
      <c r="C4483" s="77">
        <f t="shared" si="72"/>
        <v>4482</v>
      </c>
    </row>
    <row r="4484" spans="1:3" x14ac:dyDescent="0.2">
      <c r="A4484" s="78">
        <v>50140</v>
      </c>
      <c r="B4484" s="77">
        <f>+PT!A4486</f>
        <v>0</v>
      </c>
      <c r="C4484" s="77">
        <f t="shared" ref="C4484:C4547" si="73">+C4483+1</f>
        <v>4483</v>
      </c>
    </row>
    <row r="4485" spans="1:3" x14ac:dyDescent="0.2">
      <c r="A4485" s="78">
        <v>50141</v>
      </c>
      <c r="B4485" s="77">
        <f>+PT!A4487</f>
        <v>0</v>
      </c>
      <c r="C4485" s="77">
        <f t="shared" si="73"/>
        <v>4484</v>
      </c>
    </row>
    <row r="4486" spans="1:3" x14ac:dyDescent="0.2">
      <c r="A4486" s="78">
        <v>50142</v>
      </c>
      <c r="B4486" s="77">
        <f>+PT!A4488</f>
        <v>0</v>
      </c>
      <c r="C4486" s="77">
        <f t="shared" si="73"/>
        <v>4485</v>
      </c>
    </row>
    <row r="4487" spans="1:3" x14ac:dyDescent="0.2">
      <c r="A4487" s="78">
        <v>50143</v>
      </c>
      <c r="B4487" s="77">
        <f>+PT!A4489</f>
        <v>0</v>
      </c>
      <c r="C4487" s="77">
        <f t="shared" si="73"/>
        <v>4486</v>
      </c>
    </row>
    <row r="4488" spans="1:3" x14ac:dyDescent="0.2">
      <c r="A4488" s="78">
        <v>50144</v>
      </c>
      <c r="B4488" s="77">
        <f>+PT!A4490</f>
        <v>0</v>
      </c>
      <c r="C4488" s="77">
        <f t="shared" si="73"/>
        <v>4487</v>
      </c>
    </row>
    <row r="4489" spans="1:3" x14ac:dyDescent="0.2">
      <c r="A4489" s="78">
        <v>50145</v>
      </c>
      <c r="B4489" s="77">
        <f>+PT!A4491</f>
        <v>0</v>
      </c>
      <c r="C4489" s="77">
        <f t="shared" si="73"/>
        <v>4488</v>
      </c>
    </row>
    <row r="4490" spans="1:3" x14ac:dyDescent="0.2">
      <c r="A4490" s="78">
        <v>50146</v>
      </c>
      <c r="B4490" s="77">
        <f>+PT!A4492</f>
        <v>0</v>
      </c>
      <c r="C4490" s="77">
        <f t="shared" si="73"/>
        <v>4489</v>
      </c>
    </row>
    <row r="4491" spans="1:3" x14ac:dyDescent="0.2">
      <c r="A4491" s="78">
        <v>50147</v>
      </c>
      <c r="B4491" s="77">
        <f>+PT!A4493</f>
        <v>0</v>
      </c>
      <c r="C4491" s="77">
        <f t="shared" si="73"/>
        <v>4490</v>
      </c>
    </row>
    <row r="4492" spans="1:3" x14ac:dyDescent="0.2">
      <c r="A4492" s="78">
        <v>50148</v>
      </c>
      <c r="B4492" s="77">
        <f>+PT!A4494</f>
        <v>0</v>
      </c>
      <c r="C4492" s="77">
        <f t="shared" si="73"/>
        <v>4491</v>
      </c>
    </row>
    <row r="4493" spans="1:3" x14ac:dyDescent="0.2">
      <c r="A4493" s="78">
        <v>50149</v>
      </c>
      <c r="B4493" s="77">
        <f>+PT!A4495</f>
        <v>0</v>
      </c>
      <c r="C4493" s="77">
        <f t="shared" si="73"/>
        <v>4492</v>
      </c>
    </row>
    <row r="4494" spans="1:3" x14ac:dyDescent="0.2">
      <c r="A4494" s="78">
        <v>50150</v>
      </c>
      <c r="B4494" s="77">
        <f>+PT!A4496</f>
        <v>0</v>
      </c>
      <c r="C4494" s="77">
        <f t="shared" si="73"/>
        <v>4493</v>
      </c>
    </row>
    <row r="4495" spans="1:3" x14ac:dyDescent="0.2">
      <c r="A4495" s="78">
        <v>50151</v>
      </c>
      <c r="B4495" s="77">
        <f>+PT!A4497</f>
        <v>0</v>
      </c>
      <c r="C4495" s="77">
        <f t="shared" si="73"/>
        <v>4494</v>
      </c>
    </row>
    <row r="4496" spans="1:3" x14ac:dyDescent="0.2">
      <c r="A4496" s="78">
        <v>50152</v>
      </c>
      <c r="B4496" s="77">
        <f>+PT!A4498</f>
        <v>0</v>
      </c>
      <c r="C4496" s="77">
        <f t="shared" si="73"/>
        <v>4495</v>
      </c>
    </row>
    <row r="4497" spans="1:3" x14ac:dyDescent="0.2">
      <c r="A4497" s="78">
        <v>50153</v>
      </c>
      <c r="B4497" s="77">
        <f>+PT!A4499</f>
        <v>0</v>
      </c>
      <c r="C4497" s="77">
        <f t="shared" si="73"/>
        <v>4496</v>
      </c>
    </row>
    <row r="4498" spans="1:3" x14ac:dyDescent="0.2">
      <c r="A4498" s="78">
        <v>50154</v>
      </c>
      <c r="B4498" s="77">
        <f>+PT!A4500</f>
        <v>0</v>
      </c>
      <c r="C4498" s="77">
        <f t="shared" si="73"/>
        <v>4497</v>
      </c>
    </row>
    <row r="4499" spans="1:3" x14ac:dyDescent="0.2">
      <c r="A4499" s="78">
        <v>50155</v>
      </c>
      <c r="B4499" s="77">
        <f>+PT!A4501</f>
        <v>0</v>
      </c>
      <c r="C4499" s="77">
        <f t="shared" si="73"/>
        <v>4498</v>
      </c>
    </row>
    <row r="4500" spans="1:3" x14ac:dyDescent="0.2">
      <c r="A4500" s="78">
        <v>50156</v>
      </c>
      <c r="B4500" s="77">
        <f>+PT!A4502</f>
        <v>0</v>
      </c>
      <c r="C4500" s="77">
        <f t="shared" si="73"/>
        <v>4499</v>
      </c>
    </row>
    <row r="4501" spans="1:3" x14ac:dyDescent="0.2">
      <c r="A4501" s="78">
        <v>50157</v>
      </c>
      <c r="B4501" s="77">
        <f>+PT!A4503</f>
        <v>0</v>
      </c>
      <c r="C4501" s="77">
        <f t="shared" si="73"/>
        <v>4500</v>
      </c>
    </row>
    <row r="4502" spans="1:3" x14ac:dyDescent="0.2">
      <c r="A4502" s="78">
        <v>50158</v>
      </c>
      <c r="B4502" s="77">
        <f>+PT!A4504</f>
        <v>0</v>
      </c>
      <c r="C4502" s="77">
        <f t="shared" si="73"/>
        <v>4501</v>
      </c>
    </row>
    <row r="4503" spans="1:3" x14ac:dyDescent="0.2">
      <c r="A4503" s="78">
        <v>50159</v>
      </c>
      <c r="B4503" s="77">
        <f>+PT!A4505</f>
        <v>0</v>
      </c>
      <c r="C4503" s="77">
        <f t="shared" si="73"/>
        <v>4502</v>
      </c>
    </row>
    <row r="4504" spans="1:3" x14ac:dyDescent="0.2">
      <c r="A4504" s="78">
        <v>50160</v>
      </c>
      <c r="B4504" s="77">
        <f>+PT!A4506</f>
        <v>0</v>
      </c>
      <c r="C4504" s="77">
        <f t="shared" si="73"/>
        <v>4503</v>
      </c>
    </row>
    <row r="4505" spans="1:3" x14ac:dyDescent="0.2">
      <c r="A4505" s="78">
        <v>50161</v>
      </c>
      <c r="B4505" s="77">
        <f>+PT!A4507</f>
        <v>0</v>
      </c>
      <c r="C4505" s="77">
        <f t="shared" si="73"/>
        <v>4504</v>
      </c>
    </row>
    <row r="4506" spans="1:3" x14ac:dyDescent="0.2">
      <c r="A4506" s="78">
        <v>50162</v>
      </c>
      <c r="B4506" s="77">
        <f>+PT!A4508</f>
        <v>0</v>
      </c>
      <c r="C4506" s="77">
        <f t="shared" si="73"/>
        <v>4505</v>
      </c>
    </row>
    <row r="4507" spans="1:3" x14ac:dyDescent="0.2">
      <c r="A4507" s="78">
        <v>50163</v>
      </c>
      <c r="B4507" s="77">
        <f>+PT!A4509</f>
        <v>0</v>
      </c>
      <c r="C4507" s="77">
        <f t="shared" si="73"/>
        <v>4506</v>
      </c>
    </row>
    <row r="4508" spans="1:3" x14ac:dyDescent="0.2">
      <c r="A4508" s="78">
        <v>50164</v>
      </c>
      <c r="B4508" s="77">
        <f>+PT!A4510</f>
        <v>0</v>
      </c>
      <c r="C4508" s="77">
        <f t="shared" si="73"/>
        <v>4507</v>
      </c>
    </row>
    <row r="4509" spans="1:3" x14ac:dyDescent="0.2">
      <c r="A4509" s="78">
        <v>50165</v>
      </c>
      <c r="B4509" s="77">
        <f>+PT!A4511</f>
        <v>0</v>
      </c>
      <c r="C4509" s="77">
        <f t="shared" si="73"/>
        <v>4508</v>
      </c>
    </row>
    <row r="4510" spans="1:3" x14ac:dyDescent="0.2">
      <c r="A4510" s="78">
        <v>50166</v>
      </c>
      <c r="B4510" s="77">
        <f>+PT!A4512</f>
        <v>0</v>
      </c>
      <c r="C4510" s="77">
        <f t="shared" si="73"/>
        <v>4509</v>
      </c>
    </row>
    <row r="4511" spans="1:3" x14ac:dyDescent="0.2">
      <c r="A4511" s="78">
        <v>50167</v>
      </c>
      <c r="B4511" s="77">
        <f>+PT!A4513</f>
        <v>0</v>
      </c>
      <c r="C4511" s="77">
        <f t="shared" si="73"/>
        <v>4510</v>
      </c>
    </row>
    <row r="4512" spans="1:3" x14ac:dyDescent="0.2">
      <c r="A4512" s="78">
        <v>50168</v>
      </c>
      <c r="B4512" s="77">
        <f>+PT!A4514</f>
        <v>0</v>
      </c>
      <c r="C4512" s="77">
        <f t="shared" si="73"/>
        <v>4511</v>
      </c>
    </row>
    <row r="4513" spans="1:3" x14ac:dyDescent="0.2">
      <c r="A4513" s="78">
        <v>50169</v>
      </c>
      <c r="B4513" s="77">
        <f>+PT!A4515</f>
        <v>0</v>
      </c>
      <c r="C4513" s="77">
        <f t="shared" si="73"/>
        <v>4512</v>
      </c>
    </row>
    <row r="4514" spans="1:3" x14ac:dyDescent="0.2">
      <c r="A4514" s="78">
        <v>50170</v>
      </c>
      <c r="B4514" s="77">
        <f>+PT!A4516</f>
        <v>0</v>
      </c>
      <c r="C4514" s="77">
        <f t="shared" si="73"/>
        <v>4513</v>
      </c>
    </row>
    <row r="4515" spans="1:3" x14ac:dyDescent="0.2">
      <c r="A4515" s="78">
        <v>50171</v>
      </c>
      <c r="B4515" s="77">
        <f>+PT!A4517</f>
        <v>0</v>
      </c>
      <c r="C4515" s="77">
        <f t="shared" si="73"/>
        <v>4514</v>
      </c>
    </row>
    <row r="4516" spans="1:3" x14ac:dyDescent="0.2">
      <c r="A4516" s="78">
        <v>50172</v>
      </c>
      <c r="B4516" s="77">
        <f>+PT!A4518</f>
        <v>0</v>
      </c>
      <c r="C4516" s="77">
        <f t="shared" si="73"/>
        <v>4515</v>
      </c>
    </row>
    <row r="4517" spans="1:3" x14ac:dyDescent="0.2">
      <c r="A4517" s="78">
        <v>50173</v>
      </c>
      <c r="B4517" s="77">
        <f>+PT!A4519</f>
        <v>0</v>
      </c>
      <c r="C4517" s="77">
        <f t="shared" si="73"/>
        <v>4516</v>
      </c>
    </row>
    <row r="4518" spans="1:3" x14ac:dyDescent="0.2">
      <c r="A4518" s="78">
        <v>50174</v>
      </c>
      <c r="B4518" s="77">
        <f>+PT!A4520</f>
        <v>0</v>
      </c>
      <c r="C4518" s="77">
        <f t="shared" si="73"/>
        <v>4517</v>
      </c>
    </row>
    <row r="4519" spans="1:3" x14ac:dyDescent="0.2">
      <c r="A4519" s="78">
        <v>50175</v>
      </c>
      <c r="B4519" s="77">
        <f>+PT!A4521</f>
        <v>0</v>
      </c>
      <c r="C4519" s="77">
        <f t="shared" si="73"/>
        <v>4518</v>
      </c>
    </row>
    <row r="4520" spans="1:3" x14ac:dyDescent="0.2">
      <c r="A4520" s="78">
        <v>50176</v>
      </c>
      <c r="B4520" s="77">
        <f>+PT!A4522</f>
        <v>0</v>
      </c>
      <c r="C4520" s="77">
        <f t="shared" si="73"/>
        <v>4519</v>
      </c>
    </row>
    <row r="4521" spans="1:3" x14ac:dyDescent="0.2">
      <c r="A4521" s="78">
        <v>50177</v>
      </c>
      <c r="B4521" s="77">
        <f>+PT!A4523</f>
        <v>0</v>
      </c>
      <c r="C4521" s="77">
        <f t="shared" si="73"/>
        <v>4520</v>
      </c>
    </row>
    <row r="4522" spans="1:3" x14ac:dyDescent="0.2">
      <c r="A4522" s="78">
        <v>50178</v>
      </c>
      <c r="B4522" s="77">
        <f>+PT!A4524</f>
        <v>0</v>
      </c>
      <c r="C4522" s="77">
        <f t="shared" si="73"/>
        <v>4521</v>
      </c>
    </row>
    <row r="4523" spans="1:3" x14ac:dyDescent="0.2">
      <c r="A4523" s="78">
        <v>50179</v>
      </c>
      <c r="B4523" s="77">
        <f>+PT!A4525</f>
        <v>0</v>
      </c>
      <c r="C4523" s="77">
        <f t="shared" si="73"/>
        <v>4522</v>
      </c>
    </row>
    <row r="4524" spans="1:3" x14ac:dyDescent="0.2">
      <c r="A4524" s="78">
        <v>50180</v>
      </c>
      <c r="B4524" s="77">
        <f>+PT!A4526</f>
        <v>0</v>
      </c>
      <c r="C4524" s="77">
        <f t="shared" si="73"/>
        <v>4523</v>
      </c>
    </row>
    <row r="4525" spans="1:3" x14ac:dyDescent="0.2">
      <c r="A4525" s="78">
        <v>50181</v>
      </c>
      <c r="B4525" s="77">
        <f>+PT!A4527</f>
        <v>0</v>
      </c>
      <c r="C4525" s="77">
        <f t="shared" si="73"/>
        <v>4524</v>
      </c>
    </row>
    <row r="4526" spans="1:3" x14ac:dyDescent="0.2">
      <c r="A4526" s="78">
        <v>50182</v>
      </c>
      <c r="B4526" s="77">
        <f>+PT!A4528</f>
        <v>0</v>
      </c>
      <c r="C4526" s="77">
        <f t="shared" si="73"/>
        <v>4525</v>
      </c>
    </row>
    <row r="4527" spans="1:3" x14ac:dyDescent="0.2">
      <c r="A4527" s="78">
        <v>50183</v>
      </c>
      <c r="B4527" s="77">
        <f>+PT!A4529</f>
        <v>0</v>
      </c>
      <c r="C4527" s="77">
        <f t="shared" si="73"/>
        <v>4526</v>
      </c>
    </row>
    <row r="4528" spans="1:3" x14ac:dyDescent="0.2">
      <c r="A4528" s="78">
        <v>50184</v>
      </c>
      <c r="B4528" s="77">
        <f>+PT!A4530</f>
        <v>0</v>
      </c>
      <c r="C4528" s="77">
        <f t="shared" si="73"/>
        <v>4527</v>
      </c>
    </row>
    <row r="4529" spans="1:3" x14ac:dyDescent="0.2">
      <c r="A4529" s="78">
        <v>50185</v>
      </c>
      <c r="B4529" s="77">
        <f>+PT!A4531</f>
        <v>0</v>
      </c>
      <c r="C4529" s="77">
        <f t="shared" si="73"/>
        <v>4528</v>
      </c>
    </row>
    <row r="4530" spans="1:3" x14ac:dyDescent="0.2">
      <c r="A4530" s="78">
        <v>50186</v>
      </c>
      <c r="B4530" s="77">
        <f>+PT!A4532</f>
        <v>0</v>
      </c>
      <c r="C4530" s="77">
        <f t="shared" si="73"/>
        <v>4529</v>
      </c>
    </row>
    <row r="4531" spans="1:3" x14ac:dyDescent="0.2">
      <c r="A4531" s="78">
        <v>50187</v>
      </c>
      <c r="B4531" s="77">
        <f>+PT!A4533</f>
        <v>0</v>
      </c>
      <c r="C4531" s="77">
        <f t="shared" si="73"/>
        <v>4530</v>
      </c>
    </row>
    <row r="4532" spans="1:3" x14ac:dyDescent="0.2">
      <c r="A4532" s="78">
        <v>50188</v>
      </c>
      <c r="B4532" s="77">
        <f>+PT!A4534</f>
        <v>0</v>
      </c>
      <c r="C4532" s="77">
        <f t="shared" si="73"/>
        <v>4531</v>
      </c>
    </row>
    <row r="4533" spans="1:3" x14ac:dyDescent="0.2">
      <c r="A4533" s="78">
        <v>50189</v>
      </c>
      <c r="B4533" s="77">
        <f>+PT!A4535</f>
        <v>0</v>
      </c>
      <c r="C4533" s="77">
        <f t="shared" si="73"/>
        <v>4532</v>
      </c>
    </row>
    <row r="4534" spans="1:3" x14ac:dyDescent="0.2">
      <c r="A4534" s="78">
        <v>50190</v>
      </c>
      <c r="B4534" s="77">
        <f>+PT!A4536</f>
        <v>0</v>
      </c>
      <c r="C4534" s="77">
        <f t="shared" si="73"/>
        <v>4533</v>
      </c>
    </row>
    <row r="4535" spans="1:3" x14ac:dyDescent="0.2">
      <c r="A4535" s="78">
        <v>50191</v>
      </c>
      <c r="B4535" s="77">
        <f>+PT!A4537</f>
        <v>0</v>
      </c>
      <c r="C4535" s="77">
        <f t="shared" si="73"/>
        <v>4534</v>
      </c>
    </row>
    <row r="4536" spans="1:3" x14ac:dyDescent="0.2">
      <c r="A4536" s="78">
        <v>50192</v>
      </c>
      <c r="B4536" s="77">
        <f>+PT!A4538</f>
        <v>0</v>
      </c>
      <c r="C4536" s="77">
        <f t="shared" si="73"/>
        <v>4535</v>
      </c>
    </row>
    <row r="4537" spans="1:3" x14ac:dyDescent="0.2">
      <c r="A4537" s="78">
        <v>50193</v>
      </c>
      <c r="B4537" s="77">
        <f>+PT!A4539</f>
        <v>0</v>
      </c>
      <c r="C4537" s="77">
        <f t="shared" si="73"/>
        <v>4536</v>
      </c>
    </row>
    <row r="4538" spans="1:3" x14ac:dyDescent="0.2">
      <c r="A4538" s="78">
        <v>50194</v>
      </c>
      <c r="B4538" s="77">
        <f>+PT!A4540</f>
        <v>0</v>
      </c>
      <c r="C4538" s="77">
        <f t="shared" si="73"/>
        <v>4537</v>
      </c>
    </row>
    <row r="4539" spans="1:3" x14ac:dyDescent="0.2">
      <c r="A4539" s="78">
        <v>50195</v>
      </c>
      <c r="B4539" s="77">
        <f>+PT!A4541</f>
        <v>0</v>
      </c>
      <c r="C4539" s="77">
        <f t="shared" si="73"/>
        <v>4538</v>
      </c>
    </row>
    <row r="4540" spans="1:3" x14ac:dyDescent="0.2">
      <c r="A4540" s="78">
        <v>50196</v>
      </c>
      <c r="B4540" s="77">
        <f>+PT!A4542</f>
        <v>0</v>
      </c>
      <c r="C4540" s="77">
        <f t="shared" si="73"/>
        <v>4539</v>
      </c>
    </row>
    <row r="4541" spans="1:3" x14ac:dyDescent="0.2">
      <c r="A4541" s="78">
        <v>50197</v>
      </c>
      <c r="B4541" s="77">
        <f>+PT!A4543</f>
        <v>0</v>
      </c>
      <c r="C4541" s="77">
        <f t="shared" si="73"/>
        <v>4540</v>
      </c>
    </row>
    <row r="4542" spans="1:3" x14ac:dyDescent="0.2">
      <c r="A4542" s="78">
        <v>50198</v>
      </c>
      <c r="B4542" s="77">
        <f>+PT!A4544</f>
        <v>0</v>
      </c>
      <c r="C4542" s="77">
        <f t="shared" si="73"/>
        <v>4541</v>
      </c>
    </row>
    <row r="4543" spans="1:3" x14ac:dyDescent="0.2">
      <c r="A4543" s="78">
        <v>50199</v>
      </c>
      <c r="B4543" s="77">
        <f>+PT!A4545</f>
        <v>0</v>
      </c>
      <c r="C4543" s="77">
        <f t="shared" si="73"/>
        <v>4542</v>
      </c>
    </row>
    <row r="4544" spans="1:3" x14ac:dyDescent="0.2">
      <c r="A4544" s="78">
        <v>50200</v>
      </c>
      <c r="B4544" s="77">
        <f>+PT!A4546</f>
        <v>0</v>
      </c>
      <c r="C4544" s="77">
        <f t="shared" si="73"/>
        <v>4543</v>
      </c>
    </row>
    <row r="4545" spans="1:3" x14ac:dyDescent="0.2">
      <c r="A4545" s="78">
        <v>50201</v>
      </c>
      <c r="B4545" s="77">
        <f>+PT!A4547</f>
        <v>0</v>
      </c>
      <c r="C4545" s="77">
        <f t="shared" si="73"/>
        <v>4544</v>
      </c>
    </row>
    <row r="4546" spans="1:3" x14ac:dyDescent="0.2">
      <c r="A4546" s="78">
        <v>50202</v>
      </c>
      <c r="B4546" s="77">
        <f>+PT!A4548</f>
        <v>0</v>
      </c>
      <c r="C4546" s="77">
        <f t="shared" si="73"/>
        <v>4545</v>
      </c>
    </row>
    <row r="4547" spans="1:3" x14ac:dyDescent="0.2">
      <c r="A4547" s="78">
        <v>50203</v>
      </c>
      <c r="B4547" s="77">
        <f>+PT!A4549</f>
        <v>0</v>
      </c>
      <c r="C4547" s="77">
        <f t="shared" si="73"/>
        <v>4546</v>
      </c>
    </row>
    <row r="4548" spans="1:3" x14ac:dyDescent="0.2">
      <c r="A4548" s="78">
        <v>50204</v>
      </c>
      <c r="B4548" s="77">
        <f>+PT!A4550</f>
        <v>0</v>
      </c>
      <c r="C4548" s="77">
        <f t="shared" ref="C4548:C4611" si="74">+C4547+1</f>
        <v>4547</v>
      </c>
    </row>
    <row r="4549" spans="1:3" x14ac:dyDescent="0.2">
      <c r="A4549" s="78">
        <v>50205</v>
      </c>
      <c r="B4549" s="77">
        <f>+PT!A4551</f>
        <v>0</v>
      </c>
      <c r="C4549" s="77">
        <f t="shared" si="74"/>
        <v>4548</v>
      </c>
    </row>
    <row r="4550" spans="1:3" x14ac:dyDescent="0.2">
      <c r="A4550" s="78">
        <v>50206</v>
      </c>
      <c r="B4550" s="77">
        <f>+PT!A4552</f>
        <v>0</v>
      </c>
      <c r="C4550" s="77">
        <f t="shared" si="74"/>
        <v>4549</v>
      </c>
    </row>
    <row r="4551" spans="1:3" x14ac:dyDescent="0.2">
      <c r="A4551" s="78">
        <v>50207</v>
      </c>
      <c r="B4551" s="77">
        <f>+PT!A4553</f>
        <v>0</v>
      </c>
      <c r="C4551" s="77">
        <f t="shared" si="74"/>
        <v>4550</v>
      </c>
    </row>
    <row r="4552" spans="1:3" x14ac:dyDescent="0.2">
      <c r="A4552" s="78">
        <v>50208</v>
      </c>
      <c r="B4552" s="77">
        <f>+PT!A4554</f>
        <v>0</v>
      </c>
      <c r="C4552" s="77">
        <f t="shared" si="74"/>
        <v>4551</v>
      </c>
    </row>
    <row r="4553" spans="1:3" x14ac:dyDescent="0.2">
      <c r="A4553" s="78">
        <v>50209</v>
      </c>
      <c r="B4553" s="77">
        <f>+PT!A4555</f>
        <v>0</v>
      </c>
      <c r="C4553" s="77">
        <f t="shared" si="74"/>
        <v>4552</v>
      </c>
    </row>
    <row r="4554" spans="1:3" x14ac:dyDescent="0.2">
      <c r="A4554" s="78">
        <v>50210</v>
      </c>
      <c r="B4554" s="77">
        <f>+PT!A4556</f>
        <v>0</v>
      </c>
      <c r="C4554" s="77">
        <f t="shared" si="74"/>
        <v>4553</v>
      </c>
    </row>
    <row r="4555" spans="1:3" x14ac:dyDescent="0.2">
      <c r="A4555" s="78">
        <v>50211</v>
      </c>
      <c r="B4555" s="77">
        <f>+PT!A4557</f>
        <v>0</v>
      </c>
      <c r="C4555" s="77">
        <f t="shared" si="74"/>
        <v>4554</v>
      </c>
    </row>
    <row r="4556" spans="1:3" x14ac:dyDescent="0.2">
      <c r="A4556" s="78">
        <v>50212</v>
      </c>
      <c r="B4556" s="77">
        <f>+PT!A4558</f>
        <v>0</v>
      </c>
      <c r="C4556" s="77">
        <f t="shared" si="74"/>
        <v>4555</v>
      </c>
    </row>
    <row r="4557" spans="1:3" x14ac:dyDescent="0.2">
      <c r="A4557" s="78">
        <v>50213</v>
      </c>
      <c r="B4557" s="77">
        <f>+PT!A4559</f>
        <v>0</v>
      </c>
      <c r="C4557" s="77">
        <f t="shared" si="74"/>
        <v>4556</v>
      </c>
    </row>
    <row r="4558" spans="1:3" x14ac:dyDescent="0.2">
      <c r="A4558" s="78">
        <v>50214</v>
      </c>
      <c r="B4558" s="77">
        <f>+PT!A4560</f>
        <v>0</v>
      </c>
      <c r="C4558" s="77">
        <f t="shared" si="74"/>
        <v>4557</v>
      </c>
    </row>
    <row r="4559" spans="1:3" x14ac:dyDescent="0.2">
      <c r="A4559" s="78">
        <v>50215</v>
      </c>
      <c r="B4559" s="77">
        <f>+PT!A4561</f>
        <v>0</v>
      </c>
      <c r="C4559" s="77">
        <f t="shared" si="74"/>
        <v>4558</v>
      </c>
    </row>
    <row r="4560" spans="1:3" x14ac:dyDescent="0.2">
      <c r="A4560" s="78">
        <v>50216</v>
      </c>
      <c r="B4560" s="77">
        <f>+PT!A4562</f>
        <v>0</v>
      </c>
      <c r="C4560" s="77">
        <f t="shared" si="74"/>
        <v>4559</v>
      </c>
    </row>
    <row r="4561" spans="1:3" x14ac:dyDescent="0.2">
      <c r="A4561" s="78">
        <v>50217</v>
      </c>
      <c r="B4561" s="77">
        <f>+PT!A4563</f>
        <v>0</v>
      </c>
      <c r="C4561" s="77">
        <f t="shared" si="74"/>
        <v>4560</v>
      </c>
    </row>
    <row r="4562" spans="1:3" x14ac:dyDescent="0.2">
      <c r="A4562" s="78">
        <v>50218</v>
      </c>
      <c r="B4562" s="77">
        <f>+PT!A4564</f>
        <v>0</v>
      </c>
      <c r="C4562" s="77">
        <f t="shared" si="74"/>
        <v>4561</v>
      </c>
    </row>
    <row r="4563" spans="1:3" x14ac:dyDescent="0.2">
      <c r="A4563" s="78">
        <v>50219</v>
      </c>
      <c r="B4563" s="77">
        <f>+PT!A4565</f>
        <v>0</v>
      </c>
      <c r="C4563" s="77">
        <f t="shared" si="74"/>
        <v>4562</v>
      </c>
    </row>
    <row r="4564" spans="1:3" x14ac:dyDescent="0.2">
      <c r="A4564" s="78">
        <v>50220</v>
      </c>
      <c r="B4564" s="77">
        <f>+PT!A4566</f>
        <v>0</v>
      </c>
      <c r="C4564" s="77">
        <f t="shared" si="74"/>
        <v>4563</v>
      </c>
    </row>
    <row r="4565" spans="1:3" x14ac:dyDescent="0.2">
      <c r="A4565" s="78">
        <v>50221</v>
      </c>
      <c r="B4565" s="77">
        <f>+PT!A4567</f>
        <v>0</v>
      </c>
      <c r="C4565" s="77">
        <f t="shared" si="74"/>
        <v>4564</v>
      </c>
    </row>
    <row r="4566" spans="1:3" x14ac:dyDescent="0.2">
      <c r="A4566" s="78">
        <v>50222</v>
      </c>
      <c r="B4566" s="77">
        <f>+PT!A4568</f>
        <v>0</v>
      </c>
      <c r="C4566" s="77">
        <f t="shared" si="74"/>
        <v>4565</v>
      </c>
    </row>
    <row r="4567" spans="1:3" x14ac:dyDescent="0.2">
      <c r="A4567" s="78">
        <v>50223</v>
      </c>
      <c r="B4567" s="77">
        <f>+PT!A4569</f>
        <v>0</v>
      </c>
      <c r="C4567" s="77">
        <f t="shared" si="74"/>
        <v>4566</v>
      </c>
    </row>
    <row r="4568" spans="1:3" x14ac:dyDescent="0.2">
      <c r="A4568" s="78">
        <v>50224</v>
      </c>
      <c r="B4568" s="77">
        <f>+PT!A4570</f>
        <v>0</v>
      </c>
      <c r="C4568" s="77">
        <f t="shared" si="74"/>
        <v>4567</v>
      </c>
    </row>
    <row r="4569" spans="1:3" x14ac:dyDescent="0.2">
      <c r="A4569" s="78">
        <v>50225</v>
      </c>
      <c r="B4569" s="77">
        <f>+PT!A4571</f>
        <v>0</v>
      </c>
      <c r="C4569" s="77">
        <f t="shared" si="74"/>
        <v>4568</v>
      </c>
    </row>
    <row r="4570" spans="1:3" x14ac:dyDescent="0.2">
      <c r="A4570" s="78">
        <v>50226</v>
      </c>
      <c r="B4570" s="77">
        <f>+PT!A4572</f>
        <v>0</v>
      </c>
      <c r="C4570" s="77">
        <f t="shared" si="74"/>
        <v>4569</v>
      </c>
    </row>
    <row r="4571" spans="1:3" x14ac:dyDescent="0.2">
      <c r="A4571" s="78">
        <v>50227</v>
      </c>
      <c r="B4571" s="77">
        <f>+PT!A4573</f>
        <v>0</v>
      </c>
      <c r="C4571" s="77">
        <f t="shared" si="74"/>
        <v>4570</v>
      </c>
    </row>
    <row r="4572" spans="1:3" x14ac:dyDescent="0.2">
      <c r="A4572" s="78">
        <v>50228</v>
      </c>
      <c r="B4572" s="77">
        <f>+PT!A4574</f>
        <v>0</v>
      </c>
      <c r="C4572" s="77">
        <f t="shared" si="74"/>
        <v>4571</v>
      </c>
    </row>
    <row r="4573" spans="1:3" x14ac:dyDescent="0.2">
      <c r="A4573" s="78">
        <v>50229</v>
      </c>
      <c r="B4573" s="77">
        <f>+PT!A4575</f>
        <v>0</v>
      </c>
      <c r="C4573" s="77">
        <f t="shared" si="74"/>
        <v>4572</v>
      </c>
    </row>
    <row r="4574" spans="1:3" x14ac:dyDescent="0.2">
      <c r="A4574" s="78">
        <v>50230</v>
      </c>
      <c r="B4574" s="77">
        <f>+PT!A4576</f>
        <v>0</v>
      </c>
      <c r="C4574" s="77">
        <f t="shared" si="74"/>
        <v>4573</v>
      </c>
    </row>
    <row r="4575" spans="1:3" x14ac:dyDescent="0.2">
      <c r="A4575" s="78">
        <v>50231</v>
      </c>
      <c r="B4575" s="77">
        <f>+PT!A4577</f>
        <v>0</v>
      </c>
      <c r="C4575" s="77">
        <f t="shared" si="74"/>
        <v>4574</v>
      </c>
    </row>
    <row r="4576" spans="1:3" x14ac:dyDescent="0.2">
      <c r="A4576" s="78">
        <v>50232</v>
      </c>
      <c r="B4576" s="77">
        <f>+PT!A4578</f>
        <v>0</v>
      </c>
      <c r="C4576" s="77">
        <f t="shared" si="74"/>
        <v>4575</v>
      </c>
    </row>
    <row r="4577" spans="1:3" x14ac:dyDescent="0.2">
      <c r="A4577" s="78">
        <v>50233</v>
      </c>
      <c r="B4577" s="77">
        <f>+PT!A4579</f>
        <v>0</v>
      </c>
      <c r="C4577" s="77">
        <f t="shared" si="74"/>
        <v>4576</v>
      </c>
    </row>
    <row r="4578" spans="1:3" x14ac:dyDescent="0.2">
      <c r="A4578" s="78">
        <v>50234</v>
      </c>
      <c r="B4578" s="77">
        <f>+PT!A4580</f>
        <v>0</v>
      </c>
      <c r="C4578" s="77">
        <f t="shared" si="74"/>
        <v>4577</v>
      </c>
    </row>
    <row r="4579" spans="1:3" x14ac:dyDescent="0.2">
      <c r="A4579" s="78">
        <v>50235</v>
      </c>
      <c r="B4579" s="77">
        <f>+PT!A4581</f>
        <v>0</v>
      </c>
      <c r="C4579" s="77">
        <f t="shared" si="74"/>
        <v>4578</v>
      </c>
    </row>
    <row r="4580" spans="1:3" x14ac:dyDescent="0.2">
      <c r="A4580" s="78">
        <v>50236</v>
      </c>
      <c r="B4580" s="77">
        <f>+PT!A4582</f>
        <v>0</v>
      </c>
      <c r="C4580" s="77">
        <f t="shared" si="74"/>
        <v>4579</v>
      </c>
    </row>
    <row r="4581" spans="1:3" x14ac:dyDescent="0.2">
      <c r="A4581" s="78">
        <v>50237</v>
      </c>
      <c r="B4581" s="77">
        <f>+PT!A4583</f>
        <v>0</v>
      </c>
      <c r="C4581" s="77">
        <f t="shared" si="74"/>
        <v>4580</v>
      </c>
    </row>
    <row r="4582" spans="1:3" x14ac:dyDescent="0.2">
      <c r="A4582" s="78">
        <v>50238</v>
      </c>
      <c r="B4582" s="77">
        <f>+PT!A4584</f>
        <v>0</v>
      </c>
      <c r="C4582" s="77">
        <f t="shared" si="74"/>
        <v>4581</v>
      </c>
    </row>
    <row r="4583" spans="1:3" x14ac:dyDescent="0.2">
      <c r="A4583" s="78">
        <v>50239</v>
      </c>
      <c r="B4583" s="77">
        <f>+PT!A4585</f>
        <v>0</v>
      </c>
      <c r="C4583" s="77">
        <f t="shared" si="74"/>
        <v>4582</v>
      </c>
    </row>
    <row r="4584" spans="1:3" x14ac:dyDescent="0.2">
      <c r="A4584" s="78">
        <v>50240</v>
      </c>
      <c r="B4584" s="77">
        <f>+PT!A4586</f>
        <v>0</v>
      </c>
      <c r="C4584" s="77">
        <f t="shared" si="74"/>
        <v>4583</v>
      </c>
    </row>
    <row r="4585" spans="1:3" x14ac:dyDescent="0.2">
      <c r="A4585" s="78">
        <v>50241</v>
      </c>
      <c r="B4585" s="77">
        <f>+PT!A4587</f>
        <v>0</v>
      </c>
      <c r="C4585" s="77">
        <f t="shared" si="74"/>
        <v>4584</v>
      </c>
    </row>
    <row r="4586" spans="1:3" x14ac:dyDescent="0.2">
      <c r="A4586" s="78">
        <v>50242</v>
      </c>
      <c r="B4586" s="77">
        <f>+PT!A4588</f>
        <v>0</v>
      </c>
      <c r="C4586" s="77">
        <f t="shared" si="74"/>
        <v>4585</v>
      </c>
    </row>
    <row r="4587" spans="1:3" x14ac:dyDescent="0.2">
      <c r="A4587" s="78">
        <v>50243</v>
      </c>
      <c r="B4587" s="77">
        <f>+PT!A4589</f>
        <v>0</v>
      </c>
      <c r="C4587" s="77">
        <f t="shared" si="74"/>
        <v>4586</v>
      </c>
    </row>
    <row r="4588" spans="1:3" x14ac:dyDescent="0.2">
      <c r="A4588" s="78">
        <v>50244</v>
      </c>
      <c r="B4588" s="77">
        <f>+PT!A4590</f>
        <v>0</v>
      </c>
      <c r="C4588" s="77">
        <f t="shared" si="74"/>
        <v>4587</v>
      </c>
    </row>
    <row r="4589" spans="1:3" x14ac:dyDescent="0.2">
      <c r="A4589" s="78">
        <v>50245</v>
      </c>
      <c r="B4589" s="77">
        <f>+PT!A4591</f>
        <v>0</v>
      </c>
      <c r="C4589" s="77">
        <f t="shared" si="74"/>
        <v>4588</v>
      </c>
    </row>
    <row r="4590" spans="1:3" x14ac:dyDescent="0.2">
      <c r="A4590" s="78">
        <v>50246</v>
      </c>
      <c r="B4590" s="77">
        <f>+PT!A4592</f>
        <v>0</v>
      </c>
      <c r="C4590" s="77">
        <f t="shared" si="74"/>
        <v>4589</v>
      </c>
    </row>
    <row r="4591" spans="1:3" x14ac:dyDescent="0.2">
      <c r="A4591" s="78">
        <v>50247</v>
      </c>
      <c r="B4591" s="77">
        <f>+PT!A4593</f>
        <v>0</v>
      </c>
      <c r="C4591" s="77">
        <f t="shared" si="74"/>
        <v>4590</v>
      </c>
    </row>
    <row r="4592" spans="1:3" x14ac:dyDescent="0.2">
      <c r="A4592" s="78">
        <v>50248</v>
      </c>
      <c r="B4592" s="77">
        <f>+PT!A4594</f>
        <v>0</v>
      </c>
      <c r="C4592" s="77">
        <f t="shared" si="74"/>
        <v>4591</v>
      </c>
    </row>
    <row r="4593" spans="1:3" x14ac:dyDescent="0.2">
      <c r="A4593" s="78">
        <v>50249</v>
      </c>
      <c r="B4593" s="77">
        <f>+PT!A4595</f>
        <v>0</v>
      </c>
      <c r="C4593" s="77">
        <f t="shared" si="74"/>
        <v>4592</v>
      </c>
    </row>
    <row r="4594" spans="1:3" x14ac:dyDescent="0.2">
      <c r="A4594" s="78">
        <v>50250</v>
      </c>
      <c r="B4594" s="77">
        <f>+PT!A4596</f>
        <v>0</v>
      </c>
      <c r="C4594" s="77">
        <f t="shared" si="74"/>
        <v>4593</v>
      </c>
    </row>
    <row r="4595" spans="1:3" x14ac:dyDescent="0.2">
      <c r="A4595" s="78">
        <v>50251</v>
      </c>
      <c r="B4595" s="77">
        <f>+PT!A4597</f>
        <v>0</v>
      </c>
      <c r="C4595" s="77">
        <f t="shared" si="74"/>
        <v>4594</v>
      </c>
    </row>
    <row r="4596" spans="1:3" x14ac:dyDescent="0.2">
      <c r="A4596" s="78">
        <v>50252</v>
      </c>
      <c r="B4596" s="77">
        <f>+PT!A4598</f>
        <v>0</v>
      </c>
      <c r="C4596" s="77">
        <f t="shared" si="74"/>
        <v>4595</v>
      </c>
    </row>
    <row r="4597" spans="1:3" x14ac:dyDescent="0.2">
      <c r="A4597" s="78">
        <v>50253</v>
      </c>
      <c r="B4597" s="77">
        <f>+PT!A4599</f>
        <v>0</v>
      </c>
      <c r="C4597" s="77">
        <f t="shared" si="74"/>
        <v>4596</v>
      </c>
    </row>
    <row r="4598" spans="1:3" x14ac:dyDescent="0.2">
      <c r="A4598" s="78">
        <v>50254</v>
      </c>
      <c r="B4598" s="77">
        <f>+PT!A4600</f>
        <v>0</v>
      </c>
      <c r="C4598" s="77">
        <f t="shared" si="74"/>
        <v>4597</v>
      </c>
    </row>
    <row r="4599" spans="1:3" x14ac:dyDescent="0.2">
      <c r="A4599" s="78">
        <v>50255</v>
      </c>
      <c r="B4599" s="77">
        <f>+PT!A4601</f>
        <v>0</v>
      </c>
      <c r="C4599" s="77">
        <f t="shared" si="74"/>
        <v>4598</v>
      </c>
    </row>
    <row r="4600" spans="1:3" x14ac:dyDescent="0.2">
      <c r="A4600" s="78">
        <v>50256</v>
      </c>
      <c r="B4600" s="77">
        <f>+PT!A4602</f>
        <v>0</v>
      </c>
      <c r="C4600" s="77">
        <f t="shared" si="74"/>
        <v>4599</v>
      </c>
    </row>
    <row r="4601" spans="1:3" x14ac:dyDescent="0.2">
      <c r="A4601" s="78">
        <v>50257</v>
      </c>
      <c r="B4601" s="77">
        <f>+PT!A4603</f>
        <v>0</v>
      </c>
      <c r="C4601" s="77">
        <f t="shared" si="74"/>
        <v>4600</v>
      </c>
    </row>
    <row r="4602" spans="1:3" x14ac:dyDescent="0.2">
      <c r="A4602" s="78">
        <v>50258</v>
      </c>
      <c r="B4602" s="77">
        <f>+PT!A4604</f>
        <v>0</v>
      </c>
      <c r="C4602" s="77">
        <f t="shared" si="74"/>
        <v>4601</v>
      </c>
    </row>
    <row r="4603" spans="1:3" x14ac:dyDescent="0.2">
      <c r="A4603" s="78">
        <v>50259</v>
      </c>
      <c r="B4603" s="77">
        <f>+PT!A4605</f>
        <v>0</v>
      </c>
      <c r="C4603" s="77">
        <f t="shared" si="74"/>
        <v>4602</v>
      </c>
    </row>
    <row r="4604" spans="1:3" x14ac:dyDescent="0.2">
      <c r="A4604" s="78">
        <v>50260</v>
      </c>
      <c r="B4604" s="77">
        <f>+PT!A4606</f>
        <v>0</v>
      </c>
      <c r="C4604" s="77">
        <f t="shared" si="74"/>
        <v>4603</v>
      </c>
    </row>
    <row r="4605" spans="1:3" x14ac:dyDescent="0.2">
      <c r="A4605" s="78">
        <v>50261</v>
      </c>
      <c r="B4605" s="77">
        <f>+PT!A4607</f>
        <v>0</v>
      </c>
      <c r="C4605" s="77">
        <f t="shared" si="74"/>
        <v>4604</v>
      </c>
    </row>
    <row r="4606" spans="1:3" x14ac:dyDescent="0.2">
      <c r="A4606" s="78">
        <v>50262</v>
      </c>
      <c r="B4606" s="77">
        <f>+PT!A4608</f>
        <v>0</v>
      </c>
      <c r="C4606" s="77">
        <f t="shared" si="74"/>
        <v>4605</v>
      </c>
    </row>
    <row r="4607" spans="1:3" x14ac:dyDescent="0.2">
      <c r="A4607" s="78">
        <v>50263</v>
      </c>
      <c r="B4607" s="77">
        <f>+PT!A4609</f>
        <v>0</v>
      </c>
      <c r="C4607" s="77">
        <f t="shared" si="74"/>
        <v>4606</v>
      </c>
    </row>
    <row r="4608" spans="1:3" x14ac:dyDescent="0.2">
      <c r="A4608" s="78">
        <v>50264</v>
      </c>
      <c r="B4608" s="77">
        <f>+PT!A4610</f>
        <v>0</v>
      </c>
      <c r="C4608" s="77">
        <f t="shared" si="74"/>
        <v>4607</v>
      </c>
    </row>
    <row r="4609" spans="1:3" x14ac:dyDescent="0.2">
      <c r="A4609" s="78">
        <v>50265</v>
      </c>
      <c r="B4609" s="77">
        <f>+PT!A4611</f>
        <v>0</v>
      </c>
      <c r="C4609" s="77">
        <f t="shared" si="74"/>
        <v>4608</v>
      </c>
    </row>
    <row r="4610" spans="1:3" x14ac:dyDescent="0.2">
      <c r="A4610" s="78">
        <v>50266</v>
      </c>
      <c r="B4610" s="77">
        <f>+PT!A4612</f>
        <v>0</v>
      </c>
      <c r="C4610" s="77">
        <f t="shared" si="74"/>
        <v>4609</v>
      </c>
    </row>
    <row r="4611" spans="1:3" x14ac:dyDescent="0.2">
      <c r="A4611" s="78">
        <v>50267</v>
      </c>
      <c r="B4611" s="77">
        <f>+PT!A4613</f>
        <v>0</v>
      </c>
      <c r="C4611" s="77">
        <f t="shared" si="74"/>
        <v>4610</v>
      </c>
    </row>
    <row r="4612" spans="1:3" x14ac:dyDescent="0.2">
      <c r="A4612" s="78">
        <v>50268</v>
      </c>
      <c r="B4612" s="77">
        <f>+PT!A4614</f>
        <v>0</v>
      </c>
      <c r="C4612" s="77">
        <f t="shared" ref="C4612:C4675" si="75">+C4611+1</f>
        <v>4611</v>
      </c>
    </row>
    <row r="4613" spans="1:3" x14ac:dyDescent="0.2">
      <c r="A4613" s="78">
        <v>50269</v>
      </c>
      <c r="B4613" s="77">
        <f>+PT!A4615</f>
        <v>0</v>
      </c>
      <c r="C4613" s="77">
        <f t="shared" si="75"/>
        <v>4612</v>
      </c>
    </row>
    <row r="4614" spans="1:3" x14ac:dyDescent="0.2">
      <c r="A4614" s="78">
        <v>50270</v>
      </c>
      <c r="B4614" s="77">
        <f>+PT!A4616</f>
        <v>0</v>
      </c>
      <c r="C4614" s="77">
        <f t="shared" si="75"/>
        <v>4613</v>
      </c>
    </row>
    <row r="4615" spans="1:3" x14ac:dyDescent="0.2">
      <c r="A4615" s="78">
        <v>50271</v>
      </c>
      <c r="B4615" s="77">
        <f>+PT!A4617</f>
        <v>0</v>
      </c>
      <c r="C4615" s="77">
        <f t="shared" si="75"/>
        <v>4614</v>
      </c>
    </row>
    <row r="4616" spans="1:3" x14ac:dyDescent="0.2">
      <c r="A4616" s="78">
        <v>50272</v>
      </c>
      <c r="B4616" s="77">
        <f>+PT!A4618</f>
        <v>0</v>
      </c>
      <c r="C4616" s="77">
        <f t="shared" si="75"/>
        <v>4615</v>
      </c>
    </row>
    <row r="4617" spans="1:3" x14ac:dyDescent="0.2">
      <c r="A4617" s="78">
        <v>50273</v>
      </c>
      <c r="B4617" s="77">
        <f>+PT!A4619</f>
        <v>0</v>
      </c>
      <c r="C4617" s="77">
        <f t="shared" si="75"/>
        <v>4616</v>
      </c>
    </row>
    <row r="4618" spans="1:3" x14ac:dyDescent="0.2">
      <c r="A4618" s="78">
        <v>50274</v>
      </c>
      <c r="B4618" s="77">
        <f>+PT!A4620</f>
        <v>0</v>
      </c>
      <c r="C4618" s="77">
        <f t="shared" si="75"/>
        <v>4617</v>
      </c>
    </row>
    <row r="4619" spans="1:3" x14ac:dyDescent="0.2">
      <c r="A4619" s="78">
        <v>50275</v>
      </c>
      <c r="B4619" s="77">
        <f>+PT!A4621</f>
        <v>0</v>
      </c>
      <c r="C4619" s="77">
        <f t="shared" si="75"/>
        <v>4618</v>
      </c>
    </row>
    <row r="4620" spans="1:3" x14ac:dyDescent="0.2">
      <c r="A4620" s="78">
        <v>50276</v>
      </c>
      <c r="B4620" s="77">
        <f>+PT!A4622</f>
        <v>0</v>
      </c>
      <c r="C4620" s="77">
        <f t="shared" si="75"/>
        <v>4619</v>
      </c>
    </row>
    <row r="4621" spans="1:3" x14ac:dyDescent="0.2">
      <c r="A4621" s="78">
        <v>50277</v>
      </c>
      <c r="B4621" s="77">
        <f>+PT!A4623</f>
        <v>0</v>
      </c>
      <c r="C4621" s="77">
        <f t="shared" si="75"/>
        <v>4620</v>
      </c>
    </row>
    <row r="4622" spans="1:3" x14ac:dyDescent="0.2">
      <c r="A4622" s="78">
        <v>50278</v>
      </c>
      <c r="B4622" s="77">
        <f>+PT!A4624</f>
        <v>0</v>
      </c>
      <c r="C4622" s="77">
        <f t="shared" si="75"/>
        <v>4621</v>
      </c>
    </row>
    <row r="4623" spans="1:3" x14ac:dyDescent="0.2">
      <c r="A4623" s="78">
        <v>50279</v>
      </c>
      <c r="B4623" s="77">
        <f>+PT!A4625</f>
        <v>0</v>
      </c>
      <c r="C4623" s="77">
        <f t="shared" si="75"/>
        <v>4622</v>
      </c>
    </row>
    <row r="4624" spans="1:3" x14ac:dyDescent="0.2">
      <c r="A4624" s="78">
        <v>50280</v>
      </c>
      <c r="B4624" s="77">
        <f>+PT!A4626</f>
        <v>0</v>
      </c>
      <c r="C4624" s="77">
        <f t="shared" si="75"/>
        <v>4623</v>
      </c>
    </row>
    <row r="4625" spans="1:3" x14ac:dyDescent="0.2">
      <c r="A4625" s="78">
        <v>50281</v>
      </c>
      <c r="B4625" s="77">
        <f>+PT!A4627</f>
        <v>0</v>
      </c>
      <c r="C4625" s="77">
        <f t="shared" si="75"/>
        <v>4624</v>
      </c>
    </row>
    <row r="4626" spans="1:3" x14ac:dyDescent="0.2">
      <c r="A4626" s="78">
        <v>50282</v>
      </c>
      <c r="B4626" s="77">
        <f>+PT!A4628</f>
        <v>0</v>
      </c>
      <c r="C4626" s="77">
        <f t="shared" si="75"/>
        <v>4625</v>
      </c>
    </row>
    <row r="4627" spans="1:3" x14ac:dyDescent="0.2">
      <c r="A4627" s="78">
        <v>50283</v>
      </c>
      <c r="B4627" s="77">
        <f>+PT!A4629</f>
        <v>0</v>
      </c>
      <c r="C4627" s="77">
        <f t="shared" si="75"/>
        <v>4626</v>
      </c>
    </row>
    <row r="4628" spans="1:3" x14ac:dyDescent="0.2">
      <c r="A4628" s="78">
        <v>50284</v>
      </c>
      <c r="B4628" s="77">
        <f>+PT!A4630</f>
        <v>0</v>
      </c>
      <c r="C4628" s="77">
        <f t="shared" si="75"/>
        <v>4627</v>
      </c>
    </row>
    <row r="4629" spans="1:3" x14ac:dyDescent="0.2">
      <c r="A4629" s="78">
        <v>50285</v>
      </c>
      <c r="B4629" s="77">
        <f>+PT!A4631</f>
        <v>0</v>
      </c>
      <c r="C4629" s="77">
        <f t="shared" si="75"/>
        <v>4628</v>
      </c>
    </row>
    <row r="4630" spans="1:3" x14ac:dyDescent="0.2">
      <c r="A4630" s="78">
        <v>50286</v>
      </c>
      <c r="B4630" s="77">
        <f>+PT!A4632</f>
        <v>0</v>
      </c>
      <c r="C4630" s="77">
        <f t="shared" si="75"/>
        <v>4629</v>
      </c>
    </row>
    <row r="4631" spans="1:3" x14ac:dyDescent="0.2">
      <c r="A4631" s="78">
        <v>50287</v>
      </c>
      <c r="B4631" s="77">
        <f>+PT!A4633</f>
        <v>0</v>
      </c>
      <c r="C4631" s="77">
        <f t="shared" si="75"/>
        <v>4630</v>
      </c>
    </row>
    <row r="4632" spans="1:3" x14ac:dyDescent="0.2">
      <c r="A4632" s="78">
        <v>50288</v>
      </c>
      <c r="B4632" s="77">
        <f>+PT!A4634</f>
        <v>0</v>
      </c>
      <c r="C4632" s="77">
        <f t="shared" si="75"/>
        <v>4631</v>
      </c>
    </row>
    <row r="4633" spans="1:3" x14ac:dyDescent="0.2">
      <c r="A4633" s="78">
        <v>50289</v>
      </c>
      <c r="B4633" s="77">
        <f>+PT!A4635</f>
        <v>0</v>
      </c>
      <c r="C4633" s="77">
        <f t="shared" si="75"/>
        <v>4632</v>
      </c>
    </row>
    <row r="4634" spans="1:3" x14ac:dyDescent="0.2">
      <c r="A4634" s="78">
        <v>50290</v>
      </c>
      <c r="B4634" s="77">
        <f>+PT!A4636</f>
        <v>0</v>
      </c>
      <c r="C4634" s="77">
        <f t="shared" si="75"/>
        <v>4633</v>
      </c>
    </row>
    <row r="4635" spans="1:3" x14ac:dyDescent="0.2">
      <c r="A4635" s="78">
        <v>50291</v>
      </c>
      <c r="B4635" s="77">
        <f>+PT!A4637</f>
        <v>0</v>
      </c>
      <c r="C4635" s="77">
        <f t="shared" si="75"/>
        <v>4634</v>
      </c>
    </row>
    <row r="4636" spans="1:3" x14ac:dyDescent="0.2">
      <c r="A4636" s="78">
        <v>50292</v>
      </c>
      <c r="B4636" s="77">
        <f>+PT!A4638</f>
        <v>0</v>
      </c>
      <c r="C4636" s="77">
        <f t="shared" si="75"/>
        <v>4635</v>
      </c>
    </row>
    <row r="4637" spans="1:3" x14ac:dyDescent="0.2">
      <c r="A4637" s="78">
        <v>50293</v>
      </c>
      <c r="B4637" s="77">
        <f>+PT!A4639</f>
        <v>0</v>
      </c>
      <c r="C4637" s="77">
        <f t="shared" si="75"/>
        <v>4636</v>
      </c>
    </row>
    <row r="4638" spans="1:3" x14ac:dyDescent="0.2">
      <c r="A4638" s="78">
        <v>50294</v>
      </c>
      <c r="B4638" s="77">
        <f>+PT!A4640</f>
        <v>0</v>
      </c>
      <c r="C4638" s="77">
        <f t="shared" si="75"/>
        <v>4637</v>
      </c>
    </row>
    <row r="4639" spans="1:3" x14ac:dyDescent="0.2">
      <c r="A4639" s="78">
        <v>50295</v>
      </c>
      <c r="B4639" s="77">
        <f>+PT!A4641</f>
        <v>0</v>
      </c>
      <c r="C4639" s="77">
        <f t="shared" si="75"/>
        <v>4638</v>
      </c>
    </row>
    <row r="4640" spans="1:3" x14ac:dyDescent="0.2">
      <c r="A4640" s="78">
        <v>50296</v>
      </c>
      <c r="B4640" s="77">
        <f>+PT!A4642</f>
        <v>0</v>
      </c>
      <c r="C4640" s="77">
        <f t="shared" si="75"/>
        <v>4639</v>
      </c>
    </row>
    <row r="4641" spans="1:3" x14ac:dyDescent="0.2">
      <c r="A4641" s="78">
        <v>50297</v>
      </c>
      <c r="B4641" s="77">
        <f>+PT!A4643</f>
        <v>0</v>
      </c>
      <c r="C4641" s="77">
        <f t="shared" si="75"/>
        <v>4640</v>
      </c>
    </row>
    <row r="4642" spans="1:3" x14ac:dyDescent="0.2">
      <c r="A4642" s="78">
        <v>50298</v>
      </c>
      <c r="B4642" s="77">
        <f>+PT!A4644</f>
        <v>0</v>
      </c>
      <c r="C4642" s="77">
        <f t="shared" si="75"/>
        <v>4641</v>
      </c>
    </row>
    <row r="4643" spans="1:3" x14ac:dyDescent="0.2">
      <c r="A4643" s="78">
        <v>50299</v>
      </c>
      <c r="B4643" s="77">
        <f>+PT!A4645</f>
        <v>0</v>
      </c>
      <c r="C4643" s="77">
        <f t="shared" si="75"/>
        <v>4642</v>
      </c>
    </row>
    <row r="4644" spans="1:3" x14ac:dyDescent="0.2">
      <c r="A4644" s="78">
        <v>50300</v>
      </c>
      <c r="B4644" s="77">
        <f>+PT!A4646</f>
        <v>0</v>
      </c>
      <c r="C4644" s="77">
        <f t="shared" si="75"/>
        <v>4643</v>
      </c>
    </row>
    <row r="4645" spans="1:3" x14ac:dyDescent="0.2">
      <c r="A4645" s="78">
        <v>50301</v>
      </c>
      <c r="B4645" s="77">
        <f>+PT!A4647</f>
        <v>0</v>
      </c>
      <c r="C4645" s="77">
        <f t="shared" si="75"/>
        <v>4644</v>
      </c>
    </row>
    <row r="4646" spans="1:3" x14ac:dyDescent="0.2">
      <c r="A4646" s="78">
        <v>50302</v>
      </c>
      <c r="B4646" s="77">
        <f>+PT!A4648</f>
        <v>0</v>
      </c>
      <c r="C4646" s="77">
        <f t="shared" si="75"/>
        <v>4645</v>
      </c>
    </row>
    <row r="4647" spans="1:3" x14ac:dyDescent="0.2">
      <c r="A4647" s="78">
        <v>50303</v>
      </c>
      <c r="B4647" s="77">
        <f>+PT!A4649</f>
        <v>0</v>
      </c>
      <c r="C4647" s="77">
        <f t="shared" si="75"/>
        <v>4646</v>
      </c>
    </row>
    <row r="4648" spans="1:3" x14ac:dyDescent="0.2">
      <c r="A4648" s="78">
        <v>50304</v>
      </c>
      <c r="B4648" s="77">
        <f>+PT!A4650</f>
        <v>0</v>
      </c>
      <c r="C4648" s="77">
        <f t="shared" si="75"/>
        <v>4647</v>
      </c>
    </row>
    <row r="4649" spans="1:3" x14ac:dyDescent="0.2">
      <c r="A4649" s="78">
        <v>50305</v>
      </c>
      <c r="B4649" s="77">
        <f>+PT!A4651</f>
        <v>0</v>
      </c>
      <c r="C4649" s="77">
        <f t="shared" si="75"/>
        <v>4648</v>
      </c>
    </row>
    <row r="4650" spans="1:3" x14ac:dyDescent="0.2">
      <c r="A4650" s="78">
        <v>50306</v>
      </c>
      <c r="B4650" s="77">
        <f>+PT!A4652</f>
        <v>0</v>
      </c>
      <c r="C4650" s="77">
        <f t="shared" si="75"/>
        <v>4649</v>
      </c>
    </row>
    <row r="4651" spans="1:3" x14ac:dyDescent="0.2">
      <c r="A4651" s="78">
        <v>50307</v>
      </c>
      <c r="B4651" s="77">
        <f>+PT!A4653</f>
        <v>0</v>
      </c>
      <c r="C4651" s="77">
        <f t="shared" si="75"/>
        <v>4650</v>
      </c>
    </row>
    <row r="4652" spans="1:3" x14ac:dyDescent="0.2">
      <c r="A4652" s="78">
        <v>50308</v>
      </c>
      <c r="B4652" s="77">
        <f>+PT!A4654</f>
        <v>0</v>
      </c>
      <c r="C4652" s="77">
        <f t="shared" si="75"/>
        <v>4651</v>
      </c>
    </row>
    <row r="4653" spans="1:3" x14ac:dyDescent="0.2">
      <c r="A4653" s="78">
        <v>50309</v>
      </c>
      <c r="B4653" s="77">
        <f>+PT!A4655</f>
        <v>0</v>
      </c>
      <c r="C4653" s="77">
        <f t="shared" si="75"/>
        <v>4652</v>
      </c>
    </row>
    <row r="4654" spans="1:3" x14ac:dyDescent="0.2">
      <c r="A4654" s="78">
        <v>50310</v>
      </c>
      <c r="B4654" s="77">
        <f>+PT!A4656</f>
        <v>0</v>
      </c>
      <c r="C4654" s="77">
        <f t="shared" si="75"/>
        <v>4653</v>
      </c>
    </row>
    <row r="4655" spans="1:3" x14ac:dyDescent="0.2">
      <c r="A4655" s="78">
        <v>50311</v>
      </c>
      <c r="B4655" s="77">
        <f>+PT!A4657</f>
        <v>0</v>
      </c>
      <c r="C4655" s="77">
        <f t="shared" si="75"/>
        <v>4654</v>
      </c>
    </row>
    <row r="4656" spans="1:3" x14ac:dyDescent="0.2">
      <c r="A4656" s="78">
        <v>50312</v>
      </c>
      <c r="B4656" s="77">
        <f>+PT!A4658</f>
        <v>0</v>
      </c>
      <c r="C4656" s="77">
        <f t="shared" si="75"/>
        <v>4655</v>
      </c>
    </row>
    <row r="4657" spans="1:3" x14ac:dyDescent="0.2">
      <c r="A4657" s="78">
        <v>50313</v>
      </c>
      <c r="B4657" s="77">
        <f>+PT!A4659</f>
        <v>0</v>
      </c>
      <c r="C4657" s="77">
        <f t="shared" si="75"/>
        <v>4656</v>
      </c>
    </row>
    <row r="4658" spans="1:3" x14ac:dyDescent="0.2">
      <c r="A4658" s="78">
        <v>50314</v>
      </c>
      <c r="B4658" s="77">
        <f>+PT!A4660</f>
        <v>0</v>
      </c>
      <c r="C4658" s="77">
        <f t="shared" si="75"/>
        <v>4657</v>
      </c>
    </row>
    <row r="4659" spans="1:3" x14ac:dyDescent="0.2">
      <c r="A4659" s="78">
        <v>50315</v>
      </c>
      <c r="B4659" s="77">
        <f>+PT!A4661</f>
        <v>0</v>
      </c>
      <c r="C4659" s="77">
        <f t="shared" si="75"/>
        <v>4658</v>
      </c>
    </row>
    <row r="4660" spans="1:3" x14ac:dyDescent="0.2">
      <c r="A4660" s="78">
        <v>50316</v>
      </c>
      <c r="B4660" s="77">
        <f>+PT!A4662</f>
        <v>0</v>
      </c>
      <c r="C4660" s="77">
        <f t="shared" si="75"/>
        <v>4659</v>
      </c>
    </row>
    <row r="4661" spans="1:3" x14ac:dyDescent="0.2">
      <c r="A4661" s="78">
        <v>50317</v>
      </c>
      <c r="B4661" s="77">
        <f>+PT!A4663</f>
        <v>0</v>
      </c>
      <c r="C4661" s="77">
        <f t="shared" si="75"/>
        <v>4660</v>
      </c>
    </row>
    <row r="4662" spans="1:3" x14ac:dyDescent="0.2">
      <c r="A4662" s="78">
        <v>50318</v>
      </c>
      <c r="B4662" s="77">
        <f>+PT!A4664</f>
        <v>0</v>
      </c>
      <c r="C4662" s="77">
        <f t="shared" si="75"/>
        <v>4661</v>
      </c>
    </row>
    <row r="4663" spans="1:3" x14ac:dyDescent="0.2">
      <c r="A4663" s="78">
        <v>50319</v>
      </c>
      <c r="B4663" s="77">
        <f>+PT!A4665</f>
        <v>0</v>
      </c>
      <c r="C4663" s="77">
        <f t="shared" si="75"/>
        <v>4662</v>
      </c>
    </row>
    <row r="4664" spans="1:3" x14ac:dyDescent="0.2">
      <c r="A4664" s="78">
        <v>50320</v>
      </c>
      <c r="B4664" s="77">
        <f>+PT!A4666</f>
        <v>0</v>
      </c>
      <c r="C4664" s="77">
        <f t="shared" si="75"/>
        <v>4663</v>
      </c>
    </row>
    <row r="4665" spans="1:3" x14ac:dyDescent="0.2">
      <c r="A4665" s="78">
        <v>50321</v>
      </c>
      <c r="B4665" s="77">
        <f>+PT!A4667</f>
        <v>0</v>
      </c>
      <c r="C4665" s="77">
        <f t="shared" si="75"/>
        <v>4664</v>
      </c>
    </row>
    <row r="4666" spans="1:3" x14ac:dyDescent="0.2">
      <c r="A4666" s="78">
        <v>50322</v>
      </c>
      <c r="B4666" s="77">
        <f>+PT!A4668</f>
        <v>0</v>
      </c>
      <c r="C4666" s="77">
        <f t="shared" si="75"/>
        <v>4665</v>
      </c>
    </row>
    <row r="4667" spans="1:3" x14ac:dyDescent="0.2">
      <c r="A4667" s="78">
        <v>50323</v>
      </c>
      <c r="B4667" s="77">
        <f>+PT!A4669</f>
        <v>0</v>
      </c>
      <c r="C4667" s="77">
        <f t="shared" si="75"/>
        <v>4666</v>
      </c>
    </row>
    <row r="4668" spans="1:3" x14ac:dyDescent="0.2">
      <c r="A4668" s="78">
        <v>50324</v>
      </c>
      <c r="B4668" s="77">
        <f>+PT!A4670</f>
        <v>0</v>
      </c>
      <c r="C4668" s="77">
        <f t="shared" si="75"/>
        <v>4667</v>
      </c>
    </row>
    <row r="4669" spans="1:3" x14ac:dyDescent="0.2">
      <c r="A4669" s="78">
        <v>50325</v>
      </c>
      <c r="B4669" s="77">
        <f>+PT!A4671</f>
        <v>0</v>
      </c>
      <c r="C4669" s="77">
        <f t="shared" si="75"/>
        <v>4668</v>
      </c>
    </row>
    <row r="4670" spans="1:3" x14ac:dyDescent="0.2">
      <c r="A4670" s="78">
        <v>50326</v>
      </c>
      <c r="B4670" s="77">
        <f>+PT!A4672</f>
        <v>0</v>
      </c>
      <c r="C4670" s="77">
        <f t="shared" si="75"/>
        <v>4669</v>
      </c>
    </row>
    <row r="4671" spans="1:3" x14ac:dyDescent="0.2">
      <c r="A4671" s="78">
        <v>50327</v>
      </c>
      <c r="B4671" s="77">
        <f>+PT!A4673</f>
        <v>0</v>
      </c>
      <c r="C4671" s="77">
        <f t="shared" si="75"/>
        <v>4670</v>
      </c>
    </row>
    <row r="4672" spans="1:3" x14ac:dyDescent="0.2">
      <c r="A4672" s="78">
        <v>50328</v>
      </c>
      <c r="B4672" s="77">
        <f>+PT!A4674</f>
        <v>0</v>
      </c>
      <c r="C4672" s="77">
        <f t="shared" si="75"/>
        <v>4671</v>
      </c>
    </row>
    <row r="4673" spans="1:3" x14ac:dyDescent="0.2">
      <c r="A4673" s="78">
        <v>50329</v>
      </c>
      <c r="B4673" s="77">
        <f>+PT!A4675</f>
        <v>0</v>
      </c>
      <c r="C4673" s="77">
        <f t="shared" si="75"/>
        <v>4672</v>
      </c>
    </row>
    <row r="4674" spans="1:3" x14ac:dyDescent="0.2">
      <c r="A4674" s="78">
        <v>50330</v>
      </c>
      <c r="B4674" s="77">
        <f>+PT!A4676</f>
        <v>0</v>
      </c>
      <c r="C4674" s="77">
        <f t="shared" si="75"/>
        <v>4673</v>
      </c>
    </row>
    <row r="4675" spans="1:3" x14ac:dyDescent="0.2">
      <c r="A4675" s="78">
        <v>50331</v>
      </c>
      <c r="B4675" s="77">
        <f>+PT!A4677</f>
        <v>0</v>
      </c>
      <c r="C4675" s="77">
        <f t="shared" si="75"/>
        <v>4674</v>
      </c>
    </row>
    <row r="4676" spans="1:3" x14ac:dyDescent="0.2">
      <c r="A4676" s="78">
        <v>50332</v>
      </c>
      <c r="B4676" s="77">
        <f>+PT!A4678</f>
        <v>0</v>
      </c>
      <c r="C4676" s="77">
        <f t="shared" ref="C4676:C4739" si="76">+C4675+1</f>
        <v>4675</v>
      </c>
    </row>
    <row r="4677" spans="1:3" x14ac:dyDescent="0.2">
      <c r="A4677" s="78">
        <v>50333</v>
      </c>
      <c r="B4677" s="77">
        <f>+PT!A4679</f>
        <v>0</v>
      </c>
      <c r="C4677" s="77">
        <f t="shared" si="76"/>
        <v>4676</v>
      </c>
    </row>
    <row r="4678" spans="1:3" x14ac:dyDescent="0.2">
      <c r="A4678" s="78">
        <v>50334</v>
      </c>
      <c r="B4678" s="77">
        <f>+PT!A4680</f>
        <v>0</v>
      </c>
      <c r="C4678" s="77">
        <f t="shared" si="76"/>
        <v>4677</v>
      </c>
    </row>
    <row r="4679" spans="1:3" x14ac:dyDescent="0.2">
      <c r="A4679" s="78">
        <v>50335</v>
      </c>
      <c r="B4679" s="77">
        <f>+PT!A4681</f>
        <v>0</v>
      </c>
      <c r="C4679" s="77">
        <f t="shared" si="76"/>
        <v>4678</v>
      </c>
    </row>
    <row r="4680" spans="1:3" x14ac:dyDescent="0.2">
      <c r="A4680" s="78">
        <v>50336</v>
      </c>
      <c r="B4680" s="77">
        <f>+PT!A4682</f>
        <v>0</v>
      </c>
      <c r="C4680" s="77">
        <f t="shared" si="76"/>
        <v>4679</v>
      </c>
    </row>
    <row r="4681" spans="1:3" x14ac:dyDescent="0.2">
      <c r="A4681" s="78">
        <v>50337</v>
      </c>
      <c r="B4681" s="77">
        <f>+PT!A4683</f>
        <v>0</v>
      </c>
      <c r="C4681" s="77">
        <f t="shared" si="76"/>
        <v>4680</v>
      </c>
    </row>
    <row r="4682" spans="1:3" x14ac:dyDescent="0.2">
      <c r="A4682" s="78">
        <v>50338</v>
      </c>
      <c r="B4682" s="77">
        <f>+PT!A4684</f>
        <v>0</v>
      </c>
      <c r="C4682" s="77">
        <f t="shared" si="76"/>
        <v>4681</v>
      </c>
    </row>
    <row r="4683" spans="1:3" x14ac:dyDescent="0.2">
      <c r="A4683" s="78">
        <v>50339</v>
      </c>
      <c r="B4683" s="77">
        <f>+PT!A4685</f>
        <v>0</v>
      </c>
      <c r="C4683" s="77">
        <f t="shared" si="76"/>
        <v>4682</v>
      </c>
    </row>
    <row r="4684" spans="1:3" x14ac:dyDescent="0.2">
      <c r="A4684" s="78">
        <v>50340</v>
      </c>
      <c r="B4684" s="77">
        <f>+PT!A4686</f>
        <v>0</v>
      </c>
      <c r="C4684" s="77">
        <f t="shared" si="76"/>
        <v>4683</v>
      </c>
    </row>
    <row r="4685" spans="1:3" x14ac:dyDescent="0.2">
      <c r="A4685" s="78">
        <v>50341</v>
      </c>
      <c r="B4685" s="77">
        <f>+PT!A4687</f>
        <v>0</v>
      </c>
      <c r="C4685" s="77">
        <f t="shared" si="76"/>
        <v>4684</v>
      </c>
    </row>
    <row r="4686" spans="1:3" x14ac:dyDescent="0.2">
      <c r="A4686" s="78">
        <v>50342</v>
      </c>
      <c r="B4686" s="77">
        <f>+PT!A4688</f>
        <v>0</v>
      </c>
      <c r="C4686" s="77">
        <f t="shared" si="76"/>
        <v>4685</v>
      </c>
    </row>
    <row r="4687" spans="1:3" x14ac:dyDescent="0.2">
      <c r="A4687" s="78">
        <v>50343</v>
      </c>
      <c r="B4687" s="77">
        <f>+PT!A4689</f>
        <v>0</v>
      </c>
      <c r="C4687" s="77">
        <f t="shared" si="76"/>
        <v>4686</v>
      </c>
    </row>
    <row r="4688" spans="1:3" x14ac:dyDescent="0.2">
      <c r="A4688" s="78">
        <v>50344</v>
      </c>
      <c r="B4688" s="77">
        <f>+PT!A4690</f>
        <v>0</v>
      </c>
      <c r="C4688" s="77">
        <f t="shared" si="76"/>
        <v>4687</v>
      </c>
    </row>
    <row r="4689" spans="1:3" x14ac:dyDescent="0.2">
      <c r="A4689" s="78">
        <v>50345</v>
      </c>
      <c r="B4689" s="77">
        <f>+PT!A4691</f>
        <v>0</v>
      </c>
      <c r="C4689" s="77">
        <f t="shared" si="76"/>
        <v>4688</v>
      </c>
    </row>
    <row r="4690" spans="1:3" x14ac:dyDescent="0.2">
      <c r="A4690" s="78">
        <v>50346</v>
      </c>
      <c r="B4690" s="77">
        <f>+PT!A4692</f>
        <v>0</v>
      </c>
      <c r="C4690" s="77">
        <f t="shared" si="76"/>
        <v>4689</v>
      </c>
    </row>
    <row r="4691" spans="1:3" x14ac:dyDescent="0.2">
      <c r="A4691" s="78">
        <v>50347</v>
      </c>
      <c r="B4691" s="77">
        <f>+PT!A4693</f>
        <v>0</v>
      </c>
      <c r="C4691" s="77">
        <f t="shared" si="76"/>
        <v>4690</v>
      </c>
    </row>
    <row r="4692" spans="1:3" x14ac:dyDescent="0.2">
      <c r="A4692" s="78">
        <v>50348</v>
      </c>
      <c r="B4692" s="77">
        <f>+PT!A4694</f>
        <v>0</v>
      </c>
      <c r="C4692" s="77">
        <f t="shared" si="76"/>
        <v>4691</v>
      </c>
    </row>
    <row r="4693" spans="1:3" x14ac:dyDescent="0.2">
      <c r="A4693" s="78">
        <v>50349</v>
      </c>
      <c r="B4693" s="77">
        <f>+PT!A4695</f>
        <v>0</v>
      </c>
      <c r="C4693" s="77">
        <f t="shared" si="76"/>
        <v>4692</v>
      </c>
    </row>
    <row r="4694" spans="1:3" x14ac:dyDescent="0.2">
      <c r="A4694" s="78">
        <v>50350</v>
      </c>
      <c r="B4694" s="77">
        <f>+PT!A4696</f>
        <v>0</v>
      </c>
      <c r="C4694" s="77">
        <f t="shared" si="76"/>
        <v>4693</v>
      </c>
    </row>
    <row r="4695" spans="1:3" x14ac:dyDescent="0.2">
      <c r="A4695" s="78">
        <v>50351</v>
      </c>
      <c r="B4695" s="77">
        <f>+PT!A4697</f>
        <v>0</v>
      </c>
      <c r="C4695" s="77">
        <f t="shared" si="76"/>
        <v>4694</v>
      </c>
    </row>
    <row r="4696" spans="1:3" x14ac:dyDescent="0.2">
      <c r="A4696" s="78">
        <v>50352</v>
      </c>
      <c r="B4696" s="77">
        <f>+PT!A4698</f>
        <v>0</v>
      </c>
      <c r="C4696" s="77">
        <f t="shared" si="76"/>
        <v>4695</v>
      </c>
    </row>
    <row r="4697" spans="1:3" x14ac:dyDescent="0.2">
      <c r="A4697" s="78">
        <v>50353</v>
      </c>
      <c r="B4697" s="77">
        <f>+PT!A4699</f>
        <v>0</v>
      </c>
      <c r="C4697" s="77">
        <f t="shared" si="76"/>
        <v>4696</v>
      </c>
    </row>
    <row r="4698" spans="1:3" x14ac:dyDescent="0.2">
      <c r="A4698" s="78">
        <v>50354</v>
      </c>
      <c r="B4698" s="77">
        <f>+PT!A4700</f>
        <v>0</v>
      </c>
      <c r="C4698" s="77">
        <f t="shared" si="76"/>
        <v>4697</v>
      </c>
    </row>
    <row r="4699" spans="1:3" x14ac:dyDescent="0.2">
      <c r="A4699" s="78">
        <v>50355</v>
      </c>
      <c r="B4699" s="77">
        <f>+PT!A4701</f>
        <v>0</v>
      </c>
      <c r="C4699" s="77">
        <f t="shared" si="76"/>
        <v>4698</v>
      </c>
    </row>
    <row r="4700" spans="1:3" x14ac:dyDescent="0.2">
      <c r="A4700" s="78">
        <v>50356</v>
      </c>
      <c r="B4700" s="77">
        <f>+PT!A4702</f>
        <v>0</v>
      </c>
      <c r="C4700" s="77">
        <f t="shared" si="76"/>
        <v>4699</v>
      </c>
    </row>
    <row r="4701" spans="1:3" x14ac:dyDescent="0.2">
      <c r="A4701" s="78">
        <v>50357</v>
      </c>
      <c r="B4701" s="77">
        <f>+PT!A4703</f>
        <v>0</v>
      </c>
      <c r="C4701" s="77">
        <f t="shared" si="76"/>
        <v>4700</v>
      </c>
    </row>
    <row r="4702" spans="1:3" x14ac:dyDescent="0.2">
      <c r="A4702" s="78">
        <v>50358</v>
      </c>
      <c r="B4702" s="77">
        <f>+PT!A4704</f>
        <v>0</v>
      </c>
      <c r="C4702" s="77">
        <f t="shared" si="76"/>
        <v>4701</v>
      </c>
    </row>
    <row r="4703" spans="1:3" x14ac:dyDescent="0.2">
      <c r="A4703" s="78">
        <v>50359</v>
      </c>
      <c r="B4703" s="77">
        <f>+PT!A4705</f>
        <v>0</v>
      </c>
      <c r="C4703" s="77">
        <f t="shared" si="76"/>
        <v>4702</v>
      </c>
    </row>
    <row r="4704" spans="1:3" x14ac:dyDescent="0.2">
      <c r="A4704" s="78">
        <v>50360</v>
      </c>
      <c r="B4704" s="77">
        <f>+PT!A4706</f>
        <v>0</v>
      </c>
      <c r="C4704" s="77">
        <f t="shared" si="76"/>
        <v>4703</v>
      </c>
    </row>
    <row r="4705" spans="1:3" x14ac:dyDescent="0.2">
      <c r="A4705" s="78">
        <v>50361</v>
      </c>
      <c r="B4705" s="77">
        <f>+PT!A4707</f>
        <v>0</v>
      </c>
      <c r="C4705" s="77">
        <f t="shared" si="76"/>
        <v>4704</v>
      </c>
    </row>
    <row r="4706" spans="1:3" x14ac:dyDescent="0.2">
      <c r="A4706" s="78">
        <v>50362</v>
      </c>
      <c r="B4706" s="77">
        <f>+PT!A4708</f>
        <v>0</v>
      </c>
      <c r="C4706" s="77">
        <f t="shared" si="76"/>
        <v>4705</v>
      </c>
    </row>
    <row r="4707" spans="1:3" x14ac:dyDescent="0.2">
      <c r="A4707" s="78">
        <v>50363</v>
      </c>
      <c r="B4707" s="77">
        <f>+PT!A4709</f>
        <v>0</v>
      </c>
      <c r="C4707" s="77">
        <f t="shared" si="76"/>
        <v>4706</v>
      </c>
    </row>
    <row r="4708" spans="1:3" x14ac:dyDescent="0.2">
      <c r="A4708" s="78">
        <v>50364</v>
      </c>
      <c r="B4708" s="77">
        <f>+PT!A4710</f>
        <v>0</v>
      </c>
      <c r="C4708" s="77">
        <f t="shared" si="76"/>
        <v>4707</v>
      </c>
    </row>
    <row r="4709" spans="1:3" x14ac:dyDescent="0.2">
      <c r="A4709" s="78">
        <v>50365</v>
      </c>
      <c r="B4709" s="77">
        <f>+PT!A4711</f>
        <v>0</v>
      </c>
      <c r="C4709" s="77">
        <f t="shared" si="76"/>
        <v>4708</v>
      </c>
    </row>
    <row r="4710" spans="1:3" x14ac:dyDescent="0.2">
      <c r="A4710" s="78">
        <v>50366</v>
      </c>
      <c r="B4710" s="77">
        <f>+PT!A4712</f>
        <v>0</v>
      </c>
      <c r="C4710" s="77">
        <f t="shared" si="76"/>
        <v>4709</v>
      </c>
    </row>
    <row r="4711" spans="1:3" x14ac:dyDescent="0.2">
      <c r="A4711" s="78">
        <v>50367</v>
      </c>
      <c r="B4711" s="77">
        <f>+PT!A4713</f>
        <v>0</v>
      </c>
      <c r="C4711" s="77">
        <f t="shared" si="76"/>
        <v>4710</v>
      </c>
    </row>
    <row r="4712" spans="1:3" x14ac:dyDescent="0.2">
      <c r="A4712" s="78">
        <v>50368</v>
      </c>
      <c r="B4712" s="77">
        <f>+PT!A4714</f>
        <v>0</v>
      </c>
      <c r="C4712" s="77">
        <f t="shared" si="76"/>
        <v>4711</v>
      </c>
    </row>
    <row r="4713" spans="1:3" x14ac:dyDescent="0.2">
      <c r="A4713" s="78">
        <v>50369</v>
      </c>
      <c r="B4713" s="77">
        <f>+PT!A4715</f>
        <v>0</v>
      </c>
      <c r="C4713" s="77">
        <f t="shared" si="76"/>
        <v>4712</v>
      </c>
    </row>
    <row r="4714" spans="1:3" x14ac:dyDescent="0.2">
      <c r="A4714" s="78">
        <v>50370</v>
      </c>
      <c r="B4714" s="77">
        <f>+PT!A4716</f>
        <v>0</v>
      </c>
      <c r="C4714" s="77">
        <f t="shared" si="76"/>
        <v>4713</v>
      </c>
    </row>
    <row r="4715" spans="1:3" x14ac:dyDescent="0.2">
      <c r="A4715" s="78">
        <v>50371</v>
      </c>
      <c r="B4715" s="77">
        <f>+PT!A4717</f>
        <v>0</v>
      </c>
      <c r="C4715" s="77">
        <f t="shared" si="76"/>
        <v>4714</v>
      </c>
    </row>
    <row r="4716" spans="1:3" x14ac:dyDescent="0.2">
      <c r="A4716" s="78">
        <v>50372</v>
      </c>
      <c r="B4716" s="77">
        <f>+PT!A4718</f>
        <v>0</v>
      </c>
      <c r="C4716" s="77">
        <f t="shared" si="76"/>
        <v>4715</v>
      </c>
    </row>
    <row r="4717" spans="1:3" x14ac:dyDescent="0.2">
      <c r="A4717" s="78">
        <v>50373</v>
      </c>
      <c r="B4717" s="77">
        <f>+PT!A4719</f>
        <v>0</v>
      </c>
      <c r="C4717" s="77">
        <f t="shared" si="76"/>
        <v>4716</v>
      </c>
    </row>
    <row r="4718" spans="1:3" x14ac:dyDescent="0.2">
      <c r="A4718" s="78">
        <v>50374</v>
      </c>
      <c r="B4718" s="77">
        <f>+PT!A4720</f>
        <v>0</v>
      </c>
      <c r="C4718" s="77">
        <f t="shared" si="76"/>
        <v>4717</v>
      </c>
    </row>
    <row r="4719" spans="1:3" x14ac:dyDescent="0.2">
      <c r="A4719" s="78">
        <v>50375</v>
      </c>
      <c r="B4719" s="77">
        <f>+PT!A4721</f>
        <v>0</v>
      </c>
      <c r="C4719" s="77">
        <f t="shared" si="76"/>
        <v>4718</v>
      </c>
    </row>
    <row r="4720" spans="1:3" x14ac:dyDescent="0.2">
      <c r="A4720" s="78">
        <v>50376</v>
      </c>
      <c r="B4720" s="77">
        <f>+PT!A4722</f>
        <v>0</v>
      </c>
      <c r="C4720" s="77">
        <f t="shared" si="76"/>
        <v>4719</v>
      </c>
    </row>
    <row r="4721" spans="1:3" x14ac:dyDescent="0.2">
      <c r="A4721" s="78">
        <v>50377</v>
      </c>
      <c r="B4721" s="77">
        <f>+PT!A4723</f>
        <v>0</v>
      </c>
      <c r="C4721" s="77">
        <f t="shared" si="76"/>
        <v>4720</v>
      </c>
    </row>
    <row r="4722" spans="1:3" x14ac:dyDescent="0.2">
      <c r="A4722" s="78">
        <v>50378</v>
      </c>
      <c r="B4722" s="77">
        <f>+PT!A4724</f>
        <v>0</v>
      </c>
      <c r="C4722" s="77">
        <f t="shared" si="76"/>
        <v>4721</v>
      </c>
    </row>
    <row r="4723" spans="1:3" x14ac:dyDescent="0.2">
      <c r="A4723" s="78">
        <v>50379</v>
      </c>
      <c r="B4723" s="77">
        <f>+PT!A4725</f>
        <v>0</v>
      </c>
      <c r="C4723" s="77">
        <f t="shared" si="76"/>
        <v>4722</v>
      </c>
    </row>
    <row r="4724" spans="1:3" x14ac:dyDescent="0.2">
      <c r="A4724" s="78">
        <v>50380</v>
      </c>
      <c r="B4724" s="77">
        <f>+PT!A4726</f>
        <v>0</v>
      </c>
      <c r="C4724" s="77">
        <f t="shared" si="76"/>
        <v>4723</v>
      </c>
    </row>
    <row r="4725" spans="1:3" x14ac:dyDescent="0.2">
      <c r="A4725" s="78">
        <v>50381</v>
      </c>
      <c r="B4725" s="77">
        <f>+PT!A4727</f>
        <v>0</v>
      </c>
      <c r="C4725" s="77">
        <f t="shared" si="76"/>
        <v>4724</v>
      </c>
    </row>
    <row r="4726" spans="1:3" x14ac:dyDescent="0.2">
      <c r="A4726" s="78">
        <v>50382</v>
      </c>
      <c r="B4726" s="77">
        <f>+PT!A4728</f>
        <v>0</v>
      </c>
      <c r="C4726" s="77">
        <f t="shared" si="76"/>
        <v>4725</v>
      </c>
    </row>
    <row r="4727" spans="1:3" x14ac:dyDescent="0.2">
      <c r="A4727" s="78">
        <v>50383</v>
      </c>
      <c r="B4727" s="77">
        <f>+PT!A4729</f>
        <v>0</v>
      </c>
      <c r="C4727" s="77">
        <f t="shared" si="76"/>
        <v>4726</v>
      </c>
    </row>
    <row r="4728" spans="1:3" x14ac:dyDescent="0.2">
      <c r="A4728" s="78">
        <v>50384</v>
      </c>
      <c r="B4728" s="77">
        <f>+PT!A4730</f>
        <v>0</v>
      </c>
      <c r="C4728" s="77">
        <f t="shared" si="76"/>
        <v>4727</v>
      </c>
    </row>
    <row r="4729" spans="1:3" x14ac:dyDescent="0.2">
      <c r="A4729" s="78">
        <v>50385</v>
      </c>
      <c r="B4729" s="77">
        <f>+PT!A4731</f>
        <v>0</v>
      </c>
      <c r="C4729" s="77">
        <f t="shared" si="76"/>
        <v>4728</v>
      </c>
    </row>
    <row r="4730" spans="1:3" x14ac:dyDescent="0.2">
      <c r="A4730" s="78">
        <v>50386</v>
      </c>
      <c r="B4730" s="77">
        <f>+PT!A4732</f>
        <v>0</v>
      </c>
      <c r="C4730" s="77">
        <f t="shared" si="76"/>
        <v>4729</v>
      </c>
    </row>
    <row r="4731" spans="1:3" x14ac:dyDescent="0.2">
      <c r="A4731" s="78">
        <v>50387</v>
      </c>
      <c r="B4731" s="77">
        <f>+PT!A4733</f>
        <v>0</v>
      </c>
      <c r="C4731" s="77">
        <f t="shared" si="76"/>
        <v>4730</v>
      </c>
    </row>
    <row r="4732" spans="1:3" x14ac:dyDescent="0.2">
      <c r="A4732" s="78">
        <v>50388</v>
      </c>
      <c r="B4732" s="77">
        <f>+PT!A4734</f>
        <v>0</v>
      </c>
      <c r="C4732" s="77">
        <f t="shared" si="76"/>
        <v>4731</v>
      </c>
    </row>
    <row r="4733" spans="1:3" x14ac:dyDescent="0.2">
      <c r="A4733" s="78">
        <v>50389</v>
      </c>
      <c r="B4733" s="77">
        <f>+PT!A4735</f>
        <v>0</v>
      </c>
      <c r="C4733" s="77">
        <f t="shared" si="76"/>
        <v>4732</v>
      </c>
    </row>
    <row r="4734" spans="1:3" x14ac:dyDescent="0.2">
      <c r="A4734" s="78">
        <v>50390</v>
      </c>
      <c r="B4734" s="77">
        <f>+PT!A4736</f>
        <v>0</v>
      </c>
      <c r="C4734" s="77">
        <f t="shared" si="76"/>
        <v>4733</v>
      </c>
    </row>
    <row r="4735" spans="1:3" x14ac:dyDescent="0.2">
      <c r="A4735" s="78">
        <v>50391</v>
      </c>
      <c r="B4735" s="77">
        <f>+PT!A4737</f>
        <v>0</v>
      </c>
      <c r="C4735" s="77">
        <f t="shared" si="76"/>
        <v>4734</v>
      </c>
    </row>
    <row r="4736" spans="1:3" x14ac:dyDescent="0.2">
      <c r="A4736" s="78">
        <v>50392</v>
      </c>
      <c r="B4736" s="77">
        <f>+PT!A4738</f>
        <v>0</v>
      </c>
      <c r="C4736" s="77">
        <f t="shared" si="76"/>
        <v>4735</v>
      </c>
    </row>
    <row r="4737" spans="1:3" x14ac:dyDescent="0.2">
      <c r="A4737" s="78">
        <v>50393</v>
      </c>
      <c r="B4737" s="77">
        <f>+PT!A4739</f>
        <v>0</v>
      </c>
      <c r="C4737" s="77">
        <f t="shared" si="76"/>
        <v>4736</v>
      </c>
    </row>
    <row r="4738" spans="1:3" x14ac:dyDescent="0.2">
      <c r="A4738" s="78">
        <v>50394</v>
      </c>
      <c r="B4738" s="77">
        <f>+PT!A4740</f>
        <v>0</v>
      </c>
      <c r="C4738" s="77">
        <f t="shared" si="76"/>
        <v>4737</v>
      </c>
    </row>
    <row r="4739" spans="1:3" x14ac:dyDescent="0.2">
      <c r="A4739" s="78">
        <v>50395</v>
      </c>
      <c r="B4739" s="77">
        <f>+PT!A4741</f>
        <v>0</v>
      </c>
      <c r="C4739" s="77">
        <f t="shared" si="76"/>
        <v>4738</v>
      </c>
    </row>
    <row r="4740" spans="1:3" x14ac:dyDescent="0.2">
      <c r="A4740" s="78">
        <v>50396</v>
      </c>
      <c r="B4740" s="77">
        <f>+PT!A4742</f>
        <v>0</v>
      </c>
      <c r="C4740" s="77">
        <f t="shared" ref="C4740:C4749" si="77">+C4739+1</f>
        <v>4739</v>
      </c>
    </row>
    <row r="4741" spans="1:3" x14ac:dyDescent="0.2">
      <c r="A4741" s="78">
        <v>50397</v>
      </c>
      <c r="B4741" s="77">
        <f>+PT!A4743</f>
        <v>0</v>
      </c>
      <c r="C4741" s="77">
        <f t="shared" si="77"/>
        <v>4740</v>
      </c>
    </row>
    <row r="4742" spans="1:3" x14ac:dyDescent="0.2">
      <c r="A4742" s="78">
        <v>50398</v>
      </c>
      <c r="B4742" s="77">
        <f>+PT!A4744</f>
        <v>0</v>
      </c>
      <c r="C4742" s="77">
        <f t="shared" si="77"/>
        <v>4741</v>
      </c>
    </row>
    <row r="4743" spans="1:3" x14ac:dyDescent="0.2">
      <c r="A4743" s="78">
        <v>50399</v>
      </c>
      <c r="B4743" s="77">
        <f>+PT!A4745</f>
        <v>0</v>
      </c>
      <c r="C4743" s="77">
        <f t="shared" si="77"/>
        <v>4742</v>
      </c>
    </row>
    <row r="4744" spans="1:3" x14ac:dyDescent="0.2">
      <c r="A4744" s="78">
        <v>50400</v>
      </c>
      <c r="B4744" s="77">
        <f>+PT!A4746</f>
        <v>0</v>
      </c>
      <c r="C4744" s="77">
        <f t="shared" si="77"/>
        <v>4743</v>
      </c>
    </row>
    <row r="4745" spans="1:3" x14ac:dyDescent="0.2">
      <c r="A4745" s="78">
        <v>50401</v>
      </c>
      <c r="B4745" s="77">
        <f>+PT!A4747</f>
        <v>0</v>
      </c>
      <c r="C4745" s="77">
        <f t="shared" si="77"/>
        <v>4744</v>
      </c>
    </row>
    <row r="4746" spans="1:3" x14ac:dyDescent="0.2">
      <c r="A4746" s="78">
        <v>50402</v>
      </c>
      <c r="B4746" s="77">
        <f>+PT!A4748</f>
        <v>0</v>
      </c>
      <c r="C4746" s="77">
        <f t="shared" si="77"/>
        <v>4745</v>
      </c>
    </row>
    <row r="4747" spans="1:3" x14ac:dyDescent="0.2">
      <c r="A4747" s="78">
        <v>50403</v>
      </c>
      <c r="B4747" s="77">
        <f>+PT!A4749</f>
        <v>0</v>
      </c>
      <c r="C4747" s="77">
        <f t="shared" si="77"/>
        <v>4746</v>
      </c>
    </row>
    <row r="4748" spans="1:3" x14ac:dyDescent="0.2">
      <c r="A4748" s="78">
        <v>50404</v>
      </c>
      <c r="B4748" s="77">
        <f>+PT!A4750</f>
        <v>0</v>
      </c>
      <c r="C4748" s="77">
        <f t="shared" si="77"/>
        <v>4747</v>
      </c>
    </row>
    <row r="4749" spans="1:3" x14ac:dyDescent="0.2">
      <c r="A4749" s="78">
        <v>50405</v>
      </c>
      <c r="B4749" s="77">
        <f>+PT!A4751</f>
        <v>0</v>
      </c>
      <c r="C4749" s="77">
        <f t="shared" si="77"/>
        <v>4748</v>
      </c>
    </row>
  </sheetData>
  <sheetProtection algorithmName="SHA-512" hashValue="ebBi3kUelnlLa3tDqmsu+TWJe44YiyEzwmD/QC5GkBruhFJ1z1we9l5H3MtKNzYJ0E/WtQdbavF5S/eKvcZQjg==" saltValue="zMD3cNShsYIeilR0qafyyw==" spinCount="100000" sheet="1" objects="1" scenarios="1"/>
  <conditionalFormatting sqref="H1:H45">
    <cfRule type="duplicateValues" dxfId="67" priority="11"/>
  </conditionalFormatting>
  <conditionalFormatting sqref="H48">
    <cfRule type="duplicateValues" dxfId="66" priority="8"/>
  </conditionalFormatting>
  <conditionalFormatting sqref="H49">
    <cfRule type="duplicateValues" dxfId="65" priority="7"/>
  </conditionalFormatting>
  <conditionalFormatting sqref="H50">
    <cfRule type="duplicateValues" dxfId="64" priority="5"/>
  </conditionalFormatting>
  <conditionalFormatting sqref="H51">
    <cfRule type="duplicateValues" dxfId="63" priority="6"/>
  </conditionalFormatting>
  <conditionalFormatting sqref="I73">
    <cfRule type="duplicateValues" dxfId="62" priority="4"/>
  </conditionalFormatting>
  <conditionalFormatting sqref="I74">
    <cfRule type="duplicateValues" dxfId="61" priority="3"/>
  </conditionalFormatting>
  <conditionalFormatting sqref="I75">
    <cfRule type="duplicateValues" dxfId="60" priority="2"/>
  </conditionalFormatting>
  <conditionalFormatting sqref="I78">
    <cfRule type="duplicateValues" dxfId="59" priority="1"/>
  </conditionalFormatting>
  <conditionalFormatting sqref="I35:L35">
    <cfRule type="duplicateValues" dxfId="58" priority="10"/>
  </conditionalFormatting>
  <conditionalFormatting sqref="I36:L38">
    <cfRule type="duplicateValues" dxfId="57" priority="9"/>
  </conditionalFormatting>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R27"/>
  <sheetViews>
    <sheetView showGridLines="0" zoomScale="70" zoomScaleNormal="70" workbookViewId="0">
      <selection activeCell="S11" sqref="S11"/>
    </sheetView>
  </sheetViews>
  <sheetFormatPr defaultColWidth="10.7109375" defaultRowHeight="15" x14ac:dyDescent="0.25"/>
  <cols>
    <col min="1" max="1" width="4.7109375" style="178" customWidth="1"/>
    <col min="2" max="2" width="20.28515625" style="178" customWidth="1"/>
    <col min="3" max="3" width="8.5703125" style="178" customWidth="1"/>
    <col min="4" max="4" width="10.7109375" style="178" customWidth="1"/>
    <col min="5" max="5" width="13.7109375" style="178" customWidth="1"/>
    <col min="6" max="6" width="12.5703125" style="178" customWidth="1"/>
    <col min="7" max="7" width="12.28515625" style="178" bestFit="1" customWidth="1"/>
    <col min="8" max="8" width="12.28515625" style="178" customWidth="1"/>
    <col min="9" max="9" width="13.28515625" style="178" customWidth="1"/>
    <col min="10" max="12" width="10.7109375" style="178"/>
    <col min="13" max="13" width="10.28515625" style="178" customWidth="1"/>
    <col min="14" max="14" width="10.7109375" style="178"/>
    <col min="15" max="15" width="14.7109375" style="178" customWidth="1"/>
    <col min="16" max="16" width="10.7109375" style="178"/>
    <col min="17" max="17" width="16.7109375" style="178" customWidth="1"/>
    <col min="18" max="16384" width="10.7109375" style="178"/>
  </cols>
  <sheetData>
    <row r="1" spans="1:18" ht="10.5" customHeight="1" x14ac:dyDescent="0.25">
      <c r="A1" s="193" t="s">
        <v>366</v>
      </c>
    </row>
    <row r="2" spans="1:18" ht="60" customHeight="1" x14ac:dyDescent="0.25">
      <c r="B2" s="232" t="s">
        <v>106</v>
      </c>
      <c r="C2" s="232"/>
      <c r="D2" s="232"/>
      <c r="E2" s="232"/>
      <c r="F2" s="232"/>
      <c r="G2" s="232"/>
      <c r="H2" s="232"/>
      <c r="I2" s="232"/>
      <c r="J2" s="232"/>
      <c r="K2" s="232"/>
      <c r="L2" s="232"/>
      <c r="M2" s="232"/>
      <c r="N2" s="232"/>
      <c r="O2" s="232"/>
      <c r="P2" s="232"/>
      <c r="Q2" s="232"/>
    </row>
    <row r="3" spans="1:18" ht="39.6" customHeight="1" x14ac:dyDescent="0.25">
      <c r="B3" s="192"/>
      <c r="C3" s="192"/>
      <c r="D3" s="192"/>
      <c r="E3" s="192"/>
      <c r="F3" s="192"/>
      <c r="G3" s="192"/>
      <c r="H3" s="192"/>
      <c r="I3" s="192"/>
      <c r="J3" s="192"/>
      <c r="K3" s="192"/>
      <c r="L3" s="192"/>
      <c r="M3" s="192"/>
      <c r="N3" s="192"/>
      <c r="O3" s="192"/>
      <c r="P3" s="191"/>
      <c r="Q3" s="191"/>
    </row>
    <row r="4" spans="1:18" ht="19.899999999999999" customHeight="1" x14ac:dyDescent="0.25">
      <c r="B4" s="224" t="s">
        <v>13</v>
      </c>
      <c r="C4" s="224"/>
      <c r="D4" s="226" t="s">
        <v>412</v>
      </c>
      <c r="E4" s="226"/>
      <c r="F4" s="226"/>
      <c r="G4" s="190"/>
      <c r="H4" s="224" t="s">
        <v>402</v>
      </c>
      <c r="I4" s="224"/>
      <c r="J4" s="227" t="s">
        <v>413</v>
      </c>
      <c r="K4" s="227"/>
      <c r="L4" s="227"/>
      <c r="M4" s="189"/>
      <c r="N4" s="224" t="s">
        <v>401</v>
      </c>
      <c r="O4" s="224"/>
      <c r="P4" s="225">
        <v>45929</v>
      </c>
      <c r="Q4" s="225"/>
    </row>
    <row r="5" spans="1:18" ht="19.899999999999999" customHeight="1" x14ac:dyDescent="0.25">
      <c r="B5" s="224" t="s">
        <v>10</v>
      </c>
      <c r="C5" s="224"/>
      <c r="D5" s="226" t="s">
        <v>411</v>
      </c>
      <c r="E5" s="226"/>
      <c r="F5" s="226"/>
      <c r="G5" s="190"/>
      <c r="H5" s="224" t="s">
        <v>14</v>
      </c>
      <c r="I5" s="224"/>
      <c r="J5" s="227" t="s">
        <v>415</v>
      </c>
      <c r="K5" s="227"/>
      <c r="L5" s="227"/>
      <c r="M5" s="189"/>
      <c r="N5" s="224" t="s">
        <v>400</v>
      </c>
      <c r="O5" s="224"/>
      <c r="P5" s="225">
        <v>46657</v>
      </c>
      <c r="Q5" s="225"/>
      <c r="R5" s="188" t="str">
        <f>IF(YEAR(P5)-LEFT(P7,4)=0,IF(LEN(P7)=6,IF(MONTH(P5)-RIGHT(P7)-3&lt;0,"Contract is about to expire !",IF(LEN(P7)=7,IF(MONTH(P5)-RIGHT(P7,2)-3&lt;0,"Contract is about to expire !"),""))),"")</f>
        <v/>
      </c>
    </row>
    <row r="6" spans="1:18" s="179" customFormat="1" ht="19.899999999999999" customHeight="1" x14ac:dyDescent="0.2">
      <c r="B6" s="224" t="s">
        <v>15</v>
      </c>
      <c r="C6" s="224"/>
      <c r="D6" s="227" t="s">
        <v>410</v>
      </c>
      <c r="E6" s="227"/>
      <c r="F6" s="227"/>
      <c r="G6" s="187"/>
      <c r="H6" s="224" t="s">
        <v>399</v>
      </c>
      <c r="I6" s="224"/>
      <c r="J6" s="227" t="s">
        <v>414</v>
      </c>
      <c r="K6" s="227"/>
      <c r="L6" s="227"/>
      <c r="N6" s="233" t="s">
        <v>398</v>
      </c>
      <c r="O6" s="233"/>
      <c r="P6" s="225">
        <v>46657</v>
      </c>
      <c r="Q6" s="225"/>
    </row>
    <row r="7" spans="1:18" s="179" customFormat="1" ht="19.899999999999999" customHeight="1" x14ac:dyDescent="0.2">
      <c r="B7" s="224" t="s">
        <v>145</v>
      </c>
      <c r="C7" s="224"/>
      <c r="D7" s="227" t="s">
        <v>406</v>
      </c>
      <c r="E7" s="227"/>
      <c r="F7" s="227"/>
      <c r="G7" s="186"/>
      <c r="H7" s="224" t="s">
        <v>16</v>
      </c>
      <c r="I7" s="224"/>
      <c r="J7" s="226" t="s">
        <v>157</v>
      </c>
      <c r="K7" s="226"/>
      <c r="L7" s="226"/>
      <c r="N7" s="233" t="s">
        <v>17</v>
      </c>
      <c r="O7" s="233"/>
      <c r="P7" s="234" t="s">
        <v>421</v>
      </c>
      <c r="Q7" s="234"/>
    </row>
    <row r="8" spans="1:18" s="179" customFormat="1" ht="19.899999999999999" customHeight="1" x14ac:dyDescent="0.2">
      <c r="B8" s="224" t="s">
        <v>9</v>
      </c>
      <c r="C8" s="224"/>
      <c r="D8" s="228" t="s">
        <v>0</v>
      </c>
      <c r="E8" s="228"/>
      <c r="F8" s="228"/>
      <c r="G8" s="186"/>
      <c r="H8" s="229" t="s">
        <v>403</v>
      </c>
      <c r="I8" s="229"/>
      <c r="J8" s="230"/>
      <c r="K8" s="227"/>
      <c r="L8" s="227"/>
      <c r="N8" s="229" t="s">
        <v>397</v>
      </c>
      <c r="O8" s="229"/>
      <c r="P8" s="231" t="s">
        <v>416</v>
      </c>
      <c r="Q8" s="231"/>
    </row>
    <row r="9" spans="1:18" s="179" customFormat="1" x14ac:dyDescent="0.2">
      <c r="B9" s="184"/>
      <c r="C9" s="183"/>
      <c r="D9" s="183"/>
      <c r="E9" s="183"/>
      <c r="F9" s="183"/>
      <c r="G9" s="185"/>
      <c r="H9" s="184"/>
      <c r="I9" s="184"/>
      <c r="J9" s="183"/>
      <c r="K9" s="183"/>
      <c r="L9" s="183"/>
      <c r="N9" s="182"/>
      <c r="O9" s="180"/>
      <c r="P9" s="181"/>
      <c r="Q9" s="180"/>
    </row>
    <row r="11" spans="1:18" s="179" customFormat="1" ht="22.5" customHeight="1" x14ac:dyDescent="0.2">
      <c r="B11" s="217" t="s">
        <v>396</v>
      </c>
      <c r="C11" s="217"/>
      <c r="D11" s="217"/>
      <c r="E11" s="217"/>
      <c r="F11" s="217"/>
      <c r="G11" s="217"/>
      <c r="H11" s="217"/>
      <c r="I11" s="217"/>
      <c r="J11" s="217"/>
      <c r="K11" s="217"/>
      <c r="L11" s="217"/>
      <c r="M11" s="217"/>
      <c r="N11" s="217"/>
      <c r="O11" s="217"/>
      <c r="P11" s="217"/>
      <c r="Q11" s="217"/>
    </row>
    <row r="12" spans="1:18" ht="22.5" customHeight="1" x14ac:dyDescent="0.25">
      <c r="B12" s="218" t="s">
        <v>365</v>
      </c>
      <c r="C12" s="218"/>
      <c r="D12" s="218" t="s">
        <v>395</v>
      </c>
      <c r="E12" s="218"/>
      <c r="F12" s="218" t="s">
        <v>394</v>
      </c>
      <c r="G12" s="218"/>
      <c r="H12" s="218" t="s">
        <v>393</v>
      </c>
      <c r="I12" s="218"/>
      <c r="J12" s="218" t="s">
        <v>19</v>
      </c>
      <c r="K12" s="218"/>
      <c r="L12" s="218"/>
      <c r="M12" s="218"/>
      <c r="N12" s="218"/>
      <c r="O12" s="218"/>
      <c r="P12" s="218"/>
      <c r="Q12" s="218"/>
    </row>
    <row r="13" spans="1:18" ht="19.899999999999999" customHeight="1" x14ac:dyDescent="0.25">
      <c r="B13" s="220"/>
      <c r="C13" s="220"/>
      <c r="D13" s="221" t="s">
        <v>392</v>
      </c>
      <c r="E13" s="221"/>
      <c r="F13" s="222"/>
      <c r="G13" s="222"/>
      <c r="H13" s="223"/>
      <c r="I13" s="223"/>
      <c r="J13" s="216"/>
      <c r="K13" s="216"/>
      <c r="L13" s="216"/>
      <c r="M13" s="216"/>
      <c r="N13" s="216"/>
      <c r="O13" s="216"/>
      <c r="P13" s="216"/>
      <c r="Q13" s="216"/>
    </row>
    <row r="14" spans="1:18" ht="19.899999999999999" customHeight="1" x14ac:dyDescent="0.25">
      <c r="B14" s="211"/>
      <c r="C14" s="211"/>
      <c r="D14" s="219" t="s">
        <v>391</v>
      </c>
      <c r="E14" s="219"/>
      <c r="F14" s="213"/>
      <c r="G14" s="213"/>
      <c r="H14" s="212"/>
      <c r="I14" s="212"/>
      <c r="J14" s="214"/>
      <c r="K14" s="214"/>
      <c r="L14" s="214"/>
      <c r="M14" s="214"/>
      <c r="N14" s="214"/>
      <c r="O14" s="214"/>
      <c r="P14" s="214"/>
      <c r="Q14" s="214"/>
    </row>
    <row r="15" spans="1:18" ht="19.899999999999999" customHeight="1" x14ac:dyDescent="0.25">
      <c r="B15" s="208"/>
      <c r="C15" s="208"/>
      <c r="D15" s="207" t="s">
        <v>390</v>
      </c>
      <c r="E15" s="207"/>
      <c r="F15" s="206"/>
      <c r="G15" s="206"/>
      <c r="H15" s="205"/>
      <c r="I15" s="205"/>
      <c r="J15" s="204"/>
      <c r="K15" s="204"/>
      <c r="L15" s="204"/>
      <c r="M15" s="204"/>
      <c r="N15" s="204"/>
      <c r="O15" s="204"/>
      <c r="P15" s="204"/>
      <c r="Q15" s="204"/>
    </row>
    <row r="16" spans="1:18" ht="19.899999999999999" customHeight="1" x14ac:dyDescent="0.25">
      <c r="B16" s="211"/>
      <c r="C16" s="211"/>
      <c r="D16" s="219" t="s">
        <v>389</v>
      </c>
      <c r="E16" s="219"/>
      <c r="F16" s="213"/>
      <c r="G16" s="213"/>
      <c r="H16" s="212"/>
      <c r="I16" s="212"/>
      <c r="J16" s="214"/>
      <c r="K16" s="214"/>
      <c r="L16" s="214"/>
      <c r="M16" s="214"/>
      <c r="N16" s="214"/>
      <c r="O16" s="214"/>
      <c r="P16" s="214"/>
      <c r="Q16" s="214"/>
    </row>
    <row r="17" spans="2:17" ht="19.899999999999999" customHeight="1" x14ac:dyDescent="0.25">
      <c r="B17" s="208"/>
      <c r="C17" s="208"/>
      <c r="D17" s="207" t="s">
        <v>388</v>
      </c>
      <c r="E17" s="207"/>
      <c r="F17" s="206"/>
      <c r="G17" s="206"/>
      <c r="H17" s="205"/>
      <c r="I17" s="205"/>
      <c r="J17" s="204"/>
      <c r="K17" s="204"/>
      <c r="L17" s="204"/>
      <c r="M17" s="204"/>
      <c r="N17" s="204"/>
      <c r="O17" s="204"/>
      <c r="P17" s="204"/>
      <c r="Q17" s="204"/>
    </row>
    <row r="18" spans="2:17" ht="19.899999999999999" customHeight="1" x14ac:dyDescent="0.25">
      <c r="B18" s="211"/>
      <c r="C18" s="211"/>
      <c r="D18" s="210"/>
      <c r="E18" s="210"/>
      <c r="F18" s="213"/>
      <c r="G18" s="213"/>
      <c r="H18" s="212"/>
      <c r="I18" s="212"/>
      <c r="J18" s="214"/>
      <c r="K18" s="214"/>
      <c r="L18" s="214"/>
      <c r="M18" s="214"/>
      <c r="N18" s="214"/>
      <c r="O18" s="214"/>
      <c r="P18" s="214"/>
      <c r="Q18" s="214"/>
    </row>
    <row r="19" spans="2:17" ht="19.899999999999999" customHeight="1" x14ac:dyDescent="0.25">
      <c r="B19" s="208"/>
      <c r="C19" s="208"/>
      <c r="D19" s="209"/>
      <c r="E19" s="209"/>
      <c r="F19" s="206"/>
      <c r="G19" s="206"/>
      <c r="H19" s="205"/>
      <c r="I19" s="205"/>
      <c r="J19" s="204"/>
      <c r="K19" s="204"/>
      <c r="L19" s="204"/>
      <c r="M19" s="204"/>
      <c r="N19" s="204"/>
      <c r="O19" s="204"/>
      <c r="P19" s="204"/>
      <c r="Q19" s="204"/>
    </row>
    <row r="20" spans="2:17" ht="19.899999999999999" customHeight="1" x14ac:dyDescent="0.25">
      <c r="B20" s="211"/>
      <c r="C20" s="211"/>
      <c r="D20" s="210"/>
      <c r="E20" s="210"/>
      <c r="F20" s="213"/>
      <c r="G20" s="213"/>
      <c r="H20" s="212"/>
      <c r="I20" s="212"/>
      <c r="J20" s="214"/>
      <c r="K20" s="214"/>
      <c r="L20" s="214"/>
      <c r="M20" s="214"/>
      <c r="N20" s="214"/>
      <c r="O20" s="214"/>
      <c r="P20" s="214"/>
      <c r="Q20" s="214"/>
    </row>
    <row r="21" spans="2:17" ht="19.899999999999999" customHeight="1" x14ac:dyDescent="0.25">
      <c r="B21" s="208"/>
      <c r="C21" s="208"/>
      <c r="D21" s="209"/>
      <c r="E21" s="209"/>
      <c r="F21" s="206"/>
      <c r="G21" s="206"/>
      <c r="H21" s="205"/>
      <c r="I21" s="205"/>
      <c r="J21" s="204"/>
      <c r="K21" s="204"/>
      <c r="L21" s="204"/>
      <c r="M21" s="204"/>
      <c r="N21" s="204"/>
      <c r="O21" s="204"/>
      <c r="P21" s="204"/>
      <c r="Q21" s="204"/>
    </row>
    <row r="22" spans="2:17" ht="19.899999999999999" customHeight="1" x14ac:dyDescent="0.25">
      <c r="B22" s="211"/>
      <c r="C22" s="211"/>
      <c r="D22" s="210"/>
      <c r="E22" s="210"/>
      <c r="F22" s="213"/>
      <c r="G22" s="213"/>
      <c r="H22" s="212"/>
      <c r="I22" s="212"/>
      <c r="J22" s="214"/>
      <c r="K22" s="214"/>
      <c r="L22" s="214"/>
      <c r="M22" s="214"/>
      <c r="N22" s="214"/>
      <c r="O22" s="214"/>
      <c r="P22" s="214"/>
      <c r="Q22" s="214"/>
    </row>
    <row r="23" spans="2:17" ht="19.899999999999999" customHeight="1" x14ac:dyDescent="0.25">
      <c r="B23" s="208"/>
      <c r="C23" s="208"/>
      <c r="D23" s="209"/>
      <c r="E23" s="209"/>
      <c r="F23" s="206"/>
      <c r="G23" s="206"/>
      <c r="H23" s="205"/>
      <c r="I23" s="205"/>
      <c r="J23" s="204"/>
      <c r="K23" s="204"/>
      <c r="L23" s="204"/>
      <c r="M23" s="204"/>
      <c r="N23" s="204"/>
      <c r="O23" s="204"/>
      <c r="P23" s="204"/>
      <c r="Q23" s="204"/>
    </row>
    <row r="24" spans="2:17" ht="19.899999999999999" customHeight="1" x14ac:dyDescent="0.25">
      <c r="B24" s="211"/>
      <c r="C24" s="211"/>
      <c r="D24" s="210"/>
      <c r="E24" s="210"/>
      <c r="F24" s="213"/>
      <c r="G24" s="213"/>
      <c r="H24" s="212"/>
      <c r="I24" s="212"/>
      <c r="J24" s="214"/>
      <c r="K24" s="214"/>
      <c r="L24" s="214"/>
      <c r="M24" s="214"/>
      <c r="N24" s="214"/>
      <c r="O24" s="214"/>
      <c r="P24" s="214"/>
      <c r="Q24" s="214"/>
    </row>
    <row r="26" spans="2:17" ht="21.75" customHeight="1" x14ac:dyDescent="0.25">
      <c r="B26" s="215" t="s">
        <v>24</v>
      </c>
      <c r="C26" s="215"/>
      <c r="D26" s="215"/>
      <c r="E26" s="215"/>
      <c r="F26" s="215"/>
      <c r="G26" s="215"/>
      <c r="H26" s="215"/>
      <c r="I26" s="215"/>
      <c r="J26" s="215"/>
      <c r="K26" s="215"/>
      <c r="L26" s="215"/>
      <c r="M26" s="215"/>
      <c r="N26" s="215"/>
      <c r="O26" s="215"/>
      <c r="P26" s="215"/>
      <c r="Q26" s="215"/>
    </row>
    <row r="27" spans="2:17" ht="302.25" customHeight="1" x14ac:dyDescent="0.25">
      <c r="B27" s="202" t="s">
        <v>420</v>
      </c>
      <c r="C27" s="203"/>
      <c r="D27" s="203"/>
      <c r="E27" s="203"/>
      <c r="F27" s="203"/>
      <c r="G27" s="203"/>
      <c r="H27" s="203"/>
      <c r="I27" s="203"/>
      <c r="J27" s="203"/>
      <c r="K27" s="203"/>
      <c r="L27" s="203"/>
      <c r="M27" s="203"/>
      <c r="N27" s="203"/>
      <c r="O27" s="203"/>
      <c r="P27" s="203"/>
      <c r="Q27" s="203"/>
    </row>
  </sheetData>
  <sheetProtection formatCells="0" formatColumns="0" formatRows="0" insertRows="0" sort="0" autoFilter="0"/>
  <dataConsolidate/>
  <mergeCells count="99">
    <mergeCell ref="N7:O7"/>
    <mergeCell ref="P7:Q7"/>
    <mergeCell ref="P5:Q5"/>
    <mergeCell ref="B6:C6"/>
    <mergeCell ref="D6:F6"/>
    <mergeCell ref="H6:I6"/>
    <mergeCell ref="J6:L6"/>
    <mergeCell ref="N6:O6"/>
    <mergeCell ref="B2:Q2"/>
    <mergeCell ref="B4:C4"/>
    <mergeCell ref="D4:F4"/>
    <mergeCell ref="H4:I4"/>
    <mergeCell ref="J4:L4"/>
    <mergeCell ref="N4:O4"/>
    <mergeCell ref="P4:Q4"/>
    <mergeCell ref="B8:C8"/>
    <mergeCell ref="P6:Q6"/>
    <mergeCell ref="B5:C5"/>
    <mergeCell ref="D5:F5"/>
    <mergeCell ref="H5:I5"/>
    <mergeCell ref="J5:L5"/>
    <mergeCell ref="N5:O5"/>
    <mergeCell ref="D8:F8"/>
    <mergeCell ref="H8:I8"/>
    <mergeCell ref="J8:L8"/>
    <mergeCell ref="N8:O8"/>
    <mergeCell ref="P8:Q8"/>
    <mergeCell ref="B7:C7"/>
    <mergeCell ref="D7:F7"/>
    <mergeCell ref="H7:I7"/>
    <mergeCell ref="J7:L7"/>
    <mergeCell ref="B15:C15"/>
    <mergeCell ref="D15:E15"/>
    <mergeCell ref="F15:G15"/>
    <mergeCell ref="H15:I15"/>
    <mergeCell ref="J15:Q15"/>
    <mergeCell ref="D13:E13"/>
    <mergeCell ref="F13:G13"/>
    <mergeCell ref="H13:I13"/>
    <mergeCell ref="F12:G12"/>
    <mergeCell ref="H12:I12"/>
    <mergeCell ref="J16:Q16"/>
    <mergeCell ref="J13:Q13"/>
    <mergeCell ref="B11:Q11"/>
    <mergeCell ref="B12:C12"/>
    <mergeCell ref="D12:E12"/>
    <mergeCell ref="B14:C14"/>
    <mergeCell ref="D14:E14"/>
    <mergeCell ref="F14:G14"/>
    <mergeCell ref="B16:C16"/>
    <mergeCell ref="D16:E16"/>
    <mergeCell ref="F16:G16"/>
    <mergeCell ref="H16:I16"/>
    <mergeCell ref="J12:Q12"/>
    <mergeCell ref="H14:I14"/>
    <mergeCell ref="J14:Q14"/>
    <mergeCell ref="B13:C13"/>
    <mergeCell ref="B26:Q26"/>
    <mergeCell ref="H21:I21"/>
    <mergeCell ref="B24:C24"/>
    <mergeCell ref="D24:E24"/>
    <mergeCell ref="F24:G24"/>
    <mergeCell ref="H24:I24"/>
    <mergeCell ref="J24:Q24"/>
    <mergeCell ref="F21:G21"/>
    <mergeCell ref="F22:G22"/>
    <mergeCell ref="H22:I22"/>
    <mergeCell ref="B18:C18"/>
    <mergeCell ref="J20:Q20"/>
    <mergeCell ref="B23:C23"/>
    <mergeCell ref="D23:E23"/>
    <mergeCell ref="F23:G23"/>
    <mergeCell ref="H23:I23"/>
    <mergeCell ref="J23:Q23"/>
    <mergeCell ref="H20:I20"/>
    <mergeCell ref="F20:G20"/>
    <mergeCell ref="J18:Q18"/>
    <mergeCell ref="B21:C21"/>
    <mergeCell ref="D21:E21"/>
    <mergeCell ref="J21:Q21"/>
    <mergeCell ref="B22:C22"/>
    <mergeCell ref="D22:E22"/>
    <mergeCell ref="J22:Q22"/>
    <mergeCell ref="B27:Q27"/>
    <mergeCell ref="J17:Q17"/>
    <mergeCell ref="H17:I17"/>
    <mergeCell ref="F17:G17"/>
    <mergeCell ref="D17:E17"/>
    <mergeCell ref="B17:C17"/>
    <mergeCell ref="J19:Q19"/>
    <mergeCell ref="H19:I19"/>
    <mergeCell ref="F19:G19"/>
    <mergeCell ref="D19:E19"/>
    <mergeCell ref="D20:E20"/>
    <mergeCell ref="B20:C20"/>
    <mergeCell ref="B19:C19"/>
    <mergeCell ref="H18:I18"/>
    <mergeCell ref="F18:G18"/>
    <mergeCell ref="D18:E18"/>
  </mergeCells>
  <conditionalFormatting sqref="F10">
    <cfRule type="containsText" dxfId="56" priority="85" operator="containsText" text="Green">
      <formula>NOT(ISERROR(SEARCH("Green",F10)))</formula>
    </cfRule>
    <cfRule type="containsText" dxfId="55" priority="86" operator="containsText" text="Amber">
      <formula>NOT(ISERROR(SEARCH("Amber",F10)))</formula>
    </cfRule>
    <cfRule type="containsText" dxfId="54" priority="87" operator="containsText" text="Red">
      <formula>NOT(ISERROR(SEARCH("Red",F10)))</formula>
    </cfRule>
  </conditionalFormatting>
  <conditionalFormatting sqref="F13:G24">
    <cfRule type="containsText" dxfId="53" priority="81" operator="containsText" text="Green">
      <formula>NOT(ISERROR(SEARCH("Green",F13)))</formula>
    </cfRule>
    <cfRule type="containsText" dxfId="52" priority="82" operator="containsText" text="Amber">
      <formula>NOT(ISERROR(SEARCH("Amber",F13)))</formula>
    </cfRule>
    <cfRule type="containsText" dxfId="51" priority="83" operator="containsText" text="Red">
      <formula>NOT(ISERROR(SEARCH("Red",F13)))</formula>
    </cfRule>
  </conditionalFormatting>
  <conditionalFormatting sqref="J7:L8">
    <cfRule type="cellIs" dxfId="50" priority="23" operator="equal">
      <formula>"Select Project Type"</formula>
    </cfRule>
  </conditionalFormatting>
  <conditionalFormatting sqref="P4:Q8">
    <cfRule type="containsBlanks" dxfId="49" priority="14">
      <formula>LEN(TRIM(P4))=0</formula>
    </cfRule>
  </conditionalFormatting>
  <dataValidations count="3">
    <dataValidation type="list" allowBlank="1" showInputMessage="1" showErrorMessage="1" sqref="F13:G24" xr:uid="{00000000-0002-0000-0200-000000000000}">
      <formula1>"Red,Amber,Green"</formula1>
    </dataValidation>
    <dataValidation type="list" allowBlank="1" showInputMessage="1" showErrorMessage="1" sqref="J7:L7" xr:uid="{00000000-0002-0000-0200-000001000000}">
      <formula1>"Time and Material,Fixed Price,CMS,Select Project Type"</formula1>
    </dataValidation>
    <dataValidation type="list" allowBlank="1" showInputMessage="1" showErrorMessage="1" sqref="D8" xr:uid="{F2A349F0-A526-4085-8904-BE397B48E05F}">
      <formula1>"USD,EUR,GBP,SAR,SEK,MXN,BRL,ARS,CLP,CNY,"</formula1>
    </dataValidation>
  </dataValidations>
  <pageMargins left="0.19685039370078741" right="0.19685039370078741" top="0.74803149606299213" bottom="0.74803149606299213" header="0.31496062992125984" footer="0.31496062992125984"/>
  <pageSetup paperSize="9" scale="54" orientation="portrait" r:id="rId1"/>
  <drawing r:id="rId2"/>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200-000004000000}">
          <x14:formula1>
            <xm:f>List!$B$1:$B$3940</xm:f>
          </x14:formula1>
          <xm:sqref>P7:Q7</xm:sqref>
        </x14:dataValidation>
        <x14:dataValidation type="list" allowBlank="1" showInputMessage="1" showErrorMessage="1" xr:uid="{00000000-0002-0000-0200-000005000000}">
          <x14:formula1>
            <xm:f>List!$A$1:$A$3940</xm:f>
          </x14:formula1>
          <xm:sqref>P4:Q6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AD63"/>
  <sheetViews>
    <sheetView showGridLines="0" tabSelected="1" topLeftCell="A2" zoomScale="85" zoomScaleNormal="85" workbookViewId="0">
      <selection activeCell="J10" sqref="J10:J28"/>
    </sheetView>
  </sheetViews>
  <sheetFormatPr defaultColWidth="9.28515625" defaultRowHeight="12.75" x14ac:dyDescent="0.2"/>
  <cols>
    <col min="1" max="1" width="10.42578125" style="139" customWidth="1"/>
    <col min="2" max="3" width="7.7109375" style="139" customWidth="1"/>
    <col min="4" max="4" width="11.28515625" style="139" hidden="1" customWidth="1"/>
    <col min="5" max="7" width="14.28515625" style="139" customWidth="1"/>
    <col min="8" max="8" width="12.28515625" style="139" customWidth="1"/>
    <col min="9" max="13" width="11.5703125" style="143" customWidth="1"/>
    <col min="14" max="18" width="13.5703125" style="139" customWidth="1"/>
    <col min="19" max="19" width="9.42578125" style="142" customWidth="1"/>
    <col min="20" max="20" width="9.42578125" style="142" bestFit="1" customWidth="1"/>
    <col min="21" max="21" width="11.7109375" style="142" bestFit="1" customWidth="1"/>
    <col min="22" max="22" width="9.7109375" style="141" bestFit="1" customWidth="1"/>
    <col min="23" max="23" width="9.42578125" style="142" bestFit="1" customWidth="1"/>
    <col min="24" max="24" width="9.42578125" style="142" customWidth="1"/>
    <col min="25" max="30" width="9.28515625" style="141"/>
    <col min="31" max="16384" width="9.28515625" style="139"/>
  </cols>
  <sheetData>
    <row r="1" spans="1:30" ht="60" customHeight="1" x14ac:dyDescent="0.2">
      <c r="A1" s="144"/>
      <c r="B1" s="143"/>
      <c r="C1" s="175" t="s">
        <v>114</v>
      </c>
      <c r="D1" s="175"/>
      <c r="E1" s="175"/>
      <c r="F1" s="175"/>
      <c r="G1" s="175"/>
      <c r="H1" s="175"/>
      <c r="I1" s="176"/>
      <c r="J1" s="176"/>
      <c r="K1" s="176"/>
      <c r="L1" s="176"/>
      <c r="M1" s="176"/>
      <c r="N1" s="176"/>
      <c r="O1" s="176"/>
      <c r="P1" s="175"/>
      <c r="Q1" s="175"/>
      <c r="R1" s="175"/>
      <c r="S1" s="175"/>
      <c r="T1" s="175"/>
      <c r="U1" s="175"/>
      <c r="V1" s="175"/>
      <c r="W1" s="196" t="s">
        <v>135</v>
      </c>
      <c r="X1" s="196" t="s">
        <v>142</v>
      </c>
      <c r="Y1" s="196" t="s">
        <v>137</v>
      </c>
      <c r="Z1" s="196" t="s">
        <v>138</v>
      </c>
      <c r="AA1" s="196" t="s">
        <v>136</v>
      </c>
      <c r="AB1" s="196" t="s">
        <v>139</v>
      </c>
      <c r="AC1" s="196" t="s">
        <v>404</v>
      </c>
      <c r="AD1" s="196" t="s">
        <v>405</v>
      </c>
    </row>
    <row r="2" spans="1:30" ht="32.25" customHeight="1" x14ac:dyDescent="0.2">
      <c r="A2" s="144"/>
      <c r="B2" s="174"/>
      <c r="C2" s="173"/>
      <c r="D2" s="173"/>
      <c r="E2" s="173"/>
      <c r="F2" s="173"/>
      <c r="G2" s="173"/>
      <c r="H2" s="173"/>
      <c r="I2" s="177"/>
      <c r="J2" s="177"/>
      <c r="K2" s="177"/>
      <c r="L2" s="177"/>
      <c r="M2" s="177"/>
      <c r="N2" s="177"/>
      <c r="O2" s="177"/>
      <c r="P2" s="173"/>
      <c r="Q2" s="173"/>
      <c r="R2" s="173"/>
      <c r="S2" s="173"/>
      <c r="T2" s="173"/>
      <c r="U2" s="173"/>
      <c r="V2" s="173"/>
      <c r="W2" s="141">
        <f>(YEAR(Summary!P6)-YEAR(Summary!P4))*12+MONTH(Summary!P6)-MONTH(Summary!P4)+1</f>
        <v>25</v>
      </c>
      <c r="X2" s="141"/>
    </row>
    <row r="3" spans="1:30" s="162" customFormat="1" ht="37.5" customHeight="1" x14ac:dyDescent="0.2">
      <c r="A3" s="172" t="s">
        <v>87</v>
      </c>
      <c r="B3" s="169" t="s">
        <v>25</v>
      </c>
      <c r="C3" s="164" t="s">
        <v>26</v>
      </c>
      <c r="D3" s="164" t="s">
        <v>27</v>
      </c>
      <c r="E3" s="163" t="s">
        <v>101</v>
      </c>
      <c r="F3" s="163" t="s">
        <v>102</v>
      </c>
      <c r="G3" s="163" t="s">
        <v>103</v>
      </c>
      <c r="H3" s="164" t="s">
        <v>28</v>
      </c>
      <c r="I3" s="171" t="s">
        <v>29</v>
      </c>
      <c r="J3" s="171" t="s">
        <v>30</v>
      </c>
      <c r="K3" s="169" t="s">
        <v>31</v>
      </c>
      <c r="L3" s="170" t="s">
        <v>104</v>
      </c>
      <c r="M3" s="169" t="s">
        <v>32</v>
      </c>
      <c r="N3" s="168" t="s">
        <v>374</v>
      </c>
      <c r="O3" s="167" t="s">
        <v>373</v>
      </c>
      <c r="P3" s="163" t="s">
        <v>372</v>
      </c>
      <c r="Q3" s="166" t="s">
        <v>371</v>
      </c>
      <c r="R3" s="163" t="s">
        <v>370</v>
      </c>
      <c r="S3" s="165" t="s">
        <v>369</v>
      </c>
      <c r="T3" s="165" t="s">
        <v>368</v>
      </c>
      <c r="U3" s="164" t="s">
        <v>33</v>
      </c>
      <c r="V3" s="163" t="s">
        <v>367</v>
      </c>
      <c r="W3" s="197" t="s">
        <v>120</v>
      </c>
      <c r="X3" s="197"/>
      <c r="Y3" s="197"/>
      <c r="Z3" s="197"/>
      <c r="AA3" s="197"/>
      <c r="AB3" s="194"/>
      <c r="AC3" s="197"/>
      <c r="AD3" s="197"/>
    </row>
    <row r="4" spans="1:30" x14ac:dyDescent="0.2">
      <c r="A4" s="155" t="str">
        <f t="shared" ref="A4:A35" si="0">CONCATENATE(C4,"-",B4)</f>
        <v>2025-9</v>
      </c>
      <c r="B4" s="154">
        <f>MONTH(Summary!P4)</f>
        <v>9</v>
      </c>
      <c r="C4" s="153">
        <f>YEAR(Summary!P4)</f>
        <v>2025</v>
      </c>
      <c r="D4" s="152" t="str">
        <f t="shared" ref="D4:D35" si="1">CONCATENATE(C4,"-",B4)</f>
        <v>2025-9</v>
      </c>
      <c r="E4" s="159">
        <f>+IF($B4="","",Summary!$P$4)</f>
        <v>45929</v>
      </c>
      <c r="F4" s="159">
        <f>+IF($B4="","",Summary!$P$5)</f>
        <v>46657</v>
      </c>
      <c r="G4" s="159">
        <f>+IF($B4="","",Summary!$P$6)</f>
        <v>46657</v>
      </c>
      <c r="H4" s="158" t="str">
        <f t="shared" ref="H4:H35" si="2">+IF($B4="","",IF(U4&lt;-15%,"Red",IF(U4&lt;0%,"Amber","Green")))</f>
        <v>Green</v>
      </c>
      <c r="I4" s="156"/>
      <c r="J4" s="157"/>
      <c r="K4" s="156"/>
      <c r="L4" s="156"/>
      <c r="M4" s="156"/>
      <c r="N4" s="156">
        <f t="shared" ref="N4:N63" si="3">O4</f>
        <v>0</v>
      </c>
      <c r="O4" s="156">
        <v>0</v>
      </c>
      <c r="P4" s="147">
        <f>I4</f>
        <v>0</v>
      </c>
      <c r="Q4" s="147">
        <f>J4</f>
        <v>0</v>
      </c>
      <c r="R4" s="147">
        <f>K4</f>
        <v>0</v>
      </c>
      <c r="S4" s="146">
        <f>N4</f>
        <v>0</v>
      </c>
      <c r="T4" s="146">
        <f>O4</f>
        <v>0</v>
      </c>
      <c r="U4" s="145">
        <f t="shared" ref="U4:U35" si="4">IF(Q4=0,0,IF(K4&lt;&gt;"",(Q4-(R4+L4))/Q4,U3))</f>
        <v>0</v>
      </c>
      <c r="V4" s="145">
        <f t="shared" ref="V4:V35" si="5">IF(S4=0,0,IF(O4&lt;&gt;"",(S4-(T4))/S4,V3))</f>
        <v>0</v>
      </c>
      <c r="W4" s="142">
        <v>1</v>
      </c>
      <c r="X4" s="142" t="str">
        <f>+IF((VLOOKUP(A4,List!B:C,2,0)-VLOOKUP(Summary!$P$7,List!B:C,2,0))=0,1,"")</f>
        <v/>
      </c>
      <c r="Y4" s="198" t="str">
        <f>+IF((VLOOKUP(A4,List!B:C,2,0)-VLOOKUP(Summary!$P$7,List!B:C,2,0))&gt;=0,1,"")</f>
        <v/>
      </c>
      <c r="Z4" s="198" t="str">
        <f>+IF((VLOOKUP(A4,List!B:C,2,0)-VLOOKUP(Summary!$P$7,List!B:C,2,0))&gt;0,1,"")</f>
        <v/>
      </c>
      <c r="AA4" s="141" t="str">
        <f t="shared" ref="AA4:AA63" si="6">+IFERROR(IF(Z4="","",IF(YEAR(G4)&gt;C4,1,IF(YEAR(G4)=C4,IF(MONTH(G4)&gt;=B4,1,2)))),2)</f>
        <v/>
      </c>
      <c r="AB4" s="199" t="str">
        <f>+IF(AA4="","",IF(Summary!$J$7="Fixed Price","",IF(M4="",IF(I4="","",1),"")))</f>
        <v/>
      </c>
      <c r="AC4" s="198">
        <f>+IFERROR(I4*AA4,0)</f>
        <v>0</v>
      </c>
      <c r="AD4" s="198" t="e">
        <f>+IF(AA4="",+IF(N4&gt;#REF!,#REF!,IF(N4&gt;#REF!,#REF!,IF(N4&gt;#REF!,#REF!,IF(N4&gt;#REF!,#REF!,IF(N4&gt;#REF!,#REF!,IF(N4&gt;#REF!,#REF!,IF(N4&gt;#REF!,#REF!,IF(N4&gt;#REF!,#REF!,#REF!)))))))),0)</f>
        <v>#REF!</v>
      </c>
    </row>
    <row r="5" spans="1:30" x14ac:dyDescent="0.2">
      <c r="A5" s="155" t="str">
        <f t="shared" si="0"/>
        <v>2025-10</v>
      </c>
      <c r="B5" s="154">
        <f t="shared" ref="B5:B36" si="7">IF(W5&lt;=$W$2,IF(B4&gt;11,1,B4+1),"")</f>
        <v>10</v>
      </c>
      <c r="C5" s="153">
        <f t="shared" ref="C5:C36" si="8">IF(W5&lt;=$W$2,IF(B4&gt;11,C4+1,C4),"")</f>
        <v>2025</v>
      </c>
      <c r="D5" s="152" t="str">
        <f t="shared" si="1"/>
        <v>2025-10</v>
      </c>
      <c r="E5" s="151">
        <f>+IF($B5="","",Summary!$P$4)</f>
        <v>45929</v>
      </c>
      <c r="F5" s="151">
        <f>+IF($B5="","",Summary!$P$5)</f>
        <v>46657</v>
      </c>
      <c r="G5" s="151">
        <f>+IF($B5="","",Summary!$P$6)</f>
        <v>46657</v>
      </c>
      <c r="H5" s="150" t="str">
        <f t="shared" si="2"/>
        <v>Green</v>
      </c>
      <c r="I5" s="148">
        <v>0</v>
      </c>
      <c r="J5" s="149">
        <v>0</v>
      </c>
      <c r="K5" s="148">
        <v>0</v>
      </c>
      <c r="L5" s="148"/>
      <c r="M5" s="148">
        <v>0</v>
      </c>
      <c r="N5" s="148">
        <v>0</v>
      </c>
      <c r="O5" s="148">
        <v>0</v>
      </c>
      <c r="P5" s="147">
        <f t="shared" ref="P5:P36" si="9">I5+P4</f>
        <v>0</v>
      </c>
      <c r="Q5" s="147">
        <f t="shared" ref="Q5:Q36" si="10">Q4+J5</f>
        <v>0</v>
      </c>
      <c r="R5" s="147">
        <f t="shared" ref="R5:R36" si="11">K5+R4</f>
        <v>0</v>
      </c>
      <c r="S5" s="146">
        <f t="shared" ref="S5:S36" si="12">N5+S4</f>
        <v>0</v>
      </c>
      <c r="T5" s="146">
        <f t="shared" ref="T5:T36" si="13">O5+T4</f>
        <v>0</v>
      </c>
      <c r="U5" s="145">
        <f t="shared" si="4"/>
        <v>0</v>
      </c>
      <c r="V5" s="145">
        <f t="shared" si="5"/>
        <v>0</v>
      </c>
      <c r="W5" s="142">
        <v>2</v>
      </c>
      <c r="X5" s="142" t="str">
        <f>+IF((VLOOKUP(A5,List!B:C,2,0)-VLOOKUP(Summary!$P$7,List!B:C,2,0))=0,1,"")</f>
        <v/>
      </c>
      <c r="Y5" s="198" t="str">
        <f>+IF((VLOOKUP(A5,List!B:C,2,0)-VLOOKUP(Summary!$P$7,List!B:C,2,0))&gt;=0,1,"")</f>
        <v/>
      </c>
      <c r="Z5" s="198" t="str">
        <f>+IF((VLOOKUP(A5,List!B:C,2,0)-VLOOKUP(Summary!$P$7,List!B:C,2,0))&gt;0,1,"")</f>
        <v/>
      </c>
      <c r="AA5" s="141" t="str">
        <f t="shared" si="6"/>
        <v/>
      </c>
      <c r="AB5" s="199" t="str">
        <f>+IF(AA5="","",IF(Summary!$J$7="Fixed Price","",IF(M5="",IF(I5="","",1),"")))</f>
        <v/>
      </c>
      <c r="AC5" s="198">
        <f t="shared" ref="AC5:AC63" si="14">+IFERROR(I5*AA5,0)</f>
        <v>0</v>
      </c>
      <c r="AD5" s="198" t="e">
        <f>+IF(AA5="",+IF(N5&gt;#REF!,#REF!,IF(N5&gt;#REF!,#REF!,IF(N5&gt;#REF!,#REF!,IF(N5&gt;#REF!,#REF!,IF(N5&gt;#REF!,#REF!,IF(N5&gt;#REF!,#REF!,IF(N5&gt;#REF!,#REF!,IF(N5&gt;#REF!,#REF!,#REF!)))))))),0)</f>
        <v>#REF!</v>
      </c>
    </row>
    <row r="6" spans="1:30" x14ac:dyDescent="0.2">
      <c r="A6" s="155" t="str">
        <f t="shared" si="0"/>
        <v>2025-11</v>
      </c>
      <c r="B6" s="154">
        <f t="shared" si="7"/>
        <v>11</v>
      </c>
      <c r="C6" s="153">
        <f t="shared" si="8"/>
        <v>2025</v>
      </c>
      <c r="D6" s="152" t="str">
        <f t="shared" si="1"/>
        <v>2025-11</v>
      </c>
      <c r="E6" s="159">
        <f>+IF($B6="","",Summary!$P$4)</f>
        <v>45929</v>
      </c>
      <c r="F6" s="159">
        <f>+IF($B6="","",Summary!$P$5)</f>
        <v>46657</v>
      </c>
      <c r="G6" s="159">
        <f>+IF($B6="","",Summary!$P$6)</f>
        <v>46657</v>
      </c>
      <c r="H6" s="158" t="str">
        <f t="shared" si="2"/>
        <v>Green</v>
      </c>
      <c r="I6" s="156">
        <v>10071.35</v>
      </c>
      <c r="J6" s="157">
        <v>17</v>
      </c>
      <c r="K6" s="156">
        <v>16.5</v>
      </c>
      <c r="L6" s="156"/>
      <c r="M6" s="156">
        <v>17</v>
      </c>
      <c r="N6" s="156">
        <v>20</v>
      </c>
      <c r="O6" s="156">
        <v>20</v>
      </c>
      <c r="P6" s="147">
        <f t="shared" si="9"/>
        <v>10071.35</v>
      </c>
      <c r="Q6" s="147">
        <f t="shared" si="10"/>
        <v>17</v>
      </c>
      <c r="R6" s="147">
        <f t="shared" si="11"/>
        <v>16.5</v>
      </c>
      <c r="S6" s="146">
        <f t="shared" si="12"/>
        <v>20</v>
      </c>
      <c r="T6" s="146">
        <f t="shared" si="13"/>
        <v>20</v>
      </c>
      <c r="U6" s="145">
        <f t="shared" si="4"/>
        <v>2.9411764705882353E-2</v>
      </c>
      <c r="V6" s="145">
        <f t="shared" si="5"/>
        <v>0</v>
      </c>
      <c r="W6" s="142">
        <v>3</v>
      </c>
      <c r="X6" s="142" t="str">
        <f>+IF((VLOOKUP(A6,List!B:C,2,0)-VLOOKUP(Summary!$P$7,List!B:C,2,0))=0,1,"")</f>
        <v/>
      </c>
      <c r="Y6" s="198" t="str">
        <f>+IF((VLOOKUP(A6,List!B:C,2,0)-VLOOKUP(Summary!$P$7,List!B:C,2,0))&gt;=0,1,"")</f>
        <v/>
      </c>
      <c r="Z6" s="198" t="str">
        <f>+IF((VLOOKUP(A6,List!B:C,2,0)-VLOOKUP(Summary!$P$7,List!B:C,2,0))&gt;0,1,"")</f>
        <v/>
      </c>
      <c r="AA6" s="141" t="str">
        <f t="shared" si="6"/>
        <v/>
      </c>
      <c r="AB6" s="199" t="str">
        <f>+IF(AA6="","",IF(Summary!$J$7="Fixed Price","",IF(M6="",IF(I6="","",1),"")))</f>
        <v/>
      </c>
      <c r="AC6" s="198">
        <f t="shared" si="14"/>
        <v>0</v>
      </c>
      <c r="AD6" s="198" t="e">
        <f>+IF(AA6="",+IF(N6&gt;#REF!,#REF!,IF(N6&gt;#REF!,#REF!,IF(N6&gt;#REF!,#REF!,IF(N6&gt;#REF!,#REF!,IF(N6&gt;#REF!,#REF!,IF(N6&gt;#REF!,#REF!,IF(N6&gt;#REF!,#REF!,IF(N6&gt;#REF!,#REF!,#REF!)))))))),0)</f>
        <v>#REF!</v>
      </c>
    </row>
    <row r="7" spans="1:30" x14ac:dyDescent="0.2">
      <c r="A7" s="155" t="str">
        <f t="shared" si="0"/>
        <v>2025-12</v>
      </c>
      <c r="B7" s="154">
        <f t="shared" si="7"/>
        <v>12</v>
      </c>
      <c r="C7" s="153">
        <f t="shared" si="8"/>
        <v>2025</v>
      </c>
      <c r="D7" s="152" t="str">
        <f t="shared" si="1"/>
        <v>2025-12</v>
      </c>
      <c r="E7" s="151">
        <f>+IF($B7="","",Summary!$P$4)</f>
        <v>45929</v>
      </c>
      <c r="F7" s="151">
        <f>+IF($B7="","",Summary!$P$5)</f>
        <v>46657</v>
      </c>
      <c r="G7" s="151">
        <f>+IF($B7="","",Summary!$P$6)</f>
        <v>46657</v>
      </c>
      <c r="H7" s="150" t="str">
        <f t="shared" si="2"/>
        <v>Green</v>
      </c>
      <c r="I7" s="148">
        <v>10071.35</v>
      </c>
      <c r="J7" s="149">
        <v>17</v>
      </c>
      <c r="K7" s="148">
        <v>14.2</v>
      </c>
      <c r="L7" s="148"/>
      <c r="M7" s="148">
        <v>17</v>
      </c>
      <c r="N7" s="148">
        <v>20</v>
      </c>
      <c r="O7" s="148">
        <v>16</v>
      </c>
      <c r="P7" s="147">
        <f t="shared" si="9"/>
        <v>20142.7</v>
      </c>
      <c r="Q7" s="147">
        <f t="shared" si="10"/>
        <v>34</v>
      </c>
      <c r="R7" s="147">
        <f t="shared" si="11"/>
        <v>30.7</v>
      </c>
      <c r="S7" s="146">
        <f t="shared" si="12"/>
        <v>40</v>
      </c>
      <c r="T7" s="146">
        <f t="shared" si="13"/>
        <v>36</v>
      </c>
      <c r="U7" s="145">
        <f t="shared" si="4"/>
        <v>9.7058823529411781E-2</v>
      </c>
      <c r="V7" s="145">
        <f t="shared" si="5"/>
        <v>0.1</v>
      </c>
      <c r="W7" s="142">
        <v>4</v>
      </c>
      <c r="X7" s="142" t="str">
        <f>+IF((VLOOKUP(A7,List!B:C,2,0)-VLOOKUP(Summary!$P$7,List!B:C,2,0))=0,1,"")</f>
        <v/>
      </c>
      <c r="Y7" s="198" t="str">
        <f>+IF((VLOOKUP(A7,List!B:C,2,0)-VLOOKUP(Summary!$P$7,List!B:C,2,0))&gt;=0,1,"")</f>
        <v/>
      </c>
      <c r="Z7" s="198" t="str">
        <f>+IF((VLOOKUP(A7,List!B:C,2,0)-VLOOKUP(Summary!$P$7,List!B:C,2,0))&gt;0,1,"")</f>
        <v/>
      </c>
      <c r="AA7" s="141" t="str">
        <f t="shared" si="6"/>
        <v/>
      </c>
      <c r="AB7" s="199" t="str">
        <f>+IF(AA7="","",IF(Summary!$J$7="Fixed Price","",IF(M7="",IF(I7="","",1),"")))</f>
        <v/>
      </c>
      <c r="AC7" s="198">
        <f t="shared" si="14"/>
        <v>0</v>
      </c>
      <c r="AD7" s="198" t="e">
        <f>+IF(AA7="",+IF(N7&gt;#REF!,#REF!,IF(N7&gt;#REF!,#REF!,IF(N7&gt;#REF!,#REF!,IF(N7&gt;#REF!,#REF!,IF(N7&gt;#REF!,#REF!,IF(N7&gt;#REF!,#REF!,IF(N7&gt;#REF!,#REF!,IF(N7&gt;#REF!,#REF!,#REF!)))))))),0)</f>
        <v>#REF!</v>
      </c>
    </row>
    <row r="8" spans="1:30" x14ac:dyDescent="0.2">
      <c r="A8" s="155" t="str">
        <f t="shared" si="0"/>
        <v>2026-1</v>
      </c>
      <c r="B8" s="154">
        <f t="shared" si="7"/>
        <v>1</v>
      </c>
      <c r="C8" s="153">
        <f t="shared" si="8"/>
        <v>2026</v>
      </c>
      <c r="D8" s="152" t="str">
        <f t="shared" si="1"/>
        <v>2026-1</v>
      </c>
      <c r="E8" s="159">
        <f>+IF($B8="","",Summary!$P$4)</f>
        <v>45929</v>
      </c>
      <c r="F8" s="159">
        <f>+IF($B8="","",Summary!$P$5)</f>
        <v>46657</v>
      </c>
      <c r="G8" s="159">
        <f>+IF($B8="","",Summary!$P$6)</f>
        <v>46657</v>
      </c>
      <c r="H8" s="158" t="str">
        <f t="shared" si="2"/>
        <v>Green</v>
      </c>
      <c r="I8" s="156">
        <f>10071.35+151.61*3</f>
        <v>10526.18</v>
      </c>
      <c r="J8" s="157">
        <v>17</v>
      </c>
      <c r="K8" s="156">
        <v>12.6</v>
      </c>
      <c r="L8" s="156"/>
      <c r="M8" s="156">
        <v>17</v>
      </c>
      <c r="N8" s="156">
        <v>20</v>
      </c>
      <c r="O8" s="156">
        <v>23</v>
      </c>
      <c r="P8" s="147">
        <f t="shared" si="9"/>
        <v>30668.880000000001</v>
      </c>
      <c r="Q8" s="147">
        <f t="shared" si="10"/>
        <v>51</v>
      </c>
      <c r="R8" s="147">
        <f t="shared" si="11"/>
        <v>43.3</v>
      </c>
      <c r="S8" s="146">
        <f t="shared" si="12"/>
        <v>60</v>
      </c>
      <c r="T8" s="146">
        <f t="shared" si="13"/>
        <v>59</v>
      </c>
      <c r="U8" s="145">
        <f t="shared" si="4"/>
        <v>0.15098039215686279</v>
      </c>
      <c r="V8" s="145">
        <f t="shared" si="5"/>
        <v>1.6666666666666666E-2</v>
      </c>
      <c r="W8" s="142">
        <v>5</v>
      </c>
      <c r="X8" s="142" t="str">
        <f>+IF((VLOOKUP(A8,List!B:C,2,0)-VLOOKUP(Summary!$P$7,List!B:C,2,0))=0,1,"")</f>
        <v/>
      </c>
      <c r="Y8" s="198" t="str">
        <f>+IF((VLOOKUP(A8,List!B:C,2,0)-VLOOKUP(Summary!$P$7,List!B:C,2,0))&gt;=0,1,"")</f>
        <v/>
      </c>
      <c r="Z8" s="198" t="str">
        <f>+IF((VLOOKUP(A8,List!B:C,2,0)-VLOOKUP(Summary!$P$7,List!B:C,2,0))&gt;0,1,"")</f>
        <v/>
      </c>
      <c r="AA8" s="141" t="str">
        <f t="shared" si="6"/>
        <v/>
      </c>
      <c r="AB8" s="199" t="str">
        <f>+IF(AA8="","",IF(Summary!$J$7="Fixed Price","",IF(M8="",IF(I8="","",1),"")))</f>
        <v/>
      </c>
      <c r="AC8" s="198">
        <f t="shared" si="14"/>
        <v>0</v>
      </c>
      <c r="AD8" s="198" t="e">
        <f>+IF(AA8="",+IF(N8&gt;#REF!,#REF!,IF(N8&gt;#REF!,#REF!,IF(N8&gt;#REF!,#REF!,IF(N8&gt;#REF!,#REF!,IF(N8&gt;#REF!,#REF!,IF(N8&gt;#REF!,#REF!,IF(N8&gt;#REF!,#REF!,IF(N8&gt;#REF!,#REF!,#REF!)))))))),0)</f>
        <v>#REF!</v>
      </c>
    </row>
    <row r="9" spans="1:30" x14ac:dyDescent="0.2">
      <c r="A9" s="155" t="str">
        <f t="shared" si="0"/>
        <v>2026-2</v>
      </c>
      <c r="B9" s="154">
        <f t="shared" si="7"/>
        <v>2</v>
      </c>
      <c r="C9" s="153">
        <f t="shared" si="8"/>
        <v>2026</v>
      </c>
      <c r="D9" s="152" t="str">
        <f t="shared" si="1"/>
        <v>2026-2</v>
      </c>
      <c r="E9" s="151">
        <f>+IF($B9="","",Summary!$P$4)</f>
        <v>45929</v>
      </c>
      <c r="F9" s="151">
        <f>+IF($B9="","",Summary!$P$5)</f>
        <v>46657</v>
      </c>
      <c r="G9" s="151">
        <f>+IF($B9="","",Summary!$P$6)</f>
        <v>46657</v>
      </c>
      <c r="H9" s="150" t="str">
        <f t="shared" si="2"/>
        <v>Green</v>
      </c>
      <c r="I9" s="148">
        <v>12843</v>
      </c>
      <c r="J9" s="149">
        <v>23.25</v>
      </c>
      <c r="K9" s="148">
        <v>9.19</v>
      </c>
      <c r="L9" s="148"/>
      <c r="M9" s="148">
        <v>23.3</v>
      </c>
      <c r="N9" s="148">
        <v>30</v>
      </c>
      <c r="O9" s="148">
        <v>27</v>
      </c>
      <c r="P9" s="147">
        <f t="shared" si="9"/>
        <v>43511.880000000005</v>
      </c>
      <c r="Q9" s="147">
        <f t="shared" si="10"/>
        <v>74.25</v>
      </c>
      <c r="R9" s="147">
        <f t="shared" si="11"/>
        <v>52.489999999999995</v>
      </c>
      <c r="S9" s="146">
        <f t="shared" si="12"/>
        <v>90</v>
      </c>
      <c r="T9" s="146">
        <f t="shared" si="13"/>
        <v>86</v>
      </c>
      <c r="U9" s="145">
        <f t="shared" si="4"/>
        <v>0.29306397306397314</v>
      </c>
      <c r="V9" s="145">
        <f t="shared" si="5"/>
        <v>4.4444444444444446E-2</v>
      </c>
      <c r="W9" s="142">
        <v>6</v>
      </c>
      <c r="X9" s="142">
        <f>+IF((VLOOKUP(A9,List!B:C,2,0)-VLOOKUP(Summary!$P$7,List!B:C,2,0))=0,1,"")</f>
        <v>1</v>
      </c>
      <c r="Y9" s="198">
        <f>+IF((VLOOKUP(A9,List!B:C,2,0)-VLOOKUP(Summary!$P$7,List!B:C,2,0))&gt;=0,1,"")</f>
        <v>1</v>
      </c>
      <c r="Z9" s="198" t="str">
        <f>+IF((VLOOKUP(A9,List!B:C,2,0)-VLOOKUP(Summary!$P$7,List!B:C,2,0))&gt;0,1,"")</f>
        <v/>
      </c>
      <c r="AA9" s="141" t="str">
        <f t="shared" si="6"/>
        <v/>
      </c>
      <c r="AB9" s="199" t="str">
        <f>+IF(AA9="","",IF(Summary!$J$7="Fixed Price","",IF(M9="",IF(I9="","",1),"")))</f>
        <v/>
      </c>
      <c r="AC9" s="198">
        <f t="shared" si="14"/>
        <v>0</v>
      </c>
      <c r="AD9" s="198" t="e">
        <f>+IF(AA9="",+IF(N9&gt;#REF!,#REF!,IF(N9&gt;#REF!,#REF!,IF(N9&gt;#REF!,#REF!,IF(N9&gt;#REF!,#REF!,IF(N9&gt;#REF!,#REF!,IF(N9&gt;#REF!,#REF!,IF(N9&gt;#REF!,#REF!,IF(N9&gt;#REF!,#REF!,#REF!)))))))),0)</f>
        <v>#REF!</v>
      </c>
    </row>
    <row r="10" spans="1:30" x14ac:dyDescent="0.2">
      <c r="A10" s="155" t="str">
        <f t="shared" si="0"/>
        <v>2026-3</v>
      </c>
      <c r="B10" s="154">
        <f t="shared" si="7"/>
        <v>3</v>
      </c>
      <c r="C10" s="153">
        <f t="shared" si="8"/>
        <v>2026</v>
      </c>
      <c r="D10" s="152" t="str">
        <f t="shared" si="1"/>
        <v>2026-3</v>
      </c>
      <c r="E10" s="159">
        <f>+IF($B10="","",Summary!$P$4)</f>
        <v>45929</v>
      </c>
      <c r="F10" s="159">
        <f>+IF($B10="","",Summary!$P$5)</f>
        <v>46657</v>
      </c>
      <c r="G10" s="159">
        <f>+IF($B10="","",Summary!$P$6)</f>
        <v>46657</v>
      </c>
      <c r="H10" s="158" t="str">
        <f t="shared" si="2"/>
        <v>Green</v>
      </c>
      <c r="I10" s="156">
        <v>8693.1</v>
      </c>
      <c r="J10" s="157">
        <v>11</v>
      </c>
      <c r="K10" s="156"/>
      <c r="L10" s="156"/>
      <c r="M10" s="156">
        <v>11</v>
      </c>
      <c r="N10" s="156">
        <f t="shared" si="3"/>
        <v>0</v>
      </c>
      <c r="O10" s="156">
        <v>0</v>
      </c>
      <c r="P10" s="147">
        <f t="shared" si="9"/>
        <v>52204.98</v>
      </c>
      <c r="Q10" s="147">
        <f t="shared" si="10"/>
        <v>85.25</v>
      </c>
      <c r="R10" s="147">
        <f t="shared" si="11"/>
        <v>52.489999999999995</v>
      </c>
      <c r="S10" s="146">
        <f t="shared" si="12"/>
        <v>90</v>
      </c>
      <c r="T10" s="146">
        <f t="shared" si="13"/>
        <v>86</v>
      </c>
      <c r="U10" s="145">
        <f t="shared" si="4"/>
        <v>0.29306397306397314</v>
      </c>
      <c r="V10" s="145">
        <f t="shared" si="5"/>
        <v>4.4444444444444446E-2</v>
      </c>
      <c r="W10" s="142">
        <v>7</v>
      </c>
      <c r="X10" s="142" t="str">
        <f>+IF((VLOOKUP(A10,List!B:C,2,0)-VLOOKUP(Summary!$P$7,List!B:C,2,0))=0,1,"")</f>
        <v/>
      </c>
      <c r="Y10" s="198">
        <f>+IF((VLOOKUP(A10,List!B:C,2,0)-VLOOKUP(Summary!$P$7,List!B:C,2,0))&gt;=0,1,"")</f>
        <v>1</v>
      </c>
      <c r="Z10" s="198">
        <f>+IF((VLOOKUP(A10,List!B:C,2,0)-VLOOKUP(Summary!$P$7,List!B:C,2,0))&gt;0,1,"")</f>
        <v>1</v>
      </c>
      <c r="AA10" s="141">
        <f t="shared" si="6"/>
        <v>1</v>
      </c>
      <c r="AB10" s="199" t="str">
        <f>+IF(AA10="","",IF(Summary!$J$7="Fixed Price","",IF(M10="",IF(I10="","",1),"")))</f>
        <v/>
      </c>
      <c r="AC10" s="198">
        <f t="shared" si="14"/>
        <v>8693.1</v>
      </c>
      <c r="AD10" s="198">
        <f>+IF(AA10="",+IF(N10&gt;#REF!,#REF!,IF(N10&gt;#REF!,#REF!,IF(N10&gt;#REF!,#REF!,IF(N10&gt;#REF!,#REF!,IF(N10&gt;#REF!,#REF!,IF(N10&gt;#REF!,#REF!,IF(N10&gt;#REF!,#REF!,IF(N10&gt;#REF!,#REF!,#REF!)))))))),0)</f>
        <v>0</v>
      </c>
    </row>
    <row r="11" spans="1:30" x14ac:dyDescent="0.2">
      <c r="A11" s="155" t="str">
        <f t="shared" si="0"/>
        <v>2026-4</v>
      </c>
      <c r="B11" s="154">
        <f t="shared" si="7"/>
        <v>4</v>
      </c>
      <c r="C11" s="153">
        <f t="shared" si="8"/>
        <v>2026</v>
      </c>
      <c r="D11" s="152" t="str">
        <f t="shared" si="1"/>
        <v>2026-4</v>
      </c>
      <c r="E11" s="151">
        <f>+IF($B11="","",Summary!$P$4)</f>
        <v>45929</v>
      </c>
      <c r="F11" s="151">
        <f>+IF($B11="","",Summary!$P$5)</f>
        <v>46657</v>
      </c>
      <c r="G11" s="151">
        <f>+IF($B11="","",Summary!$P$6)</f>
        <v>46657</v>
      </c>
      <c r="H11" s="150" t="str">
        <f t="shared" si="2"/>
        <v>Green</v>
      </c>
      <c r="I11" s="148">
        <v>8693.1</v>
      </c>
      <c r="J11" s="149">
        <v>11</v>
      </c>
      <c r="K11" s="148"/>
      <c r="L11" s="148"/>
      <c r="M11" s="148">
        <v>11</v>
      </c>
      <c r="N11" s="148">
        <f t="shared" si="3"/>
        <v>0</v>
      </c>
      <c r="O11" s="148">
        <v>0</v>
      </c>
      <c r="P11" s="147">
        <f t="shared" si="9"/>
        <v>60898.080000000002</v>
      </c>
      <c r="Q11" s="147">
        <f t="shared" si="10"/>
        <v>96.25</v>
      </c>
      <c r="R11" s="147">
        <f t="shared" si="11"/>
        <v>52.489999999999995</v>
      </c>
      <c r="S11" s="146">
        <f t="shared" si="12"/>
        <v>90</v>
      </c>
      <c r="T11" s="146">
        <f t="shared" si="13"/>
        <v>86</v>
      </c>
      <c r="U11" s="145">
        <f t="shared" si="4"/>
        <v>0.29306397306397314</v>
      </c>
      <c r="V11" s="145">
        <f t="shared" si="5"/>
        <v>4.4444444444444446E-2</v>
      </c>
      <c r="W11" s="142">
        <v>8</v>
      </c>
      <c r="X11" s="142" t="str">
        <f>+IF((VLOOKUP(A11,List!B:C,2,0)-VLOOKUP(Summary!$P$7,List!B:C,2,0))=0,1,"")</f>
        <v/>
      </c>
      <c r="Y11" s="198">
        <f>+IF((VLOOKUP(A11,List!B:C,2,0)-VLOOKUP(Summary!$P$7,List!B:C,2,0))&gt;=0,1,"")</f>
        <v>1</v>
      </c>
      <c r="Z11" s="198">
        <f>+IF((VLOOKUP(A11,List!B:C,2,0)-VLOOKUP(Summary!$P$7,List!B:C,2,0))&gt;0,1,"")</f>
        <v>1</v>
      </c>
      <c r="AA11" s="141">
        <f t="shared" si="6"/>
        <v>1</v>
      </c>
      <c r="AB11" s="199" t="str">
        <f>+IF(AA11="","",IF(Summary!$J$7="Fixed Price","",IF(M11="",IF(I11="","",1),"")))</f>
        <v/>
      </c>
      <c r="AC11" s="198">
        <f t="shared" si="14"/>
        <v>8693.1</v>
      </c>
      <c r="AD11" s="198">
        <f>+IF(AA11="",+IF(N11&gt;#REF!,#REF!,IF(N11&gt;#REF!,#REF!,IF(N11&gt;#REF!,#REF!,IF(N11&gt;#REF!,#REF!,IF(N11&gt;#REF!,#REF!,IF(N11&gt;#REF!,#REF!,IF(N11&gt;#REF!,#REF!,IF(N11&gt;#REF!,#REF!,#REF!)))))))),0)</f>
        <v>0</v>
      </c>
    </row>
    <row r="12" spans="1:30" x14ac:dyDescent="0.2">
      <c r="A12" s="155" t="str">
        <f t="shared" si="0"/>
        <v>2026-5</v>
      </c>
      <c r="B12" s="154">
        <f t="shared" si="7"/>
        <v>5</v>
      </c>
      <c r="C12" s="153">
        <f t="shared" si="8"/>
        <v>2026</v>
      </c>
      <c r="D12" s="152" t="str">
        <f t="shared" si="1"/>
        <v>2026-5</v>
      </c>
      <c r="E12" s="159">
        <f>+IF($B12="","",Summary!$P$4)</f>
        <v>45929</v>
      </c>
      <c r="F12" s="159">
        <f>+IF($B12="","",Summary!$P$5)</f>
        <v>46657</v>
      </c>
      <c r="G12" s="159">
        <f>+IF($B12="","",Summary!$P$6)</f>
        <v>46657</v>
      </c>
      <c r="H12" s="158" t="str">
        <f t="shared" si="2"/>
        <v>Green</v>
      </c>
      <c r="I12" s="156">
        <v>8693.1</v>
      </c>
      <c r="J12" s="157">
        <v>11</v>
      </c>
      <c r="K12" s="156"/>
      <c r="L12" s="156"/>
      <c r="M12" s="156">
        <v>11</v>
      </c>
      <c r="N12" s="156">
        <f t="shared" si="3"/>
        <v>0</v>
      </c>
      <c r="O12" s="156">
        <v>0</v>
      </c>
      <c r="P12" s="147">
        <f t="shared" si="9"/>
        <v>69591.180000000008</v>
      </c>
      <c r="Q12" s="147">
        <f t="shared" si="10"/>
        <v>107.25</v>
      </c>
      <c r="R12" s="147">
        <f t="shared" si="11"/>
        <v>52.489999999999995</v>
      </c>
      <c r="S12" s="146">
        <f t="shared" si="12"/>
        <v>90</v>
      </c>
      <c r="T12" s="146">
        <f t="shared" si="13"/>
        <v>86</v>
      </c>
      <c r="U12" s="145">
        <f t="shared" si="4"/>
        <v>0.29306397306397314</v>
      </c>
      <c r="V12" s="145">
        <f t="shared" si="5"/>
        <v>4.4444444444444446E-2</v>
      </c>
      <c r="W12" s="142">
        <v>9</v>
      </c>
      <c r="X12" s="142" t="str">
        <f>+IF((VLOOKUP(A12,List!B:C,2,0)-VLOOKUP(Summary!$P$7,List!B:C,2,0))=0,1,"")</f>
        <v/>
      </c>
      <c r="Y12" s="198">
        <f>+IF((VLOOKUP(A12,List!B:C,2,0)-VLOOKUP(Summary!$P$7,List!B:C,2,0))&gt;=0,1,"")</f>
        <v>1</v>
      </c>
      <c r="Z12" s="198">
        <f>+IF((VLOOKUP(A12,List!B:C,2,0)-VLOOKUP(Summary!$P$7,List!B:C,2,0))&gt;0,1,"")</f>
        <v>1</v>
      </c>
      <c r="AA12" s="141">
        <f t="shared" si="6"/>
        <v>1</v>
      </c>
      <c r="AB12" s="199" t="str">
        <f>+IF(AA12="","",IF(Summary!$J$7="Fixed Price","",IF(M12="",IF(I12="","",1),"")))</f>
        <v/>
      </c>
      <c r="AC12" s="198">
        <f t="shared" si="14"/>
        <v>8693.1</v>
      </c>
      <c r="AD12" s="198">
        <f>+IF(AA12="",+IF(N12&gt;#REF!,#REF!,IF(N12&gt;#REF!,#REF!,IF(N12&gt;#REF!,#REF!,IF(N12&gt;#REF!,#REF!,IF(N12&gt;#REF!,#REF!,IF(N12&gt;#REF!,#REF!,IF(N12&gt;#REF!,#REF!,IF(N12&gt;#REF!,#REF!,#REF!)))))))),0)</f>
        <v>0</v>
      </c>
    </row>
    <row r="13" spans="1:30" x14ac:dyDescent="0.2">
      <c r="A13" s="155" t="str">
        <f t="shared" si="0"/>
        <v>2026-6</v>
      </c>
      <c r="B13" s="154">
        <f t="shared" si="7"/>
        <v>6</v>
      </c>
      <c r="C13" s="153">
        <f t="shared" si="8"/>
        <v>2026</v>
      </c>
      <c r="D13" s="152" t="str">
        <f t="shared" si="1"/>
        <v>2026-6</v>
      </c>
      <c r="E13" s="151">
        <f>+IF($B13="","",Summary!$P$4)</f>
        <v>45929</v>
      </c>
      <c r="F13" s="151">
        <f>+IF($B13="","",Summary!$P$5)</f>
        <v>46657</v>
      </c>
      <c r="G13" s="151">
        <f>+IF($B13="","",Summary!$P$6)</f>
        <v>46657</v>
      </c>
      <c r="H13" s="150" t="str">
        <f t="shared" si="2"/>
        <v>Green</v>
      </c>
      <c r="I13" s="148">
        <v>8693.1</v>
      </c>
      <c r="J13" s="149">
        <v>11</v>
      </c>
      <c r="K13" s="148"/>
      <c r="L13" s="148"/>
      <c r="M13" s="148">
        <v>11</v>
      </c>
      <c r="N13" s="148">
        <f t="shared" si="3"/>
        <v>0</v>
      </c>
      <c r="O13" s="148">
        <v>0</v>
      </c>
      <c r="P13" s="147">
        <f t="shared" si="9"/>
        <v>78284.280000000013</v>
      </c>
      <c r="Q13" s="147">
        <f t="shared" si="10"/>
        <v>118.25</v>
      </c>
      <c r="R13" s="147">
        <f t="shared" si="11"/>
        <v>52.489999999999995</v>
      </c>
      <c r="S13" s="146">
        <f t="shared" si="12"/>
        <v>90</v>
      </c>
      <c r="T13" s="146">
        <f t="shared" si="13"/>
        <v>86</v>
      </c>
      <c r="U13" s="145">
        <f t="shared" si="4"/>
        <v>0.29306397306397314</v>
      </c>
      <c r="V13" s="145">
        <f t="shared" si="5"/>
        <v>4.4444444444444446E-2</v>
      </c>
      <c r="W13" s="142">
        <v>10</v>
      </c>
      <c r="X13" s="142" t="str">
        <f>+IF((VLOOKUP(A13,List!B:C,2,0)-VLOOKUP(Summary!$P$7,List!B:C,2,0))=0,1,"")</f>
        <v/>
      </c>
      <c r="Y13" s="198">
        <f>+IF((VLOOKUP(A13,List!B:C,2,0)-VLOOKUP(Summary!$P$7,List!B:C,2,0))&gt;=0,1,"")</f>
        <v>1</v>
      </c>
      <c r="Z13" s="198">
        <f>+IF((VLOOKUP(A13,List!B:C,2,0)-VLOOKUP(Summary!$P$7,List!B:C,2,0))&gt;0,1,"")</f>
        <v>1</v>
      </c>
      <c r="AA13" s="141">
        <f t="shared" si="6"/>
        <v>1</v>
      </c>
      <c r="AB13" s="199" t="str">
        <f>+IF(AA13="","",IF(Summary!$J$7="Fixed Price","",IF(M13="",IF(I13="","",1),"")))</f>
        <v/>
      </c>
      <c r="AC13" s="198">
        <f t="shared" si="14"/>
        <v>8693.1</v>
      </c>
      <c r="AD13" s="198">
        <f>+IF(AA13="",+IF(N13&gt;#REF!,#REF!,IF(N13&gt;#REF!,#REF!,IF(N13&gt;#REF!,#REF!,IF(N13&gt;#REF!,#REF!,IF(N13&gt;#REF!,#REF!,IF(N13&gt;#REF!,#REF!,IF(N13&gt;#REF!,#REF!,IF(N13&gt;#REF!,#REF!,#REF!)))))))),0)</f>
        <v>0</v>
      </c>
    </row>
    <row r="14" spans="1:30" x14ac:dyDescent="0.2">
      <c r="A14" s="155" t="str">
        <f t="shared" si="0"/>
        <v>2026-7</v>
      </c>
      <c r="B14" s="154">
        <f t="shared" si="7"/>
        <v>7</v>
      </c>
      <c r="C14" s="153">
        <f t="shared" si="8"/>
        <v>2026</v>
      </c>
      <c r="D14" s="152" t="str">
        <f t="shared" si="1"/>
        <v>2026-7</v>
      </c>
      <c r="E14" s="159">
        <f>+IF($B14="","",Summary!$P$4)</f>
        <v>45929</v>
      </c>
      <c r="F14" s="159">
        <f>+IF($B14="","",Summary!$P$5)</f>
        <v>46657</v>
      </c>
      <c r="G14" s="159">
        <f>+IF($B14="","",Summary!$P$6)</f>
        <v>46657</v>
      </c>
      <c r="H14" s="158" t="str">
        <f t="shared" si="2"/>
        <v>Green</v>
      </c>
      <c r="I14" s="156">
        <v>8693.1</v>
      </c>
      <c r="J14" s="157">
        <v>11</v>
      </c>
      <c r="K14" s="156"/>
      <c r="L14" s="156"/>
      <c r="M14" s="156">
        <v>11</v>
      </c>
      <c r="N14" s="156">
        <f t="shared" si="3"/>
        <v>0</v>
      </c>
      <c r="O14" s="156">
        <v>0</v>
      </c>
      <c r="P14" s="147">
        <f t="shared" si="9"/>
        <v>86977.380000000019</v>
      </c>
      <c r="Q14" s="147">
        <f t="shared" si="10"/>
        <v>129.25</v>
      </c>
      <c r="R14" s="147">
        <f t="shared" si="11"/>
        <v>52.489999999999995</v>
      </c>
      <c r="S14" s="146">
        <f t="shared" si="12"/>
        <v>90</v>
      </c>
      <c r="T14" s="146">
        <f t="shared" si="13"/>
        <v>86</v>
      </c>
      <c r="U14" s="145">
        <f t="shared" si="4"/>
        <v>0.29306397306397314</v>
      </c>
      <c r="V14" s="145">
        <f t="shared" si="5"/>
        <v>4.4444444444444446E-2</v>
      </c>
      <c r="W14" s="142">
        <v>11</v>
      </c>
      <c r="X14" s="142" t="str">
        <f>+IF((VLOOKUP(A14,List!B:C,2,0)-VLOOKUP(Summary!$P$7,List!B:C,2,0))=0,1,"")</f>
        <v/>
      </c>
      <c r="Y14" s="198">
        <f>+IF((VLOOKUP(A14,List!B:C,2,0)-VLOOKUP(Summary!$P$7,List!B:C,2,0))&gt;=0,1,"")</f>
        <v>1</v>
      </c>
      <c r="Z14" s="198">
        <f>+IF((VLOOKUP(A14,List!B:C,2,0)-VLOOKUP(Summary!$P$7,List!B:C,2,0))&gt;0,1,"")</f>
        <v>1</v>
      </c>
      <c r="AA14" s="141">
        <f t="shared" si="6"/>
        <v>1</v>
      </c>
      <c r="AB14" s="199" t="str">
        <f>+IF(AA14="","",IF(Summary!$J$7="Fixed Price","",IF(M14="",IF(I14="","",1),"")))</f>
        <v/>
      </c>
      <c r="AC14" s="198">
        <f t="shared" si="14"/>
        <v>8693.1</v>
      </c>
      <c r="AD14" s="198">
        <f>+IF(AA14="",+IF(N14&gt;#REF!,#REF!,IF(N14&gt;#REF!,#REF!,IF(N14&gt;#REF!,#REF!,IF(N14&gt;#REF!,#REF!,IF(N14&gt;#REF!,#REF!,IF(N14&gt;#REF!,#REF!,IF(N14&gt;#REF!,#REF!,IF(N14&gt;#REF!,#REF!,#REF!)))))))),0)</f>
        <v>0</v>
      </c>
    </row>
    <row r="15" spans="1:30" x14ac:dyDescent="0.2">
      <c r="A15" s="155" t="str">
        <f t="shared" si="0"/>
        <v>2026-8</v>
      </c>
      <c r="B15" s="154">
        <f t="shared" si="7"/>
        <v>8</v>
      </c>
      <c r="C15" s="153">
        <f t="shared" si="8"/>
        <v>2026</v>
      </c>
      <c r="D15" s="152" t="str">
        <f t="shared" si="1"/>
        <v>2026-8</v>
      </c>
      <c r="E15" s="151">
        <f>+IF($B15="","",Summary!$P$4)</f>
        <v>45929</v>
      </c>
      <c r="F15" s="151">
        <f>+IF($B15="","",Summary!$P$5)</f>
        <v>46657</v>
      </c>
      <c r="G15" s="151">
        <f>+IF($B15="","",Summary!$P$6)</f>
        <v>46657</v>
      </c>
      <c r="H15" s="150" t="str">
        <f t="shared" si="2"/>
        <v>Green</v>
      </c>
      <c r="I15" s="148">
        <v>8693.1</v>
      </c>
      <c r="J15" s="149">
        <v>11</v>
      </c>
      <c r="K15" s="148"/>
      <c r="L15" s="148"/>
      <c r="M15" s="148">
        <v>11</v>
      </c>
      <c r="N15" s="148">
        <f t="shared" si="3"/>
        <v>0</v>
      </c>
      <c r="O15" s="148">
        <v>0</v>
      </c>
      <c r="P15" s="147">
        <f t="shared" si="9"/>
        <v>95670.480000000025</v>
      </c>
      <c r="Q15" s="147">
        <f t="shared" si="10"/>
        <v>140.25</v>
      </c>
      <c r="R15" s="147">
        <f t="shared" si="11"/>
        <v>52.489999999999995</v>
      </c>
      <c r="S15" s="146">
        <f t="shared" si="12"/>
        <v>90</v>
      </c>
      <c r="T15" s="146">
        <f t="shared" si="13"/>
        <v>86</v>
      </c>
      <c r="U15" s="145">
        <f t="shared" si="4"/>
        <v>0.29306397306397314</v>
      </c>
      <c r="V15" s="145">
        <f t="shared" si="5"/>
        <v>4.4444444444444446E-2</v>
      </c>
      <c r="W15" s="142">
        <v>12</v>
      </c>
      <c r="X15" s="142" t="str">
        <f>+IF((VLOOKUP(A15,List!B:C,2,0)-VLOOKUP(Summary!$P$7,List!B:C,2,0))=0,1,"")</f>
        <v/>
      </c>
      <c r="Y15" s="198">
        <f>+IF((VLOOKUP(A15,List!B:C,2,0)-VLOOKUP(Summary!$P$7,List!B:C,2,0))&gt;=0,1,"")</f>
        <v>1</v>
      </c>
      <c r="Z15" s="198">
        <f>+IF((VLOOKUP(A15,List!B:C,2,0)-VLOOKUP(Summary!$P$7,List!B:C,2,0))&gt;0,1,"")</f>
        <v>1</v>
      </c>
      <c r="AA15" s="141">
        <f t="shared" si="6"/>
        <v>1</v>
      </c>
      <c r="AB15" s="199" t="str">
        <f>+IF(AA15="","",IF(Summary!$J$7="Fixed Price","",IF(M15="",IF(I15="","",1),"")))</f>
        <v/>
      </c>
      <c r="AC15" s="198">
        <f t="shared" si="14"/>
        <v>8693.1</v>
      </c>
      <c r="AD15" s="198">
        <f>+IF(AA15="",+IF(N15&gt;#REF!,#REF!,IF(N15&gt;#REF!,#REF!,IF(N15&gt;#REF!,#REF!,IF(N15&gt;#REF!,#REF!,IF(N15&gt;#REF!,#REF!,IF(N15&gt;#REF!,#REF!,IF(N15&gt;#REF!,#REF!,IF(N15&gt;#REF!,#REF!,#REF!)))))))),0)</f>
        <v>0</v>
      </c>
    </row>
    <row r="16" spans="1:30" x14ac:dyDescent="0.2">
      <c r="A16" s="155" t="str">
        <f t="shared" si="0"/>
        <v>2026-9</v>
      </c>
      <c r="B16" s="154">
        <f t="shared" si="7"/>
        <v>9</v>
      </c>
      <c r="C16" s="153">
        <f t="shared" si="8"/>
        <v>2026</v>
      </c>
      <c r="D16" s="152" t="str">
        <f t="shared" si="1"/>
        <v>2026-9</v>
      </c>
      <c r="E16" s="159">
        <f>+IF($B16="","",Summary!$P$4)</f>
        <v>45929</v>
      </c>
      <c r="F16" s="159">
        <f>+IF($B16="","",Summary!$P$5)</f>
        <v>46657</v>
      </c>
      <c r="G16" s="159">
        <f>+IF($B16="","",Summary!$P$6)</f>
        <v>46657</v>
      </c>
      <c r="H16" s="158" t="str">
        <f t="shared" si="2"/>
        <v>Green</v>
      </c>
      <c r="I16" s="156">
        <v>8693.1</v>
      </c>
      <c r="J16" s="160">
        <v>11</v>
      </c>
      <c r="K16" s="156"/>
      <c r="L16" s="156"/>
      <c r="M16" s="156">
        <v>11</v>
      </c>
      <c r="N16" s="156">
        <f t="shared" si="3"/>
        <v>0</v>
      </c>
      <c r="O16" s="156">
        <v>0</v>
      </c>
      <c r="P16" s="147">
        <f t="shared" si="9"/>
        <v>104363.58000000003</v>
      </c>
      <c r="Q16" s="147">
        <f t="shared" si="10"/>
        <v>151.25</v>
      </c>
      <c r="R16" s="147">
        <f t="shared" si="11"/>
        <v>52.489999999999995</v>
      </c>
      <c r="S16" s="146">
        <f t="shared" si="12"/>
        <v>90</v>
      </c>
      <c r="T16" s="146">
        <f t="shared" si="13"/>
        <v>86</v>
      </c>
      <c r="U16" s="145">
        <f t="shared" si="4"/>
        <v>0.29306397306397314</v>
      </c>
      <c r="V16" s="145">
        <f t="shared" si="5"/>
        <v>4.4444444444444446E-2</v>
      </c>
      <c r="W16" s="142">
        <v>13</v>
      </c>
      <c r="X16" s="142" t="str">
        <f>+IF((VLOOKUP(A16,List!B:C,2,0)-VLOOKUP(Summary!$P$7,List!B:C,2,0))=0,1,"")</f>
        <v/>
      </c>
      <c r="Y16" s="198">
        <f>+IF((VLOOKUP(A16,List!B:C,2,0)-VLOOKUP(Summary!$P$7,List!B:C,2,0))&gt;=0,1,"")</f>
        <v>1</v>
      </c>
      <c r="Z16" s="198">
        <f>+IF((VLOOKUP(A16,List!B:C,2,0)-VLOOKUP(Summary!$P$7,List!B:C,2,0))&gt;0,1,"")</f>
        <v>1</v>
      </c>
      <c r="AA16" s="141">
        <f t="shared" si="6"/>
        <v>1</v>
      </c>
      <c r="AB16" s="199" t="str">
        <f>+IF(AA16="","",IF(Summary!$J$7="Fixed Price","",IF(M16="",IF(I16="","",1),"")))</f>
        <v/>
      </c>
      <c r="AC16" s="198">
        <f t="shared" si="14"/>
        <v>8693.1</v>
      </c>
      <c r="AD16" s="198">
        <f>+IF(AA16="",+IF(N16&gt;#REF!,#REF!,IF(N16&gt;#REF!,#REF!,IF(N16&gt;#REF!,#REF!,IF(N16&gt;#REF!,#REF!,IF(N16&gt;#REF!,#REF!,IF(N16&gt;#REF!,#REF!,IF(N16&gt;#REF!,#REF!,IF(N16&gt;#REF!,#REF!,#REF!)))))))),0)</f>
        <v>0</v>
      </c>
    </row>
    <row r="17" spans="1:30" x14ac:dyDescent="0.2">
      <c r="A17" s="155" t="str">
        <f t="shared" si="0"/>
        <v>2026-10</v>
      </c>
      <c r="B17" s="154">
        <f t="shared" si="7"/>
        <v>10</v>
      </c>
      <c r="C17" s="153">
        <f t="shared" si="8"/>
        <v>2026</v>
      </c>
      <c r="D17" s="152" t="str">
        <f t="shared" si="1"/>
        <v>2026-10</v>
      </c>
      <c r="E17" s="151">
        <f>+IF($B17="","",Summary!$P$4)</f>
        <v>45929</v>
      </c>
      <c r="F17" s="151">
        <f>+IF($B17="","",Summary!$P$5)</f>
        <v>46657</v>
      </c>
      <c r="G17" s="151">
        <f>+IF($B17="","",Summary!$P$6)</f>
        <v>46657</v>
      </c>
      <c r="H17" s="150" t="str">
        <f t="shared" si="2"/>
        <v>Green</v>
      </c>
      <c r="I17" s="148">
        <v>8693.1</v>
      </c>
      <c r="J17" s="161">
        <v>11</v>
      </c>
      <c r="K17" s="148"/>
      <c r="L17" s="148"/>
      <c r="M17" s="148">
        <v>11</v>
      </c>
      <c r="N17" s="148">
        <f t="shared" si="3"/>
        <v>0</v>
      </c>
      <c r="O17" s="148">
        <v>0</v>
      </c>
      <c r="P17" s="147">
        <f t="shared" si="9"/>
        <v>113056.68000000004</v>
      </c>
      <c r="Q17" s="147">
        <f t="shared" si="10"/>
        <v>162.25</v>
      </c>
      <c r="R17" s="147">
        <f t="shared" si="11"/>
        <v>52.489999999999995</v>
      </c>
      <c r="S17" s="146">
        <f t="shared" si="12"/>
        <v>90</v>
      </c>
      <c r="T17" s="146">
        <f t="shared" si="13"/>
        <v>86</v>
      </c>
      <c r="U17" s="145">
        <f t="shared" si="4"/>
        <v>0.29306397306397314</v>
      </c>
      <c r="V17" s="145">
        <f t="shared" si="5"/>
        <v>4.4444444444444446E-2</v>
      </c>
      <c r="W17" s="142">
        <v>14</v>
      </c>
      <c r="X17" s="142" t="str">
        <f>+IF((VLOOKUP(A17,List!B:C,2,0)-VLOOKUP(Summary!$P$7,List!B:C,2,0))=0,1,"")</f>
        <v/>
      </c>
      <c r="Y17" s="198">
        <f>+IF((VLOOKUP(A17,List!B:C,2,0)-VLOOKUP(Summary!$P$7,List!B:C,2,0))&gt;=0,1,"")</f>
        <v>1</v>
      </c>
      <c r="Z17" s="198">
        <f>+IF((VLOOKUP(A17,List!B:C,2,0)-VLOOKUP(Summary!$P$7,List!B:C,2,0))&gt;0,1,"")</f>
        <v>1</v>
      </c>
      <c r="AA17" s="141">
        <f t="shared" si="6"/>
        <v>1</v>
      </c>
      <c r="AB17" s="199" t="str">
        <f>+IF(AA17="","",IF(Summary!$J$7="Fixed Price","",IF(M17="",IF(I17="","",1),"")))</f>
        <v/>
      </c>
      <c r="AC17" s="198">
        <f t="shared" si="14"/>
        <v>8693.1</v>
      </c>
      <c r="AD17" s="198">
        <f>+IF(AA17="",+IF(N17&gt;#REF!,#REF!,IF(N17&gt;#REF!,#REF!,IF(N17&gt;#REF!,#REF!,IF(N17&gt;#REF!,#REF!,IF(N17&gt;#REF!,#REF!,IF(N17&gt;#REF!,#REF!,IF(N17&gt;#REF!,#REF!,IF(N17&gt;#REF!,#REF!,#REF!)))))))),0)</f>
        <v>0</v>
      </c>
    </row>
    <row r="18" spans="1:30" x14ac:dyDescent="0.2">
      <c r="A18" s="155" t="str">
        <f t="shared" si="0"/>
        <v>2026-11</v>
      </c>
      <c r="B18" s="154">
        <f t="shared" si="7"/>
        <v>11</v>
      </c>
      <c r="C18" s="153">
        <f t="shared" si="8"/>
        <v>2026</v>
      </c>
      <c r="D18" s="152" t="str">
        <f t="shared" si="1"/>
        <v>2026-11</v>
      </c>
      <c r="E18" s="159">
        <f>+IF($B18="","",Summary!$P$4)</f>
        <v>45929</v>
      </c>
      <c r="F18" s="159">
        <f>+IF($B18="","",Summary!$P$5)</f>
        <v>46657</v>
      </c>
      <c r="G18" s="159">
        <f>+IF($B18="","",Summary!$P$6)</f>
        <v>46657</v>
      </c>
      <c r="H18" s="158" t="str">
        <f t="shared" si="2"/>
        <v>Green</v>
      </c>
      <c r="I18" s="156">
        <v>8693.1</v>
      </c>
      <c r="J18" s="160">
        <v>11</v>
      </c>
      <c r="K18" s="156"/>
      <c r="L18" s="156"/>
      <c r="M18" s="156">
        <v>11</v>
      </c>
      <c r="N18" s="156">
        <f t="shared" si="3"/>
        <v>0</v>
      </c>
      <c r="O18" s="156">
        <v>0</v>
      </c>
      <c r="P18" s="147">
        <f t="shared" si="9"/>
        <v>121749.78000000004</v>
      </c>
      <c r="Q18" s="147">
        <f t="shared" si="10"/>
        <v>173.25</v>
      </c>
      <c r="R18" s="147">
        <f t="shared" si="11"/>
        <v>52.489999999999995</v>
      </c>
      <c r="S18" s="146">
        <f t="shared" si="12"/>
        <v>90</v>
      </c>
      <c r="T18" s="146">
        <f t="shared" si="13"/>
        <v>86</v>
      </c>
      <c r="U18" s="145">
        <f t="shared" si="4"/>
        <v>0.29306397306397314</v>
      </c>
      <c r="V18" s="145">
        <f t="shared" si="5"/>
        <v>4.4444444444444446E-2</v>
      </c>
      <c r="W18" s="142">
        <v>15</v>
      </c>
      <c r="X18" s="142" t="str">
        <f>+IF((VLOOKUP(A18,List!B:C,2,0)-VLOOKUP(Summary!$P$7,List!B:C,2,0))=0,1,"")</f>
        <v/>
      </c>
      <c r="Y18" s="198">
        <f>+IF((VLOOKUP(A18,List!B:C,2,0)-VLOOKUP(Summary!$P$7,List!B:C,2,0))&gt;=0,1,"")</f>
        <v>1</v>
      </c>
      <c r="Z18" s="198">
        <f>+IF((VLOOKUP(A18,List!B:C,2,0)-VLOOKUP(Summary!$P$7,List!B:C,2,0))&gt;0,1,"")</f>
        <v>1</v>
      </c>
      <c r="AA18" s="141">
        <f t="shared" si="6"/>
        <v>1</v>
      </c>
      <c r="AB18" s="199" t="str">
        <f>+IF(AA18="","",IF(Summary!$J$7="Fixed Price","",IF(M18="",IF(I18="","",1),"")))</f>
        <v/>
      </c>
      <c r="AC18" s="198">
        <f t="shared" si="14"/>
        <v>8693.1</v>
      </c>
      <c r="AD18" s="198">
        <f>+IF(AA18="",+IF(N18&gt;#REF!,#REF!,IF(N18&gt;#REF!,#REF!,IF(N18&gt;#REF!,#REF!,IF(N18&gt;#REF!,#REF!,IF(N18&gt;#REF!,#REF!,IF(N18&gt;#REF!,#REF!,IF(N18&gt;#REF!,#REF!,IF(N18&gt;#REF!,#REF!,#REF!)))))))),0)</f>
        <v>0</v>
      </c>
    </row>
    <row r="19" spans="1:30" x14ac:dyDescent="0.2">
      <c r="A19" s="155" t="str">
        <f t="shared" si="0"/>
        <v>2026-12</v>
      </c>
      <c r="B19" s="154">
        <f t="shared" si="7"/>
        <v>12</v>
      </c>
      <c r="C19" s="153">
        <f t="shared" si="8"/>
        <v>2026</v>
      </c>
      <c r="D19" s="152" t="str">
        <f t="shared" si="1"/>
        <v>2026-12</v>
      </c>
      <c r="E19" s="151">
        <f>+IF($B19="","",Summary!$P$4)</f>
        <v>45929</v>
      </c>
      <c r="F19" s="151">
        <f>+IF($B19="","",Summary!$P$5)</f>
        <v>46657</v>
      </c>
      <c r="G19" s="151">
        <f>+IF($B19="","",Summary!$P$6)</f>
        <v>46657</v>
      </c>
      <c r="H19" s="150" t="str">
        <f t="shared" si="2"/>
        <v>Green</v>
      </c>
      <c r="I19" s="148">
        <v>8693.1</v>
      </c>
      <c r="J19" s="161">
        <v>11</v>
      </c>
      <c r="K19" s="148"/>
      <c r="L19" s="148"/>
      <c r="M19" s="148">
        <v>11</v>
      </c>
      <c r="N19" s="148">
        <f t="shared" si="3"/>
        <v>0</v>
      </c>
      <c r="O19" s="148">
        <v>0</v>
      </c>
      <c r="P19" s="147">
        <f t="shared" si="9"/>
        <v>130442.88000000005</v>
      </c>
      <c r="Q19" s="147">
        <f t="shared" si="10"/>
        <v>184.25</v>
      </c>
      <c r="R19" s="147">
        <f t="shared" si="11"/>
        <v>52.489999999999995</v>
      </c>
      <c r="S19" s="146">
        <f t="shared" si="12"/>
        <v>90</v>
      </c>
      <c r="T19" s="146">
        <f t="shared" si="13"/>
        <v>86</v>
      </c>
      <c r="U19" s="145">
        <f t="shared" si="4"/>
        <v>0.29306397306397314</v>
      </c>
      <c r="V19" s="145">
        <f t="shared" si="5"/>
        <v>4.4444444444444446E-2</v>
      </c>
      <c r="W19" s="142">
        <v>16</v>
      </c>
      <c r="X19" s="142" t="str">
        <f>+IF((VLOOKUP(A19,List!B:C,2,0)-VLOOKUP(Summary!$P$7,List!B:C,2,0))=0,1,"")</f>
        <v/>
      </c>
      <c r="Y19" s="198">
        <f>+IF((VLOOKUP(A19,List!B:C,2,0)-VLOOKUP(Summary!$P$7,List!B:C,2,0))&gt;=0,1,"")</f>
        <v>1</v>
      </c>
      <c r="Z19" s="198">
        <f>+IF((VLOOKUP(A19,List!B:C,2,0)-VLOOKUP(Summary!$P$7,List!B:C,2,0))&gt;0,1,"")</f>
        <v>1</v>
      </c>
      <c r="AA19" s="141">
        <f t="shared" si="6"/>
        <v>1</v>
      </c>
      <c r="AB19" s="199" t="str">
        <f>+IF(AA19="","",IF(Summary!$J$7="Fixed Price","",IF(M19="",IF(I19="","",1),"")))</f>
        <v/>
      </c>
      <c r="AC19" s="198">
        <f t="shared" si="14"/>
        <v>8693.1</v>
      </c>
      <c r="AD19" s="198">
        <f>+IF(AA19="",+IF(N19&gt;#REF!,#REF!,IF(N19&gt;#REF!,#REF!,IF(N19&gt;#REF!,#REF!,IF(N19&gt;#REF!,#REF!,IF(N19&gt;#REF!,#REF!,IF(N19&gt;#REF!,#REF!,IF(N19&gt;#REF!,#REF!,IF(N19&gt;#REF!,#REF!,#REF!)))))))),0)</f>
        <v>0</v>
      </c>
    </row>
    <row r="20" spans="1:30" x14ac:dyDescent="0.2">
      <c r="A20" s="155" t="str">
        <f t="shared" si="0"/>
        <v>2027-1</v>
      </c>
      <c r="B20" s="154">
        <f t="shared" si="7"/>
        <v>1</v>
      </c>
      <c r="C20" s="153">
        <f t="shared" si="8"/>
        <v>2027</v>
      </c>
      <c r="D20" s="152" t="str">
        <f t="shared" si="1"/>
        <v>2027-1</v>
      </c>
      <c r="E20" s="159">
        <f>+IF($B20="","",Summary!$P$4)</f>
        <v>45929</v>
      </c>
      <c r="F20" s="159">
        <f>+IF($B20="","",Summary!$P$5)</f>
        <v>46657</v>
      </c>
      <c r="G20" s="159">
        <f>+IF($B20="","",Summary!$P$6)</f>
        <v>46657</v>
      </c>
      <c r="H20" s="158" t="str">
        <f t="shared" si="2"/>
        <v>Green</v>
      </c>
      <c r="I20" s="156">
        <v>8693.1</v>
      </c>
      <c r="J20" s="160">
        <v>11</v>
      </c>
      <c r="K20" s="156"/>
      <c r="L20" s="156"/>
      <c r="M20" s="156">
        <v>11</v>
      </c>
      <c r="N20" s="156">
        <f t="shared" si="3"/>
        <v>0</v>
      </c>
      <c r="O20" s="156">
        <v>0</v>
      </c>
      <c r="P20" s="147">
        <f t="shared" si="9"/>
        <v>139135.98000000004</v>
      </c>
      <c r="Q20" s="147">
        <f t="shared" si="10"/>
        <v>195.25</v>
      </c>
      <c r="R20" s="147">
        <f t="shared" si="11"/>
        <v>52.489999999999995</v>
      </c>
      <c r="S20" s="146">
        <f t="shared" si="12"/>
        <v>90</v>
      </c>
      <c r="T20" s="146">
        <f t="shared" si="13"/>
        <v>86</v>
      </c>
      <c r="U20" s="145">
        <f t="shared" si="4"/>
        <v>0.29306397306397314</v>
      </c>
      <c r="V20" s="145">
        <f t="shared" si="5"/>
        <v>4.4444444444444446E-2</v>
      </c>
      <c r="W20" s="142">
        <v>17</v>
      </c>
      <c r="X20" s="142" t="str">
        <f>+IF((VLOOKUP(A20,List!B:C,2,0)-VLOOKUP(Summary!$P$7,List!B:C,2,0))=0,1,"")</f>
        <v/>
      </c>
      <c r="Y20" s="198">
        <f>+IF((VLOOKUP(A20,List!B:C,2,0)-VLOOKUP(Summary!$P$7,List!B:C,2,0))&gt;=0,1,"")</f>
        <v>1</v>
      </c>
      <c r="Z20" s="198">
        <f>+IF((VLOOKUP(A20,List!B:C,2,0)-VLOOKUP(Summary!$P$7,List!B:C,2,0))&gt;0,1,"")</f>
        <v>1</v>
      </c>
      <c r="AA20" s="141">
        <f t="shared" si="6"/>
        <v>1</v>
      </c>
      <c r="AB20" s="199" t="str">
        <f>+IF(AA20="","",IF(Summary!$J$7="Fixed Price","",IF(M20="",IF(I20="","",1),"")))</f>
        <v/>
      </c>
      <c r="AC20" s="198">
        <f t="shared" si="14"/>
        <v>8693.1</v>
      </c>
      <c r="AD20" s="198">
        <f>+IF(AA20="",+IF(N20&gt;#REF!,#REF!,IF(N20&gt;#REF!,#REF!,IF(N20&gt;#REF!,#REF!,IF(N20&gt;#REF!,#REF!,IF(N20&gt;#REF!,#REF!,IF(N20&gt;#REF!,#REF!,IF(N20&gt;#REF!,#REF!,IF(N20&gt;#REF!,#REF!,#REF!)))))))),0)</f>
        <v>0</v>
      </c>
    </row>
    <row r="21" spans="1:30" x14ac:dyDescent="0.2">
      <c r="A21" s="155" t="str">
        <f t="shared" si="0"/>
        <v>2027-2</v>
      </c>
      <c r="B21" s="154">
        <f t="shared" si="7"/>
        <v>2</v>
      </c>
      <c r="C21" s="153">
        <f t="shared" si="8"/>
        <v>2027</v>
      </c>
      <c r="D21" s="152" t="str">
        <f t="shared" si="1"/>
        <v>2027-2</v>
      </c>
      <c r="E21" s="151">
        <f>+IF($B21="","",Summary!$P$4)</f>
        <v>45929</v>
      </c>
      <c r="F21" s="151">
        <f>+IF($B21="","",Summary!$P$5)</f>
        <v>46657</v>
      </c>
      <c r="G21" s="151">
        <f>+IF($B21="","",Summary!$P$6)</f>
        <v>46657</v>
      </c>
      <c r="H21" s="150" t="str">
        <f t="shared" si="2"/>
        <v>Green</v>
      </c>
      <c r="I21" s="148">
        <v>8693.1</v>
      </c>
      <c r="J21" s="161">
        <v>11</v>
      </c>
      <c r="K21" s="148"/>
      <c r="L21" s="148"/>
      <c r="M21" s="148">
        <v>11</v>
      </c>
      <c r="N21" s="148">
        <f t="shared" si="3"/>
        <v>0</v>
      </c>
      <c r="O21" s="148">
        <v>0</v>
      </c>
      <c r="P21" s="147">
        <f t="shared" si="9"/>
        <v>147829.08000000005</v>
      </c>
      <c r="Q21" s="147">
        <f t="shared" si="10"/>
        <v>206.25</v>
      </c>
      <c r="R21" s="147">
        <f t="shared" si="11"/>
        <v>52.489999999999995</v>
      </c>
      <c r="S21" s="146">
        <f t="shared" si="12"/>
        <v>90</v>
      </c>
      <c r="T21" s="146">
        <f t="shared" si="13"/>
        <v>86</v>
      </c>
      <c r="U21" s="145">
        <f t="shared" si="4"/>
        <v>0.29306397306397314</v>
      </c>
      <c r="V21" s="145">
        <f t="shared" si="5"/>
        <v>4.4444444444444446E-2</v>
      </c>
      <c r="W21" s="142">
        <v>18</v>
      </c>
      <c r="X21" s="142" t="str">
        <f>+IF((VLOOKUP(A21,List!B:C,2,0)-VLOOKUP(Summary!$P$7,List!B:C,2,0))=0,1,"")</f>
        <v/>
      </c>
      <c r="Y21" s="198">
        <f>+IF((VLOOKUP(A21,List!B:C,2,0)-VLOOKUP(Summary!$P$7,List!B:C,2,0))&gt;=0,1,"")</f>
        <v>1</v>
      </c>
      <c r="Z21" s="198">
        <f>+IF((VLOOKUP(A21,List!B:C,2,0)-VLOOKUP(Summary!$P$7,List!B:C,2,0))&gt;0,1,"")</f>
        <v>1</v>
      </c>
      <c r="AA21" s="141">
        <f t="shared" si="6"/>
        <v>1</v>
      </c>
      <c r="AB21" s="199" t="str">
        <f>+IF(AA21="","",IF(Summary!$J$7="Fixed Price","",IF(M21="",IF(I21="","",1),"")))</f>
        <v/>
      </c>
      <c r="AC21" s="198">
        <f t="shared" si="14"/>
        <v>8693.1</v>
      </c>
      <c r="AD21" s="198">
        <f>+IF(AA21="",+IF(N21&gt;#REF!,#REF!,IF(N21&gt;#REF!,#REF!,IF(N21&gt;#REF!,#REF!,IF(N21&gt;#REF!,#REF!,IF(N21&gt;#REF!,#REF!,IF(N21&gt;#REF!,#REF!,IF(N21&gt;#REF!,#REF!,IF(N21&gt;#REF!,#REF!,#REF!)))))))),0)</f>
        <v>0</v>
      </c>
    </row>
    <row r="22" spans="1:30" x14ac:dyDescent="0.2">
      <c r="A22" s="155" t="str">
        <f t="shared" si="0"/>
        <v>2027-3</v>
      </c>
      <c r="B22" s="154">
        <f t="shared" si="7"/>
        <v>3</v>
      </c>
      <c r="C22" s="153">
        <f t="shared" si="8"/>
        <v>2027</v>
      </c>
      <c r="D22" s="152" t="str">
        <f t="shared" si="1"/>
        <v>2027-3</v>
      </c>
      <c r="E22" s="159">
        <f>+IF($B22="","",Summary!$P$4)</f>
        <v>45929</v>
      </c>
      <c r="F22" s="159">
        <f>+IF($B22="","",Summary!$P$5)</f>
        <v>46657</v>
      </c>
      <c r="G22" s="159">
        <f>+IF($B22="","",Summary!$P$6)</f>
        <v>46657</v>
      </c>
      <c r="H22" s="158" t="str">
        <f t="shared" si="2"/>
        <v>Green</v>
      </c>
      <c r="I22" s="156">
        <v>8693.1</v>
      </c>
      <c r="J22" s="160">
        <v>11</v>
      </c>
      <c r="K22" s="156"/>
      <c r="L22" s="156"/>
      <c r="M22" s="156">
        <v>11</v>
      </c>
      <c r="N22" s="156">
        <f t="shared" si="3"/>
        <v>0</v>
      </c>
      <c r="O22" s="156">
        <v>0</v>
      </c>
      <c r="P22" s="147">
        <f t="shared" si="9"/>
        <v>156522.18000000005</v>
      </c>
      <c r="Q22" s="147">
        <f t="shared" si="10"/>
        <v>217.25</v>
      </c>
      <c r="R22" s="147">
        <f t="shared" si="11"/>
        <v>52.489999999999995</v>
      </c>
      <c r="S22" s="146">
        <f t="shared" si="12"/>
        <v>90</v>
      </c>
      <c r="T22" s="146">
        <f t="shared" si="13"/>
        <v>86</v>
      </c>
      <c r="U22" s="145">
        <f t="shared" si="4"/>
        <v>0.29306397306397314</v>
      </c>
      <c r="V22" s="145">
        <f t="shared" si="5"/>
        <v>4.4444444444444446E-2</v>
      </c>
      <c r="W22" s="142">
        <v>19</v>
      </c>
      <c r="X22" s="142" t="str">
        <f>+IF((VLOOKUP(A22,List!B:C,2,0)-VLOOKUP(Summary!$P$7,List!B:C,2,0))=0,1,"")</f>
        <v/>
      </c>
      <c r="Y22" s="198">
        <f>+IF((VLOOKUP(A22,List!B:C,2,0)-VLOOKUP(Summary!$P$7,List!B:C,2,0))&gt;=0,1,"")</f>
        <v>1</v>
      </c>
      <c r="Z22" s="198">
        <f>+IF((VLOOKUP(A22,List!B:C,2,0)-VLOOKUP(Summary!$P$7,List!B:C,2,0))&gt;0,1,"")</f>
        <v>1</v>
      </c>
      <c r="AA22" s="141">
        <f t="shared" si="6"/>
        <v>1</v>
      </c>
      <c r="AB22" s="199" t="str">
        <f>+IF(AA22="","",IF(Summary!$J$7="Fixed Price","",IF(M22="",IF(I22="","",1),"")))</f>
        <v/>
      </c>
      <c r="AC22" s="198">
        <f t="shared" si="14"/>
        <v>8693.1</v>
      </c>
      <c r="AD22" s="198">
        <f>+IF(AA22="",+IF(N22&gt;#REF!,#REF!,IF(N22&gt;#REF!,#REF!,IF(N22&gt;#REF!,#REF!,IF(N22&gt;#REF!,#REF!,IF(N22&gt;#REF!,#REF!,IF(N22&gt;#REF!,#REF!,IF(N22&gt;#REF!,#REF!,IF(N22&gt;#REF!,#REF!,#REF!)))))))),0)</f>
        <v>0</v>
      </c>
    </row>
    <row r="23" spans="1:30" x14ac:dyDescent="0.2">
      <c r="A23" s="155" t="str">
        <f t="shared" si="0"/>
        <v>2027-4</v>
      </c>
      <c r="B23" s="154">
        <f t="shared" si="7"/>
        <v>4</v>
      </c>
      <c r="C23" s="153">
        <f t="shared" si="8"/>
        <v>2027</v>
      </c>
      <c r="D23" s="152" t="str">
        <f t="shared" si="1"/>
        <v>2027-4</v>
      </c>
      <c r="E23" s="151">
        <f>+IF($B23="","",Summary!$P$4)</f>
        <v>45929</v>
      </c>
      <c r="F23" s="151">
        <f>+IF($B23="","",Summary!$P$5)</f>
        <v>46657</v>
      </c>
      <c r="G23" s="151">
        <f>+IF($B23="","",Summary!$P$6)</f>
        <v>46657</v>
      </c>
      <c r="H23" s="150" t="str">
        <f t="shared" si="2"/>
        <v>Green</v>
      </c>
      <c r="I23" s="148">
        <v>8693.1</v>
      </c>
      <c r="J23" s="148">
        <v>11</v>
      </c>
      <c r="K23" s="148"/>
      <c r="L23" s="148"/>
      <c r="M23" s="148">
        <v>11</v>
      </c>
      <c r="N23" s="148">
        <f t="shared" si="3"/>
        <v>0</v>
      </c>
      <c r="O23" s="148">
        <v>0</v>
      </c>
      <c r="P23" s="147">
        <f t="shared" si="9"/>
        <v>165215.28000000006</v>
      </c>
      <c r="Q23" s="147">
        <f t="shared" si="10"/>
        <v>228.25</v>
      </c>
      <c r="R23" s="147">
        <f t="shared" si="11"/>
        <v>52.489999999999995</v>
      </c>
      <c r="S23" s="146">
        <f t="shared" si="12"/>
        <v>90</v>
      </c>
      <c r="T23" s="146">
        <f t="shared" si="13"/>
        <v>86</v>
      </c>
      <c r="U23" s="145">
        <f t="shared" si="4"/>
        <v>0.29306397306397314</v>
      </c>
      <c r="V23" s="145">
        <f t="shared" si="5"/>
        <v>4.4444444444444446E-2</v>
      </c>
      <c r="W23" s="142">
        <v>20</v>
      </c>
      <c r="X23" s="142" t="str">
        <f>+IF((VLOOKUP(A23,List!B:C,2,0)-VLOOKUP(Summary!$P$7,List!B:C,2,0))=0,1,"")</f>
        <v/>
      </c>
      <c r="Y23" s="198">
        <f>+IF((VLOOKUP(A23,List!B:C,2,0)-VLOOKUP(Summary!$P$7,List!B:C,2,0))&gt;=0,1,"")</f>
        <v>1</v>
      </c>
      <c r="Z23" s="198">
        <f>+IF((VLOOKUP(A23,List!B:C,2,0)-VLOOKUP(Summary!$P$7,List!B:C,2,0))&gt;0,1,"")</f>
        <v>1</v>
      </c>
      <c r="AA23" s="141">
        <f t="shared" si="6"/>
        <v>1</v>
      </c>
      <c r="AB23" s="199" t="str">
        <f>+IF(AA23="","",IF(Summary!$J$7="Fixed Price","",IF(M23="",IF(I23="","",1),"")))</f>
        <v/>
      </c>
      <c r="AC23" s="198">
        <f t="shared" si="14"/>
        <v>8693.1</v>
      </c>
      <c r="AD23" s="198">
        <f>+IF(AA23="",+IF(N23&gt;#REF!,#REF!,IF(N23&gt;#REF!,#REF!,IF(N23&gt;#REF!,#REF!,IF(N23&gt;#REF!,#REF!,IF(N23&gt;#REF!,#REF!,IF(N23&gt;#REF!,#REF!,IF(N23&gt;#REF!,#REF!,IF(N23&gt;#REF!,#REF!,#REF!)))))))),0)</f>
        <v>0</v>
      </c>
    </row>
    <row r="24" spans="1:30" x14ac:dyDescent="0.2">
      <c r="A24" s="155" t="str">
        <f t="shared" si="0"/>
        <v>2027-5</v>
      </c>
      <c r="B24" s="154">
        <f t="shared" si="7"/>
        <v>5</v>
      </c>
      <c r="C24" s="153">
        <f t="shared" si="8"/>
        <v>2027</v>
      </c>
      <c r="D24" s="152" t="str">
        <f t="shared" si="1"/>
        <v>2027-5</v>
      </c>
      <c r="E24" s="159">
        <f>+IF($B24="","",Summary!$P$4)</f>
        <v>45929</v>
      </c>
      <c r="F24" s="159">
        <f>+IF($B24="","",Summary!$P$5)</f>
        <v>46657</v>
      </c>
      <c r="G24" s="159">
        <f>+IF($B24="","",Summary!$P$6)</f>
        <v>46657</v>
      </c>
      <c r="H24" s="158" t="str">
        <f t="shared" si="2"/>
        <v>Green</v>
      </c>
      <c r="I24" s="156">
        <v>8693.1</v>
      </c>
      <c r="J24" s="156">
        <v>11</v>
      </c>
      <c r="K24" s="156"/>
      <c r="L24" s="156"/>
      <c r="M24" s="156">
        <v>11</v>
      </c>
      <c r="N24" s="156">
        <f t="shared" si="3"/>
        <v>0</v>
      </c>
      <c r="O24" s="156">
        <v>0</v>
      </c>
      <c r="P24" s="147">
        <f t="shared" si="9"/>
        <v>173908.38000000006</v>
      </c>
      <c r="Q24" s="147">
        <f t="shared" si="10"/>
        <v>239.25</v>
      </c>
      <c r="R24" s="147">
        <f t="shared" si="11"/>
        <v>52.489999999999995</v>
      </c>
      <c r="S24" s="146">
        <f t="shared" si="12"/>
        <v>90</v>
      </c>
      <c r="T24" s="146">
        <f t="shared" si="13"/>
        <v>86</v>
      </c>
      <c r="U24" s="145">
        <f t="shared" si="4"/>
        <v>0.29306397306397314</v>
      </c>
      <c r="V24" s="145">
        <f t="shared" si="5"/>
        <v>4.4444444444444446E-2</v>
      </c>
      <c r="W24" s="142">
        <v>21</v>
      </c>
      <c r="X24" s="142" t="str">
        <f>+IF((VLOOKUP(A24,List!B:C,2,0)-VLOOKUP(Summary!$P$7,List!B:C,2,0))=0,1,"")</f>
        <v/>
      </c>
      <c r="Y24" s="198">
        <f>+IF((VLOOKUP(A24,List!B:C,2,0)-VLOOKUP(Summary!$P$7,List!B:C,2,0))&gt;=0,1,"")</f>
        <v>1</v>
      </c>
      <c r="Z24" s="198">
        <f>+IF((VLOOKUP(A24,List!B:C,2,0)-VLOOKUP(Summary!$P$7,List!B:C,2,0))&gt;0,1,"")</f>
        <v>1</v>
      </c>
      <c r="AA24" s="141">
        <f t="shared" si="6"/>
        <v>1</v>
      </c>
      <c r="AB24" s="199" t="str">
        <f>+IF(AA24="","",IF(Summary!$J$7="Fixed Price","",IF(M24="",IF(I24="","",1),"")))</f>
        <v/>
      </c>
      <c r="AC24" s="198">
        <f t="shared" si="14"/>
        <v>8693.1</v>
      </c>
      <c r="AD24" s="198">
        <f>+IF(AA24="",+IF(N24&gt;#REF!,#REF!,IF(N24&gt;#REF!,#REF!,IF(N24&gt;#REF!,#REF!,IF(N24&gt;#REF!,#REF!,IF(N24&gt;#REF!,#REF!,IF(N24&gt;#REF!,#REF!,IF(N24&gt;#REF!,#REF!,IF(N24&gt;#REF!,#REF!,#REF!)))))))),0)</f>
        <v>0</v>
      </c>
    </row>
    <row r="25" spans="1:30" x14ac:dyDescent="0.2">
      <c r="A25" s="155" t="str">
        <f t="shared" si="0"/>
        <v>2027-6</v>
      </c>
      <c r="B25" s="154">
        <f t="shared" si="7"/>
        <v>6</v>
      </c>
      <c r="C25" s="153">
        <f t="shared" si="8"/>
        <v>2027</v>
      </c>
      <c r="D25" s="152" t="str">
        <f t="shared" si="1"/>
        <v>2027-6</v>
      </c>
      <c r="E25" s="151">
        <f>+IF($B25="","",Summary!$P$4)</f>
        <v>45929</v>
      </c>
      <c r="F25" s="151">
        <f>+IF($B25="","",Summary!$P$5)</f>
        <v>46657</v>
      </c>
      <c r="G25" s="151">
        <f>+IF($B25="","",Summary!$P$6)</f>
        <v>46657</v>
      </c>
      <c r="H25" s="150" t="str">
        <f t="shared" si="2"/>
        <v>Green</v>
      </c>
      <c r="I25" s="148">
        <v>8693.1</v>
      </c>
      <c r="J25" s="148">
        <v>11</v>
      </c>
      <c r="K25" s="148"/>
      <c r="L25" s="148"/>
      <c r="M25" s="148">
        <v>11</v>
      </c>
      <c r="N25" s="148">
        <f t="shared" si="3"/>
        <v>0</v>
      </c>
      <c r="O25" s="148">
        <v>0</v>
      </c>
      <c r="P25" s="147">
        <f t="shared" si="9"/>
        <v>182601.48000000007</v>
      </c>
      <c r="Q25" s="147">
        <f t="shared" si="10"/>
        <v>250.25</v>
      </c>
      <c r="R25" s="147">
        <f t="shared" si="11"/>
        <v>52.489999999999995</v>
      </c>
      <c r="S25" s="146">
        <f t="shared" si="12"/>
        <v>90</v>
      </c>
      <c r="T25" s="146">
        <f t="shared" si="13"/>
        <v>86</v>
      </c>
      <c r="U25" s="145">
        <f t="shared" si="4"/>
        <v>0.29306397306397314</v>
      </c>
      <c r="V25" s="145">
        <f t="shared" si="5"/>
        <v>4.4444444444444446E-2</v>
      </c>
      <c r="W25" s="142">
        <v>22</v>
      </c>
      <c r="X25" s="142" t="str">
        <f>+IF((VLOOKUP(A25,List!B:C,2,0)-VLOOKUP(Summary!$P$7,List!B:C,2,0))=0,1,"")</f>
        <v/>
      </c>
      <c r="Y25" s="198">
        <f>+IF((VLOOKUP(A25,List!B:C,2,0)-VLOOKUP(Summary!$P$7,List!B:C,2,0))&gt;=0,1,"")</f>
        <v>1</v>
      </c>
      <c r="Z25" s="198">
        <f>+IF((VLOOKUP(A25,List!B:C,2,0)-VLOOKUP(Summary!$P$7,List!B:C,2,0))&gt;0,1,"")</f>
        <v>1</v>
      </c>
      <c r="AA25" s="141">
        <f t="shared" si="6"/>
        <v>1</v>
      </c>
      <c r="AB25" s="199" t="str">
        <f>+IF(AA25="","",IF(Summary!$J$7="Fixed Price","",IF(M25="",IF(I25="","",1),"")))</f>
        <v/>
      </c>
      <c r="AC25" s="198">
        <f t="shared" si="14"/>
        <v>8693.1</v>
      </c>
      <c r="AD25" s="198">
        <f>+IF(AA25="",+IF(N25&gt;#REF!,#REF!,IF(N25&gt;#REF!,#REF!,IF(N25&gt;#REF!,#REF!,IF(N25&gt;#REF!,#REF!,IF(N25&gt;#REF!,#REF!,IF(N25&gt;#REF!,#REF!,IF(N25&gt;#REF!,#REF!,IF(N25&gt;#REF!,#REF!,#REF!)))))))),0)</f>
        <v>0</v>
      </c>
    </row>
    <row r="26" spans="1:30" x14ac:dyDescent="0.2">
      <c r="A26" s="155" t="str">
        <f t="shared" si="0"/>
        <v>2027-7</v>
      </c>
      <c r="B26" s="154">
        <f t="shared" si="7"/>
        <v>7</v>
      </c>
      <c r="C26" s="153">
        <f t="shared" si="8"/>
        <v>2027</v>
      </c>
      <c r="D26" s="152" t="str">
        <f t="shared" si="1"/>
        <v>2027-7</v>
      </c>
      <c r="E26" s="159">
        <f>+IF($B26="","",Summary!$P$4)</f>
        <v>45929</v>
      </c>
      <c r="F26" s="159">
        <f>+IF($B26="","",Summary!$P$5)</f>
        <v>46657</v>
      </c>
      <c r="G26" s="159">
        <f>+IF($B26="","",Summary!$P$6)</f>
        <v>46657</v>
      </c>
      <c r="H26" s="158" t="str">
        <f t="shared" si="2"/>
        <v>Green</v>
      </c>
      <c r="I26" s="156">
        <v>8693.1</v>
      </c>
      <c r="J26" s="156">
        <v>11</v>
      </c>
      <c r="K26" s="156"/>
      <c r="L26" s="156"/>
      <c r="M26" s="156">
        <v>11</v>
      </c>
      <c r="N26" s="156">
        <f t="shared" si="3"/>
        <v>0</v>
      </c>
      <c r="O26" s="156">
        <v>0</v>
      </c>
      <c r="P26" s="147">
        <f t="shared" si="9"/>
        <v>191294.58000000007</v>
      </c>
      <c r="Q26" s="147">
        <f t="shared" si="10"/>
        <v>261.25</v>
      </c>
      <c r="R26" s="147">
        <f t="shared" si="11"/>
        <v>52.489999999999995</v>
      </c>
      <c r="S26" s="146">
        <f t="shared" si="12"/>
        <v>90</v>
      </c>
      <c r="T26" s="146">
        <f t="shared" si="13"/>
        <v>86</v>
      </c>
      <c r="U26" s="145">
        <f t="shared" si="4"/>
        <v>0.29306397306397314</v>
      </c>
      <c r="V26" s="145">
        <f t="shared" si="5"/>
        <v>4.4444444444444446E-2</v>
      </c>
      <c r="W26" s="142">
        <v>23</v>
      </c>
      <c r="X26" s="142" t="str">
        <f>+IF((VLOOKUP(A26,List!B:C,2,0)-VLOOKUP(Summary!$P$7,List!B:C,2,0))=0,1,"")</f>
        <v/>
      </c>
      <c r="Y26" s="198">
        <f>+IF((VLOOKUP(A26,List!B:C,2,0)-VLOOKUP(Summary!$P$7,List!B:C,2,0))&gt;=0,1,"")</f>
        <v>1</v>
      </c>
      <c r="Z26" s="198">
        <f>+IF((VLOOKUP(A26,List!B:C,2,0)-VLOOKUP(Summary!$P$7,List!B:C,2,0))&gt;0,1,"")</f>
        <v>1</v>
      </c>
      <c r="AA26" s="141">
        <f t="shared" si="6"/>
        <v>1</v>
      </c>
      <c r="AB26" s="199" t="str">
        <f>+IF(AA26="","",IF(Summary!$J$7="Fixed Price","",IF(M26="",IF(I26="","",1),"")))</f>
        <v/>
      </c>
      <c r="AC26" s="198">
        <f t="shared" si="14"/>
        <v>8693.1</v>
      </c>
      <c r="AD26" s="198">
        <f>+IF(AA26="",+IF(N26&gt;#REF!,#REF!,IF(N26&gt;#REF!,#REF!,IF(N26&gt;#REF!,#REF!,IF(N26&gt;#REF!,#REF!,IF(N26&gt;#REF!,#REF!,IF(N26&gt;#REF!,#REF!,IF(N26&gt;#REF!,#REF!,IF(N26&gt;#REF!,#REF!,#REF!)))))))),0)</f>
        <v>0</v>
      </c>
    </row>
    <row r="27" spans="1:30" x14ac:dyDescent="0.2">
      <c r="A27" s="155" t="str">
        <f t="shared" si="0"/>
        <v>2027-8</v>
      </c>
      <c r="B27" s="154">
        <f t="shared" si="7"/>
        <v>8</v>
      </c>
      <c r="C27" s="153">
        <f t="shared" si="8"/>
        <v>2027</v>
      </c>
      <c r="D27" s="152" t="str">
        <f t="shared" si="1"/>
        <v>2027-8</v>
      </c>
      <c r="E27" s="151">
        <f>+IF($B27="","",Summary!$P$4)</f>
        <v>45929</v>
      </c>
      <c r="F27" s="151">
        <f>+IF($B27="","",Summary!$P$5)</f>
        <v>46657</v>
      </c>
      <c r="G27" s="151">
        <f>+IF($B27="","",Summary!$P$6)</f>
        <v>46657</v>
      </c>
      <c r="H27" s="150" t="str">
        <f t="shared" si="2"/>
        <v>Green</v>
      </c>
      <c r="I27" s="148">
        <v>8693.1</v>
      </c>
      <c r="J27" s="148">
        <v>11</v>
      </c>
      <c r="K27" s="148"/>
      <c r="L27" s="148"/>
      <c r="M27" s="148">
        <v>11</v>
      </c>
      <c r="N27" s="148">
        <f t="shared" si="3"/>
        <v>0</v>
      </c>
      <c r="O27" s="148">
        <v>0</v>
      </c>
      <c r="P27" s="147">
        <f t="shared" si="9"/>
        <v>199987.68000000008</v>
      </c>
      <c r="Q27" s="147">
        <f t="shared" si="10"/>
        <v>272.25</v>
      </c>
      <c r="R27" s="147">
        <f t="shared" si="11"/>
        <v>52.489999999999995</v>
      </c>
      <c r="S27" s="146">
        <f t="shared" si="12"/>
        <v>90</v>
      </c>
      <c r="T27" s="146">
        <f t="shared" si="13"/>
        <v>86</v>
      </c>
      <c r="U27" s="145">
        <f t="shared" si="4"/>
        <v>0.29306397306397314</v>
      </c>
      <c r="V27" s="145">
        <f t="shared" si="5"/>
        <v>4.4444444444444446E-2</v>
      </c>
      <c r="W27" s="142">
        <v>24</v>
      </c>
      <c r="X27" s="142" t="str">
        <f>+IF((VLOOKUP(A27,List!B:C,2,0)-VLOOKUP(Summary!$P$7,List!B:C,2,0))=0,1,"")</f>
        <v/>
      </c>
      <c r="Y27" s="198">
        <f>+IF((VLOOKUP(A27,List!B:C,2,0)-VLOOKUP(Summary!$P$7,List!B:C,2,0))&gt;=0,1,"")</f>
        <v>1</v>
      </c>
      <c r="Z27" s="198">
        <f>+IF((VLOOKUP(A27,List!B:C,2,0)-VLOOKUP(Summary!$P$7,List!B:C,2,0))&gt;0,1,"")</f>
        <v>1</v>
      </c>
      <c r="AA27" s="141">
        <f t="shared" si="6"/>
        <v>1</v>
      </c>
      <c r="AB27" s="199" t="str">
        <f>+IF(AA27="","",IF(Summary!$J$7="Fixed Price","",IF(M27="",IF(I27="","",1),"")))</f>
        <v/>
      </c>
      <c r="AC27" s="198">
        <f t="shared" si="14"/>
        <v>8693.1</v>
      </c>
      <c r="AD27" s="198">
        <f>+IF(AA27="",+IF(N27&gt;#REF!,#REF!,IF(N27&gt;#REF!,#REF!,IF(N27&gt;#REF!,#REF!,IF(N27&gt;#REF!,#REF!,IF(N27&gt;#REF!,#REF!,IF(N27&gt;#REF!,#REF!,IF(N27&gt;#REF!,#REF!,IF(N27&gt;#REF!,#REF!,#REF!)))))))),0)</f>
        <v>0</v>
      </c>
    </row>
    <row r="28" spans="1:30" x14ac:dyDescent="0.2">
      <c r="A28" s="155" t="str">
        <f t="shared" si="0"/>
        <v>2027-9</v>
      </c>
      <c r="B28" s="154">
        <f t="shared" si="7"/>
        <v>9</v>
      </c>
      <c r="C28" s="153">
        <f t="shared" si="8"/>
        <v>2027</v>
      </c>
      <c r="D28" s="152" t="str">
        <f t="shared" si="1"/>
        <v>2027-9</v>
      </c>
      <c r="E28" s="159">
        <f>+IF($B28="","",Summary!$P$4)</f>
        <v>45929</v>
      </c>
      <c r="F28" s="159">
        <f>+IF($B28="","",Summary!$P$5)</f>
        <v>46657</v>
      </c>
      <c r="G28" s="159">
        <f>+IF($B28="","",Summary!$P$6)</f>
        <v>46657</v>
      </c>
      <c r="H28" s="158" t="str">
        <f t="shared" si="2"/>
        <v>Green</v>
      </c>
      <c r="I28" s="156">
        <v>8693.1</v>
      </c>
      <c r="J28" s="156">
        <v>11</v>
      </c>
      <c r="K28" s="156"/>
      <c r="L28" s="156"/>
      <c r="M28" s="156">
        <v>11</v>
      </c>
      <c r="N28" s="156">
        <f t="shared" si="3"/>
        <v>0</v>
      </c>
      <c r="O28" s="156">
        <v>0</v>
      </c>
      <c r="P28" s="147">
        <f t="shared" si="9"/>
        <v>208680.78000000009</v>
      </c>
      <c r="Q28" s="147">
        <f t="shared" si="10"/>
        <v>283.25</v>
      </c>
      <c r="R28" s="147">
        <f t="shared" si="11"/>
        <v>52.489999999999995</v>
      </c>
      <c r="S28" s="146">
        <f t="shared" si="12"/>
        <v>90</v>
      </c>
      <c r="T28" s="146">
        <f t="shared" si="13"/>
        <v>86</v>
      </c>
      <c r="U28" s="145">
        <f t="shared" si="4"/>
        <v>0.29306397306397314</v>
      </c>
      <c r="V28" s="145">
        <f t="shared" si="5"/>
        <v>4.4444444444444446E-2</v>
      </c>
      <c r="W28" s="142">
        <v>25</v>
      </c>
      <c r="X28" s="142" t="str">
        <f>+IF((VLOOKUP(A28,List!B:C,2,0)-VLOOKUP(Summary!$P$7,List!B:C,2,0))=0,1,"")</f>
        <v/>
      </c>
      <c r="Y28" s="198">
        <f>+IF((VLOOKUP(A28,List!B:C,2,0)-VLOOKUP(Summary!$P$7,List!B:C,2,0))&gt;=0,1,"")</f>
        <v>1</v>
      </c>
      <c r="Z28" s="198">
        <f>+IF((VLOOKUP(A28,List!B:C,2,0)-VLOOKUP(Summary!$P$7,List!B:C,2,0))&gt;0,1,"")</f>
        <v>1</v>
      </c>
      <c r="AA28" s="141">
        <f t="shared" si="6"/>
        <v>1</v>
      </c>
      <c r="AB28" s="199" t="str">
        <f>+IF(AA28="","",IF(Summary!$J$7="Fixed Price","",IF(M28="",IF(I28="","",1),"")))</f>
        <v/>
      </c>
      <c r="AC28" s="198">
        <f t="shared" si="14"/>
        <v>8693.1</v>
      </c>
      <c r="AD28" s="198">
        <f>+IF(AA28="",+IF(N28&gt;#REF!,#REF!,IF(N28&gt;#REF!,#REF!,IF(N28&gt;#REF!,#REF!,IF(N28&gt;#REF!,#REF!,IF(N28&gt;#REF!,#REF!,IF(N28&gt;#REF!,#REF!,IF(N28&gt;#REF!,#REF!,IF(N28&gt;#REF!,#REF!,#REF!)))))))),0)</f>
        <v>0</v>
      </c>
    </row>
    <row r="29" spans="1:30" x14ac:dyDescent="0.2">
      <c r="A29" s="155" t="str">
        <f t="shared" si="0"/>
        <v>-</v>
      </c>
      <c r="B29" s="154" t="str">
        <f t="shared" si="7"/>
        <v/>
      </c>
      <c r="C29" s="153" t="str">
        <f t="shared" si="8"/>
        <v/>
      </c>
      <c r="D29" s="152" t="str">
        <f t="shared" si="1"/>
        <v>-</v>
      </c>
      <c r="E29" s="151" t="str">
        <f>+IF($B29="","",Summary!$P$4)</f>
        <v/>
      </c>
      <c r="F29" s="151" t="str">
        <f>+IF($B29="","",Summary!$P$5)</f>
        <v/>
      </c>
      <c r="G29" s="151" t="str">
        <f>+IF($B29="","",Summary!$P$6)</f>
        <v/>
      </c>
      <c r="H29" s="150" t="str">
        <f t="shared" si="2"/>
        <v/>
      </c>
      <c r="I29" s="148"/>
      <c r="J29" s="148"/>
      <c r="K29" s="148"/>
      <c r="L29" s="148"/>
      <c r="M29" s="148"/>
      <c r="N29" s="148">
        <f t="shared" si="3"/>
        <v>0</v>
      </c>
      <c r="O29" s="148">
        <v>0</v>
      </c>
      <c r="P29" s="147">
        <f t="shared" si="9"/>
        <v>208680.78000000009</v>
      </c>
      <c r="Q29" s="147">
        <f t="shared" si="10"/>
        <v>283.25</v>
      </c>
      <c r="R29" s="147">
        <f t="shared" si="11"/>
        <v>52.489999999999995</v>
      </c>
      <c r="S29" s="146">
        <f t="shared" si="12"/>
        <v>90</v>
      </c>
      <c r="T29" s="146">
        <f t="shared" si="13"/>
        <v>86</v>
      </c>
      <c r="U29" s="145">
        <f t="shared" si="4"/>
        <v>0.29306397306397314</v>
      </c>
      <c r="V29" s="145">
        <f t="shared" si="5"/>
        <v>4.4444444444444446E-2</v>
      </c>
      <c r="W29" s="142">
        <v>26</v>
      </c>
      <c r="X29" s="142" t="str">
        <f>+IF((VLOOKUP(A29,List!B:C,2,0)-VLOOKUP(Summary!$P$7,List!B:C,2,0))=0,1,"")</f>
        <v/>
      </c>
      <c r="Y29" s="198">
        <f>+IF((VLOOKUP(A29,List!B:C,2,0)-VLOOKUP(Summary!$P$7,List!B:C,2,0))&gt;=0,1,"")</f>
        <v>1</v>
      </c>
      <c r="Z29" s="198">
        <f>+IF((VLOOKUP(A29,List!B:C,2,0)-VLOOKUP(Summary!$P$7,List!B:C,2,0))&gt;0,1,"")</f>
        <v>1</v>
      </c>
      <c r="AA29" s="141">
        <f t="shared" si="6"/>
        <v>2</v>
      </c>
      <c r="AB29" s="199" t="str">
        <f>+IF(AA29="","",IF(Summary!$J$7="Fixed Price","",IF(M29="",IF(I29="","",1),"")))</f>
        <v/>
      </c>
      <c r="AC29" s="198">
        <f t="shared" si="14"/>
        <v>0</v>
      </c>
      <c r="AD29" s="198">
        <f>+IF(AA29="",+IF(N29&gt;#REF!,#REF!,IF(N29&gt;#REF!,#REF!,IF(N29&gt;#REF!,#REF!,IF(N29&gt;#REF!,#REF!,IF(N29&gt;#REF!,#REF!,IF(N29&gt;#REF!,#REF!,IF(N29&gt;#REF!,#REF!,IF(N29&gt;#REF!,#REF!,#REF!)))))))),0)</f>
        <v>0</v>
      </c>
    </row>
    <row r="30" spans="1:30" x14ac:dyDescent="0.2">
      <c r="A30" s="155" t="str">
        <f t="shared" si="0"/>
        <v>-</v>
      </c>
      <c r="B30" s="154" t="str">
        <f t="shared" si="7"/>
        <v/>
      </c>
      <c r="C30" s="153" t="str">
        <f t="shared" si="8"/>
        <v/>
      </c>
      <c r="D30" s="152" t="str">
        <f t="shared" si="1"/>
        <v>-</v>
      </c>
      <c r="E30" s="159" t="str">
        <f>+IF($B30="","",Summary!$P$4)</f>
        <v/>
      </c>
      <c r="F30" s="159" t="str">
        <f>+IF($B30="","",Summary!$P$5)</f>
        <v/>
      </c>
      <c r="G30" s="159" t="str">
        <f>+IF($B30="","",Summary!$P$6)</f>
        <v/>
      </c>
      <c r="H30" s="158" t="str">
        <f t="shared" si="2"/>
        <v/>
      </c>
      <c r="I30" s="156"/>
      <c r="J30" s="156"/>
      <c r="K30" s="156"/>
      <c r="L30" s="156"/>
      <c r="M30" s="156"/>
      <c r="N30" s="156">
        <f t="shared" si="3"/>
        <v>0</v>
      </c>
      <c r="O30" s="156">
        <v>0</v>
      </c>
      <c r="P30" s="147">
        <f t="shared" si="9"/>
        <v>208680.78000000009</v>
      </c>
      <c r="Q30" s="147">
        <f t="shared" si="10"/>
        <v>283.25</v>
      </c>
      <c r="R30" s="147">
        <f t="shared" si="11"/>
        <v>52.489999999999995</v>
      </c>
      <c r="S30" s="146">
        <f t="shared" si="12"/>
        <v>90</v>
      </c>
      <c r="T30" s="146">
        <f t="shared" si="13"/>
        <v>86</v>
      </c>
      <c r="U30" s="145">
        <f t="shared" si="4"/>
        <v>0.29306397306397314</v>
      </c>
      <c r="V30" s="145">
        <f t="shared" si="5"/>
        <v>4.4444444444444446E-2</v>
      </c>
      <c r="W30" s="142">
        <v>27</v>
      </c>
      <c r="X30" s="142" t="str">
        <f>+IF((VLOOKUP(A30,List!B:C,2,0)-VLOOKUP(Summary!$P$7,List!B:C,2,0))=0,1,"")</f>
        <v/>
      </c>
      <c r="Y30" s="198">
        <f>+IF((VLOOKUP(A30,List!B:C,2,0)-VLOOKUP(Summary!$P$7,List!B:C,2,0))&gt;=0,1,"")</f>
        <v>1</v>
      </c>
      <c r="Z30" s="198">
        <f>+IF((VLOOKUP(A30,List!B:C,2,0)-VLOOKUP(Summary!$P$7,List!B:C,2,0))&gt;0,1,"")</f>
        <v>1</v>
      </c>
      <c r="AA30" s="141">
        <f t="shared" si="6"/>
        <v>2</v>
      </c>
      <c r="AB30" s="199" t="str">
        <f>+IF(AA30="","",IF(Summary!$J$7="Fixed Price","",IF(M30="",IF(I30="","",1),"")))</f>
        <v/>
      </c>
      <c r="AC30" s="198">
        <f t="shared" si="14"/>
        <v>0</v>
      </c>
      <c r="AD30" s="198">
        <f>+IF(AA30="",+IF(N30&gt;#REF!,#REF!,IF(N30&gt;#REF!,#REF!,IF(N30&gt;#REF!,#REF!,IF(N30&gt;#REF!,#REF!,IF(N30&gt;#REF!,#REF!,IF(N30&gt;#REF!,#REF!,IF(N30&gt;#REF!,#REF!,IF(N30&gt;#REF!,#REF!,#REF!)))))))),0)</f>
        <v>0</v>
      </c>
    </row>
    <row r="31" spans="1:30" x14ac:dyDescent="0.2">
      <c r="A31" s="155" t="str">
        <f t="shared" si="0"/>
        <v>-</v>
      </c>
      <c r="B31" s="154" t="str">
        <f t="shared" si="7"/>
        <v/>
      </c>
      <c r="C31" s="153" t="str">
        <f t="shared" si="8"/>
        <v/>
      </c>
      <c r="D31" s="152" t="str">
        <f t="shared" si="1"/>
        <v>-</v>
      </c>
      <c r="E31" s="151" t="str">
        <f>+IF($B31="","",Summary!$P$4)</f>
        <v/>
      </c>
      <c r="F31" s="151" t="str">
        <f>+IF($B31="","",Summary!$P$5)</f>
        <v/>
      </c>
      <c r="G31" s="151" t="str">
        <f>+IF($B31="","",Summary!$P$6)</f>
        <v/>
      </c>
      <c r="H31" s="150" t="str">
        <f t="shared" si="2"/>
        <v/>
      </c>
      <c r="I31" s="148"/>
      <c r="J31" s="148"/>
      <c r="K31" s="148"/>
      <c r="L31" s="148"/>
      <c r="M31" s="148"/>
      <c r="N31" s="148">
        <f t="shared" si="3"/>
        <v>0</v>
      </c>
      <c r="O31" s="148">
        <v>0</v>
      </c>
      <c r="P31" s="147">
        <f t="shared" si="9"/>
        <v>208680.78000000009</v>
      </c>
      <c r="Q31" s="147">
        <f t="shared" si="10"/>
        <v>283.25</v>
      </c>
      <c r="R31" s="147">
        <f t="shared" si="11"/>
        <v>52.489999999999995</v>
      </c>
      <c r="S31" s="146">
        <f t="shared" si="12"/>
        <v>90</v>
      </c>
      <c r="T31" s="146">
        <f t="shared" si="13"/>
        <v>86</v>
      </c>
      <c r="U31" s="145">
        <f t="shared" si="4"/>
        <v>0.29306397306397314</v>
      </c>
      <c r="V31" s="145">
        <f t="shared" si="5"/>
        <v>4.4444444444444446E-2</v>
      </c>
      <c r="W31" s="142">
        <v>28</v>
      </c>
      <c r="X31" s="142" t="str">
        <f>+IF((VLOOKUP(A31,List!B:C,2,0)-VLOOKUP(Summary!$P$7,List!B:C,2,0))=0,1,"")</f>
        <v/>
      </c>
      <c r="Y31" s="198">
        <f>+IF((VLOOKUP(A31,List!B:C,2,0)-VLOOKUP(Summary!$P$7,List!B:C,2,0))&gt;=0,1,"")</f>
        <v>1</v>
      </c>
      <c r="Z31" s="198">
        <f>+IF((VLOOKUP(A31,List!B:C,2,0)-VLOOKUP(Summary!$P$7,List!B:C,2,0))&gt;0,1,"")</f>
        <v>1</v>
      </c>
      <c r="AA31" s="141">
        <f t="shared" si="6"/>
        <v>2</v>
      </c>
      <c r="AB31" s="199" t="str">
        <f>+IF(AA31="","",IF(Summary!$J$7="Fixed Price","",IF(M31="",IF(I31="","",1),"")))</f>
        <v/>
      </c>
      <c r="AC31" s="198">
        <f t="shared" si="14"/>
        <v>0</v>
      </c>
      <c r="AD31" s="198">
        <f>+IF(AA31="",+IF(N31&gt;#REF!,#REF!,IF(N31&gt;#REF!,#REF!,IF(N31&gt;#REF!,#REF!,IF(N31&gt;#REF!,#REF!,IF(N31&gt;#REF!,#REF!,IF(N31&gt;#REF!,#REF!,IF(N31&gt;#REF!,#REF!,IF(N31&gt;#REF!,#REF!,#REF!)))))))),0)</f>
        <v>0</v>
      </c>
    </row>
    <row r="32" spans="1:30" x14ac:dyDescent="0.2">
      <c r="A32" s="155" t="str">
        <f t="shared" si="0"/>
        <v>-</v>
      </c>
      <c r="B32" s="154" t="str">
        <f t="shared" si="7"/>
        <v/>
      </c>
      <c r="C32" s="153" t="str">
        <f t="shared" si="8"/>
        <v/>
      </c>
      <c r="D32" s="152" t="str">
        <f t="shared" si="1"/>
        <v>-</v>
      </c>
      <c r="E32" s="159" t="str">
        <f>+IF($B32="","",Summary!$P$4)</f>
        <v/>
      </c>
      <c r="F32" s="159" t="str">
        <f>+IF($B32="","",Summary!$P$5)</f>
        <v/>
      </c>
      <c r="G32" s="159" t="str">
        <f>+IF($B32="","",Summary!$P$6)</f>
        <v/>
      </c>
      <c r="H32" s="158" t="str">
        <f t="shared" si="2"/>
        <v/>
      </c>
      <c r="I32" s="156"/>
      <c r="J32" s="156"/>
      <c r="K32" s="156"/>
      <c r="L32" s="156"/>
      <c r="M32" s="156"/>
      <c r="N32" s="156">
        <f t="shared" si="3"/>
        <v>0</v>
      </c>
      <c r="O32" s="156">
        <v>0</v>
      </c>
      <c r="P32" s="147">
        <f t="shared" si="9"/>
        <v>208680.78000000009</v>
      </c>
      <c r="Q32" s="147">
        <f t="shared" si="10"/>
        <v>283.25</v>
      </c>
      <c r="R32" s="147">
        <f t="shared" si="11"/>
        <v>52.489999999999995</v>
      </c>
      <c r="S32" s="146">
        <f t="shared" si="12"/>
        <v>90</v>
      </c>
      <c r="T32" s="146">
        <f t="shared" si="13"/>
        <v>86</v>
      </c>
      <c r="U32" s="145">
        <f t="shared" si="4"/>
        <v>0.29306397306397314</v>
      </c>
      <c r="V32" s="145">
        <f t="shared" si="5"/>
        <v>4.4444444444444446E-2</v>
      </c>
      <c r="W32" s="142">
        <v>29</v>
      </c>
      <c r="X32" s="142" t="str">
        <f>+IF((VLOOKUP(A32,List!B:C,2,0)-VLOOKUP(Summary!$P$7,List!B:C,2,0))=0,1,"")</f>
        <v/>
      </c>
      <c r="Y32" s="198">
        <f>+IF((VLOOKUP(A32,List!B:C,2,0)-VLOOKUP(Summary!$P$7,List!B:C,2,0))&gt;=0,1,"")</f>
        <v>1</v>
      </c>
      <c r="Z32" s="198">
        <f>+IF((VLOOKUP(A32,List!B:C,2,0)-VLOOKUP(Summary!$P$7,List!B:C,2,0))&gt;0,1,"")</f>
        <v>1</v>
      </c>
      <c r="AA32" s="141">
        <f t="shared" si="6"/>
        <v>2</v>
      </c>
      <c r="AB32" s="199" t="str">
        <f>+IF(AA32="","",IF(Summary!$J$7="Fixed Price","",IF(M32="",IF(I32="","",1),"")))</f>
        <v/>
      </c>
      <c r="AC32" s="198">
        <f t="shared" si="14"/>
        <v>0</v>
      </c>
    </row>
    <row r="33" spans="1:29" x14ac:dyDescent="0.2">
      <c r="A33" s="155" t="str">
        <f t="shared" si="0"/>
        <v>-</v>
      </c>
      <c r="B33" s="154" t="str">
        <f t="shared" si="7"/>
        <v/>
      </c>
      <c r="C33" s="153" t="str">
        <f t="shared" si="8"/>
        <v/>
      </c>
      <c r="D33" s="152" t="str">
        <f t="shared" si="1"/>
        <v>-</v>
      </c>
      <c r="E33" s="151" t="str">
        <f>+IF($B33="","",Summary!$P$4)</f>
        <v/>
      </c>
      <c r="F33" s="151" t="str">
        <f>+IF($B33="","",Summary!$P$5)</f>
        <v/>
      </c>
      <c r="G33" s="151" t="str">
        <f>+IF($B33="","",Summary!$P$6)</f>
        <v/>
      </c>
      <c r="H33" s="150" t="str">
        <f t="shared" si="2"/>
        <v/>
      </c>
      <c r="I33" s="148"/>
      <c r="J33" s="148"/>
      <c r="K33" s="148"/>
      <c r="L33" s="148"/>
      <c r="M33" s="148"/>
      <c r="N33" s="148">
        <f t="shared" si="3"/>
        <v>0</v>
      </c>
      <c r="O33" s="148">
        <v>0</v>
      </c>
      <c r="P33" s="147">
        <f t="shared" si="9"/>
        <v>208680.78000000009</v>
      </c>
      <c r="Q33" s="147">
        <f t="shared" si="10"/>
        <v>283.25</v>
      </c>
      <c r="R33" s="147">
        <f t="shared" si="11"/>
        <v>52.489999999999995</v>
      </c>
      <c r="S33" s="146">
        <f t="shared" si="12"/>
        <v>90</v>
      </c>
      <c r="T33" s="146">
        <f t="shared" si="13"/>
        <v>86</v>
      </c>
      <c r="U33" s="145">
        <f t="shared" si="4"/>
        <v>0.29306397306397314</v>
      </c>
      <c r="V33" s="145">
        <f t="shared" si="5"/>
        <v>4.4444444444444446E-2</v>
      </c>
      <c r="W33" s="142">
        <v>30</v>
      </c>
      <c r="X33" s="142" t="str">
        <f>+IF((VLOOKUP(A33,List!B:C,2,0)-VLOOKUP(Summary!$P$7,List!B:C,2,0))=0,1,"")</f>
        <v/>
      </c>
      <c r="Y33" s="198">
        <f>+IF((VLOOKUP(A33,List!B:C,2,0)-VLOOKUP(Summary!$P$7,List!B:C,2,0))&gt;=0,1,"")</f>
        <v>1</v>
      </c>
      <c r="Z33" s="198">
        <f>+IF((VLOOKUP(A33,List!B:C,2,0)-VLOOKUP(Summary!$P$7,List!B:C,2,0))&gt;0,1,"")</f>
        <v>1</v>
      </c>
      <c r="AA33" s="141">
        <f t="shared" si="6"/>
        <v>2</v>
      </c>
      <c r="AB33" s="199" t="str">
        <f>+IF(AA33="","",IF(Summary!$J$7="Fixed Price","",IF(M33="",IF(I33="","",1),"")))</f>
        <v/>
      </c>
      <c r="AC33" s="198">
        <f t="shared" si="14"/>
        <v>0</v>
      </c>
    </row>
    <row r="34" spans="1:29" x14ac:dyDescent="0.2">
      <c r="A34" s="155" t="str">
        <f t="shared" si="0"/>
        <v>-</v>
      </c>
      <c r="B34" s="154" t="str">
        <f t="shared" si="7"/>
        <v/>
      </c>
      <c r="C34" s="153" t="str">
        <f t="shared" si="8"/>
        <v/>
      </c>
      <c r="D34" s="152" t="str">
        <f t="shared" si="1"/>
        <v>-</v>
      </c>
      <c r="E34" s="159" t="str">
        <f>+IF($B34="","",Summary!$P$4)</f>
        <v/>
      </c>
      <c r="F34" s="159" t="str">
        <f>+IF($B34="","",Summary!$P$5)</f>
        <v/>
      </c>
      <c r="G34" s="159" t="str">
        <f>+IF($B34="","",Summary!$P$6)</f>
        <v/>
      </c>
      <c r="H34" s="158" t="str">
        <f t="shared" si="2"/>
        <v/>
      </c>
      <c r="I34" s="156"/>
      <c r="J34" s="156"/>
      <c r="K34" s="156"/>
      <c r="L34" s="156"/>
      <c r="M34" s="156"/>
      <c r="N34" s="156">
        <f t="shared" si="3"/>
        <v>0</v>
      </c>
      <c r="O34" s="156">
        <v>0</v>
      </c>
      <c r="P34" s="147">
        <f t="shared" si="9"/>
        <v>208680.78000000009</v>
      </c>
      <c r="Q34" s="147">
        <f t="shared" si="10"/>
        <v>283.25</v>
      </c>
      <c r="R34" s="147">
        <f t="shared" si="11"/>
        <v>52.489999999999995</v>
      </c>
      <c r="S34" s="146">
        <f t="shared" si="12"/>
        <v>90</v>
      </c>
      <c r="T34" s="146">
        <f t="shared" si="13"/>
        <v>86</v>
      </c>
      <c r="U34" s="145">
        <f t="shared" si="4"/>
        <v>0.29306397306397314</v>
      </c>
      <c r="V34" s="145">
        <f t="shared" si="5"/>
        <v>4.4444444444444446E-2</v>
      </c>
      <c r="W34" s="142">
        <v>31</v>
      </c>
      <c r="X34" s="142" t="str">
        <f>+IF((VLOOKUP(A34,List!B:C,2,0)-VLOOKUP(Summary!$P$7,List!B:C,2,0))=0,1,"")</f>
        <v/>
      </c>
      <c r="Y34" s="198">
        <f>+IF((VLOOKUP(A34,List!B:C,2,0)-VLOOKUP(Summary!$P$7,List!B:C,2,0))&gt;=0,1,"")</f>
        <v>1</v>
      </c>
      <c r="Z34" s="198">
        <f>+IF((VLOOKUP(A34,List!B:C,2,0)-VLOOKUP(Summary!$P$7,List!B:C,2,0))&gt;0,1,"")</f>
        <v>1</v>
      </c>
      <c r="AA34" s="141">
        <f t="shared" si="6"/>
        <v>2</v>
      </c>
      <c r="AB34" s="199" t="str">
        <f>+IF(AA34="","",IF(Summary!$J$7="Fixed Price","",IF(M34="",IF(I34="","",1),"")))</f>
        <v/>
      </c>
      <c r="AC34" s="198">
        <f t="shared" si="14"/>
        <v>0</v>
      </c>
    </row>
    <row r="35" spans="1:29" x14ac:dyDescent="0.2">
      <c r="A35" s="155" t="str">
        <f t="shared" si="0"/>
        <v>-</v>
      </c>
      <c r="B35" s="154" t="str">
        <f t="shared" si="7"/>
        <v/>
      </c>
      <c r="C35" s="153" t="str">
        <f t="shared" si="8"/>
        <v/>
      </c>
      <c r="D35" s="152" t="str">
        <f t="shared" si="1"/>
        <v>-</v>
      </c>
      <c r="E35" s="151" t="str">
        <f>+IF($B35="","",Summary!$P$4)</f>
        <v/>
      </c>
      <c r="F35" s="151" t="str">
        <f>+IF($B35="","",Summary!$P$5)</f>
        <v/>
      </c>
      <c r="G35" s="151" t="str">
        <f>+IF($B35="","",Summary!$P$6)</f>
        <v/>
      </c>
      <c r="H35" s="150" t="str">
        <f t="shared" si="2"/>
        <v/>
      </c>
      <c r="I35" s="148"/>
      <c r="J35" s="148"/>
      <c r="K35" s="148"/>
      <c r="L35" s="148"/>
      <c r="M35" s="148"/>
      <c r="N35" s="148">
        <f t="shared" si="3"/>
        <v>0</v>
      </c>
      <c r="O35" s="148">
        <v>0</v>
      </c>
      <c r="P35" s="147">
        <f t="shared" si="9"/>
        <v>208680.78000000009</v>
      </c>
      <c r="Q35" s="147">
        <f t="shared" si="10"/>
        <v>283.25</v>
      </c>
      <c r="R35" s="147">
        <f t="shared" si="11"/>
        <v>52.489999999999995</v>
      </c>
      <c r="S35" s="146">
        <f t="shared" si="12"/>
        <v>90</v>
      </c>
      <c r="T35" s="146">
        <f t="shared" si="13"/>
        <v>86</v>
      </c>
      <c r="U35" s="145">
        <f t="shared" si="4"/>
        <v>0.29306397306397314</v>
      </c>
      <c r="V35" s="145">
        <f t="shared" si="5"/>
        <v>4.4444444444444446E-2</v>
      </c>
      <c r="W35" s="142">
        <v>32</v>
      </c>
      <c r="X35" s="142" t="str">
        <f>+IF((VLOOKUP(A35,List!B:C,2,0)-VLOOKUP(Summary!$P$7,List!B:C,2,0))=0,1,"")</f>
        <v/>
      </c>
      <c r="Y35" s="198">
        <f>+IF((VLOOKUP(A35,List!B:C,2,0)-VLOOKUP(Summary!$P$7,List!B:C,2,0))&gt;=0,1,"")</f>
        <v>1</v>
      </c>
      <c r="Z35" s="198">
        <f>+IF((VLOOKUP(A35,List!B:C,2,0)-VLOOKUP(Summary!$P$7,List!B:C,2,0))&gt;0,1,"")</f>
        <v>1</v>
      </c>
      <c r="AA35" s="141">
        <f t="shared" si="6"/>
        <v>2</v>
      </c>
      <c r="AB35" s="199" t="str">
        <f>+IF(AA35="","",IF(Summary!$J$7="Fixed Price","",IF(M35="",IF(I35="","",1),"")))</f>
        <v/>
      </c>
      <c r="AC35" s="198">
        <f t="shared" si="14"/>
        <v>0</v>
      </c>
    </row>
    <row r="36" spans="1:29" x14ac:dyDescent="0.2">
      <c r="A36" s="155" t="str">
        <f t="shared" ref="A36:A63" si="15">CONCATENATE(C36,"-",B36)</f>
        <v>-</v>
      </c>
      <c r="B36" s="154" t="str">
        <f t="shared" si="7"/>
        <v/>
      </c>
      <c r="C36" s="153" t="str">
        <f t="shared" si="8"/>
        <v/>
      </c>
      <c r="D36" s="152" t="str">
        <f t="shared" ref="D36:D63" si="16">CONCATENATE(C36,"-",B36)</f>
        <v>-</v>
      </c>
      <c r="E36" s="159" t="str">
        <f>+IF($B36="","",Summary!$P$4)</f>
        <v/>
      </c>
      <c r="F36" s="159" t="str">
        <f>+IF($B36="","",Summary!$P$5)</f>
        <v/>
      </c>
      <c r="G36" s="159" t="str">
        <f>+IF($B36="","",Summary!$P$6)</f>
        <v/>
      </c>
      <c r="H36" s="158" t="str">
        <f t="shared" ref="H36:H63" si="17">+IF($B36="","",IF(U36&lt;-15%,"Red",IF(U36&lt;0%,"Amber","Green")))</f>
        <v/>
      </c>
      <c r="I36" s="156"/>
      <c r="J36" s="156"/>
      <c r="K36" s="156"/>
      <c r="L36" s="156"/>
      <c r="M36" s="156"/>
      <c r="N36" s="156">
        <f t="shared" si="3"/>
        <v>0</v>
      </c>
      <c r="O36" s="156">
        <v>0</v>
      </c>
      <c r="P36" s="147">
        <f t="shared" si="9"/>
        <v>208680.78000000009</v>
      </c>
      <c r="Q36" s="147">
        <f t="shared" si="10"/>
        <v>283.25</v>
      </c>
      <c r="R36" s="147">
        <f t="shared" si="11"/>
        <v>52.489999999999995</v>
      </c>
      <c r="S36" s="146">
        <f t="shared" si="12"/>
        <v>90</v>
      </c>
      <c r="T36" s="146">
        <f t="shared" si="13"/>
        <v>86</v>
      </c>
      <c r="U36" s="145">
        <f t="shared" ref="U36:U63" si="18">IF(Q36=0,0,IF(K36&lt;&gt;"",(Q36-(R36+L36))/Q36,U35))</f>
        <v>0.29306397306397314</v>
      </c>
      <c r="V36" s="145">
        <f t="shared" ref="V36:V63" si="19">IF(S36=0,0,IF(O36&lt;&gt;"",(S36-(T36))/S36,V35))</f>
        <v>4.4444444444444446E-2</v>
      </c>
      <c r="W36" s="142">
        <v>33</v>
      </c>
      <c r="X36" s="142" t="str">
        <f>+IF((VLOOKUP(A36,List!B:C,2,0)-VLOOKUP(Summary!$P$7,List!B:C,2,0))=0,1,"")</f>
        <v/>
      </c>
      <c r="Y36" s="198">
        <f>+IF((VLOOKUP(A36,List!B:C,2,0)-VLOOKUP(Summary!$P$7,List!B:C,2,0))&gt;=0,1,"")</f>
        <v>1</v>
      </c>
      <c r="Z36" s="198">
        <f>+IF((VLOOKUP(A36,List!B:C,2,0)-VLOOKUP(Summary!$P$7,List!B:C,2,0))&gt;0,1,"")</f>
        <v>1</v>
      </c>
      <c r="AA36" s="141">
        <f t="shared" si="6"/>
        <v>2</v>
      </c>
      <c r="AB36" s="199" t="str">
        <f>+IF(AA36="","",IF(Summary!$J$7="Fixed Price","",IF(M36="",IF(I36="","",1),"")))</f>
        <v/>
      </c>
      <c r="AC36" s="198">
        <f t="shared" si="14"/>
        <v>0</v>
      </c>
    </row>
    <row r="37" spans="1:29" x14ac:dyDescent="0.2">
      <c r="A37" s="155" t="str">
        <f t="shared" si="15"/>
        <v>-</v>
      </c>
      <c r="B37" s="154" t="str">
        <f t="shared" ref="B37:B63" si="20">IF(W37&lt;=$W$2,IF(B36&gt;11,1,B36+1),"")</f>
        <v/>
      </c>
      <c r="C37" s="153" t="str">
        <f t="shared" ref="C37:C63" si="21">IF(W37&lt;=$W$2,IF(B36&gt;11,C36+1,C36),"")</f>
        <v/>
      </c>
      <c r="D37" s="152" t="str">
        <f t="shared" si="16"/>
        <v>-</v>
      </c>
      <c r="E37" s="151" t="str">
        <f>+IF($B37="","",Summary!$P$4)</f>
        <v/>
      </c>
      <c r="F37" s="151" t="str">
        <f>+IF($B37="","",Summary!$P$5)</f>
        <v/>
      </c>
      <c r="G37" s="151" t="str">
        <f>+IF($B37="","",Summary!$P$6)</f>
        <v/>
      </c>
      <c r="H37" s="150" t="str">
        <f t="shared" si="17"/>
        <v/>
      </c>
      <c r="I37" s="148"/>
      <c r="J37" s="148"/>
      <c r="K37" s="148"/>
      <c r="L37" s="148"/>
      <c r="M37" s="148"/>
      <c r="N37" s="148">
        <f t="shared" si="3"/>
        <v>0</v>
      </c>
      <c r="O37" s="148">
        <v>0</v>
      </c>
      <c r="P37" s="147">
        <f t="shared" ref="P37:P63" si="22">I37+P36</f>
        <v>208680.78000000009</v>
      </c>
      <c r="Q37" s="147">
        <f t="shared" ref="Q37:Q63" si="23">Q36+J37</f>
        <v>283.25</v>
      </c>
      <c r="R37" s="147">
        <f t="shared" ref="R37:R63" si="24">K37+R36</f>
        <v>52.489999999999995</v>
      </c>
      <c r="S37" s="146">
        <f t="shared" ref="S37:S63" si="25">N37+S36</f>
        <v>90</v>
      </c>
      <c r="T37" s="146">
        <f t="shared" ref="T37:T63" si="26">O37+T36</f>
        <v>86</v>
      </c>
      <c r="U37" s="145">
        <f t="shared" si="18"/>
        <v>0.29306397306397314</v>
      </c>
      <c r="V37" s="145">
        <f t="shared" si="19"/>
        <v>4.4444444444444446E-2</v>
      </c>
      <c r="W37" s="142">
        <v>34</v>
      </c>
      <c r="X37" s="142" t="str">
        <f>+IF((VLOOKUP(A37,List!B:C,2,0)-VLOOKUP(Summary!$P$7,List!B:C,2,0))=0,1,"")</f>
        <v/>
      </c>
      <c r="Y37" s="198">
        <f>+IF((VLOOKUP(A37,List!B:C,2,0)-VLOOKUP(Summary!$P$7,List!B:C,2,0))&gt;=0,1,"")</f>
        <v>1</v>
      </c>
      <c r="Z37" s="198">
        <f>+IF((VLOOKUP(A37,List!B:C,2,0)-VLOOKUP(Summary!$P$7,List!B:C,2,0))&gt;0,1,"")</f>
        <v>1</v>
      </c>
      <c r="AA37" s="141">
        <f t="shared" si="6"/>
        <v>2</v>
      </c>
      <c r="AB37" s="199" t="str">
        <f>+IF(AA37="","",IF(Summary!$J$7="Fixed Price","",IF(M37="",IF(I37="","",1),"")))</f>
        <v/>
      </c>
      <c r="AC37" s="198">
        <f t="shared" si="14"/>
        <v>0</v>
      </c>
    </row>
    <row r="38" spans="1:29" x14ac:dyDescent="0.2">
      <c r="A38" s="155" t="str">
        <f t="shared" si="15"/>
        <v>-</v>
      </c>
      <c r="B38" s="154" t="str">
        <f t="shared" si="20"/>
        <v/>
      </c>
      <c r="C38" s="153" t="str">
        <f t="shared" si="21"/>
        <v/>
      </c>
      <c r="D38" s="152" t="str">
        <f t="shared" si="16"/>
        <v>-</v>
      </c>
      <c r="E38" s="159" t="str">
        <f>+IF($B38="","",Summary!$P$4)</f>
        <v/>
      </c>
      <c r="F38" s="159" t="str">
        <f>+IF($B38="","",Summary!$P$5)</f>
        <v/>
      </c>
      <c r="G38" s="159" t="str">
        <f>+IF($B38="","",Summary!$P$6)</f>
        <v/>
      </c>
      <c r="H38" s="158" t="str">
        <f t="shared" si="17"/>
        <v/>
      </c>
      <c r="I38" s="156"/>
      <c r="J38" s="156"/>
      <c r="K38" s="156"/>
      <c r="L38" s="156"/>
      <c r="M38" s="156"/>
      <c r="N38" s="156">
        <f t="shared" si="3"/>
        <v>0</v>
      </c>
      <c r="O38" s="156">
        <v>0</v>
      </c>
      <c r="P38" s="147">
        <f t="shared" si="22"/>
        <v>208680.78000000009</v>
      </c>
      <c r="Q38" s="147">
        <f t="shared" si="23"/>
        <v>283.25</v>
      </c>
      <c r="R38" s="147">
        <f t="shared" si="24"/>
        <v>52.489999999999995</v>
      </c>
      <c r="S38" s="146">
        <f t="shared" si="25"/>
        <v>90</v>
      </c>
      <c r="T38" s="146">
        <f t="shared" si="26"/>
        <v>86</v>
      </c>
      <c r="U38" s="145">
        <f t="shared" si="18"/>
        <v>0.29306397306397314</v>
      </c>
      <c r="V38" s="145">
        <f t="shared" si="19"/>
        <v>4.4444444444444446E-2</v>
      </c>
      <c r="W38" s="142">
        <v>35</v>
      </c>
      <c r="X38" s="142" t="str">
        <f>+IF((VLOOKUP(A38,List!B:C,2,0)-VLOOKUP(Summary!$P$7,List!B:C,2,0))=0,1,"")</f>
        <v/>
      </c>
      <c r="Y38" s="198">
        <f>+IF((VLOOKUP(A38,List!B:C,2,0)-VLOOKUP(Summary!$P$7,List!B:C,2,0))&gt;=0,1,"")</f>
        <v>1</v>
      </c>
      <c r="Z38" s="198">
        <f>+IF((VLOOKUP(A38,List!B:C,2,0)-VLOOKUP(Summary!$P$7,List!B:C,2,0))&gt;0,1,"")</f>
        <v>1</v>
      </c>
      <c r="AA38" s="141">
        <f t="shared" si="6"/>
        <v>2</v>
      </c>
      <c r="AB38" s="199" t="str">
        <f>+IF(AA38="","",IF(Summary!$J$7="Fixed Price","",IF(M38="",IF(I38="","",1),"")))</f>
        <v/>
      </c>
      <c r="AC38" s="198">
        <f t="shared" si="14"/>
        <v>0</v>
      </c>
    </row>
    <row r="39" spans="1:29" x14ac:dyDescent="0.2">
      <c r="A39" s="155" t="str">
        <f t="shared" si="15"/>
        <v>-</v>
      </c>
      <c r="B39" s="154" t="str">
        <f t="shared" si="20"/>
        <v/>
      </c>
      <c r="C39" s="153" t="str">
        <f t="shared" si="21"/>
        <v/>
      </c>
      <c r="D39" s="152" t="str">
        <f t="shared" si="16"/>
        <v>-</v>
      </c>
      <c r="E39" s="151" t="str">
        <f>+IF($B39="","",Summary!$P$4)</f>
        <v/>
      </c>
      <c r="F39" s="151" t="str">
        <f>+IF($B39="","",Summary!$P$5)</f>
        <v/>
      </c>
      <c r="G39" s="151" t="str">
        <f>+IF($B39="","",Summary!$P$6)</f>
        <v/>
      </c>
      <c r="H39" s="150" t="str">
        <f t="shared" si="17"/>
        <v/>
      </c>
      <c r="I39" s="148"/>
      <c r="J39" s="148"/>
      <c r="K39" s="148"/>
      <c r="L39" s="148"/>
      <c r="M39" s="148"/>
      <c r="N39" s="148">
        <f t="shared" si="3"/>
        <v>0</v>
      </c>
      <c r="O39" s="148">
        <v>0</v>
      </c>
      <c r="P39" s="147">
        <f t="shared" si="22"/>
        <v>208680.78000000009</v>
      </c>
      <c r="Q39" s="147">
        <f t="shared" si="23"/>
        <v>283.25</v>
      </c>
      <c r="R39" s="147">
        <f t="shared" si="24"/>
        <v>52.489999999999995</v>
      </c>
      <c r="S39" s="146">
        <f t="shared" si="25"/>
        <v>90</v>
      </c>
      <c r="T39" s="146">
        <f t="shared" si="26"/>
        <v>86</v>
      </c>
      <c r="U39" s="145">
        <f t="shared" si="18"/>
        <v>0.29306397306397314</v>
      </c>
      <c r="V39" s="145">
        <f t="shared" si="19"/>
        <v>4.4444444444444446E-2</v>
      </c>
      <c r="W39" s="142">
        <v>36</v>
      </c>
      <c r="X39" s="142" t="str">
        <f>+IF((VLOOKUP(A39,List!B:C,2,0)-VLOOKUP(Summary!$P$7,List!B:C,2,0))=0,1,"")</f>
        <v/>
      </c>
      <c r="Y39" s="198">
        <f>+IF((VLOOKUP(A39,List!B:C,2,0)-VLOOKUP(Summary!$P$7,List!B:C,2,0))&gt;=0,1,"")</f>
        <v>1</v>
      </c>
      <c r="Z39" s="198">
        <f>+IF((VLOOKUP(A39,List!B:C,2,0)-VLOOKUP(Summary!$P$7,List!B:C,2,0))&gt;0,1,"")</f>
        <v>1</v>
      </c>
      <c r="AA39" s="141">
        <f t="shared" si="6"/>
        <v>2</v>
      </c>
      <c r="AB39" s="199" t="str">
        <f>+IF(AA39="","",IF(Summary!$J$7="Fixed Price","",IF(M39="",IF(I39="","",1),"")))</f>
        <v/>
      </c>
      <c r="AC39" s="198">
        <f t="shared" si="14"/>
        <v>0</v>
      </c>
    </row>
    <row r="40" spans="1:29" x14ac:dyDescent="0.2">
      <c r="A40" s="155" t="str">
        <f t="shared" si="15"/>
        <v>-</v>
      </c>
      <c r="B40" s="154" t="str">
        <f t="shared" si="20"/>
        <v/>
      </c>
      <c r="C40" s="153" t="str">
        <f t="shared" si="21"/>
        <v/>
      </c>
      <c r="D40" s="152" t="str">
        <f t="shared" si="16"/>
        <v>-</v>
      </c>
      <c r="E40" s="159" t="str">
        <f>+IF($B40="","",Summary!$P$4)</f>
        <v/>
      </c>
      <c r="F40" s="159" t="str">
        <f>+IF($B40="","",Summary!$P$5)</f>
        <v/>
      </c>
      <c r="G40" s="159" t="str">
        <f>+IF($B40="","",Summary!$P$6)</f>
        <v/>
      </c>
      <c r="H40" s="158" t="str">
        <f t="shared" si="17"/>
        <v/>
      </c>
      <c r="I40" s="156"/>
      <c r="J40" s="157"/>
      <c r="K40" s="156"/>
      <c r="L40" s="156"/>
      <c r="M40" s="156"/>
      <c r="N40" s="157">
        <f t="shared" si="3"/>
        <v>0</v>
      </c>
      <c r="O40" s="157">
        <v>0</v>
      </c>
      <c r="P40" s="147">
        <f t="shared" si="22"/>
        <v>208680.78000000009</v>
      </c>
      <c r="Q40" s="147">
        <f t="shared" si="23"/>
        <v>283.25</v>
      </c>
      <c r="R40" s="147">
        <f t="shared" si="24"/>
        <v>52.489999999999995</v>
      </c>
      <c r="S40" s="146">
        <f t="shared" si="25"/>
        <v>90</v>
      </c>
      <c r="T40" s="146">
        <f t="shared" si="26"/>
        <v>86</v>
      </c>
      <c r="U40" s="145">
        <f t="shared" si="18"/>
        <v>0.29306397306397314</v>
      </c>
      <c r="V40" s="145">
        <f t="shared" si="19"/>
        <v>4.4444444444444446E-2</v>
      </c>
      <c r="W40" s="142">
        <v>37</v>
      </c>
      <c r="X40" s="142" t="str">
        <f>+IF((VLOOKUP(A40,List!B:C,2,0)-VLOOKUP(Summary!$P$7,List!B:C,2,0))=0,1,"")</f>
        <v/>
      </c>
      <c r="Y40" s="198">
        <f>+IF((VLOOKUP(A40,List!B:C,2,0)-VLOOKUP(Summary!$P$7,List!B:C,2,0))&gt;=0,1,"")</f>
        <v>1</v>
      </c>
      <c r="Z40" s="198">
        <f>+IF((VLOOKUP(A40,List!B:C,2,0)-VLOOKUP(Summary!$P$7,List!B:C,2,0))&gt;0,1,"")</f>
        <v>1</v>
      </c>
      <c r="AA40" s="141">
        <f t="shared" si="6"/>
        <v>2</v>
      </c>
      <c r="AB40" s="199" t="str">
        <f>+IF(AA40="","",IF(Summary!$J$7="Fixed Price","",IF(M40="",IF(I40="","",1),"")))</f>
        <v/>
      </c>
      <c r="AC40" s="198">
        <f t="shared" si="14"/>
        <v>0</v>
      </c>
    </row>
    <row r="41" spans="1:29" x14ac:dyDescent="0.2">
      <c r="A41" s="155" t="str">
        <f t="shared" si="15"/>
        <v>-</v>
      </c>
      <c r="B41" s="154" t="str">
        <f t="shared" si="20"/>
        <v/>
      </c>
      <c r="C41" s="153" t="str">
        <f t="shared" si="21"/>
        <v/>
      </c>
      <c r="D41" s="152" t="str">
        <f t="shared" si="16"/>
        <v>-</v>
      </c>
      <c r="E41" s="151" t="str">
        <f>+IF($B41="","",Summary!$P$4)</f>
        <v/>
      </c>
      <c r="F41" s="151" t="str">
        <f>+IF($B41="","",Summary!$P$5)</f>
        <v/>
      </c>
      <c r="G41" s="151" t="str">
        <f>+IF($B41="","",Summary!$P$6)</f>
        <v/>
      </c>
      <c r="H41" s="150" t="str">
        <f t="shared" si="17"/>
        <v/>
      </c>
      <c r="I41" s="148"/>
      <c r="J41" s="149"/>
      <c r="K41" s="148"/>
      <c r="L41" s="148"/>
      <c r="M41" s="148"/>
      <c r="N41" s="149">
        <f t="shared" si="3"/>
        <v>0</v>
      </c>
      <c r="O41" s="149">
        <v>0</v>
      </c>
      <c r="P41" s="147">
        <f t="shared" si="22"/>
        <v>208680.78000000009</v>
      </c>
      <c r="Q41" s="147">
        <f t="shared" si="23"/>
        <v>283.25</v>
      </c>
      <c r="R41" s="147">
        <f t="shared" si="24"/>
        <v>52.489999999999995</v>
      </c>
      <c r="S41" s="146">
        <f t="shared" si="25"/>
        <v>90</v>
      </c>
      <c r="T41" s="146">
        <f t="shared" si="26"/>
        <v>86</v>
      </c>
      <c r="U41" s="145">
        <f t="shared" si="18"/>
        <v>0.29306397306397314</v>
      </c>
      <c r="V41" s="145">
        <f t="shared" si="19"/>
        <v>4.4444444444444446E-2</v>
      </c>
      <c r="W41" s="142">
        <v>38</v>
      </c>
      <c r="X41" s="142" t="str">
        <f>+IF((VLOOKUP(A41,List!B:C,2,0)-VLOOKUP(Summary!$P$7,List!B:C,2,0))=0,1,"")</f>
        <v/>
      </c>
      <c r="Y41" s="198">
        <f>+IF((VLOOKUP(A41,List!B:C,2,0)-VLOOKUP(Summary!$P$7,List!B:C,2,0))&gt;=0,1,"")</f>
        <v>1</v>
      </c>
      <c r="Z41" s="198">
        <f>+IF((VLOOKUP(A41,List!B:C,2,0)-VLOOKUP(Summary!$P$7,List!B:C,2,0))&gt;0,1,"")</f>
        <v>1</v>
      </c>
      <c r="AA41" s="141">
        <f t="shared" si="6"/>
        <v>2</v>
      </c>
      <c r="AB41" s="199" t="str">
        <f>+IF(AA41="","",IF(Summary!$J$7="Fixed Price","",IF(M41="",IF(I41="","",1),"")))</f>
        <v/>
      </c>
      <c r="AC41" s="198">
        <f t="shared" si="14"/>
        <v>0</v>
      </c>
    </row>
    <row r="42" spans="1:29" x14ac:dyDescent="0.2">
      <c r="A42" s="155" t="str">
        <f t="shared" si="15"/>
        <v>-</v>
      </c>
      <c r="B42" s="154" t="str">
        <f t="shared" si="20"/>
        <v/>
      </c>
      <c r="C42" s="153" t="str">
        <f t="shared" si="21"/>
        <v/>
      </c>
      <c r="D42" s="152" t="str">
        <f t="shared" si="16"/>
        <v>-</v>
      </c>
      <c r="E42" s="159" t="str">
        <f>+IF($B42="","",Summary!$P$4)</f>
        <v/>
      </c>
      <c r="F42" s="159" t="str">
        <f>+IF($B42="","",Summary!$P$5)</f>
        <v/>
      </c>
      <c r="G42" s="159" t="str">
        <f>+IF($B42="","",Summary!$P$6)</f>
        <v/>
      </c>
      <c r="H42" s="158" t="str">
        <f t="shared" si="17"/>
        <v/>
      </c>
      <c r="I42" s="156"/>
      <c r="J42" s="157"/>
      <c r="K42" s="156"/>
      <c r="L42" s="156"/>
      <c r="M42" s="156"/>
      <c r="N42" s="157">
        <f t="shared" si="3"/>
        <v>0</v>
      </c>
      <c r="O42" s="157">
        <v>0</v>
      </c>
      <c r="P42" s="147">
        <f t="shared" si="22"/>
        <v>208680.78000000009</v>
      </c>
      <c r="Q42" s="147">
        <f t="shared" si="23"/>
        <v>283.25</v>
      </c>
      <c r="R42" s="147">
        <f t="shared" si="24"/>
        <v>52.489999999999995</v>
      </c>
      <c r="S42" s="146">
        <f t="shared" si="25"/>
        <v>90</v>
      </c>
      <c r="T42" s="146">
        <f t="shared" si="26"/>
        <v>86</v>
      </c>
      <c r="U42" s="145">
        <f t="shared" si="18"/>
        <v>0.29306397306397314</v>
      </c>
      <c r="V42" s="145">
        <f t="shared" si="19"/>
        <v>4.4444444444444446E-2</v>
      </c>
      <c r="W42" s="142">
        <v>39</v>
      </c>
      <c r="X42" s="142" t="str">
        <f>+IF((VLOOKUP(A42,List!B:C,2,0)-VLOOKUP(Summary!$P$7,List!B:C,2,0))=0,1,"")</f>
        <v/>
      </c>
      <c r="Y42" s="198">
        <f>+IF((VLOOKUP(A42,List!B:C,2,0)-VLOOKUP(Summary!$P$7,List!B:C,2,0))&gt;=0,1,"")</f>
        <v>1</v>
      </c>
      <c r="Z42" s="198">
        <f>+IF((VLOOKUP(A42,List!B:C,2,0)-VLOOKUP(Summary!$P$7,List!B:C,2,0))&gt;0,1,"")</f>
        <v>1</v>
      </c>
      <c r="AA42" s="141">
        <f t="shared" si="6"/>
        <v>2</v>
      </c>
      <c r="AB42" s="199" t="str">
        <f>+IF(AA42="","",IF(Summary!$J$7="Fixed Price","",IF(M42="",IF(I42="","",1),"")))</f>
        <v/>
      </c>
      <c r="AC42" s="198">
        <f t="shared" si="14"/>
        <v>0</v>
      </c>
    </row>
    <row r="43" spans="1:29" x14ac:dyDescent="0.2">
      <c r="A43" s="155" t="str">
        <f t="shared" si="15"/>
        <v>-</v>
      </c>
      <c r="B43" s="154" t="str">
        <f t="shared" si="20"/>
        <v/>
      </c>
      <c r="C43" s="153" t="str">
        <f t="shared" si="21"/>
        <v/>
      </c>
      <c r="D43" s="152" t="str">
        <f t="shared" si="16"/>
        <v>-</v>
      </c>
      <c r="E43" s="151" t="str">
        <f>+IF($B43="","",Summary!$P$4)</f>
        <v/>
      </c>
      <c r="F43" s="151" t="str">
        <f>+IF($B43="","",Summary!$P$5)</f>
        <v/>
      </c>
      <c r="G43" s="151" t="str">
        <f>+IF($B43="","",Summary!$P$6)</f>
        <v/>
      </c>
      <c r="H43" s="150" t="str">
        <f t="shared" si="17"/>
        <v/>
      </c>
      <c r="I43" s="148"/>
      <c r="J43" s="149"/>
      <c r="K43" s="148"/>
      <c r="L43" s="148"/>
      <c r="M43" s="148"/>
      <c r="N43" s="149">
        <f t="shared" si="3"/>
        <v>0</v>
      </c>
      <c r="O43" s="149">
        <v>0</v>
      </c>
      <c r="P43" s="147">
        <f t="shared" si="22"/>
        <v>208680.78000000009</v>
      </c>
      <c r="Q43" s="147">
        <f t="shared" si="23"/>
        <v>283.25</v>
      </c>
      <c r="R43" s="147">
        <f t="shared" si="24"/>
        <v>52.489999999999995</v>
      </c>
      <c r="S43" s="146">
        <f t="shared" si="25"/>
        <v>90</v>
      </c>
      <c r="T43" s="146">
        <f t="shared" si="26"/>
        <v>86</v>
      </c>
      <c r="U43" s="145">
        <f t="shared" si="18"/>
        <v>0.29306397306397314</v>
      </c>
      <c r="V43" s="145">
        <f t="shared" si="19"/>
        <v>4.4444444444444446E-2</v>
      </c>
      <c r="W43" s="142">
        <v>40</v>
      </c>
      <c r="X43" s="142" t="str">
        <f>+IF((VLOOKUP(A43,List!B:C,2,0)-VLOOKUP(Summary!$P$7,List!B:C,2,0))=0,1,"")</f>
        <v/>
      </c>
      <c r="Y43" s="198">
        <f>+IF((VLOOKUP(A43,List!B:C,2,0)-VLOOKUP(Summary!$P$7,List!B:C,2,0))&gt;=0,1,"")</f>
        <v>1</v>
      </c>
      <c r="Z43" s="198">
        <f>+IF((VLOOKUP(A43,List!B:C,2,0)-VLOOKUP(Summary!$P$7,List!B:C,2,0))&gt;0,1,"")</f>
        <v>1</v>
      </c>
      <c r="AA43" s="141">
        <f t="shared" si="6"/>
        <v>2</v>
      </c>
      <c r="AB43" s="199" t="str">
        <f>+IF(AA43="","",IF(Summary!$J$7="Fixed Price","",IF(M43="",IF(I43="","",1),"")))</f>
        <v/>
      </c>
      <c r="AC43" s="198">
        <f t="shared" si="14"/>
        <v>0</v>
      </c>
    </row>
    <row r="44" spans="1:29" x14ac:dyDescent="0.2">
      <c r="A44" s="155" t="str">
        <f t="shared" si="15"/>
        <v>-</v>
      </c>
      <c r="B44" s="154" t="str">
        <f t="shared" si="20"/>
        <v/>
      </c>
      <c r="C44" s="153" t="str">
        <f t="shared" si="21"/>
        <v/>
      </c>
      <c r="D44" s="152" t="str">
        <f t="shared" si="16"/>
        <v>-</v>
      </c>
      <c r="E44" s="159" t="str">
        <f>+IF($B44="","",Summary!$P$4)</f>
        <v/>
      </c>
      <c r="F44" s="159" t="str">
        <f>+IF($B44="","",Summary!$P$5)</f>
        <v/>
      </c>
      <c r="G44" s="159" t="str">
        <f>+IF($B44="","",Summary!$P$6)</f>
        <v/>
      </c>
      <c r="H44" s="158" t="str">
        <f t="shared" si="17"/>
        <v/>
      </c>
      <c r="I44" s="156"/>
      <c r="J44" s="157"/>
      <c r="K44" s="156"/>
      <c r="L44" s="156"/>
      <c r="M44" s="156"/>
      <c r="N44" s="157">
        <f t="shared" si="3"/>
        <v>0</v>
      </c>
      <c r="O44" s="157">
        <v>0</v>
      </c>
      <c r="P44" s="147">
        <f t="shared" si="22"/>
        <v>208680.78000000009</v>
      </c>
      <c r="Q44" s="147">
        <f t="shared" si="23"/>
        <v>283.25</v>
      </c>
      <c r="R44" s="147">
        <f t="shared" si="24"/>
        <v>52.489999999999995</v>
      </c>
      <c r="S44" s="146">
        <f t="shared" si="25"/>
        <v>90</v>
      </c>
      <c r="T44" s="146">
        <f t="shared" si="26"/>
        <v>86</v>
      </c>
      <c r="U44" s="145">
        <f t="shared" si="18"/>
        <v>0.29306397306397314</v>
      </c>
      <c r="V44" s="145">
        <f t="shared" si="19"/>
        <v>4.4444444444444446E-2</v>
      </c>
      <c r="W44" s="142">
        <v>41</v>
      </c>
      <c r="X44" s="142" t="str">
        <f>+IF((VLOOKUP(A44,List!B:C,2,0)-VLOOKUP(Summary!$P$7,List!B:C,2,0))=0,1,"")</f>
        <v/>
      </c>
      <c r="Y44" s="198">
        <f>+IF((VLOOKUP(A44,List!B:C,2,0)-VLOOKUP(Summary!$P$7,List!B:C,2,0))&gt;=0,1,"")</f>
        <v>1</v>
      </c>
      <c r="Z44" s="198">
        <f>+IF((VLOOKUP(A44,List!B:C,2,0)-VLOOKUP(Summary!$P$7,List!B:C,2,0))&gt;0,1,"")</f>
        <v>1</v>
      </c>
      <c r="AA44" s="141">
        <f t="shared" si="6"/>
        <v>2</v>
      </c>
      <c r="AB44" s="199" t="str">
        <f>+IF(AA44="","",IF(Summary!$J$7="Fixed Price","",IF(M44="",IF(I44="","",1),"")))</f>
        <v/>
      </c>
      <c r="AC44" s="198">
        <f t="shared" si="14"/>
        <v>0</v>
      </c>
    </row>
    <row r="45" spans="1:29" x14ac:dyDescent="0.2">
      <c r="A45" s="155" t="str">
        <f t="shared" si="15"/>
        <v>-</v>
      </c>
      <c r="B45" s="154" t="str">
        <f t="shared" si="20"/>
        <v/>
      </c>
      <c r="C45" s="153" t="str">
        <f t="shared" si="21"/>
        <v/>
      </c>
      <c r="D45" s="152" t="str">
        <f t="shared" si="16"/>
        <v>-</v>
      </c>
      <c r="E45" s="151" t="str">
        <f>+IF($B45="","",Summary!$P$4)</f>
        <v/>
      </c>
      <c r="F45" s="151" t="str">
        <f>+IF($B45="","",Summary!$P$5)</f>
        <v/>
      </c>
      <c r="G45" s="151" t="str">
        <f>+IF($B45="","",Summary!$P$6)</f>
        <v/>
      </c>
      <c r="H45" s="150" t="str">
        <f t="shared" si="17"/>
        <v/>
      </c>
      <c r="I45" s="148"/>
      <c r="J45" s="149"/>
      <c r="K45" s="148"/>
      <c r="L45" s="148"/>
      <c r="M45" s="148"/>
      <c r="N45" s="149">
        <f t="shared" si="3"/>
        <v>0</v>
      </c>
      <c r="O45" s="149">
        <v>0</v>
      </c>
      <c r="P45" s="147">
        <f t="shared" si="22"/>
        <v>208680.78000000009</v>
      </c>
      <c r="Q45" s="147">
        <f t="shared" si="23"/>
        <v>283.25</v>
      </c>
      <c r="R45" s="147">
        <f t="shared" si="24"/>
        <v>52.489999999999995</v>
      </c>
      <c r="S45" s="146">
        <f t="shared" si="25"/>
        <v>90</v>
      </c>
      <c r="T45" s="146">
        <f t="shared" si="26"/>
        <v>86</v>
      </c>
      <c r="U45" s="145">
        <f t="shared" si="18"/>
        <v>0.29306397306397314</v>
      </c>
      <c r="V45" s="145">
        <f t="shared" si="19"/>
        <v>4.4444444444444446E-2</v>
      </c>
      <c r="W45" s="142">
        <v>42</v>
      </c>
      <c r="X45" s="142" t="str">
        <f>+IF((VLOOKUP(A45,List!B:C,2,0)-VLOOKUP(Summary!$P$7,List!B:C,2,0))=0,1,"")</f>
        <v/>
      </c>
      <c r="Y45" s="198">
        <f>+IF((VLOOKUP(A45,List!B:C,2,0)-VLOOKUP(Summary!$P$7,List!B:C,2,0))&gt;=0,1,"")</f>
        <v>1</v>
      </c>
      <c r="Z45" s="198">
        <f>+IF((VLOOKUP(A45,List!B:C,2,0)-VLOOKUP(Summary!$P$7,List!B:C,2,0))&gt;0,1,"")</f>
        <v>1</v>
      </c>
      <c r="AA45" s="141">
        <f t="shared" si="6"/>
        <v>2</v>
      </c>
      <c r="AB45" s="199" t="str">
        <f>+IF(AA45="","",IF(Summary!$J$7="Fixed Price","",IF(M45="",IF(I45="","",1),"")))</f>
        <v/>
      </c>
      <c r="AC45" s="198">
        <f t="shared" si="14"/>
        <v>0</v>
      </c>
    </row>
    <row r="46" spans="1:29" x14ac:dyDescent="0.2">
      <c r="A46" s="155" t="str">
        <f t="shared" si="15"/>
        <v>-</v>
      </c>
      <c r="B46" s="154" t="str">
        <f t="shared" si="20"/>
        <v/>
      </c>
      <c r="C46" s="153" t="str">
        <f t="shared" si="21"/>
        <v/>
      </c>
      <c r="D46" s="152" t="str">
        <f t="shared" si="16"/>
        <v>-</v>
      </c>
      <c r="E46" s="159" t="str">
        <f>+IF($B46="","",Summary!$P$4)</f>
        <v/>
      </c>
      <c r="F46" s="159" t="str">
        <f>+IF($B46="","",Summary!$P$5)</f>
        <v/>
      </c>
      <c r="G46" s="159" t="str">
        <f>+IF($B46="","",Summary!$P$6)</f>
        <v/>
      </c>
      <c r="H46" s="158" t="str">
        <f t="shared" si="17"/>
        <v/>
      </c>
      <c r="I46" s="156"/>
      <c r="J46" s="157"/>
      <c r="K46" s="156"/>
      <c r="L46" s="156"/>
      <c r="M46" s="156"/>
      <c r="N46" s="157">
        <f t="shared" si="3"/>
        <v>0</v>
      </c>
      <c r="O46" s="157">
        <v>0</v>
      </c>
      <c r="P46" s="147">
        <f t="shared" si="22"/>
        <v>208680.78000000009</v>
      </c>
      <c r="Q46" s="147">
        <f t="shared" si="23"/>
        <v>283.25</v>
      </c>
      <c r="R46" s="147">
        <f t="shared" si="24"/>
        <v>52.489999999999995</v>
      </c>
      <c r="S46" s="146">
        <f t="shared" si="25"/>
        <v>90</v>
      </c>
      <c r="T46" s="146">
        <f t="shared" si="26"/>
        <v>86</v>
      </c>
      <c r="U46" s="145">
        <f t="shared" si="18"/>
        <v>0.29306397306397314</v>
      </c>
      <c r="V46" s="145">
        <f t="shared" si="19"/>
        <v>4.4444444444444446E-2</v>
      </c>
      <c r="W46" s="142">
        <v>43</v>
      </c>
      <c r="X46" s="142" t="str">
        <f>+IF((VLOOKUP(A46,List!B:C,2,0)-VLOOKUP(Summary!$P$7,List!B:C,2,0))=0,1,"")</f>
        <v/>
      </c>
      <c r="Y46" s="198">
        <f>+IF((VLOOKUP(A46,List!B:C,2,0)-VLOOKUP(Summary!$P$7,List!B:C,2,0))&gt;=0,1,"")</f>
        <v>1</v>
      </c>
      <c r="Z46" s="198">
        <f>+IF((VLOOKUP(A46,List!B:C,2,0)-VLOOKUP(Summary!$P$7,List!B:C,2,0))&gt;0,1,"")</f>
        <v>1</v>
      </c>
      <c r="AA46" s="141">
        <f t="shared" si="6"/>
        <v>2</v>
      </c>
      <c r="AB46" s="199" t="str">
        <f>+IF(AA46="","",IF(Summary!$J$7="Fixed Price","",IF(M46="",IF(I46="","",1),"")))</f>
        <v/>
      </c>
      <c r="AC46" s="198">
        <f t="shared" si="14"/>
        <v>0</v>
      </c>
    </row>
    <row r="47" spans="1:29" x14ac:dyDescent="0.2">
      <c r="A47" s="155" t="str">
        <f t="shared" si="15"/>
        <v>-</v>
      </c>
      <c r="B47" s="154" t="str">
        <f t="shared" si="20"/>
        <v/>
      </c>
      <c r="C47" s="153" t="str">
        <f t="shared" si="21"/>
        <v/>
      </c>
      <c r="D47" s="152" t="str">
        <f t="shared" si="16"/>
        <v>-</v>
      </c>
      <c r="E47" s="151" t="str">
        <f>+IF($B47="","",Summary!$P$4)</f>
        <v/>
      </c>
      <c r="F47" s="151" t="str">
        <f>+IF($B47="","",Summary!$P$5)</f>
        <v/>
      </c>
      <c r="G47" s="151" t="str">
        <f>+IF($B47="","",Summary!$P$6)</f>
        <v/>
      </c>
      <c r="H47" s="150" t="str">
        <f t="shared" si="17"/>
        <v/>
      </c>
      <c r="I47" s="148"/>
      <c r="J47" s="149"/>
      <c r="K47" s="148"/>
      <c r="L47" s="148"/>
      <c r="M47" s="148"/>
      <c r="N47" s="149">
        <f t="shared" si="3"/>
        <v>0</v>
      </c>
      <c r="O47" s="149">
        <v>0</v>
      </c>
      <c r="P47" s="147">
        <f t="shared" si="22"/>
        <v>208680.78000000009</v>
      </c>
      <c r="Q47" s="147">
        <f t="shared" si="23"/>
        <v>283.25</v>
      </c>
      <c r="R47" s="147">
        <f t="shared" si="24"/>
        <v>52.489999999999995</v>
      </c>
      <c r="S47" s="146">
        <f t="shared" si="25"/>
        <v>90</v>
      </c>
      <c r="T47" s="146">
        <f t="shared" si="26"/>
        <v>86</v>
      </c>
      <c r="U47" s="145">
        <f t="shared" si="18"/>
        <v>0.29306397306397314</v>
      </c>
      <c r="V47" s="145">
        <f t="shared" si="19"/>
        <v>4.4444444444444446E-2</v>
      </c>
      <c r="W47" s="142">
        <v>44</v>
      </c>
      <c r="X47" s="142" t="str">
        <f>+IF((VLOOKUP(A47,List!B:C,2,0)-VLOOKUP(Summary!$P$7,List!B:C,2,0))=0,1,"")</f>
        <v/>
      </c>
      <c r="Y47" s="198">
        <f>+IF((VLOOKUP(A47,List!B:C,2,0)-VLOOKUP(Summary!$P$7,List!B:C,2,0))&gt;=0,1,"")</f>
        <v>1</v>
      </c>
      <c r="Z47" s="198">
        <f>+IF((VLOOKUP(A47,List!B:C,2,0)-VLOOKUP(Summary!$P$7,List!B:C,2,0))&gt;0,1,"")</f>
        <v>1</v>
      </c>
      <c r="AA47" s="141">
        <f t="shared" si="6"/>
        <v>2</v>
      </c>
      <c r="AB47" s="199" t="str">
        <f>+IF(AA47="","",IF(Summary!$J$7="Fixed Price","",IF(M47="",IF(I47="","",1),"")))</f>
        <v/>
      </c>
      <c r="AC47" s="198">
        <f t="shared" si="14"/>
        <v>0</v>
      </c>
    </row>
    <row r="48" spans="1:29" x14ac:dyDescent="0.2">
      <c r="A48" s="155" t="str">
        <f t="shared" si="15"/>
        <v>-</v>
      </c>
      <c r="B48" s="154" t="str">
        <f t="shared" si="20"/>
        <v/>
      </c>
      <c r="C48" s="153" t="str">
        <f t="shared" si="21"/>
        <v/>
      </c>
      <c r="D48" s="152" t="str">
        <f t="shared" si="16"/>
        <v>-</v>
      </c>
      <c r="E48" s="159" t="str">
        <f>+IF($B48="","",Summary!$P$4)</f>
        <v/>
      </c>
      <c r="F48" s="159" t="str">
        <f>+IF($B48="","",Summary!$P$5)</f>
        <v/>
      </c>
      <c r="G48" s="159" t="str">
        <f>+IF($B48="","",Summary!$P$6)</f>
        <v/>
      </c>
      <c r="H48" s="158" t="str">
        <f t="shared" si="17"/>
        <v/>
      </c>
      <c r="I48" s="156"/>
      <c r="J48" s="157"/>
      <c r="K48" s="156"/>
      <c r="L48" s="156"/>
      <c r="M48" s="156"/>
      <c r="N48" s="157">
        <f t="shared" si="3"/>
        <v>0</v>
      </c>
      <c r="O48" s="157">
        <v>0</v>
      </c>
      <c r="P48" s="147">
        <f t="shared" si="22"/>
        <v>208680.78000000009</v>
      </c>
      <c r="Q48" s="147">
        <f t="shared" si="23"/>
        <v>283.25</v>
      </c>
      <c r="R48" s="147">
        <f t="shared" si="24"/>
        <v>52.489999999999995</v>
      </c>
      <c r="S48" s="146">
        <f t="shared" si="25"/>
        <v>90</v>
      </c>
      <c r="T48" s="146">
        <f t="shared" si="26"/>
        <v>86</v>
      </c>
      <c r="U48" s="145">
        <f t="shared" si="18"/>
        <v>0.29306397306397314</v>
      </c>
      <c r="V48" s="145">
        <f t="shared" si="19"/>
        <v>4.4444444444444446E-2</v>
      </c>
      <c r="W48" s="142">
        <v>45</v>
      </c>
      <c r="X48" s="142" t="str">
        <f>+IF((VLOOKUP(A48,List!B:C,2,0)-VLOOKUP(Summary!$P$7,List!B:C,2,0))=0,1,"")</f>
        <v/>
      </c>
      <c r="Y48" s="198">
        <f>+IF((VLOOKUP(A48,List!B:C,2,0)-VLOOKUP(Summary!$P$7,List!B:C,2,0))&gt;=0,1,"")</f>
        <v>1</v>
      </c>
      <c r="Z48" s="198">
        <f>+IF((VLOOKUP(A48,List!B:C,2,0)-VLOOKUP(Summary!$P$7,List!B:C,2,0))&gt;0,1,"")</f>
        <v>1</v>
      </c>
      <c r="AA48" s="141">
        <f t="shared" si="6"/>
        <v>2</v>
      </c>
      <c r="AB48" s="199" t="str">
        <f>+IF(AA48="","",IF(Summary!$J$7="Fixed Price","",IF(M48="",IF(I48="","",1),"")))</f>
        <v/>
      </c>
      <c r="AC48" s="198">
        <f t="shared" si="14"/>
        <v>0</v>
      </c>
    </row>
    <row r="49" spans="1:29" x14ac:dyDescent="0.2">
      <c r="A49" s="155" t="str">
        <f t="shared" si="15"/>
        <v>-</v>
      </c>
      <c r="B49" s="154" t="str">
        <f t="shared" si="20"/>
        <v/>
      </c>
      <c r="C49" s="153" t="str">
        <f t="shared" si="21"/>
        <v/>
      </c>
      <c r="D49" s="152" t="str">
        <f t="shared" si="16"/>
        <v>-</v>
      </c>
      <c r="E49" s="151" t="str">
        <f>+IF($B49="","",Summary!$P$4)</f>
        <v/>
      </c>
      <c r="F49" s="151" t="str">
        <f>+IF($B49="","",Summary!$P$5)</f>
        <v/>
      </c>
      <c r="G49" s="151" t="str">
        <f>+IF($B49="","",Summary!$P$6)</f>
        <v/>
      </c>
      <c r="H49" s="150" t="str">
        <f t="shared" si="17"/>
        <v/>
      </c>
      <c r="I49" s="148"/>
      <c r="J49" s="149"/>
      <c r="K49" s="148"/>
      <c r="L49" s="148"/>
      <c r="M49" s="148"/>
      <c r="N49" s="149">
        <f t="shared" si="3"/>
        <v>0</v>
      </c>
      <c r="O49" s="149">
        <v>0</v>
      </c>
      <c r="P49" s="147">
        <f t="shared" si="22"/>
        <v>208680.78000000009</v>
      </c>
      <c r="Q49" s="147">
        <f t="shared" si="23"/>
        <v>283.25</v>
      </c>
      <c r="R49" s="147">
        <f t="shared" si="24"/>
        <v>52.489999999999995</v>
      </c>
      <c r="S49" s="146">
        <f t="shared" si="25"/>
        <v>90</v>
      </c>
      <c r="T49" s="146">
        <f t="shared" si="26"/>
        <v>86</v>
      </c>
      <c r="U49" s="145">
        <f t="shared" si="18"/>
        <v>0.29306397306397314</v>
      </c>
      <c r="V49" s="145">
        <f t="shared" si="19"/>
        <v>4.4444444444444446E-2</v>
      </c>
      <c r="W49" s="142">
        <v>46</v>
      </c>
      <c r="X49" s="142" t="str">
        <f>+IF((VLOOKUP(A49,List!B:C,2,0)-VLOOKUP(Summary!$P$7,List!B:C,2,0))=0,1,"")</f>
        <v/>
      </c>
      <c r="Y49" s="198">
        <f>+IF((VLOOKUP(A49,List!B:C,2,0)-VLOOKUP(Summary!$P$7,List!B:C,2,0))&gt;=0,1,"")</f>
        <v>1</v>
      </c>
      <c r="Z49" s="198">
        <f>+IF((VLOOKUP(A49,List!B:C,2,0)-VLOOKUP(Summary!$P$7,List!B:C,2,0))&gt;0,1,"")</f>
        <v>1</v>
      </c>
      <c r="AA49" s="141">
        <f t="shared" si="6"/>
        <v>2</v>
      </c>
      <c r="AB49" s="199" t="str">
        <f>+IF(AA49="","",IF(Summary!$J$7="Fixed Price","",IF(M49="",IF(I49="","",1),"")))</f>
        <v/>
      </c>
      <c r="AC49" s="198">
        <f t="shared" si="14"/>
        <v>0</v>
      </c>
    </row>
    <row r="50" spans="1:29" x14ac:dyDescent="0.2">
      <c r="A50" s="155" t="str">
        <f t="shared" si="15"/>
        <v>-</v>
      </c>
      <c r="B50" s="154" t="str">
        <f t="shared" si="20"/>
        <v/>
      </c>
      <c r="C50" s="153" t="str">
        <f t="shared" si="21"/>
        <v/>
      </c>
      <c r="D50" s="152" t="str">
        <f t="shared" si="16"/>
        <v>-</v>
      </c>
      <c r="E50" s="159" t="str">
        <f>+IF($B50="","",Summary!$P$4)</f>
        <v/>
      </c>
      <c r="F50" s="159" t="str">
        <f>+IF($B50="","",Summary!$P$5)</f>
        <v/>
      </c>
      <c r="G50" s="159" t="str">
        <f>+IF($B50="","",Summary!$P$6)</f>
        <v/>
      </c>
      <c r="H50" s="158" t="str">
        <f t="shared" si="17"/>
        <v/>
      </c>
      <c r="I50" s="156"/>
      <c r="J50" s="157"/>
      <c r="K50" s="156"/>
      <c r="L50" s="156"/>
      <c r="M50" s="156"/>
      <c r="N50" s="157">
        <f t="shared" si="3"/>
        <v>0</v>
      </c>
      <c r="O50" s="157">
        <v>0</v>
      </c>
      <c r="P50" s="147">
        <f t="shared" si="22"/>
        <v>208680.78000000009</v>
      </c>
      <c r="Q50" s="147">
        <f t="shared" si="23"/>
        <v>283.25</v>
      </c>
      <c r="R50" s="147">
        <f t="shared" si="24"/>
        <v>52.489999999999995</v>
      </c>
      <c r="S50" s="146">
        <f t="shared" si="25"/>
        <v>90</v>
      </c>
      <c r="T50" s="146">
        <f t="shared" si="26"/>
        <v>86</v>
      </c>
      <c r="U50" s="145">
        <f t="shared" si="18"/>
        <v>0.29306397306397314</v>
      </c>
      <c r="V50" s="145">
        <f t="shared" si="19"/>
        <v>4.4444444444444446E-2</v>
      </c>
      <c r="W50" s="142">
        <v>47</v>
      </c>
      <c r="X50" s="142" t="str">
        <f>+IF((VLOOKUP(A50,List!B:C,2,0)-VLOOKUP(Summary!$P$7,List!B:C,2,0))=0,1,"")</f>
        <v/>
      </c>
      <c r="Y50" s="198">
        <f>+IF((VLOOKUP(A50,List!B:C,2,0)-VLOOKUP(Summary!$P$7,List!B:C,2,0))&gt;=0,1,"")</f>
        <v>1</v>
      </c>
      <c r="Z50" s="198">
        <f>+IF((VLOOKUP(A50,List!B:C,2,0)-VLOOKUP(Summary!$P$7,List!B:C,2,0))&gt;0,1,"")</f>
        <v>1</v>
      </c>
      <c r="AA50" s="141">
        <f t="shared" si="6"/>
        <v>2</v>
      </c>
      <c r="AB50" s="199" t="str">
        <f>+IF(AA50="","",IF(Summary!$J$7="Fixed Price","",IF(M50="",IF(I50="","",1),"")))</f>
        <v/>
      </c>
      <c r="AC50" s="198">
        <f t="shared" si="14"/>
        <v>0</v>
      </c>
    </row>
    <row r="51" spans="1:29" x14ac:dyDescent="0.2">
      <c r="A51" s="155" t="str">
        <f t="shared" si="15"/>
        <v>-</v>
      </c>
      <c r="B51" s="154" t="str">
        <f t="shared" si="20"/>
        <v/>
      </c>
      <c r="C51" s="153" t="str">
        <f t="shared" si="21"/>
        <v/>
      </c>
      <c r="D51" s="152" t="str">
        <f t="shared" si="16"/>
        <v>-</v>
      </c>
      <c r="E51" s="151" t="str">
        <f>+IF($B51="","",Summary!$P$4)</f>
        <v/>
      </c>
      <c r="F51" s="151" t="str">
        <f>+IF($B51="","",Summary!$P$5)</f>
        <v/>
      </c>
      <c r="G51" s="151" t="str">
        <f>+IF($B51="","",Summary!$P$6)</f>
        <v/>
      </c>
      <c r="H51" s="150" t="str">
        <f t="shared" si="17"/>
        <v/>
      </c>
      <c r="I51" s="148"/>
      <c r="J51" s="149"/>
      <c r="K51" s="148"/>
      <c r="L51" s="148"/>
      <c r="M51" s="148"/>
      <c r="N51" s="149">
        <f t="shared" si="3"/>
        <v>0</v>
      </c>
      <c r="O51" s="149">
        <v>0</v>
      </c>
      <c r="P51" s="147">
        <f t="shared" si="22"/>
        <v>208680.78000000009</v>
      </c>
      <c r="Q51" s="147">
        <f t="shared" si="23"/>
        <v>283.25</v>
      </c>
      <c r="R51" s="147">
        <f t="shared" si="24"/>
        <v>52.489999999999995</v>
      </c>
      <c r="S51" s="146">
        <f t="shared" si="25"/>
        <v>90</v>
      </c>
      <c r="T51" s="146">
        <f t="shared" si="26"/>
        <v>86</v>
      </c>
      <c r="U51" s="145">
        <f t="shared" si="18"/>
        <v>0.29306397306397314</v>
      </c>
      <c r="V51" s="145">
        <f t="shared" si="19"/>
        <v>4.4444444444444446E-2</v>
      </c>
      <c r="W51" s="142">
        <v>48</v>
      </c>
      <c r="X51" s="142" t="str">
        <f>+IF((VLOOKUP(A51,List!B:C,2,0)-VLOOKUP(Summary!$P$7,List!B:C,2,0))=0,1,"")</f>
        <v/>
      </c>
      <c r="Y51" s="198">
        <f>+IF((VLOOKUP(A51,List!B:C,2,0)-VLOOKUP(Summary!$P$7,List!B:C,2,0))&gt;=0,1,"")</f>
        <v>1</v>
      </c>
      <c r="Z51" s="198">
        <f>+IF((VLOOKUP(A51,List!B:C,2,0)-VLOOKUP(Summary!$P$7,List!B:C,2,0))&gt;0,1,"")</f>
        <v>1</v>
      </c>
      <c r="AA51" s="141">
        <f t="shared" si="6"/>
        <v>2</v>
      </c>
      <c r="AB51" s="199" t="str">
        <f>+IF(AA51="","",IF(Summary!$J$7="Fixed Price","",IF(M51="",IF(I51="","",1),"")))</f>
        <v/>
      </c>
      <c r="AC51" s="198">
        <f t="shared" si="14"/>
        <v>0</v>
      </c>
    </row>
    <row r="52" spans="1:29" x14ac:dyDescent="0.2">
      <c r="A52" s="155" t="str">
        <f t="shared" si="15"/>
        <v>-</v>
      </c>
      <c r="B52" s="154" t="str">
        <f t="shared" si="20"/>
        <v/>
      </c>
      <c r="C52" s="153" t="str">
        <f t="shared" si="21"/>
        <v/>
      </c>
      <c r="D52" s="152" t="str">
        <f t="shared" si="16"/>
        <v>-</v>
      </c>
      <c r="E52" s="159" t="str">
        <f>+IF($B52="","",Summary!$P$4)</f>
        <v/>
      </c>
      <c r="F52" s="159" t="str">
        <f>+IF($B52="","",Summary!$P$5)</f>
        <v/>
      </c>
      <c r="G52" s="159" t="str">
        <f>+IF($B52="","",Summary!$P$6)</f>
        <v/>
      </c>
      <c r="H52" s="158" t="str">
        <f t="shared" si="17"/>
        <v/>
      </c>
      <c r="I52" s="156"/>
      <c r="J52" s="157"/>
      <c r="K52" s="156"/>
      <c r="L52" s="156"/>
      <c r="M52" s="156"/>
      <c r="N52" s="157">
        <f t="shared" si="3"/>
        <v>0</v>
      </c>
      <c r="O52" s="157">
        <v>0</v>
      </c>
      <c r="P52" s="147">
        <f t="shared" si="22"/>
        <v>208680.78000000009</v>
      </c>
      <c r="Q52" s="147">
        <f t="shared" si="23"/>
        <v>283.25</v>
      </c>
      <c r="R52" s="147">
        <f t="shared" si="24"/>
        <v>52.489999999999995</v>
      </c>
      <c r="S52" s="146">
        <f t="shared" si="25"/>
        <v>90</v>
      </c>
      <c r="T52" s="146">
        <f t="shared" si="26"/>
        <v>86</v>
      </c>
      <c r="U52" s="145">
        <f t="shared" si="18"/>
        <v>0.29306397306397314</v>
      </c>
      <c r="V52" s="145">
        <f t="shared" si="19"/>
        <v>4.4444444444444446E-2</v>
      </c>
      <c r="W52" s="142">
        <v>45</v>
      </c>
      <c r="X52" s="142" t="str">
        <f>+IF((VLOOKUP(A52,List!B:C,2,0)-VLOOKUP(Summary!$P$7,List!B:C,2,0))=0,1,"")</f>
        <v/>
      </c>
      <c r="Y52" s="198">
        <f>+IF((VLOOKUP(A52,List!B:C,2,0)-VLOOKUP(Summary!$P$7,List!B:C,2,0))&gt;=0,1,"")</f>
        <v>1</v>
      </c>
      <c r="Z52" s="198">
        <f>+IF((VLOOKUP(A52,List!B:C,2,0)-VLOOKUP(Summary!$P$7,List!B:C,2,0))&gt;0,1,"")</f>
        <v>1</v>
      </c>
      <c r="AA52" s="141">
        <f t="shared" si="6"/>
        <v>2</v>
      </c>
      <c r="AB52" s="199" t="str">
        <f>+IF(AA52="","",IF(Summary!$J$7="Fixed Price","",IF(M52="",IF(I52="","",1),"")))</f>
        <v/>
      </c>
      <c r="AC52" s="198">
        <f t="shared" si="14"/>
        <v>0</v>
      </c>
    </row>
    <row r="53" spans="1:29" x14ac:dyDescent="0.2">
      <c r="A53" s="155" t="str">
        <f t="shared" si="15"/>
        <v>-</v>
      </c>
      <c r="B53" s="154" t="str">
        <f t="shared" si="20"/>
        <v/>
      </c>
      <c r="C53" s="153" t="str">
        <f t="shared" si="21"/>
        <v/>
      </c>
      <c r="D53" s="152" t="str">
        <f t="shared" si="16"/>
        <v>-</v>
      </c>
      <c r="E53" s="151" t="str">
        <f>+IF($B53="","",Summary!$P$4)</f>
        <v/>
      </c>
      <c r="F53" s="151" t="str">
        <f>+IF($B53="","",Summary!$P$5)</f>
        <v/>
      </c>
      <c r="G53" s="151" t="str">
        <f>+IF($B53="","",Summary!$P$6)</f>
        <v/>
      </c>
      <c r="H53" s="150" t="str">
        <f t="shared" si="17"/>
        <v/>
      </c>
      <c r="I53" s="148"/>
      <c r="J53" s="149"/>
      <c r="K53" s="148"/>
      <c r="L53" s="148"/>
      <c r="M53" s="148"/>
      <c r="N53" s="149">
        <f t="shared" si="3"/>
        <v>0</v>
      </c>
      <c r="O53" s="149">
        <v>0</v>
      </c>
      <c r="P53" s="147">
        <f t="shared" si="22"/>
        <v>208680.78000000009</v>
      </c>
      <c r="Q53" s="147">
        <f t="shared" si="23"/>
        <v>283.25</v>
      </c>
      <c r="R53" s="147">
        <f t="shared" si="24"/>
        <v>52.489999999999995</v>
      </c>
      <c r="S53" s="146">
        <f t="shared" si="25"/>
        <v>90</v>
      </c>
      <c r="T53" s="146">
        <f t="shared" si="26"/>
        <v>86</v>
      </c>
      <c r="U53" s="145">
        <f t="shared" si="18"/>
        <v>0.29306397306397314</v>
      </c>
      <c r="V53" s="145">
        <f t="shared" si="19"/>
        <v>4.4444444444444446E-2</v>
      </c>
      <c r="W53" s="142">
        <v>46</v>
      </c>
      <c r="X53" s="142" t="str">
        <f>+IF((VLOOKUP(A53,List!B:C,2,0)-VLOOKUP(Summary!$P$7,List!B:C,2,0))=0,1,"")</f>
        <v/>
      </c>
      <c r="Y53" s="198">
        <f>+IF((VLOOKUP(A53,List!B:C,2,0)-VLOOKUP(Summary!$P$7,List!B:C,2,0))&gt;=0,1,"")</f>
        <v>1</v>
      </c>
      <c r="Z53" s="198">
        <f>+IF((VLOOKUP(A53,List!B:C,2,0)-VLOOKUP(Summary!$P$7,List!B:C,2,0))&gt;0,1,"")</f>
        <v>1</v>
      </c>
      <c r="AA53" s="141">
        <f t="shared" si="6"/>
        <v>2</v>
      </c>
      <c r="AB53" s="199" t="str">
        <f>+IF(AA53="","",IF(Summary!$J$7="Fixed Price","",IF(M53="",IF(I53="","",1),"")))</f>
        <v/>
      </c>
      <c r="AC53" s="198">
        <f t="shared" si="14"/>
        <v>0</v>
      </c>
    </row>
    <row r="54" spans="1:29" x14ac:dyDescent="0.2">
      <c r="A54" s="155" t="str">
        <f t="shared" si="15"/>
        <v>-</v>
      </c>
      <c r="B54" s="154" t="str">
        <f t="shared" si="20"/>
        <v/>
      </c>
      <c r="C54" s="153" t="str">
        <f t="shared" si="21"/>
        <v/>
      </c>
      <c r="D54" s="152" t="str">
        <f t="shared" si="16"/>
        <v>-</v>
      </c>
      <c r="E54" s="159" t="str">
        <f>+IF($B54="","",Summary!$P$4)</f>
        <v/>
      </c>
      <c r="F54" s="159" t="str">
        <f>+IF($B54="","",Summary!$P$5)</f>
        <v/>
      </c>
      <c r="G54" s="159" t="str">
        <f>+IF($B54="","",Summary!$P$6)</f>
        <v/>
      </c>
      <c r="H54" s="158" t="str">
        <f t="shared" si="17"/>
        <v/>
      </c>
      <c r="I54" s="156"/>
      <c r="J54" s="157"/>
      <c r="K54" s="156"/>
      <c r="L54" s="156"/>
      <c r="M54" s="156"/>
      <c r="N54" s="157">
        <f t="shared" si="3"/>
        <v>0</v>
      </c>
      <c r="O54" s="157">
        <v>0</v>
      </c>
      <c r="P54" s="147">
        <f t="shared" si="22"/>
        <v>208680.78000000009</v>
      </c>
      <c r="Q54" s="147">
        <f t="shared" si="23"/>
        <v>283.25</v>
      </c>
      <c r="R54" s="147">
        <f t="shared" si="24"/>
        <v>52.489999999999995</v>
      </c>
      <c r="S54" s="146">
        <f t="shared" si="25"/>
        <v>90</v>
      </c>
      <c r="T54" s="146">
        <f t="shared" si="26"/>
        <v>86</v>
      </c>
      <c r="U54" s="145">
        <f t="shared" si="18"/>
        <v>0.29306397306397314</v>
      </c>
      <c r="V54" s="145">
        <f t="shared" si="19"/>
        <v>4.4444444444444446E-2</v>
      </c>
      <c r="W54" s="142">
        <v>47</v>
      </c>
      <c r="X54" s="142" t="str">
        <f>+IF((VLOOKUP(A54,List!B:C,2,0)-VLOOKUP(Summary!$P$7,List!B:C,2,0))=0,1,"")</f>
        <v/>
      </c>
      <c r="Y54" s="198">
        <f>+IF((VLOOKUP(A54,List!B:C,2,0)-VLOOKUP(Summary!$P$7,List!B:C,2,0))&gt;=0,1,"")</f>
        <v>1</v>
      </c>
      <c r="Z54" s="198">
        <f>+IF((VLOOKUP(A54,List!B:C,2,0)-VLOOKUP(Summary!$P$7,List!B:C,2,0))&gt;0,1,"")</f>
        <v>1</v>
      </c>
      <c r="AA54" s="141">
        <f t="shared" si="6"/>
        <v>2</v>
      </c>
      <c r="AB54" s="199" t="str">
        <f>+IF(AA54="","",IF(Summary!$J$7="Fixed Price","",IF(M54="",IF(I54="","",1),"")))</f>
        <v/>
      </c>
      <c r="AC54" s="198">
        <f t="shared" si="14"/>
        <v>0</v>
      </c>
    </row>
    <row r="55" spans="1:29" x14ac:dyDescent="0.2">
      <c r="A55" s="155" t="str">
        <f t="shared" si="15"/>
        <v>-</v>
      </c>
      <c r="B55" s="154" t="str">
        <f t="shared" si="20"/>
        <v/>
      </c>
      <c r="C55" s="153" t="str">
        <f t="shared" si="21"/>
        <v/>
      </c>
      <c r="D55" s="152" t="str">
        <f t="shared" si="16"/>
        <v>-</v>
      </c>
      <c r="E55" s="151" t="str">
        <f>+IF($B55="","",Summary!$P$4)</f>
        <v/>
      </c>
      <c r="F55" s="151" t="str">
        <f>+IF($B55="","",Summary!$P$5)</f>
        <v/>
      </c>
      <c r="G55" s="151" t="str">
        <f>+IF($B55="","",Summary!$P$6)</f>
        <v/>
      </c>
      <c r="H55" s="150" t="str">
        <f t="shared" si="17"/>
        <v/>
      </c>
      <c r="I55" s="148"/>
      <c r="J55" s="149"/>
      <c r="K55" s="148"/>
      <c r="L55" s="148"/>
      <c r="M55" s="148"/>
      <c r="N55" s="149">
        <f t="shared" si="3"/>
        <v>0</v>
      </c>
      <c r="O55" s="149">
        <v>0</v>
      </c>
      <c r="P55" s="147">
        <f t="shared" si="22"/>
        <v>208680.78000000009</v>
      </c>
      <c r="Q55" s="147">
        <f t="shared" si="23"/>
        <v>283.25</v>
      </c>
      <c r="R55" s="147">
        <f t="shared" si="24"/>
        <v>52.489999999999995</v>
      </c>
      <c r="S55" s="146">
        <f t="shared" si="25"/>
        <v>90</v>
      </c>
      <c r="T55" s="146">
        <f t="shared" si="26"/>
        <v>86</v>
      </c>
      <c r="U55" s="145">
        <f t="shared" si="18"/>
        <v>0.29306397306397314</v>
      </c>
      <c r="V55" s="145">
        <f t="shared" si="19"/>
        <v>4.4444444444444446E-2</v>
      </c>
      <c r="W55" s="142">
        <v>48</v>
      </c>
      <c r="X55" s="142" t="str">
        <f>+IF((VLOOKUP(A55,List!B:C,2,0)-VLOOKUP(Summary!$P$7,List!B:C,2,0))=0,1,"")</f>
        <v/>
      </c>
      <c r="Y55" s="198">
        <f>+IF((VLOOKUP(A55,List!B:C,2,0)-VLOOKUP(Summary!$P$7,List!B:C,2,0))&gt;=0,1,"")</f>
        <v>1</v>
      </c>
      <c r="Z55" s="198">
        <f>+IF((VLOOKUP(A55,List!B:C,2,0)-VLOOKUP(Summary!$P$7,List!B:C,2,0))&gt;0,1,"")</f>
        <v>1</v>
      </c>
      <c r="AA55" s="141">
        <f t="shared" si="6"/>
        <v>2</v>
      </c>
      <c r="AB55" s="199" t="str">
        <f>+IF(AA55="","",IF(Summary!$J$7="Fixed Price","",IF(M55="",IF(I55="","",1),"")))</f>
        <v/>
      </c>
      <c r="AC55" s="198">
        <f t="shared" si="14"/>
        <v>0</v>
      </c>
    </row>
    <row r="56" spans="1:29" x14ac:dyDescent="0.2">
      <c r="A56" s="155" t="str">
        <f t="shared" si="15"/>
        <v>-</v>
      </c>
      <c r="B56" s="154" t="str">
        <f t="shared" si="20"/>
        <v/>
      </c>
      <c r="C56" s="153" t="str">
        <f t="shared" si="21"/>
        <v/>
      </c>
      <c r="D56" s="152" t="str">
        <f t="shared" si="16"/>
        <v>-</v>
      </c>
      <c r="E56" s="159" t="str">
        <f>+IF($B56="","",Summary!$P$4)</f>
        <v/>
      </c>
      <c r="F56" s="159" t="str">
        <f>+IF($B56="","",Summary!$P$5)</f>
        <v/>
      </c>
      <c r="G56" s="159" t="str">
        <f>+IF($B56="","",Summary!$P$6)</f>
        <v/>
      </c>
      <c r="H56" s="158" t="str">
        <f t="shared" si="17"/>
        <v/>
      </c>
      <c r="I56" s="156"/>
      <c r="J56" s="157"/>
      <c r="K56" s="156"/>
      <c r="L56" s="156"/>
      <c r="M56" s="156"/>
      <c r="N56" s="157">
        <f t="shared" si="3"/>
        <v>0</v>
      </c>
      <c r="O56" s="157">
        <v>0</v>
      </c>
      <c r="P56" s="147">
        <f t="shared" si="22"/>
        <v>208680.78000000009</v>
      </c>
      <c r="Q56" s="147">
        <f t="shared" si="23"/>
        <v>283.25</v>
      </c>
      <c r="R56" s="147">
        <f t="shared" si="24"/>
        <v>52.489999999999995</v>
      </c>
      <c r="S56" s="146">
        <f t="shared" si="25"/>
        <v>90</v>
      </c>
      <c r="T56" s="146">
        <f t="shared" si="26"/>
        <v>86</v>
      </c>
      <c r="U56" s="145">
        <f t="shared" si="18"/>
        <v>0.29306397306397314</v>
      </c>
      <c r="V56" s="145">
        <f t="shared" si="19"/>
        <v>4.4444444444444446E-2</v>
      </c>
      <c r="W56" s="142">
        <v>45</v>
      </c>
      <c r="X56" s="142" t="str">
        <f>+IF((VLOOKUP(A56,List!B:C,2,0)-VLOOKUP(Summary!$P$7,List!B:C,2,0))=0,1,"")</f>
        <v/>
      </c>
      <c r="Y56" s="198">
        <f>+IF((VLOOKUP(A56,List!B:C,2,0)-VLOOKUP(Summary!$P$7,List!B:C,2,0))&gt;=0,1,"")</f>
        <v>1</v>
      </c>
      <c r="Z56" s="198">
        <f>+IF((VLOOKUP(A56,List!B:C,2,0)-VLOOKUP(Summary!$P$7,List!B:C,2,0))&gt;0,1,"")</f>
        <v>1</v>
      </c>
      <c r="AA56" s="141">
        <f t="shared" si="6"/>
        <v>2</v>
      </c>
      <c r="AB56" s="199" t="str">
        <f>+IF(AA56="","",IF(Summary!$J$7="Fixed Price","",IF(M56="",IF(I56="","",1),"")))</f>
        <v/>
      </c>
      <c r="AC56" s="198">
        <f t="shared" si="14"/>
        <v>0</v>
      </c>
    </row>
    <row r="57" spans="1:29" x14ac:dyDescent="0.2">
      <c r="A57" s="155" t="str">
        <f t="shared" si="15"/>
        <v>-</v>
      </c>
      <c r="B57" s="154" t="str">
        <f t="shared" si="20"/>
        <v/>
      </c>
      <c r="C57" s="153" t="str">
        <f t="shared" si="21"/>
        <v/>
      </c>
      <c r="D57" s="152" t="str">
        <f t="shared" si="16"/>
        <v>-</v>
      </c>
      <c r="E57" s="151" t="str">
        <f>+IF($B57="","",Summary!$P$4)</f>
        <v/>
      </c>
      <c r="F57" s="151" t="str">
        <f>+IF($B57="","",Summary!$P$5)</f>
        <v/>
      </c>
      <c r="G57" s="151" t="str">
        <f>+IF($B57="","",Summary!$P$6)</f>
        <v/>
      </c>
      <c r="H57" s="150" t="str">
        <f t="shared" si="17"/>
        <v/>
      </c>
      <c r="I57" s="148"/>
      <c r="J57" s="149"/>
      <c r="K57" s="148"/>
      <c r="L57" s="148"/>
      <c r="M57" s="148"/>
      <c r="N57" s="149">
        <f t="shared" si="3"/>
        <v>0</v>
      </c>
      <c r="O57" s="149">
        <v>0</v>
      </c>
      <c r="P57" s="147">
        <f t="shared" si="22"/>
        <v>208680.78000000009</v>
      </c>
      <c r="Q57" s="147">
        <f t="shared" si="23"/>
        <v>283.25</v>
      </c>
      <c r="R57" s="147">
        <f t="shared" si="24"/>
        <v>52.489999999999995</v>
      </c>
      <c r="S57" s="146">
        <f t="shared" si="25"/>
        <v>90</v>
      </c>
      <c r="T57" s="146">
        <f t="shared" si="26"/>
        <v>86</v>
      </c>
      <c r="U57" s="145">
        <f t="shared" si="18"/>
        <v>0.29306397306397314</v>
      </c>
      <c r="V57" s="145">
        <f t="shared" si="19"/>
        <v>4.4444444444444446E-2</v>
      </c>
      <c r="W57" s="142">
        <v>46</v>
      </c>
      <c r="X57" s="142" t="str">
        <f>+IF((VLOOKUP(A57,List!B:C,2,0)-VLOOKUP(Summary!$P$7,List!B:C,2,0))=0,1,"")</f>
        <v/>
      </c>
      <c r="Y57" s="198">
        <f>+IF((VLOOKUP(A57,List!B:C,2,0)-VLOOKUP(Summary!$P$7,List!B:C,2,0))&gt;=0,1,"")</f>
        <v>1</v>
      </c>
      <c r="Z57" s="198">
        <f>+IF((VLOOKUP(A57,List!B:C,2,0)-VLOOKUP(Summary!$P$7,List!B:C,2,0))&gt;0,1,"")</f>
        <v>1</v>
      </c>
      <c r="AA57" s="141">
        <f t="shared" si="6"/>
        <v>2</v>
      </c>
      <c r="AB57" s="199" t="str">
        <f>+IF(AA57="","",IF(Summary!$J$7="Fixed Price","",IF(M57="",IF(I57="","",1),"")))</f>
        <v/>
      </c>
      <c r="AC57" s="198">
        <f t="shared" si="14"/>
        <v>0</v>
      </c>
    </row>
    <row r="58" spans="1:29" x14ac:dyDescent="0.2">
      <c r="A58" s="155" t="str">
        <f t="shared" si="15"/>
        <v>-</v>
      </c>
      <c r="B58" s="154" t="str">
        <f t="shared" si="20"/>
        <v/>
      </c>
      <c r="C58" s="153" t="str">
        <f t="shared" si="21"/>
        <v/>
      </c>
      <c r="D58" s="152" t="str">
        <f t="shared" si="16"/>
        <v>-</v>
      </c>
      <c r="E58" s="159" t="str">
        <f>+IF($B58="","",Summary!$P$4)</f>
        <v/>
      </c>
      <c r="F58" s="159" t="str">
        <f>+IF($B58="","",Summary!$P$5)</f>
        <v/>
      </c>
      <c r="G58" s="159" t="str">
        <f>+IF($B58="","",Summary!$P$6)</f>
        <v/>
      </c>
      <c r="H58" s="158" t="str">
        <f t="shared" si="17"/>
        <v/>
      </c>
      <c r="I58" s="156"/>
      <c r="J58" s="157"/>
      <c r="K58" s="156"/>
      <c r="L58" s="156"/>
      <c r="M58" s="156"/>
      <c r="N58" s="157">
        <f t="shared" si="3"/>
        <v>0</v>
      </c>
      <c r="O58" s="157">
        <v>0</v>
      </c>
      <c r="P58" s="147">
        <f t="shared" si="22"/>
        <v>208680.78000000009</v>
      </c>
      <c r="Q58" s="147">
        <f t="shared" si="23"/>
        <v>283.25</v>
      </c>
      <c r="R58" s="147">
        <f t="shared" si="24"/>
        <v>52.489999999999995</v>
      </c>
      <c r="S58" s="146">
        <f t="shared" si="25"/>
        <v>90</v>
      </c>
      <c r="T58" s="146">
        <f t="shared" si="26"/>
        <v>86</v>
      </c>
      <c r="U58" s="145">
        <f t="shared" si="18"/>
        <v>0.29306397306397314</v>
      </c>
      <c r="V58" s="145">
        <f t="shared" si="19"/>
        <v>4.4444444444444446E-2</v>
      </c>
      <c r="W58" s="142">
        <v>47</v>
      </c>
      <c r="X58" s="142" t="str">
        <f>+IF((VLOOKUP(A58,List!B:C,2,0)-VLOOKUP(Summary!$P$7,List!B:C,2,0))=0,1,"")</f>
        <v/>
      </c>
      <c r="Y58" s="198">
        <f>+IF((VLOOKUP(A58,List!B:C,2,0)-VLOOKUP(Summary!$P$7,List!B:C,2,0))&gt;=0,1,"")</f>
        <v>1</v>
      </c>
      <c r="Z58" s="198">
        <f>+IF((VLOOKUP(A58,List!B:C,2,0)-VLOOKUP(Summary!$P$7,List!B:C,2,0))&gt;0,1,"")</f>
        <v>1</v>
      </c>
      <c r="AA58" s="141">
        <f t="shared" si="6"/>
        <v>2</v>
      </c>
      <c r="AB58" s="199" t="str">
        <f>+IF(AA58="","",IF(Summary!$J$7="Fixed Price","",IF(M58="",IF(I58="","",1),"")))</f>
        <v/>
      </c>
      <c r="AC58" s="198">
        <f t="shared" si="14"/>
        <v>0</v>
      </c>
    </row>
    <row r="59" spans="1:29" x14ac:dyDescent="0.2">
      <c r="A59" s="155" t="str">
        <f t="shared" si="15"/>
        <v>-</v>
      </c>
      <c r="B59" s="154" t="str">
        <f t="shared" si="20"/>
        <v/>
      </c>
      <c r="C59" s="153" t="str">
        <f t="shared" si="21"/>
        <v/>
      </c>
      <c r="D59" s="152" t="str">
        <f t="shared" si="16"/>
        <v>-</v>
      </c>
      <c r="E59" s="151" t="str">
        <f>+IF($B59="","",Summary!$P$4)</f>
        <v/>
      </c>
      <c r="F59" s="151" t="str">
        <f>+IF($B59="","",Summary!$P$5)</f>
        <v/>
      </c>
      <c r="G59" s="151" t="str">
        <f>+IF($B59="","",Summary!$P$6)</f>
        <v/>
      </c>
      <c r="H59" s="150" t="str">
        <f t="shared" si="17"/>
        <v/>
      </c>
      <c r="I59" s="148"/>
      <c r="J59" s="149"/>
      <c r="K59" s="148"/>
      <c r="L59" s="148"/>
      <c r="M59" s="148"/>
      <c r="N59" s="149">
        <f t="shared" si="3"/>
        <v>0</v>
      </c>
      <c r="O59" s="149">
        <v>0</v>
      </c>
      <c r="P59" s="147">
        <f t="shared" si="22"/>
        <v>208680.78000000009</v>
      </c>
      <c r="Q59" s="147">
        <f t="shared" si="23"/>
        <v>283.25</v>
      </c>
      <c r="R59" s="147">
        <f t="shared" si="24"/>
        <v>52.489999999999995</v>
      </c>
      <c r="S59" s="146">
        <f t="shared" si="25"/>
        <v>90</v>
      </c>
      <c r="T59" s="146">
        <f t="shared" si="26"/>
        <v>86</v>
      </c>
      <c r="U59" s="145">
        <f t="shared" si="18"/>
        <v>0.29306397306397314</v>
      </c>
      <c r="V59" s="145">
        <f t="shared" si="19"/>
        <v>4.4444444444444446E-2</v>
      </c>
      <c r="W59" s="142">
        <v>48</v>
      </c>
      <c r="X59" s="142" t="str">
        <f>+IF((VLOOKUP(A59,List!B:C,2,0)-VLOOKUP(Summary!$P$7,List!B:C,2,0))=0,1,"")</f>
        <v/>
      </c>
      <c r="Y59" s="198">
        <f>+IF((VLOOKUP(A59,List!B:C,2,0)-VLOOKUP(Summary!$P$7,List!B:C,2,0))&gt;=0,1,"")</f>
        <v>1</v>
      </c>
      <c r="Z59" s="198">
        <f>+IF((VLOOKUP(A59,List!B:C,2,0)-VLOOKUP(Summary!$P$7,List!B:C,2,0))&gt;0,1,"")</f>
        <v>1</v>
      </c>
      <c r="AA59" s="141">
        <f t="shared" si="6"/>
        <v>2</v>
      </c>
      <c r="AB59" s="199" t="str">
        <f>+IF(AA59="","",IF(Summary!$J$7="Fixed Price","",IF(M59="",IF(I59="","",1),"")))</f>
        <v/>
      </c>
      <c r="AC59" s="198">
        <f t="shared" si="14"/>
        <v>0</v>
      </c>
    </row>
    <row r="60" spans="1:29" x14ac:dyDescent="0.2">
      <c r="A60" s="155" t="str">
        <f t="shared" si="15"/>
        <v>-</v>
      </c>
      <c r="B60" s="154" t="str">
        <f t="shared" si="20"/>
        <v/>
      </c>
      <c r="C60" s="153" t="str">
        <f t="shared" si="21"/>
        <v/>
      </c>
      <c r="D60" s="152" t="str">
        <f t="shared" si="16"/>
        <v>-</v>
      </c>
      <c r="E60" s="159" t="str">
        <f>+IF($B60="","",Summary!$P$4)</f>
        <v/>
      </c>
      <c r="F60" s="159" t="str">
        <f>+IF($B60="","",Summary!$P$5)</f>
        <v/>
      </c>
      <c r="G60" s="159" t="str">
        <f>+IF($B60="","",Summary!$P$6)</f>
        <v/>
      </c>
      <c r="H60" s="158" t="str">
        <f t="shared" si="17"/>
        <v/>
      </c>
      <c r="I60" s="156"/>
      <c r="J60" s="157"/>
      <c r="K60" s="156"/>
      <c r="L60" s="156"/>
      <c r="M60" s="156"/>
      <c r="N60" s="157">
        <f t="shared" si="3"/>
        <v>0</v>
      </c>
      <c r="O60" s="157">
        <v>0</v>
      </c>
      <c r="P60" s="147">
        <f t="shared" si="22"/>
        <v>208680.78000000009</v>
      </c>
      <c r="Q60" s="147">
        <f t="shared" si="23"/>
        <v>283.25</v>
      </c>
      <c r="R60" s="147">
        <f t="shared" si="24"/>
        <v>52.489999999999995</v>
      </c>
      <c r="S60" s="146">
        <f t="shared" si="25"/>
        <v>90</v>
      </c>
      <c r="T60" s="146">
        <f t="shared" si="26"/>
        <v>86</v>
      </c>
      <c r="U60" s="145">
        <f t="shared" si="18"/>
        <v>0.29306397306397314</v>
      </c>
      <c r="V60" s="145">
        <f t="shared" si="19"/>
        <v>4.4444444444444446E-2</v>
      </c>
      <c r="W60" s="142">
        <v>45</v>
      </c>
      <c r="X60" s="142" t="str">
        <f>+IF((VLOOKUP(A60,List!B:C,2,0)-VLOOKUP(Summary!$P$7,List!B:C,2,0))=0,1,"")</f>
        <v/>
      </c>
      <c r="Y60" s="198">
        <f>+IF((VLOOKUP(A60,List!B:C,2,0)-VLOOKUP(Summary!$P$7,List!B:C,2,0))&gt;=0,1,"")</f>
        <v>1</v>
      </c>
      <c r="Z60" s="198">
        <f>+IF((VLOOKUP(A60,List!B:C,2,0)-VLOOKUP(Summary!$P$7,List!B:C,2,0))&gt;0,1,"")</f>
        <v>1</v>
      </c>
      <c r="AA60" s="141">
        <f t="shared" si="6"/>
        <v>2</v>
      </c>
      <c r="AB60" s="199" t="str">
        <f>+IF(AA60="","",IF(Summary!$J$7="Fixed Price","",IF(M60="",IF(I60="","",1),"")))</f>
        <v/>
      </c>
      <c r="AC60" s="198">
        <f t="shared" si="14"/>
        <v>0</v>
      </c>
    </row>
    <row r="61" spans="1:29" x14ac:dyDescent="0.2">
      <c r="A61" s="155" t="str">
        <f t="shared" si="15"/>
        <v>-</v>
      </c>
      <c r="B61" s="154" t="str">
        <f t="shared" si="20"/>
        <v/>
      </c>
      <c r="C61" s="153" t="str">
        <f t="shared" si="21"/>
        <v/>
      </c>
      <c r="D61" s="152" t="str">
        <f t="shared" si="16"/>
        <v>-</v>
      </c>
      <c r="E61" s="151" t="str">
        <f>+IF($B61="","",Summary!$P$4)</f>
        <v/>
      </c>
      <c r="F61" s="151" t="str">
        <f>+IF($B61="","",Summary!$P$5)</f>
        <v/>
      </c>
      <c r="G61" s="151" t="str">
        <f>+IF($B61="","",Summary!$P$6)</f>
        <v/>
      </c>
      <c r="H61" s="150" t="str">
        <f t="shared" si="17"/>
        <v/>
      </c>
      <c r="I61" s="148"/>
      <c r="J61" s="149"/>
      <c r="K61" s="148"/>
      <c r="L61" s="148"/>
      <c r="M61" s="148"/>
      <c r="N61" s="149">
        <f t="shared" si="3"/>
        <v>0</v>
      </c>
      <c r="O61" s="149">
        <v>0</v>
      </c>
      <c r="P61" s="147">
        <f t="shared" si="22"/>
        <v>208680.78000000009</v>
      </c>
      <c r="Q61" s="147">
        <f t="shared" si="23"/>
        <v>283.25</v>
      </c>
      <c r="R61" s="147">
        <f t="shared" si="24"/>
        <v>52.489999999999995</v>
      </c>
      <c r="S61" s="146">
        <f t="shared" si="25"/>
        <v>90</v>
      </c>
      <c r="T61" s="146">
        <f t="shared" si="26"/>
        <v>86</v>
      </c>
      <c r="U61" s="145">
        <f t="shared" si="18"/>
        <v>0.29306397306397314</v>
      </c>
      <c r="V61" s="145">
        <f t="shared" si="19"/>
        <v>4.4444444444444446E-2</v>
      </c>
      <c r="W61" s="142">
        <v>46</v>
      </c>
      <c r="X61" s="142" t="str">
        <f>+IF((VLOOKUP(A61,List!B:C,2,0)-VLOOKUP(Summary!$P$7,List!B:C,2,0))=0,1,"")</f>
        <v/>
      </c>
      <c r="Y61" s="198">
        <f>+IF((VLOOKUP(A61,List!B:C,2,0)-VLOOKUP(Summary!$P$7,List!B:C,2,0))&gt;=0,1,"")</f>
        <v>1</v>
      </c>
      <c r="Z61" s="198">
        <f>+IF((VLOOKUP(A61,List!B:C,2,0)-VLOOKUP(Summary!$P$7,List!B:C,2,0))&gt;0,1,"")</f>
        <v>1</v>
      </c>
      <c r="AA61" s="141">
        <f t="shared" si="6"/>
        <v>2</v>
      </c>
      <c r="AB61" s="199" t="str">
        <f>+IF(AA61="","",IF(Summary!$J$7="Fixed Price","",IF(M61="",IF(I61="","",1),"")))</f>
        <v/>
      </c>
      <c r="AC61" s="198">
        <f t="shared" si="14"/>
        <v>0</v>
      </c>
    </row>
    <row r="62" spans="1:29" x14ac:dyDescent="0.2">
      <c r="A62" s="155" t="str">
        <f t="shared" si="15"/>
        <v>-</v>
      </c>
      <c r="B62" s="154" t="str">
        <f t="shared" si="20"/>
        <v/>
      </c>
      <c r="C62" s="153" t="str">
        <f t="shared" si="21"/>
        <v/>
      </c>
      <c r="D62" s="152" t="str">
        <f t="shared" si="16"/>
        <v>-</v>
      </c>
      <c r="E62" s="159" t="str">
        <f>+IF($B62="","",Summary!$P$4)</f>
        <v/>
      </c>
      <c r="F62" s="159" t="str">
        <f>+IF($B62="","",Summary!$P$5)</f>
        <v/>
      </c>
      <c r="G62" s="159" t="str">
        <f>+IF($B62="","",Summary!$P$6)</f>
        <v/>
      </c>
      <c r="H62" s="158" t="str">
        <f t="shared" si="17"/>
        <v/>
      </c>
      <c r="I62" s="156"/>
      <c r="J62" s="157"/>
      <c r="K62" s="156"/>
      <c r="L62" s="156"/>
      <c r="M62" s="156"/>
      <c r="N62" s="157">
        <f t="shared" si="3"/>
        <v>0</v>
      </c>
      <c r="O62" s="157">
        <v>0</v>
      </c>
      <c r="P62" s="147">
        <f t="shared" si="22"/>
        <v>208680.78000000009</v>
      </c>
      <c r="Q62" s="147">
        <f t="shared" si="23"/>
        <v>283.25</v>
      </c>
      <c r="R62" s="147">
        <f t="shared" si="24"/>
        <v>52.489999999999995</v>
      </c>
      <c r="S62" s="146">
        <f t="shared" si="25"/>
        <v>90</v>
      </c>
      <c r="T62" s="146">
        <f t="shared" si="26"/>
        <v>86</v>
      </c>
      <c r="U62" s="145">
        <f t="shared" si="18"/>
        <v>0.29306397306397314</v>
      </c>
      <c r="V62" s="145">
        <f t="shared" si="19"/>
        <v>4.4444444444444446E-2</v>
      </c>
      <c r="W62" s="142">
        <v>47</v>
      </c>
      <c r="X62" s="142" t="str">
        <f>+IF((VLOOKUP(A62,List!B:C,2,0)-VLOOKUP(Summary!$P$7,List!B:C,2,0))=0,1,"")</f>
        <v/>
      </c>
      <c r="Y62" s="198">
        <f>+IF((VLOOKUP(A62,List!B:C,2,0)-VLOOKUP(Summary!$P$7,List!B:C,2,0))&gt;=0,1,"")</f>
        <v>1</v>
      </c>
      <c r="Z62" s="198">
        <f>+IF((VLOOKUP(A62,List!B:C,2,0)-VLOOKUP(Summary!$P$7,List!B:C,2,0))&gt;0,1,"")</f>
        <v>1</v>
      </c>
      <c r="AA62" s="141">
        <f t="shared" si="6"/>
        <v>2</v>
      </c>
      <c r="AB62" s="199" t="str">
        <f>+IF(AA62="","",IF(Summary!$J$7="Fixed Price","",IF(M62="",IF(I62="","",1),"")))</f>
        <v/>
      </c>
      <c r="AC62" s="198">
        <f t="shared" si="14"/>
        <v>0</v>
      </c>
    </row>
    <row r="63" spans="1:29" x14ac:dyDescent="0.2">
      <c r="A63" s="155" t="str">
        <f t="shared" si="15"/>
        <v>-</v>
      </c>
      <c r="B63" s="154" t="str">
        <f t="shared" si="20"/>
        <v/>
      </c>
      <c r="C63" s="153" t="str">
        <f t="shared" si="21"/>
        <v/>
      </c>
      <c r="D63" s="152" t="str">
        <f t="shared" si="16"/>
        <v>-</v>
      </c>
      <c r="E63" s="151" t="str">
        <f>+IF($B63="","",Summary!$P$4)</f>
        <v/>
      </c>
      <c r="F63" s="151" t="str">
        <f>+IF($B63="","",Summary!$P$5)</f>
        <v/>
      </c>
      <c r="G63" s="151" t="str">
        <f>+IF($B63="","",Summary!$P$6)</f>
        <v/>
      </c>
      <c r="H63" s="150" t="str">
        <f t="shared" si="17"/>
        <v/>
      </c>
      <c r="I63" s="148"/>
      <c r="J63" s="149"/>
      <c r="K63" s="148"/>
      <c r="L63" s="148"/>
      <c r="M63" s="148"/>
      <c r="N63" s="149">
        <f t="shared" si="3"/>
        <v>0</v>
      </c>
      <c r="O63" s="149">
        <v>0</v>
      </c>
      <c r="P63" s="147">
        <f t="shared" si="22"/>
        <v>208680.78000000009</v>
      </c>
      <c r="Q63" s="147">
        <f t="shared" si="23"/>
        <v>283.25</v>
      </c>
      <c r="R63" s="147">
        <f t="shared" si="24"/>
        <v>52.489999999999995</v>
      </c>
      <c r="S63" s="146">
        <f t="shared" si="25"/>
        <v>90</v>
      </c>
      <c r="T63" s="146">
        <f t="shared" si="26"/>
        <v>86</v>
      </c>
      <c r="U63" s="145">
        <f t="shared" si="18"/>
        <v>0.29306397306397314</v>
      </c>
      <c r="V63" s="145">
        <f t="shared" si="19"/>
        <v>4.4444444444444446E-2</v>
      </c>
      <c r="W63" s="142">
        <v>48</v>
      </c>
      <c r="X63" s="142" t="str">
        <f>+IF((VLOOKUP(A63,List!B:C,2,0)-VLOOKUP(Summary!$P$7,List!B:C,2,0))=0,1,"")</f>
        <v/>
      </c>
      <c r="Y63" s="198">
        <f>+IF((VLOOKUP(A63,List!B:C,2,0)-VLOOKUP(Summary!$P$7,List!B:C,2,0))&gt;=0,1,"")</f>
        <v>1</v>
      </c>
      <c r="Z63" s="198">
        <f>+IF((VLOOKUP(A63,List!B:C,2,0)-VLOOKUP(Summary!$P$7,List!B:C,2,0))&gt;0,1,"")</f>
        <v>1</v>
      </c>
      <c r="AA63" s="141">
        <f t="shared" si="6"/>
        <v>2</v>
      </c>
      <c r="AB63" s="199" t="str">
        <f>+IF(AA63="","",IF(Summary!$J$7="Fixed Price","",IF(M63="",IF(I63="","",1),"")))</f>
        <v/>
      </c>
      <c r="AC63" s="198">
        <f t="shared" si="14"/>
        <v>0</v>
      </c>
    </row>
  </sheetData>
  <sheetProtection formatColumns="0" formatRows="0" sort="0" autoFilter="0"/>
  <conditionalFormatting sqref="H4:H63">
    <cfRule type="containsText" dxfId="48" priority="4" operator="containsText" text="Green">
      <formula>NOT(ISERROR(SEARCH("Green",H4)))</formula>
    </cfRule>
    <cfRule type="containsText" dxfId="47" priority="5" operator="containsText" text="Amber">
      <formula>NOT(ISERROR(SEARCH("Amber",H4)))</formula>
    </cfRule>
    <cfRule type="containsText" dxfId="46" priority="6" operator="containsText" text="Red">
      <formula>NOT(ISERROR(SEARCH("Red",H4)))</formula>
    </cfRule>
  </conditionalFormatting>
  <conditionalFormatting sqref="I2:O2">
    <cfRule type="cellIs" dxfId="45" priority="1" operator="equal">
      <formula>"Select Report Month"</formula>
    </cfRule>
  </conditionalFormatting>
  <dataValidations count="1">
    <dataValidation type="list" allowBlank="1" showInputMessage="1" showErrorMessage="1" sqref="H4:H63" xr:uid="{00000000-0002-0000-1300-000000000000}">
      <formula1>"Red,Amber,Green"</formula1>
    </dataValidation>
  </dataValidations>
  <pageMargins left="0.7" right="0.7" top="0.75" bottom="0.75" header="0.3" footer="0.3"/>
  <pageSetup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A8C26F-7615-4307-9FAD-DA0BEA318C38}">
  <dimension ref="A1:AE63"/>
  <sheetViews>
    <sheetView showGridLines="0" topLeftCell="F1" zoomScale="70" zoomScaleNormal="70" workbookViewId="0">
      <selection activeCell="L18" sqref="L18"/>
    </sheetView>
  </sheetViews>
  <sheetFormatPr defaultColWidth="9.28515625" defaultRowHeight="12.75" x14ac:dyDescent="0.2"/>
  <cols>
    <col min="1" max="1" width="10.42578125" style="139" customWidth="1"/>
    <col min="2" max="3" width="7.7109375" style="139" customWidth="1"/>
    <col min="4" max="4" width="11.28515625" style="139" hidden="1" customWidth="1"/>
    <col min="5" max="7" width="14.28515625" style="139" customWidth="1"/>
    <col min="8" max="8" width="12.28515625" style="139" customWidth="1"/>
    <col min="9" max="13" width="11.5703125" style="143" customWidth="1"/>
    <col min="14" max="18" width="13.5703125" style="139" customWidth="1"/>
    <col min="19" max="19" width="9.42578125" style="142" customWidth="1"/>
    <col min="20" max="20" width="9.42578125" style="142" bestFit="1" customWidth="1"/>
    <col min="21" max="21" width="11.7109375" style="142" bestFit="1" customWidth="1"/>
    <col min="22" max="22" width="9.7109375" style="141" bestFit="1" customWidth="1"/>
    <col min="23" max="23" width="9.42578125" style="142" bestFit="1" customWidth="1"/>
    <col min="24" max="24" width="9.42578125" style="142" customWidth="1"/>
    <col min="25" max="31" width="9.28515625" style="141"/>
    <col min="32" max="16384" width="9.28515625" style="139"/>
  </cols>
  <sheetData>
    <row r="1" spans="1:30" ht="60" customHeight="1" x14ac:dyDescent="0.2">
      <c r="A1" s="144"/>
      <c r="B1" s="143"/>
      <c r="C1" s="175" t="s">
        <v>407</v>
      </c>
      <c r="D1" s="175"/>
      <c r="E1" s="175"/>
      <c r="F1" s="175"/>
      <c r="G1" s="175"/>
      <c r="H1" s="175"/>
      <c r="I1" s="176"/>
      <c r="J1" s="176"/>
      <c r="K1" s="176"/>
      <c r="L1" s="176"/>
      <c r="M1" s="176"/>
      <c r="N1" s="176"/>
      <c r="O1" s="176"/>
      <c r="P1" s="175"/>
      <c r="Q1" s="175"/>
      <c r="R1" s="175"/>
      <c r="S1" s="175"/>
      <c r="T1" s="175"/>
      <c r="U1" s="175"/>
      <c r="V1" s="175"/>
      <c r="W1" s="196" t="s">
        <v>135</v>
      </c>
      <c r="X1" s="196" t="s">
        <v>142</v>
      </c>
      <c r="Y1" s="196" t="s">
        <v>137</v>
      </c>
      <c r="Z1" s="196" t="s">
        <v>138</v>
      </c>
      <c r="AA1" s="196" t="s">
        <v>136</v>
      </c>
      <c r="AB1" s="196" t="s">
        <v>139</v>
      </c>
      <c r="AC1" s="196" t="s">
        <v>404</v>
      </c>
      <c r="AD1" s="196" t="s">
        <v>405</v>
      </c>
    </row>
    <row r="2" spans="1:30" ht="32.25" customHeight="1" x14ac:dyDescent="0.2">
      <c r="A2" s="144"/>
      <c r="B2" s="174"/>
      <c r="C2" s="173"/>
      <c r="D2" s="173"/>
      <c r="E2" s="173"/>
      <c r="F2" s="173"/>
      <c r="G2" s="173"/>
      <c r="H2" s="173"/>
      <c r="I2" s="177"/>
      <c r="J2" s="177"/>
      <c r="K2" s="177"/>
      <c r="L2" s="177"/>
      <c r="M2" s="177"/>
      <c r="N2" s="177"/>
      <c r="O2" s="177"/>
      <c r="P2" s="173"/>
      <c r="Q2" s="173"/>
      <c r="R2" s="173"/>
      <c r="S2" s="173"/>
      <c r="T2" s="173"/>
      <c r="U2" s="173"/>
      <c r="V2" s="173"/>
      <c r="W2" s="141">
        <f>(YEAR(Summary!P6)-YEAR(Summary!P4))*12+MONTH(Summary!P6)-MONTH(Summary!P4)+1</f>
        <v>25</v>
      </c>
      <c r="X2" s="141"/>
    </row>
    <row r="3" spans="1:30" s="162" customFormat="1" ht="37.5" customHeight="1" x14ac:dyDescent="0.2">
      <c r="A3" s="172" t="s">
        <v>87</v>
      </c>
      <c r="B3" s="169" t="s">
        <v>25</v>
      </c>
      <c r="C3" s="164" t="s">
        <v>26</v>
      </c>
      <c r="D3" s="164" t="s">
        <v>27</v>
      </c>
      <c r="E3" s="163" t="s">
        <v>101</v>
      </c>
      <c r="F3" s="163" t="s">
        <v>102</v>
      </c>
      <c r="G3" s="163" t="s">
        <v>103</v>
      </c>
      <c r="H3" s="164" t="s">
        <v>28</v>
      </c>
      <c r="I3" s="171" t="s">
        <v>29</v>
      </c>
      <c r="J3" s="171" t="s">
        <v>30</v>
      </c>
      <c r="K3" s="169" t="s">
        <v>31</v>
      </c>
      <c r="L3" s="170" t="s">
        <v>104</v>
      </c>
      <c r="M3" s="169" t="s">
        <v>32</v>
      </c>
      <c r="N3" s="168" t="s">
        <v>374</v>
      </c>
      <c r="O3" s="167" t="s">
        <v>373</v>
      </c>
      <c r="P3" s="163" t="s">
        <v>372</v>
      </c>
      <c r="Q3" s="166" t="s">
        <v>371</v>
      </c>
      <c r="R3" s="163" t="s">
        <v>370</v>
      </c>
      <c r="S3" s="165" t="s">
        <v>369</v>
      </c>
      <c r="T3" s="165" t="s">
        <v>368</v>
      </c>
      <c r="U3" s="164" t="s">
        <v>33</v>
      </c>
      <c r="V3" s="163" t="s">
        <v>367</v>
      </c>
      <c r="W3" s="197" t="s">
        <v>120</v>
      </c>
      <c r="X3" s="197"/>
      <c r="Y3" s="197"/>
      <c r="Z3" s="197"/>
      <c r="AA3" s="197"/>
      <c r="AB3" s="194"/>
      <c r="AC3" s="197"/>
      <c r="AD3" s="197"/>
    </row>
    <row r="4" spans="1:30" x14ac:dyDescent="0.2">
      <c r="A4" s="155" t="str">
        <f t="shared" ref="A4:A63" si="0">CONCATENATE(C4,"-",B4)</f>
        <v>2025-9</v>
      </c>
      <c r="B4" s="154">
        <f>MONTH(Summary!P4)</f>
        <v>9</v>
      </c>
      <c r="C4" s="153">
        <f>YEAR(Summary!P4)</f>
        <v>2025</v>
      </c>
      <c r="D4" s="152" t="str">
        <f t="shared" ref="D4:D63" si="1">CONCATENATE(C4,"-",B4)</f>
        <v>2025-9</v>
      </c>
      <c r="E4" s="159">
        <f>+IF($B4="","",Summary!$P$4)</f>
        <v>45929</v>
      </c>
      <c r="F4" s="159">
        <f>+IF($B4="","",Summary!$P$5)</f>
        <v>46657</v>
      </c>
      <c r="G4" s="159">
        <f>+IF($B4="","",Summary!$P$6)</f>
        <v>46657</v>
      </c>
      <c r="H4" s="158" t="str">
        <f t="shared" ref="H4:H63" si="2">+IF($B4="","",IF(U4&lt;-15%,"Red",IF(U4&lt;0%,"Amber","Green")))</f>
        <v>Green</v>
      </c>
      <c r="I4" s="156"/>
      <c r="J4" s="157"/>
      <c r="K4" s="156"/>
      <c r="L4" s="156"/>
      <c r="M4" s="156"/>
      <c r="N4" s="156" t="e">
        <f t="shared" ref="N4:N63" si="3">O4</f>
        <v>#REF!</v>
      </c>
      <c r="O4" s="156" t="e">
        <f>COUNTIFS(#REF!,"&gt;="&amp;DATE($C4,$B4,1),#REF!,"&lt;="&amp;EOMONTH(DATE($C4,$B4,1),0),#REF!,"Incident")+
COUNTIFS(#REF!,"&gt;="&amp;DATE($C4,$B4,1),#REF!,"&lt;="&amp;EOMONTH(DATE($C4,$B4,1),0),#REF!,"user_request")</f>
        <v>#REF!</v>
      </c>
      <c r="P4" s="147">
        <f>I4</f>
        <v>0</v>
      </c>
      <c r="Q4" s="147">
        <f>J4</f>
        <v>0</v>
      </c>
      <c r="R4" s="147">
        <f>K4</f>
        <v>0</v>
      </c>
      <c r="S4" s="146" t="e">
        <f>N4</f>
        <v>#REF!</v>
      </c>
      <c r="T4" s="146" t="e">
        <f>O4</f>
        <v>#REF!</v>
      </c>
      <c r="U4" s="145">
        <f t="shared" ref="U4:U63" si="4">IF(Q4=0,0,IF(K4&lt;&gt;"",(Q4-(R4+L4))/Q4,U3))</f>
        <v>0</v>
      </c>
      <c r="V4" s="145" t="e">
        <f t="shared" ref="V4:V63" si="5">IF(S4=0,0,IF(O4&lt;&gt;"",(S4-(T4))/S4,V3))</f>
        <v>#REF!</v>
      </c>
      <c r="W4" s="142">
        <v>1</v>
      </c>
      <c r="X4" s="142" t="str">
        <f>+IF((VLOOKUP(A4,List!B:C,2,0)-VLOOKUP(Summary!$P$7,List!B:C,2,0))=0,1,"")</f>
        <v/>
      </c>
      <c r="Y4" s="198" t="str">
        <f>+IF((VLOOKUP(A4,List!B:C,2,0)-VLOOKUP(Summary!$P$7,List!B:C,2,0))&gt;=0,1,"")</f>
        <v/>
      </c>
      <c r="Z4" s="198" t="str">
        <f>+IF((VLOOKUP(A4,List!B:C,2,0)-VLOOKUP(Summary!$P$7,List!B:C,2,0))&gt;0,1,"")</f>
        <v/>
      </c>
      <c r="AA4" s="141" t="str">
        <f t="shared" ref="AA4:AA63" si="6">+IFERROR(IF(Z4="","",IF(YEAR(G4)&gt;C4,1,IF(YEAR(G4)=C4,IF(MONTH(G4)&gt;=B4,1,2)))),2)</f>
        <v/>
      </c>
      <c r="AB4" s="199" t="str">
        <f>+IF(AA4="","",IF(Summary!$J$7="Fixed Price","",IF(M4="",IF(I4="","",1),"")))</f>
        <v/>
      </c>
      <c r="AC4" s="198">
        <f>+IFERROR(I4*AA4,0)</f>
        <v>0</v>
      </c>
      <c r="AD4" s="198" t="e">
        <f>+IF(AA4="",+IF(N4&gt;#REF!,#REF!,IF(N4&gt;#REF!,#REF!,IF(N4&gt;#REF!,#REF!,IF(N4&gt;#REF!,#REF!,IF(N4&gt;#REF!,#REF!,IF(N4&gt;#REF!,#REF!,IF(N4&gt;#REF!,#REF!,IF(N4&gt;#REF!,#REF!,#REF!)))))))),0)</f>
        <v>#REF!</v>
      </c>
    </row>
    <row r="5" spans="1:30" x14ac:dyDescent="0.2">
      <c r="A5" s="155" t="str">
        <f t="shared" si="0"/>
        <v>2025-10</v>
      </c>
      <c r="B5" s="154">
        <f t="shared" ref="B5:B63" si="7">IF(W5&lt;=$W$2,IF(B4&gt;11,1,B4+1),"")</f>
        <v>10</v>
      </c>
      <c r="C5" s="153">
        <f t="shared" ref="C5:C63" si="8">IF(W5&lt;=$W$2,IF(B4&gt;11,C4+1,C4),"")</f>
        <v>2025</v>
      </c>
      <c r="D5" s="152" t="str">
        <f t="shared" si="1"/>
        <v>2025-10</v>
      </c>
      <c r="E5" s="151">
        <f>+IF($B5="","",Summary!$P$4)</f>
        <v>45929</v>
      </c>
      <c r="F5" s="151">
        <f>+IF($B5="","",Summary!$P$5)</f>
        <v>46657</v>
      </c>
      <c r="G5" s="151">
        <f>+IF($B5="","",Summary!$P$6)</f>
        <v>46657</v>
      </c>
      <c r="H5" s="150" t="str">
        <f t="shared" si="2"/>
        <v>Green</v>
      </c>
      <c r="I5" s="148"/>
      <c r="J5" s="149"/>
      <c r="K5" s="148"/>
      <c r="L5" s="148"/>
      <c r="M5" s="148"/>
      <c r="N5" s="148" t="e">
        <f t="shared" si="3"/>
        <v>#REF!</v>
      </c>
      <c r="O5" s="148" t="e">
        <f>COUNTIFS(#REF!,"&gt;="&amp;DATE($C5,$B5,1),#REF!,"&lt;="&amp;EOMONTH(DATE($C5,$B5,1),0),#REF!,"Incident")+
COUNTIFS(#REF!,"&gt;="&amp;DATE($C5,$B5,1),#REF!,"&lt;="&amp;EOMONTH(DATE($C5,$B5,1),0),#REF!,"user_request")</f>
        <v>#REF!</v>
      </c>
      <c r="P5" s="147">
        <f t="shared" ref="P5:P63" si="9">I5+P4</f>
        <v>0</v>
      </c>
      <c r="Q5" s="147">
        <f t="shared" ref="Q5:Q63" si="10">Q4+J5</f>
        <v>0</v>
      </c>
      <c r="R5" s="147">
        <f t="shared" ref="R5:R63" si="11">K5+R4</f>
        <v>0</v>
      </c>
      <c r="S5" s="146" t="e">
        <f t="shared" ref="S5:T20" si="12">N5+S4</f>
        <v>#REF!</v>
      </c>
      <c r="T5" s="146" t="e">
        <f t="shared" si="12"/>
        <v>#REF!</v>
      </c>
      <c r="U5" s="145">
        <f t="shared" si="4"/>
        <v>0</v>
      </c>
      <c r="V5" s="145" t="e">
        <f t="shared" si="5"/>
        <v>#REF!</v>
      </c>
      <c r="W5" s="142">
        <v>2</v>
      </c>
      <c r="X5" s="142" t="str">
        <f>+IF((VLOOKUP(A5,List!B:C,2,0)-VLOOKUP(Summary!$P$7,List!B:C,2,0))=0,1,"")</f>
        <v/>
      </c>
      <c r="Y5" s="198" t="str">
        <f>+IF((VLOOKUP(A5,List!B:C,2,0)-VLOOKUP(Summary!$P$7,List!B:C,2,0))&gt;=0,1,"")</f>
        <v/>
      </c>
      <c r="Z5" s="198" t="str">
        <f>+IF((VLOOKUP(A5,List!B:C,2,0)-VLOOKUP(Summary!$P$7,List!B:C,2,0))&gt;0,1,"")</f>
        <v/>
      </c>
      <c r="AA5" s="141" t="str">
        <f t="shared" si="6"/>
        <v/>
      </c>
      <c r="AB5" s="199" t="str">
        <f>+IF(AA5="","",IF(Summary!$J$7="Fixed Price","",IF(M5="",IF(I5="","",1),"")))</f>
        <v/>
      </c>
      <c r="AC5" s="198">
        <f t="shared" ref="AC5:AC63" si="13">+IFERROR(I5*AA5,0)</f>
        <v>0</v>
      </c>
      <c r="AD5" s="198" t="e">
        <f>+IF(AA5="",+IF(N5&gt;#REF!,#REF!,IF(N5&gt;#REF!,#REF!,IF(N5&gt;#REF!,#REF!,IF(N5&gt;#REF!,#REF!,IF(N5&gt;#REF!,#REF!,IF(N5&gt;#REF!,#REF!,IF(N5&gt;#REF!,#REF!,IF(N5&gt;#REF!,#REF!,#REF!)))))))),0)</f>
        <v>#REF!</v>
      </c>
    </row>
    <row r="6" spans="1:30" x14ac:dyDescent="0.2">
      <c r="A6" s="155" t="str">
        <f t="shared" si="0"/>
        <v>2025-11</v>
      </c>
      <c r="B6" s="154">
        <f t="shared" si="7"/>
        <v>11</v>
      </c>
      <c r="C6" s="153">
        <f t="shared" si="8"/>
        <v>2025</v>
      </c>
      <c r="D6" s="152" t="str">
        <f t="shared" si="1"/>
        <v>2025-11</v>
      </c>
      <c r="E6" s="159">
        <f>+IF($B6="","",Summary!$P$4)</f>
        <v>45929</v>
      </c>
      <c r="F6" s="159">
        <f>+IF($B6="","",Summary!$P$5)</f>
        <v>46657</v>
      </c>
      <c r="G6" s="159">
        <f>+IF($B6="","",Summary!$P$6)</f>
        <v>46657</v>
      </c>
      <c r="H6" s="158" t="str">
        <f t="shared" si="2"/>
        <v>Green</v>
      </c>
      <c r="I6" s="156"/>
      <c r="J6" s="157"/>
      <c r="K6" s="156"/>
      <c r="L6" s="156"/>
      <c r="M6" s="156"/>
      <c r="N6" s="156" t="e">
        <f t="shared" si="3"/>
        <v>#REF!</v>
      </c>
      <c r="O6" s="156" t="e">
        <f>COUNTIFS(#REF!,"&gt;="&amp;DATE($C6,$B6,1),#REF!,"&lt;="&amp;EOMONTH(DATE($C6,$B6,1),0),#REF!,"Incident")+
COUNTIFS(#REF!,"&gt;="&amp;DATE($C6,$B6,1),#REF!,"&lt;="&amp;EOMONTH(DATE($C6,$B6,1),0),#REF!,"user_request")</f>
        <v>#REF!</v>
      </c>
      <c r="P6" s="147">
        <f t="shared" si="9"/>
        <v>0</v>
      </c>
      <c r="Q6" s="147">
        <f t="shared" si="10"/>
        <v>0</v>
      </c>
      <c r="R6" s="147">
        <f t="shared" si="11"/>
        <v>0</v>
      </c>
      <c r="S6" s="146" t="e">
        <f t="shared" si="12"/>
        <v>#REF!</v>
      </c>
      <c r="T6" s="146" t="e">
        <f t="shared" si="12"/>
        <v>#REF!</v>
      </c>
      <c r="U6" s="145">
        <f t="shared" si="4"/>
        <v>0</v>
      </c>
      <c r="V6" s="145" t="e">
        <f t="shared" si="5"/>
        <v>#REF!</v>
      </c>
      <c r="W6" s="142">
        <v>3</v>
      </c>
      <c r="X6" s="142" t="str">
        <f>+IF((VLOOKUP(A6,List!B:C,2,0)-VLOOKUP(Summary!$P$7,List!B:C,2,0))=0,1,"")</f>
        <v/>
      </c>
      <c r="Y6" s="198" t="str">
        <f>+IF((VLOOKUP(A6,List!B:C,2,0)-VLOOKUP(Summary!$P$7,List!B:C,2,0))&gt;=0,1,"")</f>
        <v/>
      </c>
      <c r="Z6" s="198" t="str">
        <f>+IF((VLOOKUP(A6,List!B:C,2,0)-VLOOKUP(Summary!$P$7,List!B:C,2,0))&gt;0,1,"")</f>
        <v/>
      </c>
      <c r="AA6" s="141" t="str">
        <f t="shared" si="6"/>
        <v/>
      </c>
      <c r="AB6" s="199" t="str">
        <f>+IF(AA6="","",IF(Summary!$J$7="Fixed Price","",IF(M6="",IF(I6="","",1),"")))</f>
        <v/>
      </c>
      <c r="AC6" s="198">
        <f t="shared" si="13"/>
        <v>0</v>
      </c>
      <c r="AD6" s="198" t="e">
        <f>+IF(AA6="",+IF(N6&gt;#REF!,#REF!,IF(N6&gt;#REF!,#REF!,IF(N6&gt;#REF!,#REF!,IF(N6&gt;#REF!,#REF!,IF(N6&gt;#REF!,#REF!,IF(N6&gt;#REF!,#REF!,IF(N6&gt;#REF!,#REF!,IF(N6&gt;#REF!,#REF!,#REF!)))))))),0)</f>
        <v>#REF!</v>
      </c>
    </row>
    <row r="7" spans="1:30" x14ac:dyDescent="0.2">
      <c r="A7" s="155" t="str">
        <f t="shared" si="0"/>
        <v>2025-12</v>
      </c>
      <c r="B7" s="154">
        <f t="shared" si="7"/>
        <v>12</v>
      </c>
      <c r="C7" s="153">
        <f t="shared" si="8"/>
        <v>2025</v>
      </c>
      <c r="D7" s="152" t="str">
        <f t="shared" si="1"/>
        <v>2025-12</v>
      </c>
      <c r="E7" s="151">
        <f>+IF($B7="","",Summary!$P$4)</f>
        <v>45929</v>
      </c>
      <c r="F7" s="151">
        <f>+IF($B7="","",Summary!$P$5)</f>
        <v>46657</v>
      </c>
      <c r="G7" s="151">
        <f>+IF($B7="","",Summary!$P$6)</f>
        <v>46657</v>
      </c>
      <c r="H7" s="150" t="str">
        <f t="shared" si="2"/>
        <v>Green</v>
      </c>
      <c r="I7" s="148"/>
      <c r="J7" s="149"/>
      <c r="K7" s="148"/>
      <c r="L7" s="148"/>
      <c r="M7" s="148"/>
      <c r="N7" s="148" t="e">
        <f t="shared" si="3"/>
        <v>#REF!</v>
      </c>
      <c r="O7" s="148" t="e">
        <f>COUNTIFS(#REF!,"&gt;="&amp;DATE($C7,$B7,1),#REF!,"&lt;="&amp;EOMONTH(DATE($C7,$B7,1),0),#REF!,"Incident")+
COUNTIFS(#REF!,"&gt;="&amp;DATE($C7,$B7,1),#REF!,"&lt;="&amp;EOMONTH(DATE($C7,$B7,1),0),#REF!,"user_request")</f>
        <v>#REF!</v>
      </c>
      <c r="P7" s="147">
        <f t="shared" si="9"/>
        <v>0</v>
      </c>
      <c r="Q7" s="147">
        <f t="shared" si="10"/>
        <v>0</v>
      </c>
      <c r="R7" s="147">
        <f t="shared" si="11"/>
        <v>0</v>
      </c>
      <c r="S7" s="146" t="e">
        <f t="shared" si="12"/>
        <v>#REF!</v>
      </c>
      <c r="T7" s="146" t="e">
        <f t="shared" si="12"/>
        <v>#REF!</v>
      </c>
      <c r="U7" s="145">
        <f t="shared" si="4"/>
        <v>0</v>
      </c>
      <c r="V7" s="145" t="e">
        <f t="shared" si="5"/>
        <v>#REF!</v>
      </c>
      <c r="W7" s="142">
        <v>4</v>
      </c>
      <c r="X7" s="142" t="str">
        <f>+IF((VLOOKUP(A7,List!B:C,2,0)-VLOOKUP(Summary!$P$7,List!B:C,2,0))=0,1,"")</f>
        <v/>
      </c>
      <c r="Y7" s="198" t="str">
        <f>+IF((VLOOKUP(A7,List!B:C,2,0)-VLOOKUP(Summary!$P$7,List!B:C,2,0))&gt;=0,1,"")</f>
        <v/>
      </c>
      <c r="Z7" s="198" t="str">
        <f>+IF((VLOOKUP(A7,List!B:C,2,0)-VLOOKUP(Summary!$P$7,List!B:C,2,0))&gt;0,1,"")</f>
        <v/>
      </c>
      <c r="AA7" s="141" t="str">
        <f t="shared" si="6"/>
        <v/>
      </c>
      <c r="AB7" s="199" t="str">
        <f>+IF(AA7="","",IF(Summary!$J$7="Fixed Price","",IF(M7="",IF(I7="","",1),"")))</f>
        <v/>
      </c>
      <c r="AC7" s="198">
        <f t="shared" si="13"/>
        <v>0</v>
      </c>
      <c r="AD7" s="198" t="e">
        <f>+IF(AA7="",+IF(N7&gt;#REF!,#REF!,IF(N7&gt;#REF!,#REF!,IF(N7&gt;#REF!,#REF!,IF(N7&gt;#REF!,#REF!,IF(N7&gt;#REF!,#REF!,IF(N7&gt;#REF!,#REF!,IF(N7&gt;#REF!,#REF!,IF(N7&gt;#REF!,#REF!,#REF!)))))))),0)</f>
        <v>#REF!</v>
      </c>
    </row>
    <row r="8" spans="1:30" x14ac:dyDescent="0.2">
      <c r="A8" s="155" t="str">
        <f t="shared" si="0"/>
        <v>2026-1</v>
      </c>
      <c r="B8" s="154">
        <f t="shared" si="7"/>
        <v>1</v>
      </c>
      <c r="C8" s="153">
        <f t="shared" si="8"/>
        <v>2026</v>
      </c>
      <c r="D8" s="152" t="str">
        <f t="shared" si="1"/>
        <v>2026-1</v>
      </c>
      <c r="E8" s="159">
        <f>+IF($B8="","",Summary!$P$4)</f>
        <v>45929</v>
      </c>
      <c r="F8" s="159">
        <f>+IF($B8="","",Summary!$P$5)</f>
        <v>46657</v>
      </c>
      <c r="G8" s="159">
        <f>+IF($B8="","",Summary!$P$6)</f>
        <v>46657</v>
      </c>
      <c r="H8" s="158" t="str">
        <f t="shared" si="2"/>
        <v>Green</v>
      </c>
      <c r="I8" s="156"/>
      <c r="J8" s="157"/>
      <c r="K8" s="156"/>
      <c r="L8" s="156"/>
      <c r="M8" s="156"/>
      <c r="N8" s="156" t="e">
        <f t="shared" si="3"/>
        <v>#REF!</v>
      </c>
      <c r="O8" s="156" t="e">
        <f>COUNTIFS(#REF!,"&gt;="&amp;DATE($C8,$B8,1),#REF!,"&lt;="&amp;EOMONTH(DATE($C8,$B8,1),0),#REF!,"Incident")+
COUNTIFS(#REF!,"&gt;="&amp;DATE($C8,$B8,1),#REF!,"&lt;="&amp;EOMONTH(DATE($C8,$B8,1),0),#REF!,"user_request")</f>
        <v>#REF!</v>
      </c>
      <c r="P8" s="147">
        <f t="shared" si="9"/>
        <v>0</v>
      </c>
      <c r="Q8" s="147">
        <f t="shared" si="10"/>
        <v>0</v>
      </c>
      <c r="R8" s="147">
        <f t="shared" si="11"/>
        <v>0</v>
      </c>
      <c r="S8" s="146" t="e">
        <f t="shared" si="12"/>
        <v>#REF!</v>
      </c>
      <c r="T8" s="146" t="e">
        <f t="shared" si="12"/>
        <v>#REF!</v>
      </c>
      <c r="U8" s="145">
        <f t="shared" si="4"/>
        <v>0</v>
      </c>
      <c r="V8" s="145" t="e">
        <f t="shared" si="5"/>
        <v>#REF!</v>
      </c>
      <c r="W8" s="142">
        <v>5</v>
      </c>
      <c r="X8" s="142" t="str">
        <f>+IF((VLOOKUP(A8,List!B:C,2,0)-VLOOKUP(Summary!$P$7,List!B:C,2,0))=0,1,"")</f>
        <v/>
      </c>
      <c r="Y8" s="198" t="str">
        <f>+IF((VLOOKUP(A8,List!B:C,2,0)-VLOOKUP(Summary!$P$7,List!B:C,2,0))&gt;=0,1,"")</f>
        <v/>
      </c>
      <c r="Z8" s="198" t="str">
        <f>+IF((VLOOKUP(A8,List!B:C,2,0)-VLOOKUP(Summary!$P$7,List!B:C,2,0))&gt;0,1,"")</f>
        <v/>
      </c>
      <c r="AA8" s="141" t="str">
        <f t="shared" si="6"/>
        <v/>
      </c>
      <c r="AB8" s="199" t="str">
        <f>+IF(AA8="","",IF(Summary!$J$7="Fixed Price","",IF(M8="",IF(I8="","",1),"")))</f>
        <v/>
      </c>
      <c r="AC8" s="198">
        <f t="shared" si="13"/>
        <v>0</v>
      </c>
      <c r="AD8" s="198" t="e">
        <f>+IF(AA8="",+IF(N8&gt;#REF!,#REF!,IF(N8&gt;#REF!,#REF!,IF(N8&gt;#REF!,#REF!,IF(N8&gt;#REF!,#REF!,IF(N8&gt;#REF!,#REF!,IF(N8&gt;#REF!,#REF!,IF(N8&gt;#REF!,#REF!,IF(N8&gt;#REF!,#REF!,#REF!)))))))),0)</f>
        <v>#REF!</v>
      </c>
    </row>
    <row r="9" spans="1:30" x14ac:dyDescent="0.2">
      <c r="A9" s="155" t="str">
        <f t="shared" si="0"/>
        <v>2026-2</v>
      </c>
      <c r="B9" s="154">
        <f t="shared" si="7"/>
        <v>2</v>
      </c>
      <c r="C9" s="153">
        <f t="shared" si="8"/>
        <v>2026</v>
      </c>
      <c r="D9" s="152" t="str">
        <f t="shared" si="1"/>
        <v>2026-2</v>
      </c>
      <c r="E9" s="151">
        <f>+IF($B9="","",Summary!$P$4)</f>
        <v>45929</v>
      </c>
      <c r="F9" s="151">
        <f>+IF($B9="","",Summary!$P$5)</f>
        <v>46657</v>
      </c>
      <c r="G9" s="151">
        <f>+IF($B9="","",Summary!$P$6)</f>
        <v>46657</v>
      </c>
      <c r="H9" s="150" t="str">
        <f t="shared" si="2"/>
        <v>Green</v>
      </c>
      <c r="I9" s="148"/>
      <c r="J9" s="149"/>
      <c r="K9" s="148"/>
      <c r="L9" s="148"/>
      <c r="M9" s="148"/>
      <c r="N9" s="148" t="e">
        <f t="shared" si="3"/>
        <v>#REF!</v>
      </c>
      <c r="O9" s="148" t="e">
        <f>COUNTIFS(#REF!,"&gt;="&amp;DATE($C9,$B9,1),#REF!,"&lt;="&amp;EOMONTH(DATE($C9,$B9,1),0),#REF!,"Incident")+
COUNTIFS(#REF!,"&gt;="&amp;DATE($C9,$B9,1),#REF!,"&lt;="&amp;EOMONTH(DATE($C9,$B9,1),0),#REF!,"user_request")</f>
        <v>#REF!</v>
      </c>
      <c r="P9" s="147">
        <f t="shared" si="9"/>
        <v>0</v>
      </c>
      <c r="Q9" s="147">
        <f t="shared" si="10"/>
        <v>0</v>
      </c>
      <c r="R9" s="147">
        <f t="shared" si="11"/>
        <v>0</v>
      </c>
      <c r="S9" s="146" t="e">
        <f t="shared" si="12"/>
        <v>#REF!</v>
      </c>
      <c r="T9" s="146" t="e">
        <f t="shared" si="12"/>
        <v>#REF!</v>
      </c>
      <c r="U9" s="145">
        <f t="shared" si="4"/>
        <v>0</v>
      </c>
      <c r="V9" s="145" t="e">
        <f t="shared" si="5"/>
        <v>#REF!</v>
      </c>
      <c r="W9" s="142">
        <v>6</v>
      </c>
      <c r="X9" s="142">
        <f>+IF((VLOOKUP(A9,List!B:C,2,0)-VLOOKUP(Summary!$P$7,List!B:C,2,0))=0,1,"")</f>
        <v>1</v>
      </c>
      <c r="Y9" s="198">
        <f>+IF((VLOOKUP(A9,List!B:C,2,0)-VLOOKUP(Summary!$P$7,List!B:C,2,0))&gt;=0,1,"")</f>
        <v>1</v>
      </c>
      <c r="Z9" s="198" t="str">
        <f>+IF((VLOOKUP(A9,List!B:C,2,0)-VLOOKUP(Summary!$P$7,List!B:C,2,0))&gt;0,1,"")</f>
        <v/>
      </c>
      <c r="AA9" s="141" t="str">
        <f t="shared" si="6"/>
        <v/>
      </c>
      <c r="AB9" s="199" t="str">
        <f>+IF(AA9="","",IF(Summary!$J$7="Fixed Price","",IF(M9="",IF(I9="","",1),"")))</f>
        <v/>
      </c>
      <c r="AC9" s="198">
        <f t="shared" si="13"/>
        <v>0</v>
      </c>
      <c r="AD9" s="198" t="e">
        <f>+IF(AA9="",+IF(N9&gt;#REF!,#REF!,IF(N9&gt;#REF!,#REF!,IF(N9&gt;#REF!,#REF!,IF(N9&gt;#REF!,#REF!,IF(N9&gt;#REF!,#REF!,IF(N9&gt;#REF!,#REF!,IF(N9&gt;#REF!,#REF!,IF(N9&gt;#REF!,#REF!,#REF!)))))))),0)</f>
        <v>#REF!</v>
      </c>
    </row>
    <row r="10" spans="1:30" x14ac:dyDescent="0.2">
      <c r="A10" s="155" t="str">
        <f t="shared" si="0"/>
        <v>2026-3</v>
      </c>
      <c r="B10" s="154">
        <f t="shared" si="7"/>
        <v>3</v>
      </c>
      <c r="C10" s="153">
        <f t="shared" si="8"/>
        <v>2026</v>
      </c>
      <c r="D10" s="152" t="str">
        <f t="shared" si="1"/>
        <v>2026-3</v>
      </c>
      <c r="E10" s="159">
        <f>+IF($B10="","",Summary!$P$4)</f>
        <v>45929</v>
      </c>
      <c r="F10" s="159">
        <f>+IF($B10="","",Summary!$P$5)</f>
        <v>46657</v>
      </c>
      <c r="G10" s="159">
        <f>+IF($B10="","",Summary!$P$6)</f>
        <v>46657</v>
      </c>
      <c r="H10" s="158" t="str">
        <f t="shared" si="2"/>
        <v>Green</v>
      </c>
      <c r="I10" s="156"/>
      <c r="J10" s="157"/>
      <c r="K10" s="156"/>
      <c r="L10" s="156"/>
      <c r="M10" s="156"/>
      <c r="N10" s="156" t="e">
        <f t="shared" si="3"/>
        <v>#REF!</v>
      </c>
      <c r="O10" s="156" t="e">
        <f>COUNTIFS(#REF!,"&gt;="&amp;DATE($C10,$B10,1),#REF!,"&lt;="&amp;EOMONTH(DATE($C10,$B10,1),0),#REF!,"Incident")+
COUNTIFS(#REF!,"&gt;="&amp;DATE($C10,$B10,1),#REF!,"&lt;="&amp;EOMONTH(DATE($C10,$B10,1),0),#REF!,"user_request")</f>
        <v>#REF!</v>
      </c>
      <c r="P10" s="147">
        <f t="shared" si="9"/>
        <v>0</v>
      </c>
      <c r="Q10" s="147">
        <f t="shared" si="10"/>
        <v>0</v>
      </c>
      <c r="R10" s="147">
        <f t="shared" si="11"/>
        <v>0</v>
      </c>
      <c r="S10" s="146" t="e">
        <f t="shared" si="12"/>
        <v>#REF!</v>
      </c>
      <c r="T10" s="146" t="e">
        <f t="shared" si="12"/>
        <v>#REF!</v>
      </c>
      <c r="U10" s="145">
        <f t="shared" si="4"/>
        <v>0</v>
      </c>
      <c r="V10" s="145" t="e">
        <f t="shared" si="5"/>
        <v>#REF!</v>
      </c>
      <c r="W10" s="142">
        <v>7</v>
      </c>
      <c r="X10" s="142" t="str">
        <f>+IF((VLOOKUP(A10,List!B:C,2,0)-VLOOKUP(Summary!$P$7,List!B:C,2,0))=0,1,"")</f>
        <v/>
      </c>
      <c r="Y10" s="198">
        <f>+IF((VLOOKUP(A10,List!B:C,2,0)-VLOOKUP(Summary!$P$7,List!B:C,2,0))&gt;=0,1,"")</f>
        <v>1</v>
      </c>
      <c r="Z10" s="198">
        <f>+IF((VLOOKUP(A10,List!B:C,2,0)-VLOOKUP(Summary!$P$7,List!B:C,2,0))&gt;0,1,"")</f>
        <v>1</v>
      </c>
      <c r="AA10" s="141">
        <f t="shared" si="6"/>
        <v>1</v>
      </c>
      <c r="AB10" s="199" t="str">
        <f>+IF(AA10="","",IF(Summary!$J$7="Fixed Price","",IF(M10="",IF(I10="","",1),"")))</f>
        <v/>
      </c>
      <c r="AC10" s="198">
        <f t="shared" si="13"/>
        <v>0</v>
      </c>
      <c r="AD10" s="198">
        <f>+IF(AA10="",+IF(N10&gt;#REF!,#REF!,IF(N10&gt;#REF!,#REF!,IF(N10&gt;#REF!,#REF!,IF(N10&gt;#REF!,#REF!,IF(N10&gt;#REF!,#REF!,IF(N10&gt;#REF!,#REF!,IF(N10&gt;#REF!,#REF!,IF(N10&gt;#REF!,#REF!,#REF!)))))))),0)</f>
        <v>0</v>
      </c>
    </row>
    <row r="11" spans="1:30" x14ac:dyDescent="0.2">
      <c r="A11" s="155" t="str">
        <f t="shared" si="0"/>
        <v>2026-4</v>
      </c>
      <c r="B11" s="154">
        <f t="shared" si="7"/>
        <v>4</v>
      </c>
      <c r="C11" s="153">
        <f t="shared" si="8"/>
        <v>2026</v>
      </c>
      <c r="D11" s="152" t="str">
        <f t="shared" si="1"/>
        <v>2026-4</v>
      </c>
      <c r="E11" s="151">
        <f>+IF($B11="","",Summary!$P$4)</f>
        <v>45929</v>
      </c>
      <c r="F11" s="151">
        <f>+IF($B11="","",Summary!$P$5)</f>
        <v>46657</v>
      </c>
      <c r="G11" s="151">
        <f>+IF($B11="","",Summary!$P$6)</f>
        <v>46657</v>
      </c>
      <c r="H11" s="150" t="str">
        <f t="shared" si="2"/>
        <v>Green</v>
      </c>
      <c r="I11" s="148"/>
      <c r="J11" s="149"/>
      <c r="K11" s="148"/>
      <c r="L11" s="148"/>
      <c r="M11" s="148"/>
      <c r="N11" s="148" t="e">
        <f t="shared" si="3"/>
        <v>#REF!</v>
      </c>
      <c r="O11" s="148" t="e">
        <f>COUNTIFS(#REF!,"&gt;="&amp;DATE($C11,$B11,1),#REF!,"&lt;="&amp;EOMONTH(DATE($C11,$B11,1),0),#REF!,"Incident")+
COUNTIFS(#REF!,"&gt;="&amp;DATE($C11,$B11,1),#REF!,"&lt;="&amp;EOMONTH(DATE($C11,$B11,1),0),#REF!,"user_request")</f>
        <v>#REF!</v>
      </c>
      <c r="P11" s="147">
        <f t="shared" si="9"/>
        <v>0</v>
      </c>
      <c r="Q11" s="147">
        <f t="shared" si="10"/>
        <v>0</v>
      </c>
      <c r="R11" s="147">
        <f t="shared" si="11"/>
        <v>0</v>
      </c>
      <c r="S11" s="146" t="e">
        <f t="shared" si="12"/>
        <v>#REF!</v>
      </c>
      <c r="T11" s="146" t="e">
        <f t="shared" si="12"/>
        <v>#REF!</v>
      </c>
      <c r="U11" s="145">
        <f t="shared" si="4"/>
        <v>0</v>
      </c>
      <c r="V11" s="145" t="e">
        <f t="shared" si="5"/>
        <v>#REF!</v>
      </c>
      <c r="W11" s="142">
        <v>8</v>
      </c>
      <c r="X11" s="142" t="str">
        <f>+IF((VLOOKUP(A11,List!B:C,2,0)-VLOOKUP(Summary!$P$7,List!B:C,2,0))=0,1,"")</f>
        <v/>
      </c>
      <c r="Y11" s="198">
        <f>+IF((VLOOKUP(A11,List!B:C,2,0)-VLOOKUP(Summary!$P$7,List!B:C,2,0))&gt;=0,1,"")</f>
        <v>1</v>
      </c>
      <c r="Z11" s="198">
        <f>+IF((VLOOKUP(A11,List!B:C,2,0)-VLOOKUP(Summary!$P$7,List!B:C,2,0))&gt;0,1,"")</f>
        <v>1</v>
      </c>
      <c r="AA11" s="141">
        <f t="shared" si="6"/>
        <v>1</v>
      </c>
      <c r="AB11" s="199" t="str">
        <f>+IF(AA11="","",IF(Summary!$J$7="Fixed Price","",IF(M11="",IF(I11="","",1),"")))</f>
        <v/>
      </c>
      <c r="AC11" s="198">
        <f t="shared" si="13"/>
        <v>0</v>
      </c>
      <c r="AD11" s="198">
        <f>+IF(AA11="",+IF(N11&gt;#REF!,#REF!,IF(N11&gt;#REF!,#REF!,IF(N11&gt;#REF!,#REF!,IF(N11&gt;#REF!,#REF!,IF(N11&gt;#REF!,#REF!,IF(N11&gt;#REF!,#REF!,IF(N11&gt;#REF!,#REF!,IF(N11&gt;#REF!,#REF!,#REF!)))))))),0)</f>
        <v>0</v>
      </c>
    </row>
    <row r="12" spans="1:30" x14ac:dyDescent="0.2">
      <c r="A12" s="155" t="str">
        <f t="shared" si="0"/>
        <v>2026-5</v>
      </c>
      <c r="B12" s="154">
        <f t="shared" si="7"/>
        <v>5</v>
      </c>
      <c r="C12" s="153">
        <f t="shared" si="8"/>
        <v>2026</v>
      </c>
      <c r="D12" s="152" t="str">
        <f t="shared" si="1"/>
        <v>2026-5</v>
      </c>
      <c r="E12" s="159">
        <f>+IF($B12="","",Summary!$P$4)</f>
        <v>45929</v>
      </c>
      <c r="F12" s="159">
        <f>+IF($B12="","",Summary!$P$5)</f>
        <v>46657</v>
      </c>
      <c r="G12" s="159">
        <f>+IF($B12="","",Summary!$P$6)</f>
        <v>46657</v>
      </c>
      <c r="H12" s="158" t="str">
        <f t="shared" si="2"/>
        <v>Green</v>
      </c>
      <c r="I12" s="156"/>
      <c r="J12" s="157"/>
      <c r="K12" s="156"/>
      <c r="L12" s="156"/>
      <c r="M12" s="156"/>
      <c r="N12" s="156" t="e">
        <f t="shared" si="3"/>
        <v>#REF!</v>
      </c>
      <c r="O12" s="156" t="e">
        <f>COUNTIFS(#REF!,"&gt;="&amp;DATE($C12,$B12,1),#REF!,"&lt;="&amp;EOMONTH(DATE($C12,$B12,1),0),#REF!,"Incident")+
COUNTIFS(#REF!,"&gt;="&amp;DATE($C12,$B12,1),#REF!,"&lt;="&amp;EOMONTH(DATE($C12,$B12,1),0),#REF!,"user_request")</f>
        <v>#REF!</v>
      </c>
      <c r="P12" s="147">
        <f t="shared" si="9"/>
        <v>0</v>
      </c>
      <c r="Q12" s="147">
        <f t="shared" si="10"/>
        <v>0</v>
      </c>
      <c r="R12" s="147">
        <f t="shared" si="11"/>
        <v>0</v>
      </c>
      <c r="S12" s="146" t="e">
        <f t="shared" si="12"/>
        <v>#REF!</v>
      </c>
      <c r="T12" s="146" t="e">
        <f t="shared" si="12"/>
        <v>#REF!</v>
      </c>
      <c r="U12" s="145">
        <f t="shared" si="4"/>
        <v>0</v>
      </c>
      <c r="V12" s="145" t="e">
        <f t="shared" si="5"/>
        <v>#REF!</v>
      </c>
      <c r="W12" s="142">
        <v>9</v>
      </c>
      <c r="X12" s="142" t="str">
        <f>+IF((VLOOKUP(A12,List!B:C,2,0)-VLOOKUP(Summary!$P$7,List!B:C,2,0))=0,1,"")</f>
        <v/>
      </c>
      <c r="Y12" s="198">
        <f>+IF((VLOOKUP(A12,List!B:C,2,0)-VLOOKUP(Summary!$P$7,List!B:C,2,0))&gt;=0,1,"")</f>
        <v>1</v>
      </c>
      <c r="Z12" s="198">
        <f>+IF((VLOOKUP(A12,List!B:C,2,0)-VLOOKUP(Summary!$P$7,List!B:C,2,0))&gt;0,1,"")</f>
        <v>1</v>
      </c>
      <c r="AA12" s="141">
        <f t="shared" si="6"/>
        <v>1</v>
      </c>
      <c r="AB12" s="199" t="str">
        <f>+IF(AA12="","",IF(Summary!$J$7="Fixed Price","",IF(M12="",IF(I12="","",1),"")))</f>
        <v/>
      </c>
      <c r="AC12" s="198">
        <f t="shared" si="13"/>
        <v>0</v>
      </c>
      <c r="AD12" s="198">
        <f>+IF(AA12="",+IF(N12&gt;#REF!,#REF!,IF(N12&gt;#REF!,#REF!,IF(N12&gt;#REF!,#REF!,IF(N12&gt;#REF!,#REF!,IF(N12&gt;#REF!,#REF!,IF(N12&gt;#REF!,#REF!,IF(N12&gt;#REF!,#REF!,IF(N12&gt;#REF!,#REF!,#REF!)))))))),0)</f>
        <v>0</v>
      </c>
    </row>
    <row r="13" spans="1:30" x14ac:dyDescent="0.2">
      <c r="A13" s="155" t="str">
        <f t="shared" si="0"/>
        <v>2026-6</v>
      </c>
      <c r="B13" s="154">
        <f t="shared" si="7"/>
        <v>6</v>
      </c>
      <c r="C13" s="153">
        <f t="shared" si="8"/>
        <v>2026</v>
      </c>
      <c r="D13" s="152" t="str">
        <f t="shared" si="1"/>
        <v>2026-6</v>
      </c>
      <c r="E13" s="151">
        <f>+IF($B13="","",Summary!$P$4)</f>
        <v>45929</v>
      </c>
      <c r="F13" s="151">
        <f>+IF($B13="","",Summary!$P$5)</f>
        <v>46657</v>
      </c>
      <c r="G13" s="151">
        <f>+IF($B13="","",Summary!$P$6)</f>
        <v>46657</v>
      </c>
      <c r="H13" s="150" t="str">
        <f t="shared" si="2"/>
        <v>Green</v>
      </c>
      <c r="I13" s="148"/>
      <c r="J13" s="149"/>
      <c r="K13" s="148"/>
      <c r="L13" s="148"/>
      <c r="M13" s="148"/>
      <c r="N13" s="148" t="e">
        <f t="shared" si="3"/>
        <v>#REF!</v>
      </c>
      <c r="O13" s="148" t="e">
        <f>COUNTIFS(#REF!,"&gt;="&amp;DATE($C13,$B13,1),#REF!,"&lt;="&amp;EOMONTH(DATE($C13,$B13,1),0),#REF!,"Incident")+
COUNTIFS(#REF!,"&gt;="&amp;DATE($C13,$B13,1),#REF!,"&lt;="&amp;EOMONTH(DATE($C13,$B13,1),0),#REF!,"user_request")</f>
        <v>#REF!</v>
      </c>
      <c r="P13" s="147">
        <f t="shared" si="9"/>
        <v>0</v>
      </c>
      <c r="Q13" s="147">
        <f t="shared" si="10"/>
        <v>0</v>
      </c>
      <c r="R13" s="147">
        <f t="shared" si="11"/>
        <v>0</v>
      </c>
      <c r="S13" s="146" t="e">
        <f t="shared" si="12"/>
        <v>#REF!</v>
      </c>
      <c r="T13" s="146" t="e">
        <f t="shared" si="12"/>
        <v>#REF!</v>
      </c>
      <c r="U13" s="145">
        <f t="shared" si="4"/>
        <v>0</v>
      </c>
      <c r="V13" s="145" t="e">
        <f t="shared" si="5"/>
        <v>#REF!</v>
      </c>
      <c r="W13" s="142">
        <v>10</v>
      </c>
      <c r="X13" s="142" t="str">
        <f>+IF((VLOOKUP(A13,List!B:C,2,0)-VLOOKUP(Summary!$P$7,List!B:C,2,0))=0,1,"")</f>
        <v/>
      </c>
      <c r="Y13" s="198">
        <f>+IF((VLOOKUP(A13,List!B:C,2,0)-VLOOKUP(Summary!$P$7,List!B:C,2,0))&gt;=0,1,"")</f>
        <v>1</v>
      </c>
      <c r="Z13" s="198">
        <f>+IF((VLOOKUP(A13,List!B:C,2,0)-VLOOKUP(Summary!$P$7,List!B:C,2,0))&gt;0,1,"")</f>
        <v>1</v>
      </c>
      <c r="AA13" s="141">
        <f t="shared" si="6"/>
        <v>1</v>
      </c>
      <c r="AB13" s="199" t="str">
        <f>+IF(AA13="","",IF(Summary!$J$7="Fixed Price","",IF(M13="",IF(I13="","",1),"")))</f>
        <v/>
      </c>
      <c r="AC13" s="198">
        <f t="shared" si="13"/>
        <v>0</v>
      </c>
      <c r="AD13" s="198">
        <f>+IF(AA13="",+IF(N13&gt;#REF!,#REF!,IF(N13&gt;#REF!,#REF!,IF(N13&gt;#REF!,#REF!,IF(N13&gt;#REF!,#REF!,IF(N13&gt;#REF!,#REF!,IF(N13&gt;#REF!,#REF!,IF(N13&gt;#REF!,#REF!,IF(N13&gt;#REF!,#REF!,#REF!)))))))),0)</f>
        <v>0</v>
      </c>
    </row>
    <row r="14" spans="1:30" x14ac:dyDescent="0.2">
      <c r="A14" s="155" t="str">
        <f t="shared" si="0"/>
        <v>2026-7</v>
      </c>
      <c r="B14" s="154">
        <f t="shared" si="7"/>
        <v>7</v>
      </c>
      <c r="C14" s="153">
        <f t="shared" si="8"/>
        <v>2026</v>
      </c>
      <c r="D14" s="152" t="str">
        <f t="shared" si="1"/>
        <v>2026-7</v>
      </c>
      <c r="E14" s="159">
        <f>+IF($B14="","",Summary!$P$4)</f>
        <v>45929</v>
      </c>
      <c r="F14" s="159">
        <f>+IF($B14="","",Summary!$P$5)</f>
        <v>46657</v>
      </c>
      <c r="G14" s="159">
        <f>+IF($B14="","",Summary!$P$6)</f>
        <v>46657</v>
      </c>
      <c r="H14" s="158" t="str">
        <f t="shared" si="2"/>
        <v>Green</v>
      </c>
      <c r="I14" s="156"/>
      <c r="J14" s="157"/>
      <c r="K14" s="156"/>
      <c r="L14" s="156"/>
      <c r="M14" s="156"/>
      <c r="N14" s="156" t="e">
        <f t="shared" si="3"/>
        <v>#REF!</v>
      </c>
      <c r="O14" s="156" t="e">
        <f>COUNTIFS(#REF!,"&gt;="&amp;DATE($C14,$B14,1),#REF!,"&lt;="&amp;EOMONTH(DATE($C14,$B14,1),0),#REF!,"Incident")+
COUNTIFS(#REF!,"&gt;="&amp;DATE($C14,$B14,1),#REF!,"&lt;="&amp;EOMONTH(DATE($C14,$B14,1),0),#REF!,"user_request")</f>
        <v>#REF!</v>
      </c>
      <c r="P14" s="147">
        <f t="shared" si="9"/>
        <v>0</v>
      </c>
      <c r="Q14" s="147">
        <f t="shared" si="10"/>
        <v>0</v>
      </c>
      <c r="R14" s="147">
        <f t="shared" si="11"/>
        <v>0</v>
      </c>
      <c r="S14" s="146" t="e">
        <f t="shared" si="12"/>
        <v>#REF!</v>
      </c>
      <c r="T14" s="146" t="e">
        <f t="shared" si="12"/>
        <v>#REF!</v>
      </c>
      <c r="U14" s="145">
        <f t="shared" si="4"/>
        <v>0</v>
      </c>
      <c r="V14" s="145" t="e">
        <f t="shared" si="5"/>
        <v>#REF!</v>
      </c>
      <c r="W14" s="142">
        <v>11</v>
      </c>
      <c r="X14" s="142" t="str">
        <f>+IF((VLOOKUP(A14,List!B:C,2,0)-VLOOKUP(Summary!$P$7,List!B:C,2,0))=0,1,"")</f>
        <v/>
      </c>
      <c r="Y14" s="198">
        <f>+IF((VLOOKUP(A14,List!B:C,2,0)-VLOOKUP(Summary!$P$7,List!B:C,2,0))&gt;=0,1,"")</f>
        <v>1</v>
      </c>
      <c r="Z14" s="198">
        <f>+IF((VLOOKUP(A14,List!B:C,2,0)-VLOOKUP(Summary!$P$7,List!B:C,2,0))&gt;0,1,"")</f>
        <v>1</v>
      </c>
      <c r="AA14" s="141">
        <f t="shared" si="6"/>
        <v>1</v>
      </c>
      <c r="AB14" s="199" t="str">
        <f>+IF(AA14="","",IF(Summary!$J$7="Fixed Price","",IF(M14="",IF(I14="","",1),"")))</f>
        <v/>
      </c>
      <c r="AC14" s="198">
        <f t="shared" si="13"/>
        <v>0</v>
      </c>
      <c r="AD14" s="198">
        <f>+IF(AA14="",+IF(N14&gt;#REF!,#REF!,IF(N14&gt;#REF!,#REF!,IF(N14&gt;#REF!,#REF!,IF(N14&gt;#REF!,#REF!,IF(N14&gt;#REF!,#REF!,IF(N14&gt;#REF!,#REF!,IF(N14&gt;#REF!,#REF!,IF(N14&gt;#REF!,#REF!,#REF!)))))))),0)</f>
        <v>0</v>
      </c>
    </row>
    <row r="15" spans="1:30" x14ac:dyDescent="0.2">
      <c r="A15" s="155" t="str">
        <f t="shared" si="0"/>
        <v>2026-8</v>
      </c>
      <c r="B15" s="154">
        <f t="shared" si="7"/>
        <v>8</v>
      </c>
      <c r="C15" s="153">
        <f t="shared" si="8"/>
        <v>2026</v>
      </c>
      <c r="D15" s="152" t="str">
        <f t="shared" si="1"/>
        <v>2026-8</v>
      </c>
      <c r="E15" s="151">
        <f>+IF($B15="","",Summary!$P$4)</f>
        <v>45929</v>
      </c>
      <c r="F15" s="151">
        <f>+IF($B15="","",Summary!$P$5)</f>
        <v>46657</v>
      </c>
      <c r="G15" s="151">
        <f>+IF($B15="","",Summary!$P$6)</f>
        <v>46657</v>
      </c>
      <c r="H15" s="150" t="str">
        <f t="shared" si="2"/>
        <v>Green</v>
      </c>
      <c r="I15" s="148"/>
      <c r="J15" s="149"/>
      <c r="K15" s="148"/>
      <c r="L15" s="148"/>
      <c r="M15" s="148"/>
      <c r="N15" s="148" t="e">
        <f t="shared" si="3"/>
        <v>#REF!</v>
      </c>
      <c r="O15" s="148" t="e">
        <f>COUNTIFS(#REF!,"&gt;="&amp;DATE($C15,$B15,1),#REF!,"&lt;="&amp;EOMONTH(DATE($C15,$B15,1),0),#REF!,"Incident")+
COUNTIFS(#REF!,"&gt;="&amp;DATE($C15,$B15,1),#REF!,"&lt;="&amp;EOMONTH(DATE($C15,$B15,1),0),#REF!,"user_request")</f>
        <v>#REF!</v>
      </c>
      <c r="P15" s="147">
        <f t="shared" si="9"/>
        <v>0</v>
      </c>
      <c r="Q15" s="147">
        <f t="shared" si="10"/>
        <v>0</v>
      </c>
      <c r="R15" s="147">
        <f t="shared" si="11"/>
        <v>0</v>
      </c>
      <c r="S15" s="146" t="e">
        <f t="shared" si="12"/>
        <v>#REF!</v>
      </c>
      <c r="T15" s="146" t="e">
        <f t="shared" si="12"/>
        <v>#REF!</v>
      </c>
      <c r="U15" s="145">
        <f t="shared" si="4"/>
        <v>0</v>
      </c>
      <c r="V15" s="145" t="e">
        <f t="shared" si="5"/>
        <v>#REF!</v>
      </c>
      <c r="W15" s="142">
        <v>12</v>
      </c>
      <c r="X15" s="142" t="str">
        <f>+IF((VLOOKUP(A15,List!B:C,2,0)-VLOOKUP(Summary!$P$7,List!B:C,2,0))=0,1,"")</f>
        <v/>
      </c>
      <c r="Y15" s="198">
        <f>+IF((VLOOKUP(A15,List!B:C,2,0)-VLOOKUP(Summary!$P$7,List!B:C,2,0))&gt;=0,1,"")</f>
        <v>1</v>
      </c>
      <c r="Z15" s="198">
        <f>+IF((VLOOKUP(A15,List!B:C,2,0)-VLOOKUP(Summary!$P$7,List!B:C,2,0))&gt;0,1,"")</f>
        <v>1</v>
      </c>
      <c r="AA15" s="141">
        <f t="shared" si="6"/>
        <v>1</v>
      </c>
      <c r="AB15" s="199" t="str">
        <f>+IF(AA15="","",IF(Summary!$J$7="Fixed Price","",IF(M15="",IF(I15="","",1),"")))</f>
        <v/>
      </c>
      <c r="AC15" s="198">
        <f t="shared" si="13"/>
        <v>0</v>
      </c>
      <c r="AD15" s="198">
        <f>+IF(AA15="",+IF(N15&gt;#REF!,#REF!,IF(N15&gt;#REF!,#REF!,IF(N15&gt;#REF!,#REF!,IF(N15&gt;#REF!,#REF!,IF(N15&gt;#REF!,#REF!,IF(N15&gt;#REF!,#REF!,IF(N15&gt;#REF!,#REF!,IF(N15&gt;#REF!,#REF!,#REF!)))))))),0)</f>
        <v>0</v>
      </c>
    </row>
    <row r="16" spans="1:30" x14ac:dyDescent="0.2">
      <c r="A16" s="155" t="str">
        <f t="shared" si="0"/>
        <v>2026-9</v>
      </c>
      <c r="B16" s="154">
        <f t="shared" si="7"/>
        <v>9</v>
      </c>
      <c r="C16" s="153">
        <f t="shared" si="8"/>
        <v>2026</v>
      </c>
      <c r="D16" s="152" t="str">
        <f t="shared" si="1"/>
        <v>2026-9</v>
      </c>
      <c r="E16" s="159">
        <f>+IF($B16="","",Summary!$P$4)</f>
        <v>45929</v>
      </c>
      <c r="F16" s="159">
        <f>+IF($B16="","",Summary!$P$5)</f>
        <v>46657</v>
      </c>
      <c r="G16" s="159">
        <f>+IF($B16="","",Summary!$P$6)</f>
        <v>46657</v>
      </c>
      <c r="H16" s="158" t="str">
        <f t="shared" si="2"/>
        <v>Green</v>
      </c>
      <c r="I16" s="156"/>
      <c r="J16" s="160"/>
      <c r="K16" s="156"/>
      <c r="L16" s="156"/>
      <c r="M16" s="156"/>
      <c r="N16" s="156" t="e">
        <f t="shared" si="3"/>
        <v>#REF!</v>
      </c>
      <c r="O16" s="156" t="e">
        <f>COUNTIFS(#REF!,"&gt;="&amp;DATE($C16,$B16,1),#REF!,"&lt;="&amp;EOMONTH(DATE($C16,$B16,1),0),#REF!,"Incident")+
COUNTIFS(#REF!,"&gt;="&amp;DATE($C16,$B16,1),#REF!,"&lt;="&amp;EOMONTH(DATE($C16,$B16,1),0),#REF!,"user_request")</f>
        <v>#REF!</v>
      </c>
      <c r="P16" s="147">
        <f t="shared" si="9"/>
        <v>0</v>
      </c>
      <c r="Q16" s="147">
        <f t="shared" si="10"/>
        <v>0</v>
      </c>
      <c r="R16" s="147">
        <f t="shared" si="11"/>
        <v>0</v>
      </c>
      <c r="S16" s="146" t="e">
        <f t="shared" si="12"/>
        <v>#REF!</v>
      </c>
      <c r="T16" s="146" t="e">
        <f t="shared" si="12"/>
        <v>#REF!</v>
      </c>
      <c r="U16" s="145">
        <f t="shared" si="4"/>
        <v>0</v>
      </c>
      <c r="V16" s="145" t="e">
        <f t="shared" si="5"/>
        <v>#REF!</v>
      </c>
      <c r="W16" s="142">
        <v>13</v>
      </c>
      <c r="X16" s="142" t="str">
        <f>+IF((VLOOKUP(A16,List!B:C,2,0)-VLOOKUP(Summary!$P$7,List!B:C,2,0))=0,1,"")</f>
        <v/>
      </c>
      <c r="Y16" s="198">
        <f>+IF((VLOOKUP(A16,List!B:C,2,0)-VLOOKUP(Summary!$P$7,List!B:C,2,0))&gt;=0,1,"")</f>
        <v>1</v>
      </c>
      <c r="Z16" s="198">
        <f>+IF((VLOOKUP(A16,List!B:C,2,0)-VLOOKUP(Summary!$P$7,List!B:C,2,0))&gt;0,1,"")</f>
        <v>1</v>
      </c>
      <c r="AA16" s="141">
        <f t="shared" si="6"/>
        <v>1</v>
      </c>
      <c r="AB16" s="199" t="str">
        <f>+IF(AA16="","",IF(Summary!$J$7="Fixed Price","",IF(M16="",IF(I16="","",1),"")))</f>
        <v/>
      </c>
      <c r="AC16" s="198">
        <f t="shared" si="13"/>
        <v>0</v>
      </c>
      <c r="AD16" s="198">
        <f>+IF(AA16="",+IF(N16&gt;#REF!,#REF!,IF(N16&gt;#REF!,#REF!,IF(N16&gt;#REF!,#REF!,IF(N16&gt;#REF!,#REF!,IF(N16&gt;#REF!,#REF!,IF(N16&gt;#REF!,#REF!,IF(N16&gt;#REF!,#REF!,IF(N16&gt;#REF!,#REF!,#REF!)))))))),0)</f>
        <v>0</v>
      </c>
    </row>
    <row r="17" spans="1:30" x14ac:dyDescent="0.2">
      <c r="A17" s="155" t="str">
        <f t="shared" si="0"/>
        <v>2026-10</v>
      </c>
      <c r="B17" s="154">
        <f t="shared" si="7"/>
        <v>10</v>
      </c>
      <c r="C17" s="153">
        <f t="shared" si="8"/>
        <v>2026</v>
      </c>
      <c r="D17" s="152" t="str">
        <f t="shared" si="1"/>
        <v>2026-10</v>
      </c>
      <c r="E17" s="151">
        <f>+IF($B17="","",Summary!$P$4)</f>
        <v>45929</v>
      </c>
      <c r="F17" s="151">
        <f>+IF($B17="","",Summary!$P$5)</f>
        <v>46657</v>
      </c>
      <c r="G17" s="151">
        <f>+IF($B17="","",Summary!$P$6)</f>
        <v>46657</v>
      </c>
      <c r="H17" s="150" t="str">
        <f t="shared" si="2"/>
        <v>Green</v>
      </c>
      <c r="I17" s="148"/>
      <c r="J17" s="161"/>
      <c r="K17" s="148"/>
      <c r="L17" s="148"/>
      <c r="M17" s="148"/>
      <c r="N17" s="148" t="e">
        <f t="shared" si="3"/>
        <v>#REF!</v>
      </c>
      <c r="O17" s="148" t="e">
        <f>COUNTIFS(#REF!,"&gt;="&amp;DATE($C17,$B17,1),#REF!,"&lt;="&amp;EOMONTH(DATE($C17,$B17,1),0),#REF!,"Incident")+
COUNTIFS(#REF!,"&gt;="&amp;DATE($C17,$B17,1),#REF!,"&lt;="&amp;EOMONTH(DATE($C17,$B17,1),0),#REF!,"user_request")</f>
        <v>#REF!</v>
      </c>
      <c r="P17" s="147">
        <f t="shared" si="9"/>
        <v>0</v>
      </c>
      <c r="Q17" s="147">
        <f t="shared" si="10"/>
        <v>0</v>
      </c>
      <c r="R17" s="147">
        <f t="shared" si="11"/>
        <v>0</v>
      </c>
      <c r="S17" s="146" t="e">
        <f t="shared" si="12"/>
        <v>#REF!</v>
      </c>
      <c r="T17" s="146" t="e">
        <f t="shared" si="12"/>
        <v>#REF!</v>
      </c>
      <c r="U17" s="145">
        <f t="shared" si="4"/>
        <v>0</v>
      </c>
      <c r="V17" s="145" t="e">
        <f t="shared" si="5"/>
        <v>#REF!</v>
      </c>
      <c r="W17" s="142">
        <v>14</v>
      </c>
      <c r="X17" s="142" t="str">
        <f>+IF((VLOOKUP(A17,List!B:C,2,0)-VLOOKUP(Summary!$P$7,List!B:C,2,0))=0,1,"")</f>
        <v/>
      </c>
      <c r="Y17" s="198">
        <f>+IF((VLOOKUP(A17,List!B:C,2,0)-VLOOKUP(Summary!$P$7,List!B:C,2,0))&gt;=0,1,"")</f>
        <v>1</v>
      </c>
      <c r="Z17" s="198">
        <f>+IF((VLOOKUP(A17,List!B:C,2,0)-VLOOKUP(Summary!$P$7,List!B:C,2,0))&gt;0,1,"")</f>
        <v>1</v>
      </c>
      <c r="AA17" s="141">
        <f t="shared" si="6"/>
        <v>1</v>
      </c>
      <c r="AB17" s="199" t="str">
        <f>+IF(AA17="","",IF(Summary!$J$7="Fixed Price","",IF(M17="",IF(I17="","",1),"")))</f>
        <v/>
      </c>
      <c r="AC17" s="198">
        <f t="shared" si="13"/>
        <v>0</v>
      </c>
      <c r="AD17" s="198">
        <f>+IF(AA17="",+IF(N17&gt;#REF!,#REF!,IF(N17&gt;#REF!,#REF!,IF(N17&gt;#REF!,#REF!,IF(N17&gt;#REF!,#REF!,IF(N17&gt;#REF!,#REF!,IF(N17&gt;#REF!,#REF!,IF(N17&gt;#REF!,#REF!,IF(N17&gt;#REF!,#REF!,#REF!)))))))),0)</f>
        <v>0</v>
      </c>
    </row>
    <row r="18" spans="1:30" x14ac:dyDescent="0.2">
      <c r="A18" s="155" t="str">
        <f t="shared" si="0"/>
        <v>2026-11</v>
      </c>
      <c r="B18" s="154">
        <f t="shared" si="7"/>
        <v>11</v>
      </c>
      <c r="C18" s="153">
        <f t="shared" si="8"/>
        <v>2026</v>
      </c>
      <c r="D18" s="152" t="str">
        <f t="shared" si="1"/>
        <v>2026-11</v>
      </c>
      <c r="E18" s="159">
        <f>+IF($B18="","",Summary!$P$4)</f>
        <v>45929</v>
      </c>
      <c r="F18" s="159">
        <f>+IF($B18="","",Summary!$P$5)</f>
        <v>46657</v>
      </c>
      <c r="G18" s="159">
        <f>+IF($B18="","",Summary!$P$6)</f>
        <v>46657</v>
      </c>
      <c r="H18" s="158" t="str">
        <f t="shared" si="2"/>
        <v>Green</v>
      </c>
      <c r="I18" s="156"/>
      <c r="J18" s="160"/>
      <c r="K18" s="156"/>
      <c r="L18" s="156"/>
      <c r="M18" s="156"/>
      <c r="N18" s="156" t="e">
        <f t="shared" si="3"/>
        <v>#REF!</v>
      </c>
      <c r="O18" s="156" t="e">
        <f>COUNTIFS(#REF!,"&gt;="&amp;DATE($C18,$B18,1),#REF!,"&lt;="&amp;EOMONTH(DATE($C18,$B18,1),0),#REF!,"Incident")+
COUNTIFS(#REF!,"&gt;="&amp;DATE($C18,$B18,1),#REF!,"&lt;="&amp;EOMONTH(DATE($C18,$B18,1),0),#REF!,"user_request")</f>
        <v>#REF!</v>
      </c>
      <c r="P18" s="147">
        <f t="shared" si="9"/>
        <v>0</v>
      </c>
      <c r="Q18" s="147">
        <f t="shared" si="10"/>
        <v>0</v>
      </c>
      <c r="R18" s="147">
        <f t="shared" si="11"/>
        <v>0</v>
      </c>
      <c r="S18" s="146" t="e">
        <f t="shared" si="12"/>
        <v>#REF!</v>
      </c>
      <c r="T18" s="146" t="e">
        <f t="shared" si="12"/>
        <v>#REF!</v>
      </c>
      <c r="U18" s="145">
        <f t="shared" si="4"/>
        <v>0</v>
      </c>
      <c r="V18" s="145" t="e">
        <f t="shared" si="5"/>
        <v>#REF!</v>
      </c>
      <c r="W18" s="142">
        <v>15</v>
      </c>
      <c r="X18" s="142" t="str">
        <f>+IF((VLOOKUP(A18,List!B:C,2,0)-VLOOKUP(Summary!$P$7,List!B:C,2,0))=0,1,"")</f>
        <v/>
      </c>
      <c r="Y18" s="198">
        <f>+IF((VLOOKUP(A18,List!B:C,2,0)-VLOOKUP(Summary!$P$7,List!B:C,2,0))&gt;=0,1,"")</f>
        <v>1</v>
      </c>
      <c r="Z18" s="198">
        <f>+IF((VLOOKUP(A18,List!B:C,2,0)-VLOOKUP(Summary!$P$7,List!B:C,2,0))&gt;0,1,"")</f>
        <v>1</v>
      </c>
      <c r="AA18" s="141">
        <f t="shared" si="6"/>
        <v>1</v>
      </c>
      <c r="AB18" s="199" t="str">
        <f>+IF(AA18="","",IF(Summary!$J$7="Fixed Price","",IF(M18="",IF(I18="","",1),"")))</f>
        <v/>
      </c>
      <c r="AC18" s="198">
        <f t="shared" si="13"/>
        <v>0</v>
      </c>
      <c r="AD18" s="198">
        <f>+IF(AA18="",+IF(N18&gt;#REF!,#REF!,IF(N18&gt;#REF!,#REF!,IF(N18&gt;#REF!,#REF!,IF(N18&gt;#REF!,#REF!,IF(N18&gt;#REF!,#REF!,IF(N18&gt;#REF!,#REF!,IF(N18&gt;#REF!,#REF!,IF(N18&gt;#REF!,#REF!,#REF!)))))))),0)</f>
        <v>0</v>
      </c>
    </row>
    <row r="19" spans="1:30" x14ac:dyDescent="0.2">
      <c r="A19" s="155" t="str">
        <f t="shared" si="0"/>
        <v>2026-12</v>
      </c>
      <c r="B19" s="154">
        <f t="shared" si="7"/>
        <v>12</v>
      </c>
      <c r="C19" s="153">
        <f t="shared" si="8"/>
        <v>2026</v>
      </c>
      <c r="D19" s="152" t="str">
        <f t="shared" si="1"/>
        <v>2026-12</v>
      </c>
      <c r="E19" s="151">
        <f>+IF($B19="","",Summary!$P$4)</f>
        <v>45929</v>
      </c>
      <c r="F19" s="151">
        <f>+IF($B19="","",Summary!$P$5)</f>
        <v>46657</v>
      </c>
      <c r="G19" s="151">
        <f>+IF($B19="","",Summary!$P$6)</f>
        <v>46657</v>
      </c>
      <c r="H19" s="150" t="str">
        <f t="shared" si="2"/>
        <v>Green</v>
      </c>
      <c r="I19" s="148"/>
      <c r="J19" s="161"/>
      <c r="K19" s="148"/>
      <c r="L19" s="148"/>
      <c r="M19" s="148"/>
      <c r="N19" s="148" t="e">
        <f t="shared" si="3"/>
        <v>#REF!</v>
      </c>
      <c r="O19" s="148" t="e">
        <f>COUNTIFS(#REF!,"&gt;="&amp;DATE($C19,$B19,1),#REF!,"&lt;="&amp;EOMONTH(DATE($C19,$B19,1),0),#REF!,"Incident")+
COUNTIFS(#REF!,"&gt;="&amp;DATE($C19,$B19,1),#REF!,"&lt;="&amp;EOMONTH(DATE($C19,$B19,1),0),#REF!,"user_request")</f>
        <v>#REF!</v>
      </c>
      <c r="P19" s="147">
        <f t="shared" si="9"/>
        <v>0</v>
      </c>
      <c r="Q19" s="147">
        <f t="shared" si="10"/>
        <v>0</v>
      </c>
      <c r="R19" s="147">
        <f t="shared" si="11"/>
        <v>0</v>
      </c>
      <c r="S19" s="146" t="e">
        <f t="shared" si="12"/>
        <v>#REF!</v>
      </c>
      <c r="T19" s="146" t="e">
        <f t="shared" si="12"/>
        <v>#REF!</v>
      </c>
      <c r="U19" s="145">
        <f t="shared" si="4"/>
        <v>0</v>
      </c>
      <c r="V19" s="145" t="e">
        <f t="shared" si="5"/>
        <v>#REF!</v>
      </c>
      <c r="W19" s="142">
        <v>16</v>
      </c>
      <c r="X19" s="142" t="str">
        <f>+IF((VLOOKUP(A19,List!B:C,2,0)-VLOOKUP(Summary!$P$7,List!B:C,2,0))=0,1,"")</f>
        <v/>
      </c>
      <c r="Y19" s="198">
        <f>+IF((VLOOKUP(A19,List!B:C,2,0)-VLOOKUP(Summary!$P$7,List!B:C,2,0))&gt;=0,1,"")</f>
        <v>1</v>
      </c>
      <c r="Z19" s="198">
        <f>+IF((VLOOKUP(A19,List!B:C,2,0)-VLOOKUP(Summary!$P$7,List!B:C,2,0))&gt;0,1,"")</f>
        <v>1</v>
      </c>
      <c r="AA19" s="141">
        <f t="shared" si="6"/>
        <v>1</v>
      </c>
      <c r="AB19" s="199" t="str">
        <f>+IF(AA19="","",IF(Summary!$J$7="Fixed Price","",IF(M19="",IF(I19="","",1),"")))</f>
        <v/>
      </c>
      <c r="AC19" s="198">
        <f t="shared" si="13"/>
        <v>0</v>
      </c>
      <c r="AD19" s="198">
        <f>+IF(AA19="",+IF(N19&gt;#REF!,#REF!,IF(N19&gt;#REF!,#REF!,IF(N19&gt;#REF!,#REF!,IF(N19&gt;#REF!,#REF!,IF(N19&gt;#REF!,#REF!,IF(N19&gt;#REF!,#REF!,IF(N19&gt;#REF!,#REF!,IF(N19&gt;#REF!,#REF!,#REF!)))))))),0)</f>
        <v>0</v>
      </c>
    </row>
    <row r="20" spans="1:30" x14ac:dyDescent="0.2">
      <c r="A20" s="155" t="str">
        <f t="shared" si="0"/>
        <v>2027-1</v>
      </c>
      <c r="B20" s="154">
        <f t="shared" si="7"/>
        <v>1</v>
      </c>
      <c r="C20" s="153">
        <f t="shared" si="8"/>
        <v>2027</v>
      </c>
      <c r="D20" s="152" t="str">
        <f t="shared" si="1"/>
        <v>2027-1</v>
      </c>
      <c r="E20" s="159">
        <f>+IF($B20="","",Summary!$P$4)</f>
        <v>45929</v>
      </c>
      <c r="F20" s="159">
        <f>+IF($B20="","",Summary!$P$5)</f>
        <v>46657</v>
      </c>
      <c r="G20" s="159">
        <f>+IF($B20="","",Summary!$P$6)</f>
        <v>46657</v>
      </c>
      <c r="H20" s="158" t="str">
        <f t="shared" si="2"/>
        <v>Green</v>
      </c>
      <c r="I20" s="156"/>
      <c r="J20" s="160"/>
      <c r="K20" s="156"/>
      <c r="L20" s="156"/>
      <c r="M20" s="156"/>
      <c r="N20" s="156" t="e">
        <f t="shared" si="3"/>
        <v>#REF!</v>
      </c>
      <c r="O20" s="156" t="e">
        <f>COUNTIFS(#REF!,"&gt;="&amp;DATE($C20,$B20,1),#REF!,"&lt;="&amp;EOMONTH(DATE($C20,$B20,1),0),#REF!,"Incident")+
COUNTIFS(#REF!,"&gt;="&amp;DATE($C20,$B20,1),#REF!,"&lt;="&amp;EOMONTH(DATE($C20,$B20,1),0),#REF!,"user_request")</f>
        <v>#REF!</v>
      </c>
      <c r="P20" s="147">
        <f t="shared" si="9"/>
        <v>0</v>
      </c>
      <c r="Q20" s="147">
        <f t="shared" si="10"/>
        <v>0</v>
      </c>
      <c r="R20" s="147">
        <f t="shared" si="11"/>
        <v>0</v>
      </c>
      <c r="S20" s="146" t="e">
        <f t="shared" si="12"/>
        <v>#REF!</v>
      </c>
      <c r="T20" s="146" t="e">
        <f t="shared" si="12"/>
        <v>#REF!</v>
      </c>
      <c r="U20" s="145">
        <f t="shared" si="4"/>
        <v>0</v>
      </c>
      <c r="V20" s="145" t="e">
        <f t="shared" si="5"/>
        <v>#REF!</v>
      </c>
      <c r="W20" s="142">
        <v>17</v>
      </c>
      <c r="X20" s="142" t="str">
        <f>+IF((VLOOKUP(A20,List!B:C,2,0)-VLOOKUP(Summary!$P$7,List!B:C,2,0))=0,1,"")</f>
        <v/>
      </c>
      <c r="Y20" s="198">
        <f>+IF((VLOOKUP(A20,List!B:C,2,0)-VLOOKUP(Summary!$P$7,List!B:C,2,0))&gt;=0,1,"")</f>
        <v>1</v>
      </c>
      <c r="Z20" s="198">
        <f>+IF((VLOOKUP(A20,List!B:C,2,0)-VLOOKUP(Summary!$P$7,List!B:C,2,0))&gt;0,1,"")</f>
        <v>1</v>
      </c>
      <c r="AA20" s="141">
        <f t="shared" si="6"/>
        <v>1</v>
      </c>
      <c r="AB20" s="199" t="str">
        <f>+IF(AA20="","",IF(Summary!$J$7="Fixed Price","",IF(M20="",IF(I20="","",1),"")))</f>
        <v/>
      </c>
      <c r="AC20" s="198">
        <f t="shared" si="13"/>
        <v>0</v>
      </c>
      <c r="AD20" s="198">
        <f>+IF(AA20="",+IF(N20&gt;#REF!,#REF!,IF(N20&gt;#REF!,#REF!,IF(N20&gt;#REF!,#REF!,IF(N20&gt;#REF!,#REF!,IF(N20&gt;#REF!,#REF!,IF(N20&gt;#REF!,#REF!,IF(N20&gt;#REF!,#REF!,IF(N20&gt;#REF!,#REF!,#REF!)))))))),0)</f>
        <v>0</v>
      </c>
    </row>
    <row r="21" spans="1:30" x14ac:dyDescent="0.2">
      <c r="A21" s="155" t="str">
        <f t="shared" si="0"/>
        <v>2027-2</v>
      </c>
      <c r="B21" s="154">
        <f t="shared" si="7"/>
        <v>2</v>
      </c>
      <c r="C21" s="153">
        <f t="shared" si="8"/>
        <v>2027</v>
      </c>
      <c r="D21" s="152" t="str">
        <f t="shared" si="1"/>
        <v>2027-2</v>
      </c>
      <c r="E21" s="151">
        <f>+IF($B21="","",Summary!$P$4)</f>
        <v>45929</v>
      </c>
      <c r="F21" s="151">
        <f>+IF($B21="","",Summary!$P$5)</f>
        <v>46657</v>
      </c>
      <c r="G21" s="151">
        <f>+IF($B21="","",Summary!$P$6)</f>
        <v>46657</v>
      </c>
      <c r="H21" s="150" t="str">
        <f t="shared" si="2"/>
        <v>Green</v>
      </c>
      <c r="I21" s="148"/>
      <c r="J21" s="161"/>
      <c r="K21" s="148"/>
      <c r="L21" s="148"/>
      <c r="M21" s="148"/>
      <c r="N21" s="148" t="e">
        <f t="shared" si="3"/>
        <v>#REF!</v>
      </c>
      <c r="O21" s="148" t="e">
        <f>COUNTIFS(#REF!,"&gt;="&amp;DATE($C21,$B21,1),#REF!,"&lt;="&amp;EOMONTH(DATE($C21,$B21,1),0),#REF!,"Incident")+
COUNTIFS(#REF!,"&gt;="&amp;DATE($C21,$B21,1),#REF!,"&lt;="&amp;EOMONTH(DATE($C21,$B21,1),0),#REF!,"user_request")</f>
        <v>#REF!</v>
      </c>
      <c r="P21" s="147">
        <f t="shared" si="9"/>
        <v>0</v>
      </c>
      <c r="Q21" s="147">
        <f t="shared" si="10"/>
        <v>0</v>
      </c>
      <c r="R21" s="147">
        <f t="shared" si="11"/>
        <v>0</v>
      </c>
      <c r="S21" s="146" t="e">
        <f t="shared" ref="S21:T36" si="14">N21+S20</f>
        <v>#REF!</v>
      </c>
      <c r="T21" s="146" t="e">
        <f t="shared" si="14"/>
        <v>#REF!</v>
      </c>
      <c r="U21" s="145">
        <f t="shared" si="4"/>
        <v>0</v>
      </c>
      <c r="V21" s="145" t="e">
        <f t="shared" si="5"/>
        <v>#REF!</v>
      </c>
      <c r="W21" s="142">
        <v>18</v>
      </c>
      <c r="X21" s="142" t="str">
        <f>+IF((VLOOKUP(A21,List!B:C,2,0)-VLOOKUP(Summary!$P$7,List!B:C,2,0))=0,1,"")</f>
        <v/>
      </c>
      <c r="Y21" s="198">
        <f>+IF((VLOOKUP(A21,List!B:C,2,0)-VLOOKUP(Summary!$P$7,List!B:C,2,0))&gt;=0,1,"")</f>
        <v>1</v>
      </c>
      <c r="Z21" s="198">
        <f>+IF((VLOOKUP(A21,List!B:C,2,0)-VLOOKUP(Summary!$P$7,List!B:C,2,0))&gt;0,1,"")</f>
        <v>1</v>
      </c>
      <c r="AA21" s="141">
        <f t="shared" si="6"/>
        <v>1</v>
      </c>
      <c r="AB21" s="199" t="str">
        <f>+IF(AA21="","",IF(Summary!$J$7="Fixed Price","",IF(M21="",IF(I21="","",1),"")))</f>
        <v/>
      </c>
      <c r="AC21" s="198">
        <f t="shared" si="13"/>
        <v>0</v>
      </c>
      <c r="AD21" s="198">
        <f>+IF(AA21="",+IF(N21&gt;#REF!,#REF!,IF(N21&gt;#REF!,#REF!,IF(N21&gt;#REF!,#REF!,IF(N21&gt;#REF!,#REF!,IF(N21&gt;#REF!,#REF!,IF(N21&gt;#REF!,#REF!,IF(N21&gt;#REF!,#REF!,IF(N21&gt;#REF!,#REF!,#REF!)))))))),0)</f>
        <v>0</v>
      </c>
    </row>
    <row r="22" spans="1:30" x14ac:dyDescent="0.2">
      <c r="A22" s="155" t="str">
        <f t="shared" si="0"/>
        <v>2027-3</v>
      </c>
      <c r="B22" s="154">
        <f t="shared" si="7"/>
        <v>3</v>
      </c>
      <c r="C22" s="153">
        <f t="shared" si="8"/>
        <v>2027</v>
      </c>
      <c r="D22" s="152" t="str">
        <f t="shared" si="1"/>
        <v>2027-3</v>
      </c>
      <c r="E22" s="159">
        <f>+IF($B22="","",Summary!$P$4)</f>
        <v>45929</v>
      </c>
      <c r="F22" s="159">
        <f>+IF($B22="","",Summary!$P$5)</f>
        <v>46657</v>
      </c>
      <c r="G22" s="159">
        <f>+IF($B22="","",Summary!$P$6)</f>
        <v>46657</v>
      </c>
      <c r="H22" s="158" t="str">
        <f t="shared" si="2"/>
        <v>Green</v>
      </c>
      <c r="I22" s="156"/>
      <c r="J22" s="160"/>
      <c r="K22" s="156"/>
      <c r="L22" s="156"/>
      <c r="M22" s="156"/>
      <c r="N22" s="156" t="e">
        <f t="shared" si="3"/>
        <v>#REF!</v>
      </c>
      <c r="O22" s="156" t="e">
        <f>COUNTIFS(#REF!,"&gt;="&amp;DATE($C22,$B22,1),#REF!,"&lt;="&amp;EOMONTH(DATE($C22,$B22,1),0),#REF!,"Incident")+
COUNTIFS(#REF!,"&gt;="&amp;DATE($C22,$B22,1),#REF!,"&lt;="&amp;EOMONTH(DATE($C22,$B22,1),0),#REF!,"user_request")</f>
        <v>#REF!</v>
      </c>
      <c r="P22" s="147">
        <f t="shared" si="9"/>
        <v>0</v>
      </c>
      <c r="Q22" s="147">
        <f t="shared" si="10"/>
        <v>0</v>
      </c>
      <c r="R22" s="147">
        <f t="shared" si="11"/>
        <v>0</v>
      </c>
      <c r="S22" s="146" t="e">
        <f t="shared" si="14"/>
        <v>#REF!</v>
      </c>
      <c r="T22" s="146" t="e">
        <f t="shared" si="14"/>
        <v>#REF!</v>
      </c>
      <c r="U22" s="145">
        <f t="shared" si="4"/>
        <v>0</v>
      </c>
      <c r="V22" s="145" t="e">
        <f t="shared" si="5"/>
        <v>#REF!</v>
      </c>
      <c r="W22" s="142">
        <v>19</v>
      </c>
      <c r="X22" s="142" t="str">
        <f>+IF((VLOOKUP(A22,List!B:C,2,0)-VLOOKUP(Summary!$P$7,List!B:C,2,0))=0,1,"")</f>
        <v/>
      </c>
      <c r="Y22" s="198">
        <f>+IF((VLOOKUP(A22,List!B:C,2,0)-VLOOKUP(Summary!$P$7,List!B:C,2,0))&gt;=0,1,"")</f>
        <v>1</v>
      </c>
      <c r="Z22" s="198">
        <f>+IF((VLOOKUP(A22,List!B:C,2,0)-VLOOKUP(Summary!$P$7,List!B:C,2,0))&gt;0,1,"")</f>
        <v>1</v>
      </c>
      <c r="AA22" s="141">
        <f t="shared" si="6"/>
        <v>1</v>
      </c>
      <c r="AB22" s="199" t="str">
        <f>+IF(AA22="","",IF(Summary!$J$7="Fixed Price","",IF(M22="",IF(I22="","",1),"")))</f>
        <v/>
      </c>
      <c r="AC22" s="198">
        <f t="shared" si="13"/>
        <v>0</v>
      </c>
      <c r="AD22" s="198">
        <f>+IF(AA22="",+IF(N22&gt;#REF!,#REF!,IF(N22&gt;#REF!,#REF!,IF(N22&gt;#REF!,#REF!,IF(N22&gt;#REF!,#REF!,IF(N22&gt;#REF!,#REF!,IF(N22&gt;#REF!,#REF!,IF(N22&gt;#REF!,#REF!,IF(N22&gt;#REF!,#REF!,#REF!)))))))),0)</f>
        <v>0</v>
      </c>
    </row>
    <row r="23" spans="1:30" x14ac:dyDescent="0.2">
      <c r="A23" s="155" t="str">
        <f t="shared" si="0"/>
        <v>2027-4</v>
      </c>
      <c r="B23" s="154">
        <f t="shared" si="7"/>
        <v>4</v>
      </c>
      <c r="C23" s="153">
        <f t="shared" si="8"/>
        <v>2027</v>
      </c>
      <c r="D23" s="152" t="str">
        <f t="shared" si="1"/>
        <v>2027-4</v>
      </c>
      <c r="E23" s="151">
        <f>+IF($B23="","",Summary!$P$4)</f>
        <v>45929</v>
      </c>
      <c r="F23" s="151">
        <f>+IF($B23="","",Summary!$P$5)</f>
        <v>46657</v>
      </c>
      <c r="G23" s="151">
        <f>+IF($B23="","",Summary!$P$6)</f>
        <v>46657</v>
      </c>
      <c r="H23" s="150" t="str">
        <f t="shared" si="2"/>
        <v>Green</v>
      </c>
      <c r="I23" s="148"/>
      <c r="J23" s="148"/>
      <c r="K23" s="148"/>
      <c r="L23" s="148"/>
      <c r="M23" s="148"/>
      <c r="N23" s="148" t="e">
        <f t="shared" si="3"/>
        <v>#REF!</v>
      </c>
      <c r="O23" s="148" t="e">
        <f>COUNTIFS(#REF!,"&gt;="&amp;DATE($C23,$B23,1),#REF!,"&lt;="&amp;EOMONTH(DATE($C23,$B23,1),0),#REF!,"Incident")+
COUNTIFS(#REF!,"&gt;="&amp;DATE($C23,$B23,1),#REF!,"&lt;="&amp;EOMONTH(DATE($C23,$B23,1),0),#REF!,"user_request")</f>
        <v>#REF!</v>
      </c>
      <c r="P23" s="147">
        <f t="shared" si="9"/>
        <v>0</v>
      </c>
      <c r="Q23" s="147">
        <f t="shared" si="10"/>
        <v>0</v>
      </c>
      <c r="R23" s="147">
        <f t="shared" si="11"/>
        <v>0</v>
      </c>
      <c r="S23" s="146" t="e">
        <f t="shared" si="14"/>
        <v>#REF!</v>
      </c>
      <c r="T23" s="146" t="e">
        <f t="shared" si="14"/>
        <v>#REF!</v>
      </c>
      <c r="U23" s="145">
        <f t="shared" si="4"/>
        <v>0</v>
      </c>
      <c r="V23" s="145" t="e">
        <f t="shared" si="5"/>
        <v>#REF!</v>
      </c>
      <c r="W23" s="142">
        <v>20</v>
      </c>
      <c r="X23" s="142" t="str">
        <f>+IF((VLOOKUP(A23,List!B:C,2,0)-VLOOKUP(Summary!$P$7,List!B:C,2,0))=0,1,"")</f>
        <v/>
      </c>
      <c r="Y23" s="198">
        <f>+IF((VLOOKUP(A23,List!B:C,2,0)-VLOOKUP(Summary!$P$7,List!B:C,2,0))&gt;=0,1,"")</f>
        <v>1</v>
      </c>
      <c r="Z23" s="198">
        <f>+IF((VLOOKUP(A23,List!B:C,2,0)-VLOOKUP(Summary!$P$7,List!B:C,2,0))&gt;0,1,"")</f>
        <v>1</v>
      </c>
      <c r="AA23" s="141">
        <f t="shared" si="6"/>
        <v>1</v>
      </c>
      <c r="AB23" s="199" t="str">
        <f>+IF(AA23="","",IF(Summary!$J$7="Fixed Price","",IF(M23="",IF(I23="","",1),"")))</f>
        <v/>
      </c>
      <c r="AC23" s="198">
        <f t="shared" si="13"/>
        <v>0</v>
      </c>
      <c r="AD23" s="198">
        <f>+IF(AA23="",+IF(N23&gt;#REF!,#REF!,IF(N23&gt;#REF!,#REF!,IF(N23&gt;#REF!,#REF!,IF(N23&gt;#REF!,#REF!,IF(N23&gt;#REF!,#REF!,IF(N23&gt;#REF!,#REF!,IF(N23&gt;#REF!,#REF!,IF(N23&gt;#REF!,#REF!,#REF!)))))))),0)</f>
        <v>0</v>
      </c>
    </row>
    <row r="24" spans="1:30" x14ac:dyDescent="0.2">
      <c r="A24" s="155" t="str">
        <f t="shared" si="0"/>
        <v>2027-5</v>
      </c>
      <c r="B24" s="154">
        <f t="shared" si="7"/>
        <v>5</v>
      </c>
      <c r="C24" s="153">
        <f t="shared" si="8"/>
        <v>2027</v>
      </c>
      <c r="D24" s="152" t="str">
        <f t="shared" si="1"/>
        <v>2027-5</v>
      </c>
      <c r="E24" s="159">
        <f>+IF($B24="","",Summary!$P$4)</f>
        <v>45929</v>
      </c>
      <c r="F24" s="159">
        <f>+IF($B24="","",Summary!$P$5)</f>
        <v>46657</v>
      </c>
      <c r="G24" s="159">
        <f>+IF($B24="","",Summary!$P$6)</f>
        <v>46657</v>
      </c>
      <c r="H24" s="158" t="str">
        <f t="shared" si="2"/>
        <v>Green</v>
      </c>
      <c r="I24" s="156"/>
      <c r="J24" s="156"/>
      <c r="K24" s="156"/>
      <c r="L24" s="156"/>
      <c r="M24" s="156"/>
      <c r="N24" s="156" t="e">
        <f t="shared" si="3"/>
        <v>#REF!</v>
      </c>
      <c r="O24" s="156" t="e">
        <f>COUNTIFS(#REF!,"&gt;="&amp;DATE($C24,$B24,1),#REF!,"&lt;="&amp;EOMONTH(DATE($C24,$B24,1),0),#REF!,"Incident")+
COUNTIFS(#REF!,"&gt;="&amp;DATE($C24,$B24,1),#REF!,"&lt;="&amp;EOMONTH(DATE($C24,$B24,1),0),#REF!,"user_request")</f>
        <v>#REF!</v>
      </c>
      <c r="P24" s="147">
        <f t="shared" si="9"/>
        <v>0</v>
      </c>
      <c r="Q24" s="147">
        <f t="shared" si="10"/>
        <v>0</v>
      </c>
      <c r="R24" s="147">
        <f t="shared" si="11"/>
        <v>0</v>
      </c>
      <c r="S24" s="146" t="e">
        <f t="shared" si="14"/>
        <v>#REF!</v>
      </c>
      <c r="T24" s="146" t="e">
        <f t="shared" si="14"/>
        <v>#REF!</v>
      </c>
      <c r="U24" s="145">
        <f t="shared" si="4"/>
        <v>0</v>
      </c>
      <c r="V24" s="145" t="e">
        <f t="shared" si="5"/>
        <v>#REF!</v>
      </c>
      <c r="W24" s="142">
        <v>21</v>
      </c>
      <c r="X24" s="142" t="str">
        <f>+IF((VLOOKUP(A24,List!B:C,2,0)-VLOOKUP(Summary!$P$7,List!B:C,2,0))=0,1,"")</f>
        <v/>
      </c>
      <c r="Y24" s="198">
        <f>+IF((VLOOKUP(A24,List!B:C,2,0)-VLOOKUP(Summary!$P$7,List!B:C,2,0))&gt;=0,1,"")</f>
        <v>1</v>
      </c>
      <c r="Z24" s="198">
        <f>+IF((VLOOKUP(A24,List!B:C,2,0)-VLOOKUP(Summary!$P$7,List!B:C,2,0))&gt;0,1,"")</f>
        <v>1</v>
      </c>
      <c r="AA24" s="141">
        <f t="shared" si="6"/>
        <v>1</v>
      </c>
      <c r="AB24" s="199" t="str">
        <f>+IF(AA24="","",IF(Summary!$J$7="Fixed Price","",IF(M24="",IF(I24="","",1),"")))</f>
        <v/>
      </c>
      <c r="AC24" s="198">
        <f t="shared" si="13"/>
        <v>0</v>
      </c>
      <c r="AD24" s="198">
        <f>+IF(AA24="",+IF(N24&gt;#REF!,#REF!,IF(N24&gt;#REF!,#REF!,IF(N24&gt;#REF!,#REF!,IF(N24&gt;#REF!,#REF!,IF(N24&gt;#REF!,#REF!,IF(N24&gt;#REF!,#REF!,IF(N24&gt;#REF!,#REF!,IF(N24&gt;#REF!,#REF!,#REF!)))))))),0)</f>
        <v>0</v>
      </c>
    </row>
    <row r="25" spans="1:30" x14ac:dyDescent="0.2">
      <c r="A25" s="155" t="str">
        <f t="shared" si="0"/>
        <v>2027-6</v>
      </c>
      <c r="B25" s="154">
        <f t="shared" si="7"/>
        <v>6</v>
      </c>
      <c r="C25" s="153">
        <f t="shared" si="8"/>
        <v>2027</v>
      </c>
      <c r="D25" s="152" t="str">
        <f t="shared" si="1"/>
        <v>2027-6</v>
      </c>
      <c r="E25" s="151">
        <f>+IF($B25="","",Summary!$P$4)</f>
        <v>45929</v>
      </c>
      <c r="F25" s="151">
        <f>+IF($B25="","",Summary!$P$5)</f>
        <v>46657</v>
      </c>
      <c r="G25" s="151">
        <f>+IF($B25="","",Summary!$P$6)</f>
        <v>46657</v>
      </c>
      <c r="H25" s="150" t="str">
        <f t="shared" si="2"/>
        <v>Green</v>
      </c>
      <c r="I25" s="148"/>
      <c r="J25" s="148"/>
      <c r="K25" s="148"/>
      <c r="L25" s="148"/>
      <c r="M25" s="148"/>
      <c r="N25" s="148" t="e">
        <f t="shared" si="3"/>
        <v>#REF!</v>
      </c>
      <c r="O25" s="148" t="e">
        <f>COUNTIFS(#REF!,"&gt;="&amp;DATE($C25,$B25,1),#REF!,"&lt;="&amp;EOMONTH(DATE($C25,$B25,1),0),#REF!,"Incident")+
COUNTIFS(#REF!,"&gt;="&amp;DATE($C25,$B25,1),#REF!,"&lt;="&amp;EOMONTH(DATE($C25,$B25,1),0),#REF!,"user_request")</f>
        <v>#REF!</v>
      </c>
      <c r="P25" s="147">
        <f t="shared" si="9"/>
        <v>0</v>
      </c>
      <c r="Q25" s="147">
        <f t="shared" si="10"/>
        <v>0</v>
      </c>
      <c r="R25" s="147">
        <f t="shared" si="11"/>
        <v>0</v>
      </c>
      <c r="S25" s="146" t="e">
        <f t="shared" si="14"/>
        <v>#REF!</v>
      </c>
      <c r="T25" s="146" t="e">
        <f t="shared" si="14"/>
        <v>#REF!</v>
      </c>
      <c r="U25" s="145">
        <f t="shared" si="4"/>
        <v>0</v>
      </c>
      <c r="V25" s="145" t="e">
        <f t="shared" si="5"/>
        <v>#REF!</v>
      </c>
      <c r="W25" s="142">
        <v>22</v>
      </c>
      <c r="X25" s="142" t="str">
        <f>+IF((VLOOKUP(A25,List!B:C,2,0)-VLOOKUP(Summary!$P$7,List!B:C,2,0))=0,1,"")</f>
        <v/>
      </c>
      <c r="Y25" s="198">
        <f>+IF((VLOOKUP(A25,List!B:C,2,0)-VLOOKUP(Summary!$P$7,List!B:C,2,0))&gt;=0,1,"")</f>
        <v>1</v>
      </c>
      <c r="Z25" s="198">
        <f>+IF((VLOOKUP(A25,List!B:C,2,0)-VLOOKUP(Summary!$P$7,List!B:C,2,0))&gt;0,1,"")</f>
        <v>1</v>
      </c>
      <c r="AA25" s="141">
        <f t="shared" si="6"/>
        <v>1</v>
      </c>
      <c r="AB25" s="199" t="str">
        <f>+IF(AA25="","",IF(Summary!$J$7="Fixed Price","",IF(M25="",IF(I25="","",1),"")))</f>
        <v/>
      </c>
      <c r="AC25" s="198">
        <f t="shared" si="13"/>
        <v>0</v>
      </c>
      <c r="AD25" s="198">
        <f>+IF(AA25="",+IF(N25&gt;#REF!,#REF!,IF(N25&gt;#REF!,#REF!,IF(N25&gt;#REF!,#REF!,IF(N25&gt;#REF!,#REF!,IF(N25&gt;#REF!,#REF!,IF(N25&gt;#REF!,#REF!,IF(N25&gt;#REF!,#REF!,IF(N25&gt;#REF!,#REF!,#REF!)))))))),0)</f>
        <v>0</v>
      </c>
    </row>
    <row r="26" spans="1:30" x14ac:dyDescent="0.2">
      <c r="A26" s="155" t="str">
        <f t="shared" si="0"/>
        <v>2027-7</v>
      </c>
      <c r="B26" s="154">
        <f t="shared" si="7"/>
        <v>7</v>
      </c>
      <c r="C26" s="153">
        <f t="shared" si="8"/>
        <v>2027</v>
      </c>
      <c r="D26" s="152" t="str">
        <f t="shared" si="1"/>
        <v>2027-7</v>
      </c>
      <c r="E26" s="159">
        <f>+IF($B26="","",Summary!$P$4)</f>
        <v>45929</v>
      </c>
      <c r="F26" s="159">
        <f>+IF($B26="","",Summary!$P$5)</f>
        <v>46657</v>
      </c>
      <c r="G26" s="159">
        <f>+IF($B26="","",Summary!$P$6)</f>
        <v>46657</v>
      </c>
      <c r="H26" s="158" t="str">
        <f t="shared" si="2"/>
        <v>Green</v>
      </c>
      <c r="I26" s="156"/>
      <c r="J26" s="156"/>
      <c r="K26" s="156"/>
      <c r="L26" s="156"/>
      <c r="M26" s="156"/>
      <c r="N26" s="156" t="e">
        <f t="shared" si="3"/>
        <v>#REF!</v>
      </c>
      <c r="O26" s="156" t="e">
        <f>COUNTIFS(#REF!,"&gt;="&amp;DATE($C26,$B26,1),#REF!,"&lt;="&amp;EOMONTH(DATE($C26,$B26,1),0),#REF!,"Incident")+
COUNTIFS(#REF!,"&gt;="&amp;DATE($C26,$B26,1),#REF!,"&lt;="&amp;EOMONTH(DATE($C26,$B26,1),0),#REF!,"user_request")</f>
        <v>#REF!</v>
      </c>
      <c r="P26" s="147">
        <f t="shared" si="9"/>
        <v>0</v>
      </c>
      <c r="Q26" s="147">
        <f t="shared" si="10"/>
        <v>0</v>
      </c>
      <c r="R26" s="147">
        <f t="shared" si="11"/>
        <v>0</v>
      </c>
      <c r="S26" s="146" t="e">
        <f t="shared" si="14"/>
        <v>#REF!</v>
      </c>
      <c r="T26" s="146" t="e">
        <f t="shared" si="14"/>
        <v>#REF!</v>
      </c>
      <c r="U26" s="145">
        <f t="shared" si="4"/>
        <v>0</v>
      </c>
      <c r="V26" s="145" t="e">
        <f t="shared" si="5"/>
        <v>#REF!</v>
      </c>
      <c r="W26" s="142">
        <v>23</v>
      </c>
      <c r="X26" s="142" t="str">
        <f>+IF((VLOOKUP(A26,List!B:C,2,0)-VLOOKUP(Summary!$P$7,List!B:C,2,0))=0,1,"")</f>
        <v/>
      </c>
      <c r="Y26" s="198">
        <f>+IF((VLOOKUP(A26,List!B:C,2,0)-VLOOKUP(Summary!$P$7,List!B:C,2,0))&gt;=0,1,"")</f>
        <v>1</v>
      </c>
      <c r="Z26" s="198">
        <f>+IF((VLOOKUP(A26,List!B:C,2,0)-VLOOKUP(Summary!$P$7,List!B:C,2,0))&gt;0,1,"")</f>
        <v>1</v>
      </c>
      <c r="AA26" s="141">
        <f t="shared" si="6"/>
        <v>1</v>
      </c>
      <c r="AB26" s="199" t="str">
        <f>+IF(AA26="","",IF(Summary!$J$7="Fixed Price","",IF(M26="",IF(I26="","",1),"")))</f>
        <v/>
      </c>
      <c r="AC26" s="198">
        <f t="shared" si="13"/>
        <v>0</v>
      </c>
      <c r="AD26" s="198">
        <f>+IF(AA26="",+IF(N26&gt;#REF!,#REF!,IF(N26&gt;#REF!,#REF!,IF(N26&gt;#REF!,#REF!,IF(N26&gt;#REF!,#REF!,IF(N26&gt;#REF!,#REF!,IF(N26&gt;#REF!,#REF!,IF(N26&gt;#REF!,#REF!,IF(N26&gt;#REF!,#REF!,#REF!)))))))),0)</f>
        <v>0</v>
      </c>
    </row>
    <row r="27" spans="1:30" x14ac:dyDescent="0.2">
      <c r="A27" s="155" t="str">
        <f t="shared" si="0"/>
        <v>2027-8</v>
      </c>
      <c r="B27" s="154">
        <f t="shared" si="7"/>
        <v>8</v>
      </c>
      <c r="C27" s="153">
        <f t="shared" si="8"/>
        <v>2027</v>
      </c>
      <c r="D27" s="152" t="str">
        <f t="shared" si="1"/>
        <v>2027-8</v>
      </c>
      <c r="E27" s="151">
        <f>+IF($B27="","",Summary!$P$4)</f>
        <v>45929</v>
      </c>
      <c r="F27" s="151">
        <f>+IF($B27="","",Summary!$P$5)</f>
        <v>46657</v>
      </c>
      <c r="G27" s="151">
        <f>+IF($B27="","",Summary!$P$6)</f>
        <v>46657</v>
      </c>
      <c r="H27" s="150" t="str">
        <f t="shared" si="2"/>
        <v>Green</v>
      </c>
      <c r="I27" s="148"/>
      <c r="J27" s="148"/>
      <c r="K27" s="148"/>
      <c r="L27" s="148"/>
      <c r="M27" s="148"/>
      <c r="N27" s="148" t="e">
        <f t="shared" si="3"/>
        <v>#REF!</v>
      </c>
      <c r="O27" s="148" t="e">
        <f>COUNTIFS(#REF!,"&gt;="&amp;DATE($C27,$B27,1),#REF!,"&lt;="&amp;EOMONTH(DATE($C27,$B27,1),0),#REF!,"Incident")+
COUNTIFS(#REF!,"&gt;="&amp;DATE($C27,$B27,1),#REF!,"&lt;="&amp;EOMONTH(DATE($C27,$B27,1),0),#REF!,"user_request")</f>
        <v>#REF!</v>
      </c>
      <c r="P27" s="147">
        <f t="shared" si="9"/>
        <v>0</v>
      </c>
      <c r="Q27" s="147">
        <f t="shared" si="10"/>
        <v>0</v>
      </c>
      <c r="R27" s="147">
        <f t="shared" si="11"/>
        <v>0</v>
      </c>
      <c r="S27" s="146" t="e">
        <f t="shared" si="14"/>
        <v>#REF!</v>
      </c>
      <c r="T27" s="146" t="e">
        <f t="shared" si="14"/>
        <v>#REF!</v>
      </c>
      <c r="U27" s="145">
        <f t="shared" si="4"/>
        <v>0</v>
      </c>
      <c r="V27" s="145" t="e">
        <f t="shared" si="5"/>
        <v>#REF!</v>
      </c>
      <c r="W27" s="142">
        <v>24</v>
      </c>
      <c r="X27" s="142" t="str">
        <f>+IF((VLOOKUP(A27,List!B:C,2,0)-VLOOKUP(Summary!$P$7,List!B:C,2,0))=0,1,"")</f>
        <v/>
      </c>
      <c r="Y27" s="198">
        <f>+IF((VLOOKUP(A27,List!B:C,2,0)-VLOOKUP(Summary!$P$7,List!B:C,2,0))&gt;=0,1,"")</f>
        <v>1</v>
      </c>
      <c r="Z27" s="198">
        <f>+IF((VLOOKUP(A27,List!B:C,2,0)-VLOOKUP(Summary!$P$7,List!B:C,2,0))&gt;0,1,"")</f>
        <v>1</v>
      </c>
      <c r="AA27" s="141">
        <f t="shared" si="6"/>
        <v>1</v>
      </c>
      <c r="AB27" s="199" t="str">
        <f>+IF(AA27="","",IF(Summary!$J$7="Fixed Price","",IF(M27="",IF(I27="","",1),"")))</f>
        <v/>
      </c>
      <c r="AC27" s="198">
        <f t="shared" si="13"/>
        <v>0</v>
      </c>
      <c r="AD27" s="198">
        <f>+IF(AA27="",+IF(N27&gt;#REF!,#REF!,IF(N27&gt;#REF!,#REF!,IF(N27&gt;#REF!,#REF!,IF(N27&gt;#REF!,#REF!,IF(N27&gt;#REF!,#REF!,IF(N27&gt;#REF!,#REF!,IF(N27&gt;#REF!,#REF!,IF(N27&gt;#REF!,#REF!,#REF!)))))))),0)</f>
        <v>0</v>
      </c>
    </row>
    <row r="28" spans="1:30" x14ac:dyDescent="0.2">
      <c r="A28" s="155" t="str">
        <f t="shared" si="0"/>
        <v>2027-9</v>
      </c>
      <c r="B28" s="154">
        <f t="shared" si="7"/>
        <v>9</v>
      </c>
      <c r="C28" s="153">
        <f t="shared" si="8"/>
        <v>2027</v>
      </c>
      <c r="D28" s="152" t="str">
        <f t="shared" si="1"/>
        <v>2027-9</v>
      </c>
      <c r="E28" s="159">
        <f>+IF($B28="","",Summary!$P$4)</f>
        <v>45929</v>
      </c>
      <c r="F28" s="159">
        <f>+IF($B28="","",Summary!$P$5)</f>
        <v>46657</v>
      </c>
      <c r="G28" s="159">
        <f>+IF($B28="","",Summary!$P$6)</f>
        <v>46657</v>
      </c>
      <c r="H28" s="158" t="str">
        <f t="shared" si="2"/>
        <v>Green</v>
      </c>
      <c r="I28" s="156"/>
      <c r="J28" s="156"/>
      <c r="K28" s="156"/>
      <c r="L28" s="156"/>
      <c r="M28" s="156"/>
      <c r="N28" s="156" t="e">
        <f t="shared" si="3"/>
        <v>#REF!</v>
      </c>
      <c r="O28" s="156" t="e">
        <f>COUNTIFS(#REF!,"&gt;="&amp;DATE($C28,$B28,1),#REF!,"&lt;="&amp;EOMONTH(DATE($C28,$B28,1),0),#REF!,"Incident")+
COUNTIFS(#REF!,"&gt;="&amp;DATE($C28,$B28,1),#REF!,"&lt;="&amp;EOMONTH(DATE($C28,$B28,1),0),#REF!,"user_request")</f>
        <v>#REF!</v>
      </c>
      <c r="P28" s="147">
        <f t="shared" si="9"/>
        <v>0</v>
      </c>
      <c r="Q28" s="147">
        <f t="shared" si="10"/>
        <v>0</v>
      </c>
      <c r="R28" s="147">
        <f t="shared" si="11"/>
        <v>0</v>
      </c>
      <c r="S28" s="146" t="e">
        <f t="shared" si="14"/>
        <v>#REF!</v>
      </c>
      <c r="T28" s="146" t="e">
        <f t="shared" si="14"/>
        <v>#REF!</v>
      </c>
      <c r="U28" s="145">
        <f t="shared" si="4"/>
        <v>0</v>
      </c>
      <c r="V28" s="145" t="e">
        <f t="shared" si="5"/>
        <v>#REF!</v>
      </c>
      <c r="W28" s="142">
        <v>25</v>
      </c>
      <c r="X28" s="142" t="str">
        <f>+IF((VLOOKUP(A28,List!B:C,2,0)-VLOOKUP(Summary!$P$7,List!B:C,2,0))=0,1,"")</f>
        <v/>
      </c>
      <c r="Y28" s="198">
        <f>+IF((VLOOKUP(A28,List!B:C,2,0)-VLOOKUP(Summary!$P$7,List!B:C,2,0))&gt;=0,1,"")</f>
        <v>1</v>
      </c>
      <c r="Z28" s="198">
        <f>+IF((VLOOKUP(A28,List!B:C,2,0)-VLOOKUP(Summary!$P$7,List!B:C,2,0))&gt;0,1,"")</f>
        <v>1</v>
      </c>
      <c r="AA28" s="141">
        <f t="shared" si="6"/>
        <v>1</v>
      </c>
      <c r="AB28" s="199" t="str">
        <f>+IF(AA28="","",IF(Summary!$J$7="Fixed Price","",IF(M28="",IF(I28="","",1),"")))</f>
        <v/>
      </c>
      <c r="AC28" s="198">
        <f t="shared" si="13"/>
        <v>0</v>
      </c>
      <c r="AD28" s="198">
        <f>+IF(AA28="",+IF(N28&gt;#REF!,#REF!,IF(N28&gt;#REF!,#REF!,IF(N28&gt;#REF!,#REF!,IF(N28&gt;#REF!,#REF!,IF(N28&gt;#REF!,#REF!,IF(N28&gt;#REF!,#REF!,IF(N28&gt;#REF!,#REF!,IF(N28&gt;#REF!,#REF!,#REF!)))))))),0)</f>
        <v>0</v>
      </c>
    </row>
    <row r="29" spans="1:30" x14ac:dyDescent="0.2">
      <c r="A29" s="155" t="str">
        <f t="shared" si="0"/>
        <v>-</v>
      </c>
      <c r="B29" s="154" t="str">
        <f t="shared" si="7"/>
        <v/>
      </c>
      <c r="C29" s="153" t="str">
        <f t="shared" si="8"/>
        <v/>
      </c>
      <c r="D29" s="152" t="str">
        <f t="shared" si="1"/>
        <v>-</v>
      </c>
      <c r="E29" s="151" t="str">
        <f>+IF($B29="","",Summary!$P$4)</f>
        <v/>
      </c>
      <c r="F29" s="151" t="str">
        <f>+IF($B29="","",Summary!$P$5)</f>
        <v/>
      </c>
      <c r="G29" s="151" t="str">
        <f>+IF($B29="","",Summary!$P$6)</f>
        <v/>
      </c>
      <c r="H29" s="150" t="str">
        <f t="shared" si="2"/>
        <v/>
      </c>
      <c r="I29" s="148"/>
      <c r="J29" s="148"/>
      <c r="K29" s="148"/>
      <c r="L29" s="148"/>
      <c r="M29" s="148"/>
      <c r="N29" s="148" t="e">
        <f t="shared" si="3"/>
        <v>#REF!</v>
      </c>
      <c r="O29" s="148" t="e">
        <f>COUNTIFS(#REF!,"&gt;="&amp;DATE($C29,$B29,1),#REF!,"&lt;="&amp;EOMONTH(DATE($C29,$B29,1),0),#REF!,"Incident")+
COUNTIFS(#REF!,"&gt;="&amp;DATE($C29,$B29,1),#REF!,"&lt;="&amp;EOMONTH(DATE($C29,$B29,1),0),#REF!,"user_request")</f>
        <v>#REF!</v>
      </c>
      <c r="P29" s="147">
        <f t="shared" si="9"/>
        <v>0</v>
      </c>
      <c r="Q29" s="147">
        <f t="shared" si="10"/>
        <v>0</v>
      </c>
      <c r="R29" s="147">
        <f t="shared" si="11"/>
        <v>0</v>
      </c>
      <c r="S29" s="146" t="e">
        <f t="shared" si="14"/>
        <v>#REF!</v>
      </c>
      <c r="T29" s="146" t="e">
        <f t="shared" si="14"/>
        <v>#REF!</v>
      </c>
      <c r="U29" s="145">
        <f t="shared" si="4"/>
        <v>0</v>
      </c>
      <c r="V29" s="145" t="e">
        <f t="shared" si="5"/>
        <v>#REF!</v>
      </c>
      <c r="W29" s="142">
        <v>26</v>
      </c>
      <c r="X29" s="142" t="str">
        <f>+IF((VLOOKUP(A29,List!B:C,2,0)-VLOOKUP(Summary!$P$7,List!B:C,2,0))=0,1,"")</f>
        <v/>
      </c>
      <c r="Y29" s="198">
        <f>+IF((VLOOKUP(A29,List!B:C,2,0)-VLOOKUP(Summary!$P$7,List!B:C,2,0))&gt;=0,1,"")</f>
        <v>1</v>
      </c>
      <c r="Z29" s="198">
        <f>+IF((VLOOKUP(A29,List!B:C,2,0)-VLOOKUP(Summary!$P$7,List!B:C,2,0))&gt;0,1,"")</f>
        <v>1</v>
      </c>
      <c r="AA29" s="141">
        <f t="shared" si="6"/>
        <v>2</v>
      </c>
      <c r="AB29" s="199" t="str">
        <f>+IF(AA29="","",IF(Summary!$J$7="Fixed Price","",IF(M29="",IF(I29="","",1),"")))</f>
        <v/>
      </c>
      <c r="AC29" s="198">
        <f t="shared" si="13"/>
        <v>0</v>
      </c>
      <c r="AD29" s="198">
        <f>+IF(AA29="",+IF(N29&gt;#REF!,#REF!,IF(N29&gt;#REF!,#REF!,IF(N29&gt;#REF!,#REF!,IF(N29&gt;#REF!,#REF!,IF(N29&gt;#REF!,#REF!,IF(N29&gt;#REF!,#REF!,IF(N29&gt;#REF!,#REF!,IF(N29&gt;#REF!,#REF!,#REF!)))))))),0)</f>
        <v>0</v>
      </c>
    </row>
    <row r="30" spans="1:30" x14ac:dyDescent="0.2">
      <c r="A30" s="155" t="str">
        <f t="shared" si="0"/>
        <v>-</v>
      </c>
      <c r="B30" s="154" t="str">
        <f t="shared" si="7"/>
        <v/>
      </c>
      <c r="C30" s="153" t="str">
        <f t="shared" si="8"/>
        <v/>
      </c>
      <c r="D30" s="152" t="str">
        <f t="shared" si="1"/>
        <v>-</v>
      </c>
      <c r="E30" s="159" t="str">
        <f>+IF($B30="","",Summary!$P$4)</f>
        <v/>
      </c>
      <c r="F30" s="159" t="str">
        <f>+IF($B30="","",Summary!$P$5)</f>
        <v/>
      </c>
      <c r="G30" s="159" t="str">
        <f>+IF($B30="","",Summary!$P$6)</f>
        <v/>
      </c>
      <c r="H30" s="158" t="str">
        <f t="shared" si="2"/>
        <v/>
      </c>
      <c r="I30" s="156"/>
      <c r="J30" s="156"/>
      <c r="K30" s="156"/>
      <c r="L30" s="156"/>
      <c r="M30" s="156"/>
      <c r="N30" s="156" t="e">
        <f t="shared" si="3"/>
        <v>#REF!</v>
      </c>
      <c r="O30" s="156" t="e">
        <f>COUNTIFS(#REF!,"&gt;="&amp;DATE($C30,$B30,1),#REF!,"&lt;="&amp;EOMONTH(DATE($C30,$B30,1),0),#REF!,"Incident")+
COUNTIFS(#REF!,"&gt;="&amp;DATE($C30,$B30,1),#REF!,"&lt;="&amp;EOMONTH(DATE($C30,$B30,1),0),#REF!,"user_request")</f>
        <v>#REF!</v>
      </c>
      <c r="P30" s="147">
        <f t="shared" si="9"/>
        <v>0</v>
      </c>
      <c r="Q30" s="147">
        <f t="shared" si="10"/>
        <v>0</v>
      </c>
      <c r="R30" s="147">
        <f t="shared" si="11"/>
        <v>0</v>
      </c>
      <c r="S30" s="146" t="e">
        <f t="shared" si="14"/>
        <v>#REF!</v>
      </c>
      <c r="T30" s="146" t="e">
        <f t="shared" si="14"/>
        <v>#REF!</v>
      </c>
      <c r="U30" s="145">
        <f t="shared" si="4"/>
        <v>0</v>
      </c>
      <c r="V30" s="145" t="e">
        <f t="shared" si="5"/>
        <v>#REF!</v>
      </c>
      <c r="W30" s="142">
        <v>27</v>
      </c>
      <c r="X30" s="142" t="str">
        <f>+IF((VLOOKUP(A30,List!B:C,2,0)-VLOOKUP(Summary!$P$7,List!B:C,2,0))=0,1,"")</f>
        <v/>
      </c>
      <c r="Y30" s="198">
        <f>+IF((VLOOKUP(A30,List!B:C,2,0)-VLOOKUP(Summary!$P$7,List!B:C,2,0))&gt;=0,1,"")</f>
        <v>1</v>
      </c>
      <c r="Z30" s="198">
        <f>+IF((VLOOKUP(A30,List!B:C,2,0)-VLOOKUP(Summary!$P$7,List!B:C,2,0))&gt;0,1,"")</f>
        <v>1</v>
      </c>
      <c r="AA30" s="141">
        <f t="shared" si="6"/>
        <v>2</v>
      </c>
      <c r="AB30" s="199" t="str">
        <f>+IF(AA30="","",IF(Summary!$J$7="Fixed Price","",IF(M30="",IF(I30="","",1),"")))</f>
        <v/>
      </c>
      <c r="AC30" s="198">
        <f t="shared" si="13"/>
        <v>0</v>
      </c>
      <c r="AD30" s="198">
        <f>+IF(AA30="",+IF(N30&gt;#REF!,#REF!,IF(N30&gt;#REF!,#REF!,IF(N30&gt;#REF!,#REF!,IF(N30&gt;#REF!,#REF!,IF(N30&gt;#REF!,#REF!,IF(N30&gt;#REF!,#REF!,IF(N30&gt;#REF!,#REF!,IF(N30&gt;#REF!,#REF!,#REF!)))))))),0)</f>
        <v>0</v>
      </c>
    </row>
    <row r="31" spans="1:30" x14ac:dyDescent="0.2">
      <c r="A31" s="155" t="str">
        <f t="shared" si="0"/>
        <v>-</v>
      </c>
      <c r="B31" s="154" t="str">
        <f t="shared" si="7"/>
        <v/>
      </c>
      <c r="C31" s="153" t="str">
        <f t="shared" si="8"/>
        <v/>
      </c>
      <c r="D31" s="152" t="str">
        <f t="shared" si="1"/>
        <v>-</v>
      </c>
      <c r="E31" s="151" t="str">
        <f>+IF($B31="","",Summary!$P$4)</f>
        <v/>
      </c>
      <c r="F31" s="151" t="str">
        <f>+IF($B31="","",Summary!$P$5)</f>
        <v/>
      </c>
      <c r="G31" s="151" t="str">
        <f>+IF($B31="","",Summary!$P$6)</f>
        <v/>
      </c>
      <c r="H31" s="150" t="str">
        <f t="shared" si="2"/>
        <v/>
      </c>
      <c r="I31" s="148"/>
      <c r="J31" s="148"/>
      <c r="K31" s="148"/>
      <c r="L31" s="148"/>
      <c r="M31" s="148"/>
      <c r="N31" s="148" t="e">
        <f t="shared" si="3"/>
        <v>#REF!</v>
      </c>
      <c r="O31" s="148" t="e">
        <f>COUNTIFS(#REF!,"&gt;="&amp;DATE($C31,$B31,1),#REF!,"&lt;="&amp;EOMONTH(DATE($C31,$B31,1),0),#REF!,"Incident")+
COUNTIFS(#REF!,"&gt;="&amp;DATE($C31,$B31,1),#REF!,"&lt;="&amp;EOMONTH(DATE($C31,$B31,1),0),#REF!,"user_request")</f>
        <v>#REF!</v>
      </c>
      <c r="P31" s="147">
        <f t="shared" si="9"/>
        <v>0</v>
      </c>
      <c r="Q31" s="147">
        <f t="shared" si="10"/>
        <v>0</v>
      </c>
      <c r="R31" s="147">
        <f t="shared" si="11"/>
        <v>0</v>
      </c>
      <c r="S31" s="146" t="e">
        <f t="shared" si="14"/>
        <v>#REF!</v>
      </c>
      <c r="T31" s="146" t="e">
        <f t="shared" si="14"/>
        <v>#REF!</v>
      </c>
      <c r="U31" s="145">
        <f t="shared" si="4"/>
        <v>0</v>
      </c>
      <c r="V31" s="145" t="e">
        <f t="shared" si="5"/>
        <v>#REF!</v>
      </c>
      <c r="W31" s="142">
        <v>28</v>
      </c>
      <c r="X31" s="142" t="str">
        <f>+IF((VLOOKUP(A31,List!B:C,2,0)-VLOOKUP(Summary!$P$7,List!B:C,2,0))=0,1,"")</f>
        <v/>
      </c>
      <c r="Y31" s="198">
        <f>+IF((VLOOKUP(A31,List!B:C,2,0)-VLOOKUP(Summary!$P$7,List!B:C,2,0))&gt;=0,1,"")</f>
        <v>1</v>
      </c>
      <c r="Z31" s="198">
        <f>+IF((VLOOKUP(A31,List!B:C,2,0)-VLOOKUP(Summary!$P$7,List!B:C,2,0))&gt;0,1,"")</f>
        <v>1</v>
      </c>
      <c r="AA31" s="141">
        <f t="shared" si="6"/>
        <v>2</v>
      </c>
      <c r="AB31" s="199" t="str">
        <f>+IF(AA31="","",IF(Summary!$J$7="Fixed Price","",IF(M31="",IF(I31="","",1),"")))</f>
        <v/>
      </c>
      <c r="AC31" s="198">
        <f t="shared" si="13"/>
        <v>0</v>
      </c>
      <c r="AD31" s="198">
        <f>+IF(AA31="",+IF(N31&gt;#REF!,#REF!,IF(N31&gt;#REF!,#REF!,IF(N31&gt;#REF!,#REF!,IF(N31&gt;#REF!,#REF!,IF(N31&gt;#REF!,#REF!,IF(N31&gt;#REF!,#REF!,IF(N31&gt;#REF!,#REF!,IF(N31&gt;#REF!,#REF!,#REF!)))))))),0)</f>
        <v>0</v>
      </c>
    </row>
    <row r="32" spans="1:30" x14ac:dyDescent="0.2">
      <c r="A32" s="155" t="str">
        <f t="shared" si="0"/>
        <v>-</v>
      </c>
      <c r="B32" s="154" t="str">
        <f t="shared" si="7"/>
        <v/>
      </c>
      <c r="C32" s="153" t="str">
        <f t="shared" si="8"/>
        <v/>
      </c>
      <c r="D32" s="152" t="str">
        <f t="shared" si="1"/>
        <v>-</v>
      </c>
      <c r="E32" s="159" t="str">
        <f>+IF($B32="","",Summary!$P$4)</f>
        <v/>
      </c>
      <c r="F32" s="159" t="str">
        <f>+IF($B32="","",Summary!$P$5)</f>
        <v/>
      </c>
      <c r="G32" s="159" t="str">
        <f>+IF($B32="","",Summary!$P$6)</f>
        <v/>
      </c>
      <c r="H32" s="158" t="str">
        <f t="shared" si="2"/>
        <v/>
      </c>
      <c r="I32" s="156"/>
      <c r="J32" s="156"/>
      <c r="K32" s="156"/>
      <c r="L32" s="156"/>
      <c r="M32" s="156"/>
      <c r="N32" s="156" t="e">
        <f t="shared" si="3"/>
        <v>#REF!</v>
      </c>
      <c r="O32" s="156" t="e">
        <f>COUNTIFS(#REF!,"&gt;="&amp;DATE($C32,$B32,1),#REF!,"&lt;="&amp;EOMONTH(DATE($C32,$B32,1),0),#REF!,"Incident")+
COUNTIFS(#REF!,"&gt;="&amp;DATE($C32,$B32,1),#REF!,"&lt;="&amp;EOMONTH(DATE($C32,$B32,1),0),#REF!,"user_request")</f>
        <v>#REF!</v>
      </c>
      <c r="P32" s="147">
        <f t="shared" si="9"/>
        <v>0</v>
      </c>
      <c r="Q32" s="147">
        <f t="shared" si="10"/>
        <v>0</v>
      </c>
      <c r="R32" s="147">
        <f t="shared" si="11"/>
        <v>0</v>
      </c>
      <c r="S32" s="146" t="e">
        <f t="shared" si="14"/>
        <v>#REF!</v>
      </c>
      <c r="T32" s="146" t="e">
        <f t="shared" si="14"/>
        <v>#REF!</v>
      </c>
      <c r="U32" s="145">
        <f t="shared" si="4"/>
        <v>0</v>
      </c>
      <c r="V32" s="145" t="e">
        <f t="shared" si="5"/>
        <v>#REF!</v>
      </c>
      <c r="W32" s="142">
        <v>29</v>
      </c>
      <c r="X32" s="142" t="str">
        <f>+IF((VLOOKUP(A32,List!B:C,2,0)-VLOOKUP(Summary!$P$7,List!B:C,2,0))=0,1,"")</f>
        <v/>
      </c>
      <c r="Y32" s="198">
        <f>+IF((VLOOKUP(A32,List!B:C,2,0)-VLOOKUP(Summary!$P$7,List!B:C,2,0))&gt;=0,1,"")</f>
        <v>1</v>
      </c>
      <c r="Z32" s="198">
        <f>+IF((VLOOKUP(A32,List!B:C,2,0)-VLOOKUP(Summary!$P$7,List!B:C,2,0))&gt;0,1,"")</f>
        <v>1</v>
      </c>
      <c r="AA32" s="141">
        <f t="shared" si="6"/>
        <v>2</v>
      </c>
      <c r="AB32" s="199" t="str">
        <f>+IF(AA32="","",IF(Summary!$J$7="Fixed Price","",IF(M32="",IF(I32="","",1),"")))</f>
        <v/>
      </c>
      <c r="AC32" s="198">
        <f t="shared" si="13"/>
        <v>0</v>
      </c>
    </row>
    <row r="33" spans="1:29" x14ac:dyDescent="0.2">
      <c r="A33" s="155" t="str">
        <f t="shared" si="0"/>
        <v>-</v>
      </c>
      <c r="B33" s="154" t="str">
        <f t="shared" si="7"/>
        <v/>
      </c>
      <c r="C33" s="153" t="str">
        <f t="shared" si="8"/>
        <v/>
      </c>
      <c r="D33" s="152" t="str">
        <f t="shared" si="1"/>
        <v>-</v>
      </c>
      <c r="E33" s="151" t="str">
        <f>+IF($B33="","",Summary!$P$4)</f>
        <v/>
      </c>
      <c r="F33" s="151" t="str">
        <f>+IF($B33="","",Summary!$P$5)</f>
        <v/>
      </c>
      <c r="G33" s="151" t="str">
        <f>+IF($B33="","",Summary!$P$6)</f>
        <v/>
      </c>
      <c r="H33" s="150" t="str">
        <f t="shared" si="2"/>
        <v/>
      </c>
      <c r="I33" s="148"/>
      <c r="J33" s="148"/>
      <c r="K33" s="148"/>
      <c r="L33" s="148"/>
      <c r="M33" s="148"/>
      <c r="N33" s="148" t="e">
        <f t="shared" si="3"/>
        <v>#REF!</v>
      </c>
      <c r="O33" s="148" t="e">
        <f>COUNTIFS(#REF!,"&gt;="&amp;DATE($C33,$B33,1),#REF!,"&lt;="&amp;EOMONTH(DATE($C33,$B33,1),0),#REF!,"Incident")+
COUNTIFS(#REF!,"&gt;="&amp;DATE($C33,$B33,1),#REF!,"&lt;="&amp;EOMONTH(DATE($C33,$B33,1),0),#REF!,"user_request")</f>
        <v>#REF!</v>
      </c>
      <c r="P33" s="147">
        <f t="shared" si="9"/>
        <v>0</v>
      </c>
      <c r="Q33" s="147">
        <f t="shared" si="10"/>
        <v>0</v>
      </c>
      <c r="R33" s="147">
        <f t="shared" si="11"/>
        <v>0</v>
      </c>
      <c r="S33" s="146" t="e">
        <f t="shared" si="14"/>
        <v>#REF!</v>
      </c>
      <c r="T33" s="146" t="e">
        <f t="shared" si="14"/>
        <v>#REF!</v>
      </c>
      <c r="U33" s="145">
        <f t="shared" si="4"/>
        <v>0</v>
      </c>
      <c r="V33" s="145" t="e">
        <f t="shared" si="5"/>
        <v>#REF!</v>
      </c>
      <c r="W33" s="142">
        <v>30</v>
      </c>
      <c r="X33" s="142" t="str">
        <f>+IF((VLOOKUP(A33,List!B:C,2,0)-VLOOKUP(Summary!$P$7,List!B:C,2,0))=0,1,"")</f>
        <v/>
      </c>
      <c r="Y33" s="198">
        <f>+IF((VLOOKUP(A33,List!B:C,2,0)-VLOOKUP(Summary!$P$7,List!B:C,2,0))&gt;=0,1,"")</f>
        <v>1</v>
      </c>
      <c r="Z33" s="198">
        <f>+IF((VLOOKUP(A33,List!B:C,2,0)-VLOOKUP(Summary!$P$7,List!B:C,2,0))&gt;0,1,"")</f>
        <v>1</v>
      </c>
      <c r="AA33" s="141">
        <f t="shared" si="6"/>
        <v>2</v>
      </c>
      <c r="AB33" s="199" t="str">
        <f>+IF(AA33="","",IF(Summary!$J$7="Fixed Price","",IF(M33="",IF(I33="","",1),"")))</f>
        <v/>
      </c>
      <c r="AC33" s="198">
        <f t="shared" si="13"/>
        <v>0</v>
      </c>
    </row>
    <row r="34" spans="1:29" x14ac:dyDescent="0.2">
      <c r="A34" s="155" t="str">
        <f t="shared" si="0"/>
        <v>-</v>
      </c>
      <c r="B34" s="154" t="str">
        <f t="shared" si="7"/>
        <v/>
      </c>
      <c r="C34" s="153" t="str">
        <f t="shared" si="8"/>
        <v/>
      </c>
      <c r="D34" s="152" t="str">
        <f t="shared" si="1"/>
        <v>-</v>
      </c>
      <c r="E34" s="159" t="str">
        <f>+IF($B34="","",Summary!$P$4)</f>
        <v/>
      </c>
      <c r="F34" s="159" t="str">
        <f>+IF($B34="","",Summary!$P$5)</f>
        <v/>
      </c>
      <c r="G34" s="159" t="str">
        <f>+IF($B34="","",Summary!$P$6)</f>
        <v/>
      </c>
      <c r="H34" s="158" t="str">
        <f t="shared" si="2"/>
        <v/>
      </c>
      <c r="I34" s="156"/>
      <c r="J34" s="156"/>
      <c r="K34" s="156"/>
      <c r="L34" s="156"/>
      <c r="M34" s="156"/>
      <c r="N34" s="156" t="e">
        <f t="shared" si="3"/>
        <v>#REF!</v>
      </c>
      <c r="O34" s="156" t="e">
        <f>COUNTIFS(#REF!,"&gt;="&amp;DATE($C34,$B34,1),#REF!,"&lt;="&amp;EOMONTH(DATE($C34,$B34,1),0),#REF!,"Incident")+
COUNTIFS(#REF!,"&gt;="&amp;DATE($C34,$B34,1),#REF!,"&lt;="&amp;EOMONTH(DATE($C34,$B34,1),0),#REF!,"user_request")</f>
        <v>#REF!</v>
      </c>
      <c r="P34" s="147">
        <f t="shared" si="9"/>
        <v>0</v>
      </c>
      <c r="Q34" s="147">
        <f t="shared" si="10"/>
        <v>0</v>
      </c>
      <c r="R34" s="147">
        <f t="shared" si="11"/>
        <v>0</v>
      </c>
      <c r="S34" s="146" t="e">
        <f t="shared" si="14"/>
        <v>#REF!</v>
      </c>
      <c r="T34" s="146" t="e">
        <f t="shared" si="14"/>
        <v>#REF!</v>
      </c>
      <c r="U34" s="145">
        <f t="shared" si="4"/>
        <v>0</v>
      </c>
      <c r="V34" s="145" t="e">
        <f t="shared" si="5"/>
        <v>#REF!</v>
      </c>
      <c r="W34" s="142">
        <v>31</v>
      </c>
      <c r="X34" s="142" t="str">
        <f>+IF((VLOOKUP(A34,List!B:C,2,0)-VLOOKUP(Summary!$P$7,List!B:C,2,0))=0,1,"")</f>
        <v/>
      </c>
      <c r="Y34" s="198">
        <f>+IF((VLOOKUP(A34,List!B:C,2,0)-VLOOKUP(Summary!$P$7,List!B:C,2,0))&gt;=0,1,"")</f>
        <v>1</v>
      </c>
      <c r="Z34" s="198">
        <f>+IF((VLOOKUP(A34,List!B:C,2,0)-VLOOKUP(Summary!$P$7,List!B:C,2,0))&gt;0,1,"")</f>
        <v>1</v>
      </c>
      <c r="AA34" s="141">
        <f t="shared" si="6"/>
        <v>2</v>
      </c>
      <c r="AB34" s="199" t="str">
        <f>+IF(AA34="","",IF(Summary!$J$7="Fixed Price","",IF(M34="",IF(I34="","",1),"")))</f>
        <v/>
      </c>
      <c r="AC34" s="198">
        <f t="shared" si="13"/>
        <v>0</v>
      </c>
    </row>
    <row r="35" spans="1:29" x14ac:dyDescent="0.2">
      <c r="A35" s="155" t="str">
        <f t="shared" si="0"/>
        <v>-</v>
      </c>
      <c r="B35" s="154" t="str">
        <f t="shared" si="7"/>
        <v/>
      </c>
      <c r="C35" s="153" t="str">
        <f t="shared" si="8"/>
        <v/>
      </c>
      <c r="D35" s="152" t="str">
        <f t="shared" si="1"/>
        <v>-</v>
      </c>
      <c r="E35" s="151" t="str">
        <f>+IF($B35="","",Summary!$P$4)</f>
        <v/>
      </c>
      <c r="F35" s="151" t="str">
        <f>+IF($B35="","",Summary!$P$5)</f>
        <v/>
      </c>
      <c r="G35" s="151" t="str">
        <f>+IF($B35="","",Summary!$P$6)</f>
        <v/>
      </c>
      <c r="H35" s="150" t="str">
        <f t="shared" si="2"/>
        <v/>
      </c>
      <c r="I35" s="148"/>
      <c r="J35" s="148"/>
      <c r="K35" s="148"/>
      <c r="L35" s="148"/>
      <c r="M35" s="148"/>
      <c r="N35" s="148" t="e">
        <f t="shared" si="3"/>
        <v>#REF!</v>
      </c>
      <c r="O35" s="148" t="e">
        <f>COUNTIFS(#REF!,"&gt;="&amp;DATE($C35,$B35,1),#REF!,"&lt;="&amp;EOMONTH(DATE($C35,$B35,1),0),#REF!,"Incident")+
COUNTIFS(#REF!,"&gt;="&amp;DATE($C35,$B35,1),#REF!,"&lt;="&amp;EOMONTH(DATE($C35,$B35,1),0),#REF!,"user_request")</f>
        <v>#REF!</v>
      </c>
      <c r="P35" s="147">
        <f t="shared" si="9"/>
        <v>0</v>
      </c>
      <c r="Q35" s="147">
        <f t="shared" si="10"/>
        <v>0</v>
      </c>
      <c r="R35" s="147">
        <f t="shared" si="11"/>
        <v>0</v>
      </c>
      <c r="S35" s="146" t="e">
        <f t="shared" si="14"/>
        <v>#REF!</v>
      </c>
      <c r="T35" s="146" t="e">
        <f t="shared" si="14"/>
        <v>#REF!</v>
      </c>
      <c r="U35" s="145">
        <f t="shared" si="4"/>
        <v>0</v>
      </c>
      <c r="V35" s="145" t="e">
        <f t="shared" si="5"/>
        <v>#REF!</v>
      </c>
      <c r="W35" s="142">
        <v>32</v>
      </c>
      <c r="X35" s="142" t="str">
        <f>+IF((VLOOKUP(A35,List!B:C,2,0)-VLOOKUP(Summary!$P$7,List!B:C,2,0))=0,1,"")</f>
        <v/>
      </c>
      <c r="Y35" s="198">
        <f>+IF((VLOOKUP(A35,List!B:C,2,0)-VLOOKUP(Summary!$P$7,List!B:C,2,0))&gt;=0,1,"")</f>
        <v>1</v>
      </c>
      <c r="Z35" s="198">
        <f>+IF((VLOOKUP(A35,List!B:C,2,0)-VLOOKUP(Summary!$P$7,List!B:C,2,0))&gt;0,1,"")</f>
        <v>1</v>
      </c>
      <c r="AA35" s="141">
        <f t="shared" si="6"/>
        <v>2</v>
      </c>
      <c r="AB35" s="199" t="str">
        <f>+IF(AA35="","",IF(Summary!$J$7="Fixed Price","",IF(M35="",IF(I35="","",1),"")))</f>
        <v/>
      </c>
      <c r="AC35" s="198">
        <f t="shared" si="13"/>
        <v>0</v>
      </c>
    </row>
    <row r="36" spans="1:29" x14ac:dyDescent="0.2">
      <c r="A36" s="155" t="str">
        <f t="shared" si="0"/>
        <v>-</v>
      </c>
      <c r="B36" s="154" t="str">
        <f t="shared" si="7"/>
        <v/>
      </c>
      <c r="C36" s="153" t="str">
        <f t="shared" si="8"/>
        <v/>
      </c>
      <c r="D36" s="152" t="str">
        <f t="shared" si="1"/>
        <v>-</v>
      </c>
      <c r="E36" s="159" t="str">
        <f>+IF($B36="","",Summary!$P$4)</f>
        <v/>
      </c>
      <c r="F36" s="159" t="str">
        <f>+IF($B36="","",Summary!$P$5)</f>
        <v/>
      </c>
      <c r="G36" s="159" t="str">
        <f>+IF($B36="","",Summary!$P$6)</f>
        <v/>
      </c>
      <c r="H36" s="158" t="str">
        <f t="shared" si="2"/>
        <v/>
      </c>
      <c r="I36" s="156"/>
      <c r="J36" s="156"/>
      <c r="K36" s="156"/>
      <c r="L36" s="156"/>
      <c r="M36" s="156"/>
      <c r="N36" s="156" t="e">
        <f t="shared" si="3"/>
        <v>#REF!</v>
      </c>
      <c r="O36" s="156" t="e">
        <f>COUNTIFS(#REF!,"&gt;="&amp;DATE($C36,$B36,1),#REF!,"&lt;="&amp;EOMONTH(DATE($C36,$B36,1),0),#REF!,"Incident")+
COUNTIFS(#REF!,"&gt;="&amp;DATE($C36,$B36,1),#REF!,"&lt;="&amp;EOMONTH(DATE($C36,$B36,1),0),#REF!,"user_request")</f>
        <v>#REF!</v>
      </c>
      <c r="P36" s="147">
        <f t="shared" si="9"/>
        <v>0</v>
      </c>
      <c r="Q36" s="147">
        <f t="shared" si="10"/>
        <v>0</v>
      </c>
      <c r="R36" s="147">
        <f t="shared" si="11"/>
        <v>0</v>
      </c>
      <c r="S36" s="146" t="e">
        <f t="shared" si="14"/>
        <v>#REF!</v>
      </c>
      <c r="T36" s="146" t="e">
        <f t="shared" si="14"/>
        <v>#REF!</v>
      </c>
      <c r="U36" s="145">
        <f t="shared" si="4"/>
        <v>0</v>
      </c>
      <c r="V36" s="145" t="e">
        <f t="shared" si="5"/>
        <v>#REF!</v>
      </c>
      <c r="W36" s="142">
        <v>33</v>
      </c>
      <c r="X36" s="142" t="str">
        <f>+IF((VLOOKUP(A36,List!B:C,2,0)-VLOOKUP(Summary!$P$7,List!B:C,2,0))=0,1,"")</f>
        <v/>
      </c>
      <c r="Y36" s="198">
        <f>+IF((VLOOKUP(A36,List!B:C,2,0)-VLOOKUP(Summary!$P$7,List!B:C,2,0))&gt;=0,1,"")</f>
        <v>1</v>
      </c>
      <c r="Z36" s="198">
        <f>+IF((VLOOKUP(A36,List!B:C,2,0)-VLOOKUP(Summary!$P$7,List!B:C,2,0))&gt;0,1,"")</f>
        <v>1</v>
      </c>
      <c r="AA36" s="141">
        <f t="shared" si="6"/>
        <v>2</v>
      </c>
      <c r="AB36" s="199" t="str">
        <f>+IF(AA36="","",IF(Summary!$J$7="Fixed Price","",IF(M36="",IF(I36="","",1),"")))</f>
        <v/>
      </c>
      <c r="AC36" s="198">
        <f t="shared" si="13"/>
        <v>0</v>
      </c>
    </row>
    <row r="37" spans="1:29" x14ac:dyDescent="0.2">
      <c r="A37" s="155" t="str">
        <f t="shared" si="0"/>
        <v>-</v>
      </c>
      <c r="B37" s="154" t="str">
        <f t="shared" si="7"/>
        <v/>
      </c>
      <c r="C37" s="153" t="str">
        <f t="shared" si="8"/>
        <v/>
      </c>
      <c r="D37" s="152" t="str">
        <f t="shared" si="1"/>
        <v>-</v>
      </c>
      <c r="E37" s="151" t="str">
        <f>+IF($B37="","",Summary!$P$4)</f>
        <v/>
      </c>
      <c r="F37" s="151" t="str">
        <f>+IF($B37="","",Summary!$P$5)</f>
        <v/>
      </c>
      <c r="G37" s="151" t="str">
        <f>+IF($B37="","",Summary!$P$6)</f>
        <v/>
      </c>
      <c r="H37" s="150" t="str">
        <f t="shared" si="2"/>
        <v/>
      </c>
      <c r="I37" s="148"/>
      <c r="J37" s="148"/>
      <c r="K37" s="148"/>
      <c r="L37" s="148"/>
      <c r="M37" s="148"/>
      <c r="N37" s="148" t="e">
        <f t="shared" si="3"/>
        <v>#REF!</v>
      </c>
      <c r="O37" s="148" t="e">
        <f>COUNTIFS(#REF!,"&gt;="&amp;DATE($C37,$B37,1),#REF!,"&lt;="&amp;EOMONTH(DATE($C37,$B37,1),0),#REF!,"Incident")+
COUNTIFS(#REF!,"&gt;="&amp;DATE($C37,$B37,1),#REF!,"&lt;="&amp;EOMONTH(DATE($C37,$B37,1),0),#REF!,"user_request")</f>
        <v>#REF!</v>
      </c>
      <c r="P37" s="147">
        <f t="shared" si="9"/>
        <v>0</v>
      </c>
      <c r="Q37" s="147">
        <f t="shared" si="10"/>
        <v>0</v>
      </c>
      <c r="R37" s="147">
        <f t="shared" si="11"/>
        <v>0</v>
      </c>
      <c r="S37" s="146" t="e">
        <f t="shared" ref="S37:T52" si="15">N37+S36</f>
        <v>#REF!</v>
      </c>
      <c r="T37" s="146" t="e">
        <f t="shared" si="15"/>
        <v>#REF!</v>
      </c>
      <c r="U37" s="145">
        <f t="shared" si="4"/>
        <v>0</v>
      </c>
      <c r="V37" s="145" t="e">
        <f t="shared" si="5"/>
        <v>#REF!</v>
      </c>
      <c r="W37" s="142">
        <v>34</v>
      </c>
      <c r="X37" s="142" t="str">
        <f>+IF((VLOOKUP(A37,List!B:C,2,0)-VLOOKUP(Summary!$P$7,List!B:C,2,0))=0,1,"")</f>
        <v/>
      </c>
      <c r="Y37" s="198">
        <f>+IF((VLOOKUP(A37,List!B:C,2,0)-VLOOKUP(Summary!$P$7,List!B:C,2,0))&gt;=0,1,"")</f>
        <v>1</v>
      </c>
      <c r="Z37" s="198">
        <f>+IF((VLOOKUP(A37,List!B:C,2,0)-VLOOKUP(Summary!$P$7,List!B:C,2,0))&gt;0,1,"")</f>
        <v>1</v>
      </c>
      <c r="AA37" s="141">
        <f t="shared" si="6"/>
        <v>2</v>
      </c>
      <c r="AB37" s="199" t="str">
        <f>+IF(AA37="","",IF(Summary!$J$7="Fixed Price","",IF(M37="",IF(I37="","",1),"")))</f>
        <v/>
      </c>
      <c r="AC37" s="198">
        <f t="shared" si="13"/>
        <v>0</v>
      </c>
    </row>
    <row r="38" spans="1:29" x14ac:dyDescent="0.2">
      <c r="A38" s="155" t="str">
        <f t="shared" si="0"/>
        <v>-</v>
      </c>
      <c r="B38" s="154" t="str">
        <f t="shared" si="7"/>
        <v/>
      </c>
      <c r="C38" s="153" t="str">
        <f t="shared" si="8"/>
        <v/>
      </c>
      <c r="D38" s="152" t="str">
        <f t="shared" si="1"/>
        <v>-</v>
      </c>
      <c r="E38" s="159" t="str">
        <f>+IF($B38="","",Summary!$P$4)</f>
        <v/>
      </c>
      <c r="F38" s="159" t="str">
        <f>+IF($B38="","",Summary!$P$5)</f>
        <v/>
      </c>
      <c r="G38" s="159" t="str">
        <f>+IF($B38="","",Summary!$P$6)</f>
        <v/>
      </c>
      <c r="H38" s="158" t="str">
        <f t="shared" si="2"/>
        <v/>
      </c>
      <c r="I38" s="156"/>
      <c r="J38" s="156"/>
      <c r="K38" s="156"/>
      <c r="L38" s="156"/>
      <c r="M38" s="156"/>
      <c r="N38" s="156" t="e">
        <f t="shared" si="3"/>
        <v>#REF!</v>
      </c>
      <c r="O38" s="156" t="e">
        <f>COUNTIFS(#REF!,"&gt;="&amp;DATE($C38,$B38,1),#REF!,"&lt;="&amp;EOMONTH(DATE($C38,$B38,1),0),#REF!,"Incident")+
COUNTIFS(#REF!,"&gt;="&amp;DATE($C38,$B38,1),#REF!,"&lt;="&amp;EOMONTH(DATE($C38,$B38,1),0),#REF!,"user_request")</f>
        <v>#REF!</v>
      </c>
      <c r="P38" s="147">
        <f t="shared" si="9"/>
        <v>0</v>
      </c>
      <c r="Q38" s="147">
        <f t="shared" si="10"/>
        <v>0</v>
      </c>
      <c r="R38" s="147">
        <f t="shared" si="11"/>
        <v>0</v>
      </c>
      <c r="S38" s="146" t="e">
        <f t="shared" si="15"/>
        <v>#REF!</v>
      </c>
      <c r="T38" s="146" t="e">
        <f t="shared" si="15"/>
        <v>#REF!</v>
      </c>
      <c r="U38" s="145">
        <f t="shared" si="4"/>
        <v>0</v>
      </c>
      <c r="V38" s="145" t="e">
        <f t="shared" si="5"/>
        <v>#REF!</v>
      </c>
      <c r="W38" s="142">
        <v>35</v>
      </c>
      <c r="X38" s="142" t="str">
        <f>+IF((VLOOKUP(A38,List!B:C,2,0)-VLOOKUP(Summary!$P$7,List!B:C,2,0))=0,1,"")</f>
        <v/>
      </c>
      <c r="Y38" s="198">
        <f>+IF((VLOOKUP(A38,List!B:C,2,0)-VLOOKUP(Summary!$P$7,List!B:C,2,0))&gt;=0,1,"")</f>
        <v>1</v>
      </c>
      <c r="Z38" s="198">
        <f>+IF((VLOOKUP(A38,List!B:C,2,0)-VLOOKUP(Summary!$P$7,List!B:C,2,0))&gt;0,1,"")</f>
        <v>1</v>
      </c>
      <c r="AA38" s="141">
        <f t="shared" si="6"/>
        <v>2</v>
      </c>
      <c r="AB38" s="199" t="str">
        <f>+IF(AA38="","",IF(Summary!$J$7="Fixed Price","",IF(M38="",IF(I38="","",1),"")))</f>
        <v/>
      </c>
      <c r="AC38" s="198">
        <f t="shared" si="13"/>
        <v>0</v>
      </c>
    </row>
    <row r="39" spans="1:29" x14ac:dyDescent="0.2">
      <c r="A39" s="155" t="str">
        <f t="shared" si="0"/>
        <v>-</v>
      </c>
      <c r="B39" s="154" t="str">
        <f t="shared" si="7"/>
        <v/>
      </c>
      <c r="C39" s="153" t="str">
        <f t="shared" si="8"/>
        <v/>
      </c>
      <c r="D39" s="152" t="str">
        <f t="shared" si="1"/>
        <v>-</v>
      </c>
      <c r="E39" s="151" t="str">
        <f>+IF($B39="","",Summary!$P$4)</f>
        <v/>
      </c>
      <c r="F39" s="151" t="str">
        <f>+IF($B39="","",Summary!$P$5)</f>
        <v/>
      </c>
      <c r="G39" s="151" t="str">
        <f>+IF($B39="","",Summary!$P$6)</f>
        <v/>
      </c>
      <c r="H39" s="150" t="str">
        <f t="shared" si="2"/>
        <v/>
      </c>
      <c r="I39" s="148"/>
      <c r="J39" s="148"/>
      <c r="K39" s="148"/>
      <c r="L39" s="148"/>
      <c r="M39" s="148"/>
      <c r="N39" s="148" t="e">
        <f t="shared" si="3"/>
        <v>#REF!</v>
      </c>
      <c r="O39" s="148" t="e">
        <f>COUNTIFS(#REF!,"&gt;="&amp;DATE($C39,$B39,1),#REF!,"&lt;="&amp;EOMONTH(DATE($C39,$B39,1),0),#REF!,"Incident")+
COUNTIFS(#REF!,"&gt;="&amp;DATE($C39,$B39,1),#REF!,"&lt;="&amp;EOMONTH(DATE($C39,$B39,1),0),#REF!,"user_request")</f>
        <v>#REF!</v>
      </c>
      <c r="P39" s="147">
        <f t="shared" si="9"/>
        <v>0</v>
      </c>
      <c r="Q39" s="147">
        <f t="shared" si="10"/>
        <v>0</v>
      </c>
      <c r="R39" s="147">
        <f t="shared" si="11"/>
        <v>0</v>
      </c>
      <c r="S39" s="146" t="e">
        <f t="shared" si="15"/>
        <v>#REF!</v>
      </c>
      <c r="T39" s="146" t="e">
        <f t="shared" si="15"/>
        <v>#REF!</v>
      </c>
      <c r="U39" s="145">
        <f t="shared" si="4"/>
        <v>0</v>
      </c>
      <c r="V39" s="145" t="e">
        <f t="shared" si="5"/>
        <v>#REF!</v>
      </c>
      <c r="W39" s="142">
        <v>36</v>
      </c>
      <c r="X39" s="142" t="str">
        <f>+IF((VLOOKUP(A39,List!B:C,2,0)-VLOOKUP(Summary!$P$7,List!B:C,2,0))=0,1,"")</f>
        <v/>
      </c>
      <c r="Y39" s="198">
        <f>+IF((VLOOKUP(A39,List!B:C,2,0)-VLOOKUP(Summary!$P$7,List!B:C,2,0))&gt;=0,1,"")</f>
        <v>1</v>
      </c>
      <c r="Z39" s="198">
        <f>+IF((VLOOKUP(A39,List!B:C,2,0)-VLOOKUP(Summary!$P$7,List!B:C,2,0))&gt;0,1,"")</f>
        <v>1</v>
      </c>
      <c r="AA39" s="141">
        <f t="shared" si="6"/>
        <v>2</v>
      </c>
      <c r="AB39" s="199" t="str">
        <f>+IF(AA39="","",IF(Summary!$J$7="Fixed Price","",IF(M39="",IF(I39="","",1),"")))</f>
        <v/>
      </c>
      <c r="AC39" s="198">
        <f t="shared" si="13"/>
        <v>0</v>
      </c>
    </row>
    <row r="40" spans="1:29" x14ac:dyDescent="0.2">
      <c r="A40" s="155" t="str">
        <f t="shared" si="0"/>
        <v>-</v>
      </c>
      <c r="B40" s="154" t="str">
        <f t="shared" si="7"/>
        <v/>
      </c>
      <c r="C40" s="153" t="str">
        <f t="shared" si="8"/>
        <v/>
      </c>
      <c r="D40" s="152" t="str">
        <f t="shared" si="1"/>
        <v>-</v>
      </c>
      <c r="E40" s="159" t="str">
        <f>+IF($B40="","",Summary!$P$4)</f>
        <v/>
      </c>
      <c r="F40" s="159" t="str">
        <f>+IF($B40="","",Summary!$P$5)</f>
        <v/>
      </c>
      <c r="G40" s="159" t="str">
        <f>+IF($B40="","",Summary!$P$6)</f>
        <v/>
      </c>
      <c r="H40" s="158" t="str">
        <f t="shared" si="2"/>
        <v/>
      </c>
      <c r="I40" s="156"/>
      <c r="J40" s="157"/>
      <c r="K40" s="156"/>
      <c r="L40" s="156"/>
      <c r="M40" s="156"/>
      <c r="N40" s="157" t="e">
        <f t="shared" si="3"/>
        <v>#REF!</v>
      </c>
      <c r="O40" s="157" t="e">
        <f>COUNTIFS(#REF!,"&gt;="&amp;DATE($C40,$B40,1),#REF!,"&lt;="&amp;EOMONTH(DATE($C40,$B40,1),0),#REF!,"Incident")+
COUNTIFS(#REF!,"&gt;="&amp;DATE($C40,$B40,1),#REF!,"&lt;="&amp;EOMONTH(DATE($C40,$B40,1),0),#REF!,"user_request")</f>
        <v>#REF!</v>
      </c>
      <c r="P40" s="147">
        <f t="shared" si="9"/>
        <v>0</v>
      </c>
      <c r="Q40" s="147">
        <f t="shared" si="10"/>
        <v>0</v>
      </c>
      <c r="R40" s="147">
        <f t="shared" si="11"/>
        <v>0</v>
      </c>
      <c r="S40" s="146" t="e">
        <f t="shared" si="15"/>
        <v>#REF!</v>
      </c>
      <c r="T40" s="146" t="e">
        <f t="shared" si="15"/>
        <v>#REF!</v>
      </c>
      <c r="U40" s="145">
        <f t="shared" si="4"/>
        <v>0</v>
      </c>
      <c r="V40" s="145" t="e">
        <f t="shared" si="5"/>
        <v>#REF!</v>
      </c>
      <c r="W40" s="142">
        <v>37</v>
      </c>
      <c r="X40" s="142" t="str">
        <f>+IF((VLOOKUP(A40,List!B:C,2,0)-VLOOKUP(Summary!$P$7,List!B:C,2,0))=0,1,"")</f>
        <v/>
      </c>
      <c r="Y40" s="198">
        <f>+IF((VLOOKUP(A40,List!B:C,2,0)-VLOOKUP(Summary!$P$7,List!B:C,2,0))&gt;=0,1,"")</f>
        <v>1</v>
      </c>
      <c r="Z40" s="198">
        <f>+IF((VLOOKUP(A40,List!B:C,2,0)-VLOOKUP(Summary!$P$7,List!B:C,2,0))&gt;0,1,"")</f>
        <v>1</v>
      </c>
      <c r="AA40" s="141">
        <f t="shared" si="6"/>
        <v>2</v>
      </c>
      <c r="AB40" s="199" t="str">
        <f>+IF(AA40="","",IF(Summary!$J$7="Fixed Price","",IF(M40="",IF(I40="","",1),"")))</f>
        <v/>
      </c>
      <c r="AC40" s="198">
        <f t="shared" si="13"/>
        <v>0</v>
      </c>
    </row>
    <row r="41" spans="1:29" x14ac:dyDescent="0.2">
      <c r="A41" s="155" t="str">
        <f t="shared" si="0"/>
        <v>-</v>
      </c>
      <c r="B41" s="154" t="str">
        <f t="shared" si="7"/>
        <v/>
      </c>
      <c r="C41" s="153" t="str">
        <f t="shared" si="8"/>
        <v/>
      </c>
      <c r="D41" s="152" t="str">
        <f t="shared" si="1"/>
        <v>-</v>
      </c>
      <c r="E41" s="151" t="str">
        <f>+IF($B41="","",Summary!$P$4)</f>
        <v/>
      </c>
      <c r="F41" s="151" t="str">
        <f>+IF($B41="","",Summary!$P$5)</f>
        <v/>
      </c>
      <c r="G41" s="151" t="str">
        <f>+IF($B41="","",Summary!$P$6)</f>
        <v/>
      </c>
      <c r="H41" s="150" t="str">
        <f t="shared" si="2"/>
        <v/>
      </c>
      <c r="I41" s="148"/>
      <c r="J41" s="149"/>
      <c r="K41" s="148"/>
      <c r="L41" s="148"/>
      <c r="M41" s="148"/>
      <c r="N41" s="149" t="e">
        <f t="shared" si="3"/>
        <v>#REF!</v>
      </c>
      <c r="O41" s="149" t="e">
        <f>COUNTIFS(#REF!,"&gt;="&amp;DATE($C41,$B41,1),#REF!,"&lt;="&amp;EOMONTH(DATE($C41,$B41,1),0),#REF!,"Incident")+
COUNTIFS(#REF!,"&gt;="&amp;DATE($C41,$B41,1),#REF!,"&lt;="&amp;EOMONTH(DATE($C41,$B41,1),0),#REF!,"user_request")</f>
        <v>#REF!</v>
      </c>
      <c r="P41" s="147">
        <f t="shared" si="9"/>
        <v>0</v>
      </c>
      <c r="Q41" s="147">
        <f t="shared" si="10"/>
        <v>0</v>
      </c>
      <c r="R41" s="147">
        <f t="shared" si="11"/>
        <v>0</v>
      </c>
      <c r="S41" s="146" t="e">
        <f t="shared" si="15"/>
        <v>#REF!</v>
      </c>
      <c r="T41" s="146" t="e">
        <f t="shared" si="15"/>
        <v>#REF!</v>
      </c>
      <c r="U41" s="145">
        <f t="shared" si="4"/>
        <v>0</v>
      </c>
      <c r="V41" s="145" t="e">
        <f t="shared" si="5"/>
        <v>#REF!</v>
      </c>
      <c r="W41" s="142">
        <v>38</v>
      </c>
      <c r="X41" s="142" t="str">
        <f>+IF((VLOOKUP(A41,List!B:C,2,0)-VLOOKUP(Summary!$P$7,List!B:C,2,0))=0,1,"")</f>
        <v/>
      </c>
      <c r="Y41" s="198">
        <f>+IF((VLOOKUP(A41,List!B:C,2,0)-VLOOKUP(Summary!$P$7,List!B:C,2,0))&gt;=0,1,"")</f>
        <v>1</v>
      </c>
      <c r="Z41" s="198">
        <f>+IF((VLOOKUP(A41,List!B:C,2,0)-VLOOKUP(Summary!$P$7,List!B:C,2,0))&gt;0,1,"")</f>
        <v>1</v>
      </c>
      <c r="AA41" s="141">
        <f t="shared" si="6"/>
        <v>2</v>
      </c>
      <c r="AB41" s="199" t="str">
        <f>+IF(AA41="","",IF(Summary!$J$7="Fixed Price","",IF(M41="",IF(I41="","",1),"")))</f>
        <v/>
      </c>
      <c r="AC41" s="198">
        <f t="shared" si="13"/>
        <v>0</v>
      </c>
    </row>
    <row r="42" spans="1:29" x14ac:dyDescent="0.2">
      <c r="A42" s="155" t="str">
        <f t="shared" si="0"/>
        <v>-</v>
      </c>
      <c r="B42" s="154" t="str">
        <f t="shared" si="7"/>
        <v/>
      </c>
      <c r="C42" s="153" t="str">
        <f t="shared" si="8"/>
        <v/>
      </c>
      <c r="D42" s="152" t="str">
        <f t="shared" si="1"/>
        <v>-</v>
      </c>
      <c r="E42" s="159" t="str">
        <f>+IF($B42="","",Summary!$P$4)</f>
        <v/>
      </c>
      <c r="F42" s="159" t="str">
        <f>+IF($B42="","",Summary!$P$5)</f>
        <v/>
      </c>
      <c r="G42" s="159" t="str">
        <f>+IF($B42="","",Summary!$P$6)</f>
        <v/>
      </c>
      <c r="H42" s="158" t="str">
        <f t="shared" si="2"/>
        <v/>
      </c>
      <c r="I42" s="156"/>
      <c r="J42" s="157"/>
      <c r="K42" s="156"/>
      <c r="L42" s="156"/>
      <c r="M42" s="156"/>
      <c r="N42" s="157" t="e">
        <f t="shared" si="3"/>
        <v>#REF!</v>
      </c>
      <c r="O42" s="157" t="e">
        <f>COUNTIFS(#REF!,"&gt;="&amp;DATE($C42,$B42,1),#REF!,"&lt;="&amp;EOMONTH(DATE($C42,$B42,1),0),#REF!,"Incident")+
COUNTIFS(#REF!,"&gt;="&amp;DATE($C42,$B42,1),#REF!,"&lt;="&amp;EOMONTH(DATE($C42,$B42,1),0),#REF!,"user_request")</f>
        <v>#REF!</v>
      </c>
      <c r="P42" s="147">
        <f t="shared" si="9"/>
        <v>0</v>
      </c>
      <c r="Q42" s="147">
        <f t="shared" si="10"/>
        <v>0</v>
      </c>
      <c r="R42" s="147">
        <f t="shared" si="11"/>
        <v>0</v>
      </c>
      <c r="S42" s="146" t="e">
        <f t="shared" si="15"/>
        <v>#REF!</v>
      </c>
      <c r="T42" s="146" t="e">
        <f t="shared" si="15"/>
        <v>#REF!</v>
      </c>
      <c r="U42" s="145">
        <f t="shared" si="4"/>
        <v>0</v>
      </c>
      <c r="V42" s="145" t="e">
        <f t="shared" si="5"/>
        <v>#REF!</v>
      </c>
      <c r="W42" s="142">
        <v>39</v>
      </c>
      <c r="X42" s="142" t="str">
        <f>+IF((VLOOKUP(A42,List!B:C,2,0)-VLOOKUP(Summary!$P$7,List!B:C,2,0))=0,1,"")</f>
        <v/>
      </c>
      <c r="Y42" s="198">
        <f>+IF((VLOOKUP(A42,List!B:C,2,0)-VLOOKUP(Summary!$P$7,List!B:C,2,0))&gt;=0,1,"")</f>
        <v>1</v>
      </c>
      <c r="Z42" s="198">
        <f>+IF((VLOOKUP(A42,List!B:C,2,0)-VLOOKUP(Summary!$P$7,List!B:C,2,0))&gt;0,1,"")</f>
        <v>1</v>
      </c>
      <c r="AA42" s="141">
        <f t="shared" si="6"/>
        <v>2</v>
      </c>
      <c r="AB42" s="199" t="str">
        <f>+IF(AA42="","",IF(Summary!$J$7="Fixed Price","",IF(M42="",IF(I42="","",1),"")))</f>
        <v/>
      </c>
      <c r="AC42" s="198">
        <f t="shared" si="13"/>
        <v>0</v>
      </c>
    </row>
    <row r="43" spans="1:29" x14ac:dyDescent="0.2">
      <c r="A43" s="155" t="str">
        <f t="shared" si="0"/>
        <v>-</v>
      </c>
      <c r="B43" s="154" t="str">
        <f t="shared" si="7"/>
        <v/>
      </c>
      <c r="C43" s="153" t="str">
        <f t="shared" si="8"/>
        <v/>
      </c>
      <c r="D43" s="152" t="str">
        <f t="shared" si="1"/>
        <v>-</v>
      </c>
      <c r="E43" s="151" t="str">
        <f>+IF($B43="","",Summary!$P$4)</f>
        <v/>
      </c>
      <c r="F43" s="151" t="str">
        <f>+IF($B43="","",Summary!$P$5)</f>
        <v/>
      </c>
      <c r="G43" s="151" t="str">
        <f>+IF($B43="","",Summary!$P$6)</f>
        <v/>
      </c>
      <c r="H43" s="150" t="str">
        <f t="shared" si="2"/>
        <v/>
      </c>
      <c r="I43" s="148"/>
      <c r="J43" s="149"/>
      <c r="K43" s="148"/>
      <c r="L43" s="148"/>
      <c r="M43" s="148"/>
      <c r="N43" s="149" t="e">
        <f t="shared" si="3"/>
        <v>#REF!</v>
      </c>
      <c r="O43" s="149" t="e">
        <f>COUNTIFS(#REF!,"&gt;="&amp;DATE($C43,$B43,1),#REF!,"&lt;="&amp;EOMONTH(DATE($C43,$B43,1),0),#REF!,"Incident")+
COUNTIFS(#REF!,"&gt;="&amp;DATE($C43,$B43,1),#REF!,"&lt;="&amp;EOMONTH(DATE($C43,$B43,1),0),#REF!,"user_request")</f>
        <v>#REF!</v>
      </c>
      <c r="P43" s="147">
        <f t="shared" si="9"/>
        <v>0</v>
      </c>
      <c r="Q43" s="147">
        <f t="shared" si="10"/>
        <v>0</v>
      </c>
      <c r="R43" s="147">
        <f t="shared" si="11"/>
        <v>0</v>
      </c>
      <c r="S43" s="146" t="e">
        <f t="shared" si="15"/>
        <v>#REF!</v>
      </c>
      <c r="T43" s="146" t="e">
        <f t="shared" si="15"/>
        <v>#REF!</v>
      </c>
      <c r="U43" s="145">
        <f t="shared" si="4"/>
        <v>0</v>
      </c>
      <c r="V43" s="145" t="e">
        <f t="shared" si="5"/>
        <v>#REF!</v>
      </c>
      <c r="W43" s="142">
        <v>40</v>
      </c>
      <c r="X43" s="142" t="str">
        <f>+IF((VLOOKUP(A43,List!B:C,2,0)-VLOOKUP(Summary!$P$7,List!B:C,2,0))=0,1,"")</f>
        <v/>
      </c>
      <c r="Y43" s="198">
        <f>+IF((VLOOKUP(A43,List!B:C,2,0)-VLOOKUP(Summary!$P$7,List!B:C,2,0))&gt;=0,1,"")</f>
        <v>1</v>
      </c>
      <c r="Z43" s="198">
        <f>+IF((VLOOKUP(A43,List!B:C,2,0)-VLOOKUP(Summary!$P$7,List!B:C,2,0))&gt;0,1,"")</f>
        <v>1</v>
      </c>
      <c r="AA43" s="141">
        <f t="shared" si="6"/>
        <v>2</v>
      </c>
      <c r="AB43" s="199" t="str">
        <f>+IF(AA43="","",IF(Summary!$J$7="Fixed Price","",IF(M43="",IF(I43="","",1),"")))</f>
        <v/>
      </c>
      <c r="AC43" s="198">
        <f t="shared" si="13"/>
        <v>0</v>
      </c>
    </row>
    <row r="44" spans="1:29" x14ac:dyDescent="0.2">
      <c r="A44" s="155" t="str">
        <f t="shared" si="0"/>
        <v>-</v>
      </c>
      <c r="B44" s="154" t="str">
        <f t="shared" si="7"/>
        <v/>
      </c>
      <c r="C44" s="153" t="str">
        <f t="shared" si="8"/>
        <v/>
      </c>
      <c r="D44" s="152" t="str">
        <f t="shared" si="1"/>
        <v>-</v>
      </c>
      <c r="E44" s="159" t="str">
        <f>+IF($B44="","",Summary!$P$4)</f>
        <v/>
      </c>
      <c r="F44" s="159" t="str">
        <f>+IF($B44="","",Summary!$P$5)</f>
        <v/>
      </c>
      <c r="G44" s="159" t="str">
        <f>+IF($B44="","",Summary!$P$6)</f>
        <v/>
      </c>
      <c r="H44" s="158" t="str">
        <f t="shared" si="2"/>
        <v/>
      </c>
      <c r="I44" s="156"/>
      <c r="J44" s="157"/>
      <c r="K44" s="156"/>
      <c r="L44" s="156"/>
      <c r="M44" s="156"/>
      <c r="N44" s="157" t="e">
        <f t="shared" si="3"/>
        <v>#REF!</v>
      </c>
      <c r="O44" s="157" t="e">
        <f>COUNTIFS(#REF!,"&gt;="&amp;DATE($C44,$B44,1),#REF!,"&lt;="&amp;EOMONTH(DATE($C44,$B44,1),0),#REF!,"Incident")+
COUNTIFS(#REF!,"&gt;="&amp;DATE($C44,$B44,1),#REF!,"&lt;="&amp;EOMONTH(DATE($C44,$B44,1),0),#REF!,"user_request")</f>
        <v>#REF!</v>
      </c>
      <c r="P44" s="147">
        <f t="shared" si="9"/>
        <v>0</v>
      </c>
      <c r="Q44" s="147">
        <f t="shared" si="10"/>
        <v>0</v>
      </c>
      <c r="R44" s="147">
        <f t="shared" si="11"/>
        <v>0</v>
      </c>
      <c r="S44" s="146" t="e">
        <f t="shared" si="15"/>
        <v>#REF!</v>
      </c>
      <c r="T44" s="146" t="e">
        <f t="shared" si="15"/>
        <v>#REF!</v>
      </c>
      <c r="U44" s="145">
        <f t="shared" si="4"/>
        <v>0</v>
      </c>
      <c r="V44" s="145" t="e">
        <f t="shared" si="5"/>
        <v>#REF!</v>
      </c>
      <c r="W44" s="142">
        <v>41</v>
      </c>
      <c r="X44" s="142" t="str">
        <f>+IF((VLOOKUP(A44,List!B:C,2,0)-VLOOKUP(Summary!$P$7,List!B:C,2,0))=0,1,"")</f>
        <v/>
      </c>
      <c r="Y44" s="198">
        <f>+IF((VLOOKUP(A44,List!B:C,2,0)-VLOOKUP(Summary!$P$7,List!B:C,2,0))&gt;=0,1,"")</f>
        <v>1</v>
      </c>
      <c r="Z44" s="198">
        <f>+IF((VLOOKUP(A44,List!B:C,2,0)-VLOOKUP(Summary!$P$7,List!B:C,2,0))&gt;0,1,"")</f>
        <v>1</v>
      </c>
      <c r="AA44" s="141">
        <f t="shared" si="6"/>
        <v>2</v>
      </c>
      <c r="AB44" s="199" t="str">
        <f>+IF(AA44="","",IF(Summary!$J$7="Fixed Price","",IF(M44="",IF(I44="","",1),"")))</f>
        <v/>
      </c>
      <c r="AC44" s="198">
        <f t="shared" si="13"/>
        <v>0</v>
      </c>
    </row>
    <row r="45" spans="1:29" x14ac:dyDescent="0.2">
      <c r="A45" s="155" t="str">
        <f t="shared" si="0"/>
        <v>-</v>
      </c>
      <c r="B45" s="154" t="str">
        <f t="shared" si="7"/>
        <v/>
      </c>
      <c r="C45" s="153" t="str">
        <f t="shared" si="8"/>
        <v/>
      </c>
      <c r="D45" s="152" t="str">
        <f t="shared" si="1"/>
        <v>-</v>
      </c>
      <c r="E45" s="151" t="str">
        <f>+IF($B45="","",Summary!$P$4)</f>
        <v/>
      </c>
      <c r="F45" s="151" t="str">
        <f>+IF($B45="","",Summary!$P$5)</f>
        <v/>
      </c>
      <c r="G45" s="151" t="str">
        <f>+IF($B45="","",Summary!$P$6)</f>
        <v/>
      </c>
      <c r="H45" s="150" t="str">
        <f t="shared" si="2"/>
        <v/>
      </c>
      <c r="I45" s="148"/>
      <c r="J45" s="149"/>
      <c r="K45" s="148"/>
      <c r="L45" s="148"/>
      <c r="M45" s="148"/>
      <c r="N45" s="149" t="e">
        <f t="shared" si="3"/>
        <v>#REF!</v>
      </c>
      <c r="O45" s="149" t="e">
        <f>COUNTIFS(#REF!,"&gt;="&amp;DATE($C45,$B45,1),#REF!,"&lt;="&amp;EOMONTH(DATE($C45,$B45,1),0),#REF!,"Incident")+
COUNTIFS(#REF!,"&gt;="&amp;DATE($C45,$B45,1),#REF!,"&lt;="&amp;EOMONTH(DATE($C45,$B45,1),0),#REF!,"user_request")</f>
        <v>#REF!</v>
      </c>
      <c r="P45" s="147">
        <f t="shared" si="9"/>
        <v>0</v>
      </c>
      <c r="Q45" s="147">
        <f t="shared" si="10"/>
        <v>0</v>
      </c>
      <c r="R45" s="147">
        <f t="shared" si="11"/>
        <v>0</v>
      </c>
      <c r="S45" s="146" t="e">
        <f t="shared" si="15"/>
        <v>#REF!</v>
      </c>
      <c r="T45" s="146" t="e">
        <f t="shared" si="15"/>
        <v>#REF!</v>
      </c>
      <c r="U45" s="145">
        <f t="shared" si="4"/>
        <v>0</v>
      </c>
      <c r="V45" s="145" t="e">
        <f t="shared" si="5"/>
        <v>#REF!</v>
      </c>
      <c r="W45" s="142">
        <v>42</v>
      </c>
      <c r="X45" s="142" t="str">
        <f>+IF((VLOOKUP(A45,List!B:C,2,0)-VLOOKUP(Summary!$P$7,List!B:C,2,0))=0,1,"")</f>
        <v/>
      </c>
      <c r="Y45" s="198">
        <f>+IF((VLOOKUP(A45,List!B:C,2,0)-VLOOKUP(Summary!$P$7,List!B:C,2,0))&gt;=0,1,"")</f>
        <v>1</v>
      </c>
      <c r="Z45" s="198">
        <f>+IF((VLOOKUP(A45,List!B:C,2,0)-VLOOKUP(Summary!$P$7,List!B:C,2,0))&gt;0,1,"")</f>
        <v>1</v>
      </c>
      <c r="AA45" s="141">
        <f t="shared" si="6"/>
        <v>2</v>
      </c>
      <c r="AB45" s="199" t="str">
        <f>+IF(AA45="","",IF(Summary!$J$7="Fixed Price","",IF(M45="",IF(I45="","",1),"")))</f>
        <v/>
      </c>
      <c r="AC45" s="198">
        <f t="shared" si="13"/>
        <v>0</v>
      </c>
    </row>
    <row r="46" spans="1:29" x14ac:dyDescent="0.2">
      <c r="A46" s="155" t="str">
        <f t="shared" si="0"/>
        <v>-</v>
      </c>
      <c r="B46" s="154" t="str">
        <f t="shared" si="7"/>
        <v/>
      </c>
      <c r="C46" s="153" t="str">
        <f t="shared" si="8"/>
        <v/>
      </c>
      <c r="D46" s="152" t="str">
        <f t="shared" si="1"/>
        <v>-</v>
      </c>
      <c r="E46" s="159" t="str">
        <f>+IF($B46="","",Summary!$P$4)</f>
        <v/>
      </c>
      <c r="F46" s="159" t="str">
        <f>+IF($B46="","",Summary!$P$5)</f>
        <v/>
      </c>
      <c r="G46" s="159" t="str">
        <f>+IF($B46="","",Summary!$P$6)</f>
        <v/>
      </c>
      <c r="H46" s="158" t="str">
        <f t="shared" si="2"/>
        <v/>
      </c>
      <c r="I46" s="156"/>
      <c r="J46" s="157"/>
      <c r="K46" s="156"/>
      <c r="L46" s="156"/>
      <c r="M46" s="156"/>
      <c r="N46" s="157" t="e">
        <f t="shared" si="3"/>
        <v>#REF!</v>
      </c>
      <c r="O46" s="157" t="e">
        <f>COUNTIFS(#REF!,"&gt;="&amp;DATE($C46,$B46,1),#REF!,"&lt;="&amp;EOMONTH(DATE($C46,$B46,1),0),#REF!,"Incident")+
COUNTIFS(#REF!,"&gt;="&amp;DATE($C46,$B46,1),#REF!,"&lt;="&amp;EOMONTH(DATE($C46,$B46,1),0),#REF!,"user_request")</f>
        <v>#REF!</v>
      </c>
      <c r="P46" s="147">
        <f t="shared" si="9"/>
        <v>0</v>
      </c>
      <c r="Q46" s="147">
        <f t="shared" si="10"/>
        <v>0</v>
      </c>
      <c r="R46" s="147">
        <f t="shared" si="11"/>
        <v>0</v>
      </c>
      <c r="S46" s="146" t="e">
        <f t="shared" si="15"/>
        <v>#REF!</v>
      </c>
      <c r="T46" s="146" t="e">
        <f t="shared" si="15"/>
        <v>#REF!</v>
      </c>
      <c r="U46" s="145">
        <f t="shared" si="4"/>
        <v>0</v>
      </c>
      <c r="V46" s="145" t="e">
        <f t="shared" si="5"/>
        <v>#REF!</v>
      </c>
      <c r="W46" s="142">
        <v>43</v>
      </c>
      <c r="X46" s="142" t="str">
        <f>+IF((VLOOKUP(A46,List!B:C,2,0)-VLOOKUP(Summary!$P$7,List!B:C,2,0))=0,1,"")</f>
        <v/>
      </c>
      <c r="Y46" s="198">
        <f>+IF((VLOOKUP(A46,List!B:C,2,0)-VLOOKUP(Summary!$P$7,List!B:C,2,0))&gt;=0,1,"")</f>
        <v>1</v>
      </c>
      <c r="Z46" s="198">
        <f>+IF((VLOOKUP(A46,List!B:C,2,0)-VLOOKUP(Summary!$P$7,List!B:C,2,0))&gt;0,1,"")</f>
        <v>1</v>
      </c>
      <c r="AA46" s="141">
        <f t="shared" si="6"/>
        <v>2</v>
      </c>
      <c r="AB46" s="199" t="str">
        <f>+IF(AA46="","",IF(Summary!$J$7="Fixed Price","",IF(M46="",IF(I46="","",1),"")))</f>
        <v/>
      </c>
      <c r="AC46" s="198">
        <f t="shared" si="13"/>
        <v>0</v>
      </c>
    </row>
    <row r="47" spans="1:29" x14ac:dyDescent="0.2">
      <c r="A47" s="155" t="str">
        <f t="shared" si="0"/>
        <v>-</v>
      </c>
      <c r="B47" s="154" t="str">
        <f t="shared" si="7"/>
        <v/>
      </c>
      <c r="C47" s="153" t="str">
        <f t="shared" si="8"/>
        <v/>
      </c>
      <c r="D47" s="152" t="str">
        <f t="shared" si="1"/>
        <v>-</v>
      </c>
      <c r="E47" s="151" t="str">
        <f>+IF($B47="","",Summary!$P$4)</f>
        <v/>
      </c>
      <c r="F47" s="151" t="str">
        <f>+IF($B47="","",Summary!$P$5)</f>
        <v/>
      </c>
      <c r="G47" s="151" t="str">
        <f>+IF($B47="","",Summary!$P$6)</f>
        <v/>
      </c>
      <c r="H47" s="150" t="str">
        <f t="shared" si="2"/>
        <v/>
      </c>
      <c r="I47" s="148"/>
      <c r="J47" s="149"/>
      <c r="K47" s="148"/>
      <c r="L47" s="148"/>
      <c r="M47" s="148"/>
      <c r="N47" s="149" t="e">
        <f t="shared" si="3"/>
        <v>#REF!</v>
      </c>
      <c r="O47" s="149" t="e">
        <f>COUNTIFS(#REF!,"&gt;="&amp;DATE($C47,$B47,1),#REF!,"&lt;="&amp;EOMONTH(DATE($C47,$B47,1),0),#REF!,"Incident")+
COUNTIFS(#REF!,"&gt;="&amp;DATE($C47,$B47,1),#REF!,"&lt;="&amp;EOMONTH(DATE($C47,$B47,1),0),#REF!,"user_request")</f>
        <v>#REF!</v>
      </c>
      <c r="P47" s="147">
        <f t="shared" si="9"/>
        <v>0</v>
      </c>
      <c r="Q47" s="147">
        <f t="shared" si="10"/>
        <v>0</v>
      </c>
      <c r="R47" s="147">
        <f t="shared" si="11"/>
        <v>0</v>
      </c>
      <c r="S47" s="146" t="e">
        <f t="shared" si="15"/>
        <v>#REF!</v>
      </c>
      <c r="T47" s="146" t="e">
        <f t="shared" si="15"/>
        <v>#REF!</v>
      </c>
      <c r="U47" s="145">
        <f t="shared" si="4"/>
        <v>0</v>
      </c>
      <c r="V47" s="145" t="e">
        <f t="shared" si="5"/>
        <v>#REF!</v>
      </c>
      <c r="W47" s="142">
        <v>44</v>
      </c>
      <c r="X47" s="142" t="str">
        <f>+IF((VLOOKUP(A47,List!B:C,2,0)-VLOOKUP(Summary!$P$7,List!B:C,2,0))=0,1,"")</f>
        <v/>
      </c>
      <c r="Y47" s="198">
        <f>+IF((VLOOKUP(A47,List!B:C,2,0)-VLOOKUP(Summary!$P$7,List!B:C,2,0))&gt;=0,1,"")</f>
        <v>1</v>
      </c>
      <c r="Z47" s="198">
        <f>+IF((VLOOKUP(A47,List!B:C,2,0)-VLOOKUP(Summary!$P$7,List!B:C,2,0))&gt;0,1,"")</f>
        <v>1</v>
      </c>
      <c r="AA47" s="141">
        <f t="shared" si="6"/>
        <v>2</v>
      </c>
      <c r="AB47" s="199" t="str">
        <f>+IF(AA47="","",IF(Summary!$J$7="Fixed Price","",IF(M47="",IF(I47="","",1),"")))</f>
        <v/>
      </c>
      <c r="AC47" s="198">
        <f t="shared" si="13"/>
        <v>0</v>
      </c>
    </row>
    <row r="48" spans="1:29" x14ac:dyDescent="0.2">
      <c r="A48" s="155" t="str">
        <f t="shared" si="0"/>
        <v>-</v>
      </c>
      <c r="B48" s="154" t="str">
        <f t="shared" si="7"/>
        <v/>
      </c>
      <c r="C48" s="153" t="str">
        <f t="shared" si="8"/>
        <v/>
      </c>
      <c r="D48" s="152" t="str">
        <f t="shared" si="1"/>
        <v>-</v>
      </c>
      <c r="E48" s="159" t="str">
        <f>+IF($B48="","",Summary!$P$4)</f>
        <v/>
      </c>
      <c r="F48" s="159" t="str">
        <f>+IF($B48="","",Summary!$P$5)</f>
        <v/>
      </c>
      <c r="G48" s="159" t="str">
        <f>+IF($B48="","",Summary!$P$6)</f>
        <v/>
      </c>
      <c r="H48" s="158" t="str">
        <f t="shared" si="2"/>
        <v/>
      </c>
      <c r="I48" s="156"/>
      <c r="J48" s="157"/>
      <c r="K48" s="156"/>
      <c r="L48" s="156"/>
      <c r="M48" s="156"/>
      <c r="N48" s="157" t="e">
        <f t="shared" si="3"/>
        <v>#REF!</v>
      </c>
      <c r="O48" s="157" t="e">
        <f>COUNTIFS(#REF!,"&gt;="&amp;DATE($C48,$B48,1),#REF!,"&lt;="&amp;EOMONTH(DATE($C48,$B48,1),0),#REF!,"Incident")+
COUNTIFS(#REF!,"&gt;="&amp;DATE($C48,$B48,1),#REF!,"&lt;="&amp;EOMONTH(DATE($C48,$B48,1),0),#REF!,"user_request")</f>
        <v>#REF!</v>
      </c>
      <c r="P48" s="147">
        <f t="shared" si="9"/>
        <v>0</v>
      </c>
      <c r="Q48" s="147">
        <f t="shared" si="10"/>
        <v>0</v>
      </c>
      <c r="R48" s="147">
        <f t="shared" si="11"/>
        <v>0</v>
      </c>
      <c r="S48" s="146" t="e">
        <f t="shared" si="15"/>
        <v>#REF!</v>
      </c>
      <c r="T48" s="146" t="e">
        <f t="shared" si="15"/>
        <v>#REF!</v>
      </c>
      <c r="U48" s="145">
        <f t="shared" si="4"/>
        <v>0</v>
      </c>
      <c r="V48" s="145" t="e">
        <f t="shared" si="5"/>
        <v>#REF!</v>
      </c>
      <c r="W48" s="142">
        <v>45</v>
      </c>
      <c r="X48" s="142" t="str">
        <f>+IF((VLOOKUP(A48,List!B:C,2,0)-VLOOKUP(Summary!$P$7,List!B:C,2,0))=0,1,"")</f>
        <v/>
      </c>
      <c r="Y48" s="198">
        <f>+IF((VLOOKUP(A48,List!B:C,2,0)-VLOOKUP(Summary!$P$7,List!B:C,2,0))&gt;=0,1,"")</f>
        <v>1</v>
      </c>
      <c r="Z48" s="198">
        <f>+IF((VLOOKUP(A48,List!B:C,2,0)-VLOOKUP(Summary!$P$7,List!B:C,2,0))&gt;0,1,"")</f>
        <v>1</v>
      </c>
      <c r="AA48" s="141">
        <f t="shared" si="6"/>
        <v>2</v>
      </c>
      <c r="AB48" s="199" t="str">
        <f>+IF(AA48="","",IF(Summary!$J$7="Fixed Price","",IF(M48="",IF(I48="","",1),"")))</f>
        <v/>
      </c>
      <c r="AC48" s="198">
        <f t="shared" si="13"/>
        <v>0</v>
      </c>
    </row>
    <row r="49" spans="1:29" x14ac:dyDescent="0.2">
      <c r="A49" s="155" t="str">
        <f t="shared" si="0"/>
        <v>-</v>
      </c>
      <c r="B49" s="154" t="str">
        <f t="shared" si="7"/>
        <v/>
      </c>
      <c r="C49" s="153" t="str">
        <f t="shared" si="8"/>
        <v/>
      </c>
      <c r="D49" s="152" t="str">
        <f t="shared" si="1"/>
        <v>-</v>
      </c>
      <c r="E49" s="151" t="str">
        <f>+IF($B49="","",Summary!$P$4)</f>
        <v/>
      </c>
      <c r="F49" s="151" t="str">
        <f>+IF($B49="","",Summary!$P$5)</f>
        <v/>
      </c>
      <c r="G49" s="151" t="str">
        <f>+IF($B49="","",Summary!$P$6)</f>
        <v/>
      </c>
      <c r="H49" s="150" t="str">
        <f t="shared" si="2"/>
        <v/>
      </c>
      <c r="I49" s="148"/>
      <c r="J49" s="149"/>
      <c r="K49" s="148"/>
      <c r="L49" s="148"/>
      <c r="M49" s="148"/>
      <c r="N49" s="149" t="e">
        <f t="shared" si="3"/>
        <v>#REF!</v>
      </c>
      <c r="O49" s="149" t="e">
        <f>COUNTIFS(#REF!,"&gt;="&amp;DATE($C49,$B49,1),#REF!,"&lt;="&amp;EOMONTH(DATE($C49,$B49,1),0),#REF!,"Incident")+
COUNTIFS(#REF!,"&gt;="&amp;DATE($C49,$B49,1),#REF!,"&lt;="&amp;EOMONTH(DATE($C49,$B49,1),0),#REF!,"user_request")</f>
        <v>#REF!</v>
      </c>
      <c r="P49" s="147">
        <f t="shared" si="9"/>
        <v>0</v>
      </c>
      <c r="Q49" s="147">
        <f t="shared" si="10"/>
        <v>0</v>
      </c>
      <c r="R49" s="147">
        <f t="shared" si="11"/>
        <v>0</v>
      </c>
      <c r="S49" s="146" t="e">
        <f t="shared" si="15"/>
        <v>#REF!</v>
      </c>
      <c r="T49" s="146" t="e">
        <f t="shared" si="15"/>
        <v>#REF!</v>
      </c>
      <c r="U49" s="145">
        <f t="shared" si="4"/>
        <v>0</v>
      </c>
      <c r="V49" s="145" t="e">
        <f t="shared" si="5"/>
        <v>#REF!</v>
      </c>
      <c r="W49" s="142">
        <v>46</v>
      </c>
      <c r="X49" s="142" t="str">
        <f>+IF((VLOOKUP(A49,List!B:C,2,0)-VLOOKUP(Summary!$P$7,List!B:C,2,0))=0,1,"")</f>
        <v/>
      </c>
      <c r="Y49" s="198">
        <f>+IF((VLOOKUP(A49,List!B:C,2,0)-VLOOKUP(Summary!$P$7,List!B:C,2,0))&gt;=0,1,"")</f>
        <v>1</v>
      </c>
      <c r="Z49" s="198">
        <f>+IF((VLOOKUP(A49,List!B:C,2,0)-VLOOKUP(Summary!$P$7,List!B:C,2,0))&gt;0,1,"")</f>
        <v>1</v>
      </c>
      <c r="AA49" s="141">
        <f t="shared" si="6"/>
        <v>2</v>
      </c>
      <c r="AB49" s="199" t="str">
        <f>+IF(AA49="","",IF(Summary!$J$7="Fixed Price","",IF(M49="",IF(I49="","",1),"")))</f>
        <v/>
      </c>
      <c r="AC49" s="198">
        <f t="shared" si="13"/>
        <v>0</v>
      </c>
    </row>
    <row r="50" spans="1:29" x14ac:dyDescent="0.2">
      <c r="A50" s="155" t="str">
        <f t="shared" si="0"/>
        <v>-</v>
      </c>
      <c r="B50" s="154" t="str">
        <f t="shared" si="7"/>
        <v/>
      </c>
      <c r="C50" s="153" t="str">
        <f t="shared" si="8"/>
        <v/>
      </c>
      <c r="D50" s="152" t="str">
        <f t="shared" si="1"/>
        <v>-</v>
      </c>
      <c r="E50" s="159" t="str">
        <f>+IF($B50="","",Summary!$P$4)</f>
        <v/>
      </c>
      <c r="F50" s="159" t="str">
        <f>+IF($B50="","",Summary!$P$5)</f>
        <v/>
      </c>
      <c r="G50" s="159" t="str">
        <f>+IF($B50="","",Summary!$P$6)</f>
        <v/>
      </c>
      <c r="H50" s="158" t="str">
        <f t="shared" si="2"/>
        <v/>
      </c>
      <c r="I50" s="156"/>
      <c r="J50" s="157"/>
      <c r="K50" s="156"/>
      <c r="L50" s="156"/>
      <c r="M50" s="156"/>
      <c r="N50" s="157" t="e">
        <f t="shared" si="3"/>
        <v>#REF!</v>
      </c>
      <c r="O50" s="157" t="e">
        <f>COUNTIFS(#REF!,"&gt;="&amp;DATE($C50,$B50,1),#REF!,"&lt;="&amp;EOMONTH(DATE($C50,$B50,1),0),#REF!,"Incident")+
COUNTIFS(#REF!,"&gt;="&amp;DATE($C50,$B50,1),#REF!,"&lt;="&amp;EOMONTH(DATE($C50,$B50,1),0),#REF!,"user_request")</f>
        <v>#REF!</v>
      </c>
      <c r="P50" s="147">
        <f t="shared" si="9"/>
        <v>0</v>
      </c>
      <c r="Q50" s="147">
        <f t="shared" si="10"/>
        <v>0</v>
      </c>
      <c r="R50" s="147">
        <f t="shared" si="11"/>
        <v>0</v>
      </c>
      <c r="S50" s="146" t="e">
        <f t="shared" si="15"/>
        <v>#REF!</v>
      </c>
      <c r="T50" s="146" t="e">
        <f t="shared" si="15"/>
        <v>#REF!</v>
      </c>
      <c r="U50" s="145">
        <f t="shared" si="4"/>
        <v>0</v>
      </c>
      <c r="V50" s="145" t="e">
        <f t="shared" si="5"/>
        <v>#REF!</v>
      </c>
      <c r="W50" s="142">
        <v>47</v>
      </c>
      <c r="X50" s="142" t="str">
        <f>+IF((VLOOKUP(A50,List!B:C,2,0)-VLOOKUP(Summary!$P$7,List!B:C,2,0))=0,1,"")</f>
        <v/>
      </c>
      <c r="Y50" s="198">
        <f>+IF((VLOOKUP(A50,List!B:C,2,0)-VLOOKUP(Summary!$P$7,List!B:C,2,0))&gt;=0,1,"")</f>
        <v>1</v>
      </c>
      <c r="Z50" s="198">
        <f>+IF((VLOOKUP(A50,List!B:C,2,0)-VLOOKUP(Summary!$P$7,List!B:C,2,0))&gt;0,1,"")</f>
        <v>1</v>
      </c>
      <c r="AA50" s="141">
        <f t="shared" si="6"/>
        <v>2</v>
      </c>
      <c r="AB50" s="199" t="str">
        <f>+IF(AA50="","",IF(Summary!$J$7="Fixed Price","",IF(M50="",IF(I50="","",1),"")))</f>
        <v/>
      </c>
      <c r="AC50" s="198">
        <f t="shared" si="13"/>
        <v>0</v>
      </c>
    </row>
    <row r="51" spans="1:29" x14ac:dyDescent="0.2">
      <c r="A51" s="155" t="str">
        <f t="shared" si="0"/>
        <v>-</v>
      </c>
      <c r="B51" s="154" t="str">
        <f t="shared" si="7"/>
        <v/>
      </c>
      <c r="C51" s="153" t="str">
        <f t="shared" si="8"/>
        <v/>
      </c>
      <c r="D51" s="152" t="str">
        <f t="shared" si="1"/>
        <v>-</v>
      </c>
      <c r="E51" s="151" t="str">
        <f>+IF($B51="","",Summary!$P$4)</f>
        <v/>
      </c>
      <c r="F51" s="151" t="str">
        <f>+IF($B51="","",Summary!$P$5)</f>
        <v/>
      </c>
      <c r="G51" s="151" t="str">
        <f>+IF($B51="","",Summary!$P$6)</f>
        <v/>
      </c>
      <c r="H51" s="150" t="str">
        <f t="shared" si="2"/>
        <v/>
      </c>
      <c r="I51" s="148"/>
      <c r="J51" s="149"/>
      <c r="K51" s="148"/>
      <c r="L51" s="148"/>
      <c r="M51" s="148"/>
      <c r="N51" s="149" t="e">
        <f t="shared" si="3"/>
        <v>#REF!</v>
      </c>
      <c r="O51" s="149" t="e">
        <f>COUNTIFS(#REF!,"&gt;="&amp;DATE($C51,$B51,1),#REF!,"&lt;="&amp;EOMONTH(DATE($C51,$B51,1),0),#REF!,"Incident")+
COUNTIFS(#REF!,"&gt;="&amp;DATE($C51,$B51,1),#REF!,"&lt;="&amp;EOMONTH(DATE($C51,$B51,1),0),#REF!,"user_request")</f>
        <v>#REF!</v>
      </c>
      <c r="P51" s="147">
        <f t="shared" si="9"/>
        <v>0</v>
      </c>
      <c r="Q51" s="147">
        <f t="shared" si="10"/>
        <v>0</v>
      </c>
      <c r="R51" s="147">
        <f t="shared" si="11"/>
        <v>0</v>
      </c>
      <c r="S51" s="146" t="e">
        <f t="shared" si="15"/>
        <v>#REF!</v>
      </c>
      <c r="T51" s="146" t="e">
        <f t="shared" si="15"/>
        <v>#REF!</v>
      </c>
      <c r="U51" s="145">
        <f t="shared" si="4"/>
        <v>0</v>
      </c>
      <c r="V51" s="145" t="e">
        <f t="shared" si="5"/>
        <v>#REF!</v>
      </c>
      <c r="W51" s="142">
        <v>48</v>
      </c>
      <c r="X51" s="142" t="str">
        <f>+IF((VLOOKUP(A51,List!B:C,2,0)-VLOOKUP(Summary!$P$7,List!B:C,2,0))=0,1,"")</f>
        <v/>
      </c>
      <c r="Y51" s="198">
        <f>+IF((VLOOKUP(A51,List!B:C,2,0)-VLOOKUP(Summary!$P$7,List!B:C,2,0))&gt;=0,1,"")</f>
        <v>1</v>
      </c>
      <c r="Z51" s="198">
        <f>+IF((VLOOKUP(A51,List!B:C,2,0)-VLOOKUP(Summary!$P$7,List!B:C,2,0))&gt;0,1,"")</f>
        <v>1</v>
      </c>
      <c r="AA51" s="141">
        <f t="shared" si="6"/>
        <v>2</v>
      </c>
      <c r="AB51" s="199" t="str">
        <f>+IF(AA51="","",IF(Summary!$J$7="Fixed Price","",IF(M51="",IF(I51="","",1),"")))</f>
        <v/>
      </c>
      <c r="AC51" s="198">
        <f t="shared" si="13"/>
        <v>0</v>
      </c>
    </row>
    <row r="52" spans="1:29" x14ac:dyDescent="0.2">
      <c r="A52" s="155" t="str">
        <f t="shared" si="0"/>
        <v>-</v>
      </c>
      <c r="B52" s="154" t="str">
        <f t="shared" si="7"/>
        <v/>
      </c>
      <c r="C52" s="153" t="str">
        <f t="shared" si="8"/>
        <v/>
      </c>
      <c r="D52" s="152" t="str">
        <f t="shared" si="1"/>
        <v>-</v>
      </c>
      <c r="E52" s="159" t="str">
        <f>+IF($B52="","",Summary!$P$4)</f>
        <v/>
      </c>
      <c r="F52" s="159" t="str">
        <f>+IF($B52="","",Summary!$P$5)</f>
        <v/>
      </c>
      <c r="G52" s="159" t="str">
        <f>+IF($B52="","",Summary!$P$6)</f>
        <v/>
      </c>
      <c r="H52" s="158" t="str">
        <f t="shared" si="2"/>
        <v/>
      </c>
      <c r="I52" s="156"/>
      <c r="J52" s="157"/>
      <c r="K52" s="156"/>
      <c r="L52" s="156"/>
      <c r="M52" s="156"/>
      <c r="N52" s="157" t="e">
        <f t="shared" si="3"/>
        <v>#REF!</v>
      </c>
      <c r="O52" s="157" t="e">
        <f>COUNTIFS(#REF!,"&gt;="&amp;DATE($C52,$B52,1),#REF!,"&lt;="&amp;EOMONTH(DATE($C52,$B52,1),0),#REF!,"Incident")+
COUNTIFS(#REF!,"&gt;="&amp;DATE($C52,$B52,1),#REF!,"&lt;="&amp;EOMONTH(DATE($C52,$B52,1),0),#REF!,"user_request")</f>
        <v>#REF!</v>
      </c>
      <c r="P52" s="147">
        <f t="shared" si="9"/>
        <v>0</v>
      </c>
      <c r="Q52" s="147">
        <f t="shared" si="10"/>
        <v>0</v>
      </c>
      <c r="R52" s="147">
        <f t="shared" si="11"/>
        <v>0</v>
      </c>
      <c r="S52" s="146" t="e">
        <f t="shared" si="15"/>
        <v>#REF!</v>
      </c>
      <c r="T52" s="146" t="e">
        <f t="shared" si="15"/>
        <v>#REF!</v>
      </c>
      <c r="U52" s="145">
        <f t="shared" si="4"/>
        <v>0</v>
      </c>
      <c r="V52" s="145" t="e">
        <f t="shared" si="5"/>
        <v>#REF!</v>
      </c>
      <c r="W52" s="142">
        <v>45</v>
      </c>
      <c r="X52" s="142" t="str">
        <f>+IF((VLOOKUP(A52,List!B:C,2,0)-VLOOKUP(Summary!$P$7,List!B:C,2,0))=0,1,"")</f>
        <v/>
      </c>
      <c r="Y52" s="198">
        <f>+IF((VLOOKUP(A52,List!B:C,2,0)-VLOOKUP(Summary!$P$7,List!B:C,2,0))&gt;=0,1,"")</f>
        <v>1</v>
      </c>
      <c r="Z52" s="198">
        <f>+IF((VLOOKUP(A52,List!B:C,2,0)-VLOOKUP(Summary!$P$7,List!B:C,2,0))&gt;0,1,"")</f>
        <v>1</v>
      </c>
      <c r="AA52" s="141">
        <f t="shared" si="6"/>
        <v>2</v>
      </c>
      <c r="AB52" s="199" t="str">
        <f>+IF(AA52="","",IF(Summary!$J$7="Fixed Price","",IF(M52="",IF(I52="","",1),"")))</f>
        <v/>
      </c>
      <c r="AC52" s="198">
        <f t="shared" si="13"/>
        <v>0</v>
      </c>
    </row>
    <row r="53" spans="1:29" x14ac:dyDescent="0.2">
      <c r="A53" s="155" t="str">
        <f t="shared" si="0"/>
        <v>-</v>
      </c>
      <c r="B53" s="154" t="str">
        <f t="shared" si="7"/>
        <v/>
      </c>
      <c r="C53" s="153" t="str">
        <f t="shared" si="8"/>
        <v/>
      </c>
      <c r="D53" s="152" t="str">
        <f t="shared" si="1"/>
        <v>-</v>
      </c>
      <c r="E53" s="151" t="str">
        <f>+IF($B53="","",Summary!$P$4)</f>
        <v/>
      </c>
      <c r="F53" s="151" t="str">
        <f>+IF($B53="","",Summary!$P$5)</f>
        <v/>
      </c>
      <c r="G53" s="151" t="str">
        <f>+IF($B53="","",Summary!$P$6)</f>
        <v/>
      </c>
      <c r="H53" s="150" t="str">
        <f t="shared" si="2"/>
        <v/>
      </c>
      <c r="I53" s="148"/>
      <c r="J53" s="149"/>
      <c r="K53" s="148"/>
      <c r="L53" s="148"/>
      <c r="M53" s="148"/>
      <c r="N53" s="149" t="e">
        <f t="shared" si="3"/>
        <v>#REF!</v>
      </c>
      <c r="O53" s="149" t="e">
        <f>COUNTIFS(#REF!,"&gt;="&amp;DATE($C53,$B53,1),#REF!,"&lt;="&amp;EOMONTH(DATE($C53,$B53,1),0),#REF!,"Incident")+
COUNTIFS(#REF!,"&gt;="&amp;DATE($C53,$B53,1),#REF!,"&lt;="&amp;EOMONTH(DATE($C53,$B53,1),0),#REF!,"user_request")</f>
        <v>#REF!</v>
      </c>
      <c r="P53" s="147">
        <f t="shared" si="9"/>
        <v>0</v>
      </c>
      <c r="Q53" s="147">
        <f t="shared" si="10"/>
        <v>0</v>
      </c>
      <c r="R53" s="147">
        <f t="shared" si="11"/>
        <v>0</v>
      </c>
      <c r="S53" s="146" t="e">
        <f t="shared" ref="S53:T63" si="16">N53+S52</f>
        <v>#REF!</v>
      </c>
      <c r="T53" s="146" t="e">
        <f t="shared" si="16"/>
        <v>#REF!</v>
      </c>
      <c r="U53" s="145">
        <f t="shared" si="4"/>
        <v>0</v>
      </c>
      <c r="V53" s="145" t="e">
        <f t="shared" si="5"/>
        <v>#REF!</v>
      </c>
      <c r="W53" s="142">
        <v>46</v>
      </c>
      <c r="X53" s="142" t="str">
        <f>+IF((VLOOKUP(A53,List!B:C,2,0)-VLOOKUP(Summary!$P$7,List!B:C,2,0))=0,1,"")</f>
        <v/>
      </c>
      <c r="Y53" s="198">
        <f>+IF((VLOOKUP(A53,List!B:C,2,0)-VLOOKUP(Summary!$P$7,List!B:C,2,0))&gt;=0,1,"")</f>
        <v>1</v>
      </c>
      <c r="Z53" s="198">
        <f>+IF((VLOOKUP(A53,List!B:C,2,0)-VLOOKUP(Summary!$P$7,List!B:C,2,0))&gt;0,1,"")</f>
        <v>1</v>
      </c>
      <c r="AA53" s="141">
        <f t="shared" si="6"/>
        <v>2</v>
      </c>
      <c r="AB53" s="199" t="str">
        <f>+IF(AA53="","",IF(Summary!$J$7="Fixed Price","",IF(M53="",IF(I53="","",1),"")))</f>
        <v/>
      </c>
      <c r="AC53" s="198">
        <f t="shared" si="13"/>
        <v>0</v>
      </c>
    </row>
    <row r="54" spans="1:29" x14ac:dyDescent="0.2">
      <c r="A54" s="155" t="str">
        <f t="shared" si="0"/>
        <v>-</v>
      </c>
      <c r="B54" s="154" t="str">
        <f t="shared" si="7"/>
        <v/>
      </c>
      <c r="C54" s="153" t="str">
        <f t="shared" si="8"/>
        <v/>
      </c>
      <c r="D54" s="152" t="str">
        <f t="shared" si="1"/>
        <v>-</v>
      </c>
      <c r="E54" s="159" t="str">
        <f>+IF($B54="","",Summary!$P$4)</f>
        <v/>
      </c>
      <c r="F54" s="159" t="str">
        <f>+IF($B54="","",Summary!$P$5)</f>
        <v/>
      </c>
      <c r="G54" s="159" t="str">
        <f>+IF($B54="","",Summary!$P$6)</f>
        <v/>
      </c>
      <c r="H54" s="158" t="str">
        <f t="shared" si="2"/>
        <v/>
      </c>
      <c r="I54" s="156"/>
      <c r="J54" s="157"/>
      <c r="K54" s="156"/>
      <c r="L54" s="156"/>
      <c r="M54" s="156"/>
      <c r="N54" s="157" t="e">
        <f t="shared" si="3"/>
        <v>#REF!</v>
      </c>
      <c r="O54" s="157" t="e">
        <f>COUNTIFS(#REF!,"&gt;="&amp;DATE($C54,$B54,1),#REF!,"&lt;="&amp;EOMONTH(DATE($C54,$B54,1),0),#REF!,"Incident")+
COUNTIFS(#REF!,"&gt;="&amp;DATE($C54,$B54,1),#REF!,"&lt;="&amp;EOMONTH(DATE($C54,$B54,1),0),#REF!,"user_request")</f>
        <v>#REF!</v>
      </c>
      <c r="P54" s="147">
        <f t="shared" si="9"/>
        <v>0</v>
      </c>
      <c r="Q54" s="147">
        <f t="shared" si="10"/>
        <v>0</v>
      </c>
      <c r="R54" s="147">
        <f t="shared" si="11"/>
        <v>0</v>
      </c>
      <c r="S54" s="146" t="e">
        <f t="shared" si="16"/>
        <v>#REF!</v>
      </c>
      <c r="T54" s="146" t="e">
        <f t="shared" si="16"/>
        <v>#REF!</v>
      </c>
      <c r="U54" s="145">
        <f t="shared" si="4"/>
        <v>0</v>
      </c>
      <c r="V54" s="145" t="e">
        <f t="shared" si="5"/>
        <v>#REF!</v>
      </c>
      <c r="W54" s="142">
        <v>47</v>
      </c>
      <c r="X54" s="142" t="str">
        <f>+IF((VLOOKUP(A54,List!B:C,2,0)-VLOOKUP(Summary!$P$7,List!B:C,2,0))=0,1,"")</f>
        <v/>
      </c>
      <c r="Y54" s="198">
        <f>+IF((VLOOKUP(A54,List!B:C,2,0)-VLOOKUP(Summary!$P$7,List!B:C,2,0))&gt;=0,1,"")</f>
        <v>1</v>
      </c>
      <c r="Z54" s="198">
        <f>+IF((VLOOKUP(A54,List!B:C,2,0)-VLOOKUP(Summary!$P$7,List!B:C,2,0))&gt;0,1,"")</f>
        <v>1</v>
      </c>
      <c r="AA54" s="141">
        <f t="shared" si="6"/>
        <v>2</v>
      </c>
      <c r="AB54" s="199" t="str">
        <f>+IF(AA54="","",IF(Summary!$J$7="Fixed Price","",IF(M54="",IF(I54="","",1),"")))</f>
        <v/>
      </c>
      <c r="AC54" s="198">
        <f t="shared" si="13"/>
        <v>0</v>
      </c>
    </row>
    <row r="55" spans="1:29" x14ac:dyDescent="0.2">
      <c r="A55" s="155" t="str">
        <f t="shared" si="0"/>
        <v>-</v>
      </c>
      <c r="B55" s="154" t="str">
        <f t="shared" si="7"/>
        <v/>
      </c>
      <c r="C55" s="153" t="str">
        <f t="shared" si="8"/>
        <v/>
      </c>
      <c r="D55" s="152" t="str">
        <f t="shared" si="1"/>
        <v>-</v>
      </c>
      <c r="E55" s="151" t="str">
        <f>+IF($B55="","",Summary!$P$4)</f>
        <v/>
      </c>
      <c r="F55" s="151" t="str">
        <f>+IF($B55="","",Summary!$P$5)</f>
        <v/>
      </c>
      <c r="G55" s="151" t="str">
        <f>+IF($B55="","",Summary!$P$6)</f>
        <v/>
      </c>
      <c r="H55" s="150" t="str">
        <f t="shared" si="2"/>
        <v/>
      </c>
      <c r="I55" s="148"/>
      <c r="J55" s="149"/>
      <c r="K55" s="148"/>
      <c r="L55" s="148"/>
      <c r="M55" s="148"/>
      <c r="N55" s="149" t="e">
        <f t="shared" si="3"/>
        <v>#REF!</v>
      </c>
      <c r="O55" s="149" t="e">
        <f>COUNTIFS(#REF!,"&gt;="&amp;DATE($C55,$B55,1),#REF!,"&lt;="&amp;EOMONTH(DATE($C55,$B55,1),0),#REF!,"Incident")+
COUNTIFS(#REF!,"&gt;="&amp;DATE($C55,$B55,1),#REF!,"&lt;="&amp;EOMONTH(DATE($C55,$B55,1),0),#REF!,"user_request")</f>
        <v>#REF!</v>
      </c>
      <c r="P55" s="147">
        <f t="shared" si="9"/>
        <v>0</v>
      </c>
      <c r="Q55" s="147">
        <f t="shared" si="10"/>
        <v>0</v>
      </c>
      <c r="R55" s="147">
        <f t="shared" si="11"/>
        <v>0</v>
      </c>
      <c r="S55" s="146" t="e">
        <f t="shared" si="16"/>
        <v>#REF!</v>
      </c>
      <c r="T55" s="146" t="e">
        <f t="shared" si="16"/>
        <v>#REF!</v>
      </c>
      <c r="U55" s="145">
        <f t="shared" si="4"/>
        <v>0</v>
      </c>
      <c r="V55" s="145" t="e">
        <f t="shared" si="5"/>
        <v>#REF!</v>
      </c>
      <c r="W55" s="142">
        <v>48</v>
      </c>
      <c r="X55" s="142" t="str">
        <f>+IF((VLOOKUP(A55,List!B:C,2,0)-VLOOKUP(Summary!$P$7,List!B:C,2,0))=0,1,"")</f>
        <v/>
      </c>
      <c r="Y55" s="198">
        <f>+IF((VLOOKUP(A55,List!B:C,2,0)-VLOOKUP(Summary!$P$7,List!B:C,2,0))&gt;=0,1,"")</f>
        <v>1</v>
      </c>
      <c r="Z55" s="198">
        <f>+IF((VLOOKUP(A55,List!B:C,2,0)-VLOOKUP(Summary!$P$7,List!B:C,2,0))&gt;0,1,"")</f>
        <v>1</v>
      </c>
      <c r="AA55" s="141">
        <f t="shared" si="6"/>
        <v>2</v>
      </c>
      <c r="AB55" s="199" t="str">
        <f>+IF(AA55="","",IF(Summary!$J$7="Fixed Price","",IF(M55="",IF(I55="","",1),"")))</f>
        <v/>
      </c>
      <c r="AC55" s="198">
        <f t="shared" si="13"/>
        <v>0</v>
      </c>
    </row>
    <row r="56" spans="1:29" x14ac:dyDescent="0.2">
      <c r="A56" s="155" t="str">
        <f t="shared" si="0"/>
        <v>-</v>
      </c>
      <c r="B56" s="154" t="str">
        <f t="shared" si="7"/>
        <v/>
      </c>
      <c r="C56" s="153" t="str">
        <f t="shared" si="8"/>
        <v/>
      </c>
      <c r="D56" s="152" t="str">
        <f t="shared" si="1"/>
        <v>-</v>
      </c>
      <c r="E56" s="159" t="str">
        <f>+IF($B56="","",Summary!$P$4)</f>
        <v/>
      </c>
      <c r="F56" s="159" t="str">
        <f>+IF($B56="","",Summary!$P$5)</f>
        <v/>
      </c>
      <c r="G56" s="159" t="str">
        <f>+IF($B56="","",Summary!$P$6)</f>
        <v/>
      </c>
      <c r="H56" s="158" t="str">
        <f t="shared" si="2"/>
        <v/>
      </c>
      <c r="I56" s="156"/>
      <c r="J56" s="157"/>
      <c r="K56" s="156"/>
      <c r="L56" s="156"/>
      <c r="M56" s="156"/>
      <c r="N56" s="157" t="e">
        <f t="shared" si="3"/>
        <v>#REF!</v>
      </c>
      <c r="O56" s="157" t="e">
        <f>COUNTIFS(#REF!,"&gt;="&amp;DATE($C56,$B56,1),#REF!,"&lt;="&amp;EOMONTH(DATE($C56,$B56,1),0),#REF!,"Incident")+
COUNTIFS(#REF!,"&gt;="&amp;DATE($C56,$B56,1),#REF!,"&lt;="&amp;EOMONTH(DATE($C56,$B56,1),0),#REF!,"user_request")</f>
        <v>#REF!</v>
      </c>
      <c r="P56" s="147">
        <f t="shared" si="9"/>
        <v>0</v>
      </c>
      <c r="Q56" s="147">
        <f t="shared" si="10"/>
        <v>0</v>
      </c>
      <c r="R56" s="147">
        <f t="shared" si="11"/>
        <v>0</v>
      </c>
      <c r="S56" s="146" t="e">
        <f t="shared" si="16"/>
        <v>#REF!</v>
      </c>
      <c r="T56" s="146" t="e">
        <f t="shared" si="16"/>
        <v>#REF!</v>
      </c>
      <c r="U56" s="145">
        <f t="shared" si="4"/>
        <v>0</v>
      </c>
      <c r="V56" s="145" t="e">
        <f t="shared" si="5"/>
        <v>#REF!</v>
      </c>
      <c r="W56" s="142">
        <v>45</v>
      </c>
      <c r="X56" s="142" t="str">
        <f>+IF((VLOOKUP(A56,List!B:C,2,0)-VLOOKUP(Summary!$P$7,List!B:C,2,0))=0,1,"")</f>
        <v/>
      </c>
      <c r="Y56" s="198">
        <f>+IF((VLOOKUP(A56,List!B:C,2,0)-VLOOKUP(Summary!$P$7,List!B:C,2,0))&gt;=0,1,"")</f>
        <v>1</v>
      </c>
      <c r="Z56" s="198">
        <f>+IF((VLOOKUP(A56,List!B:C,2,0)-VLOOKUP(Summary!$P$7,List!B:C,2,0))&gt;0,1,"")</f>
        <v>1</v>
      </c>
      <c r="AA56" s="141">
        <f t="shared" si="6"/>
        <v>2</v>
      </c>
      <c r="AB56" s="199" t="str">
        <f>+IF(AA56="","",IF(Summary!$J$7="Fixed Price","",IF(M56="",IF(I56="","",1),"")))</f>
        <v/>
      </c>
      <c r="AC56" s="198">
        <f t="shared" si="13"/>
        <v>0</v>
      </c>
    </row>
    <row r="57" spans="1:29" x14ac:dyDescent="0.2">
      <c r="A57" s="155" t="str">
        <f t="shared" si="0"/>
        <v>-</v>
      </c>
      <c r="B57" s="154" t="str">
        <f t="shared" si="7"/>
        <v/>
      </c>
      <c r="C57" s="153" t="str">
        <f t="shared" si="8"/>
        <v/>
      </c>
      <c r="D57" s="152" t="str">
        <f t="shared" si="1"/>
        <v>-</v>
      </c>
      <c r="E57" s="151" t="str">
        <f>+IF($B57="","",Summary!$P$4)</f>
        <v/>
      </c>
      <c r="F57" s="151" t="str">
        <f>+IF($B57="","",Summary!$P$5)</f>
        <v/>
      </c>
      <c r="G57" s="151" t="str">
        <f>+IF($B57="","",Summary!$P$6)</f>
        <v/>
      </c>
      <c r="H57" s="150" t="str">
        <f t="shared" si="2"/>
        <v/>
      </c>
      <c r="I57" s="148"/>
      <c r="J57" s="149"/>
      <c r="K57" s="148"/>
      <c r="L57" s="148"/>
      <c r="M57" s="148"/>
      <c r="N57" s="149" t="e">
        <f t="shared" si="3"/>
        <v>#REF!</v>
      </c>
      <c r="O57" s="149" t="e">
        <f>COUNTIFS(#REF!,"&gt;="&amp;DATE($C57,$B57,1),#REF!,"&lt;="&amp;EOMONTH(DATE($C57,$B57,1),0),#REF!,"Incident")+
COUNTIFS(#REF!,"&gt;="&amp;DATE($C57,$B57,1),#REF!,"&lt;="&amp;EOMONTH(DATE($C57,$B57,1),0),#REF!,"user_request")</f>
        <v>#REF!</v>
      </c>
      <c r="P57" s="147">
        <f t="shared" si="9"/>
        <v>0</v>
      </c>
      <c r="Q57" s="147">
        <f t="shared" si="10"/>
        <v>0</v>
      </c>
      <c r="R57" s="147">
        <f t="shared" si="11"/>
        <v>0</v>
      </c>
      <c r="S57" s="146" t="e">
        <f t="shared" si="16"/>
        <v>#REF!</v>
      </c>
      <c r="T57" s="146" t="e">
        <f t="shared" si="16"/>
        <v>#REF!</v>
      </c>
      <c r="U57" s="145">
        <f t="shared" si="4"/>
        <v>0</v>
      </c>
      <c r="V57" s="145" t="e">
        <f t="shared" si="5"/>
        <v>#REF!</v>
      </c>
      <c r="W57" s="142">
        <v>46</v>
      </c>
      <c r="X57" s="142" t="str">
        <f>+IF((VLOOKUP(A57,List!B:C,2,0)-VLOOKUP(Summary!$P$7,List!B:C,2,0))=0,1,"")</f>
        <v/>
      </c>
      <c r="Y57" s="198">
        <f>+IF((VLOOKUP(A57,List!B:C,2,0)-VLOOKUP(Summary!$P$7,List!B:C,2,0))&gt;=0,1,"")</f>
        <v>1</v>
      </c>
      <c r="Z57" s="198">
        <f>+IF((VLOOKUP(A57,List!B:C,2,0)-VLOOKUP(Summary!$P$7,List!B:C,2,0))&gt;0,1,"")</f>
        <v>1</v>
      </c>
      <c r="AA57" s="141">
        <f t="shared" si="6"/>
        <v>2</v>
      </c>
      <c r="AB57" s="199" t="str">
        <f>+IF(AA57="","",IF(Summary!$J$7="Fixed Price","",IF(M57="",IF(I57="","",1),"")))</f>
        <v/>
      </c>
      <c r="AC57" s="198">
        <f t="shared" si="13"/>
        <v>0</v>
      </c>
    </row>
    <row r="58" spans="1:29" x14ac:dyDescent="0.2">
      <c r="A58" s="155" t="str">
        <f t="shared" si="0"/>
        <v>-</v>
      </c>
      <c r="B58" s="154" t="str">
        <f t="shared" si="7"/>
        <v/>
      </c>
      <c r="C58" s="153" t="str">
        <f t="shared" si="8"/>
        <v/>
      </c>
      <c r="D58" s="152" t="str">
        <f t="shared" si="1"/>
        <v>-</v>
      </c>
      <c r="E58" s="159" t="str">
        <f>+IF($B58="","",Summary!$P$4)</f>
        <v/>
      </c>
      <c r="F58" s="159" t="str">
        <f>+IF($B58="","",Summary!$P$5)</f>
        <v/>
      </c>
      <c r="G58" s="159" t="str">
        <f>+IF($B58="","",Summary!$P$6)</f>
        <v/>
      </c>
      <c r="H58" s="158" t="str">
        <f t="shared" si="2"/>
        <v/>
      </c>
      <c r="I58" s="156"/>
      <c r="J58" s="157"/>
      <c r="K58" s="156"/>
      <c r="L58" s="156"/>
      <c r="M58" s="156"/>
      <c r="N58" s="157" t="e">
        <f t="shared" si="3"/>
        <v>#REF!</v>
      </c>
      <c r="O58" s="157" t="e">
        <f>COUNTIFS(#REF!,"&gt;="&amp;DATE($C58,$B58,1),#REF!,"&lt;="&amp;EOMONTH(DATE($C58,$B58,1),0),#REF!,"Incident")+
COUNTIFS(#REF!,"&gt;="&amp;DATE($C58,$B58,1),#REF!,"&lt;="&amp;EOMONTH(DATE($C58,$B58,1),0),#REF!,"user_request")</f>
        <v>#REF!</v>
      </c>
      <c r="P58" s="147">
        <f t="shared" si="9"/>
        <v>0</v>
      </c>
      <c r="Q58" s="147">
        <f t="shared" si="10"/>
        <v>0</v>
      </c>
      <c r="R58" s="147">
        <f t="shared" si="11"/>
        <v>0</v>
      </c>
      <c r="S58" s="146" t="e">
        <f t="shared" si="16"/>
        <v>#REF!</v>
      </c>
      <c r="T58" s="146" t="e">
        <f t="shared" si="16"/>
        <v>#REF!</v>
      </c>
      <c r="U58" s="145">
        <f t="shared" si="4"/>
        <v>0</v>
      </c>
      <c r="V58" s="145" t="e">
        <f t="shared" si="5"/>
        <v>#REF!</v>
      </c>
      <c r="W58" s="142">
        <v>47</v>
      </c>
      <c r="X58" s="142" t="str">
        <f>+IF((VLOOKUP(A58,List!B:C,2,0)-VLOOKUP(Summary!$P$7,List!B:C,2,0))=0,1,"")</f>
        <v/>
      </c>
      <c r="Y58" s="198">
        <f>+IF((VLOOKUP(A58,List!B:C,2,0)-VLOOKUP(Summary!$P$7,List!B:C,2,0))&gt;=0,1,"")</f>
        <v>1</v>
      </c>
      <c r="Z58" s="198">
        <f>+IF((VLOOKUP(A58,List!B:C,2,0)-VLOOKUP(Summary!$P$7,List!B:C,2,0))&gt;0,1,"")</f>
        <v>1</v>
      </c>
      <c r="AA58" s="141">
        <f t="shared" si="6"/>
        <v>2</v>
      </c>
      <c r="AB58" s="199" t="str">
        <f>+IF(AA58="","",IF(Summary!$J$7="Fixed Price","",IF(M58="",IF(I58="","",1),"")))</f>
        <v/>
      </c>
      <c r="AC58" s="198">
        <f t="shared" si="13"/>
        <v>0</v>
      </c>
    </row>
    <row r="59" spans="1:29" x14ac:dyDescent="0.2">
      <c r="A59" s="155" t="str">
        <f t="shared" si="0"/>
        <v>-</v>
      </c>
      <c r="B59" s="154" t="str">
        <f t="shared" si="7"/>
        <v/>
      </c>
      <c r="C59" s="153" t="str">
        <f t="shared" si="8"/>
        <v/>
      </c>
      <c r="D59" s="152" t="str">
        <f t="shared" si="1"/>
        <v>-</v>
      </c>
      <c r="E59" s="151" t="str">
        <f>+IF($B59="","",Summary!$P$4)</f>
        <v/>
      </c>
      <c r="F59" s="151" t="str">
        <f>+IF($B59="","",Summary!$P$5)</f>
        <v/>
      </c>
      <c r="G59" s="151" t="str">
        <f>+IF($B59="","",Summary!$P$6)</f>
        <v/>
      </c>
      <c r="H59" s="150" t="str">
        <f t="shared" si="2"/>
        <v/>
      </c>
      <c r="I59" s="148"/>
      <c r="J59" s="149"/>
      <c r="K59" s="148"/>
      <c r="L59" s="148"/>
      <c r="M59" s="148"/>
      <c r="N59" s="149" t="e">
        <f t="shared" si="3"/>
        <v>#REF!</v>
      </c>
      <c r="O59" s="149" t="e">
        <f>COUNTIFS(#REF!,"&gt;="&amp;DATE($C59,$B59,1),#REF!,"&lt;="&amp;EOMONTH(DATE($C59,$B59,1),0),#REF!,"Incident")+
COUNTIFS(#REF!,"&gt;="&amp;DATE($C59,$B59,1),#REF!,"&lt;="&amp;EOMONTH(DATE($C59,$B59,1),0),#REF!,"user_request")</f>
        <v>#REF!</v>
      </c>
      <c r="P59" s="147">
        <f t="shared" si="9"/>
        <v>0</v>
      </c>
      <c r="Q59" s="147">
        <f t="shared" si="10"/>
        <v>0</v>
      </c>
      <c r="R59" s="147">
        <f t="shared" si="11"/>
        <v>0</v>
      </c>
      <c r="S59" s="146" t="e">
        <f t="shared" si="16"/>
        <v>#REF!</v>
      </c>
      <c r="T59" s="146" t="e">
        <f t="shared" si="16"/>
        <v>#REF!</v>
      </c>
      <c r="U59" s="145">
        <f t="shared" si="4"/>
        <v>0</v>
      </c>
      <c r="V59" s="145" t="e">
        <f t="shared" si="5"/>
        <v>#REF!</v>
      </c>
      <c r="W59" s="142">
        <v>48</v>
      </c>
      <c r="X59" s="142" t="str">
        <f>+IF((VLOOKUP(A59,List!B:C,2,0)-VLOOKUP(Summary!$P$7,List!B:C,2,0))=0,1,"")</f>
        <v/>
      </c>
      <c r="Y59" s="198">
        <f>+IF((VLOOKUP(A59,List!B:C,2,0)-VLOOKUP(Summary!$P$7,List!B:C,2,0))&gt;=0,1,"")</f>
        <v>1</v>
      </c>
      <c r="Z59" s="198">
        <f>+IF((VLOOKUP(A59,List!B:C,2,0)-VLOOKUP(Summary!$P$7,List!B:C,2,0))&gt;0,1,"")</f>
        <v>1</v>
      </c>
      <c r="AA59" s="141">
        <f t="shared" si="6"/>
        <v>2</v>
      </c>
      <c r="AB59" s="199" t="str">
        <f>+IF(AA59="","",IF(Summary!$J$7="Fixed Price","",IF(M59="",IF(I59="","",1),"")))</f>
        <v/>
      </c>
      <c r="AC59" s="198">
        <f t="shared" si="13"/>
        <v>0</v>
      </c>
    </row>
    <row r="60" spans="1:29" x14ac:dyDescent="0.2">
      <c r="A60" s="155" t="str">
        <f t="shared" si="0"/>
        <v>-</v>
      </c>
      <c r="B60" s="154" t="str">
        <f t="shared" si="7"/>
        <v/>
      </c>
      <c r="C60" s="153" t="str">
        <f t="shared" si="8"/>
        <v/>
      </c>
      <c r="D60" s="152" t="str">
        <f t="shared" si="1"/>
        <v>-</v>
      </c>
      <c r="E60" s="159" t="str">
        <f>+IF($B60="","",Summary!$P$4)</f>
        <v/>
      </c>
      <c r="F60" s="159" t="str">
        <f>+IF($B60="","",Summary!$P$5)</f>
        <v/>
      </c>
      <c r="G60" s="159" t="str">
        <f>+IF($B60="","",Summary!$P$6)</f>
        <v/>
      </c>
      <c r="H60" s="158" t="str">
        <f t="shared" si="2"/>
        <v/>
      </c>
      <c r="I60" s="156"/>
      <c r="J60" s="157"/>
      <c r="K60" s="156"/>
      <c r="L60" s="156"/>
      <c r="M60" s="156"/>
      <c r="N60" s="157" t="e">
        <f t="shared" si="3"/>
        <v>#REF!</v>
      </c>
      <c r="O60" s="157" t="e">
        <f>COUNTIFS(#REF!,"&gt;="&amp;DATE($C60,$B60,1),#REF!,"&lt;="&amp;EOMONTH(DATE($C60,$B60,1),0),#REF!,"Incident")+
COUNTIFS(#REF!,"&gt;="&amp;DATE($C60,$B60,1),#REF!,"&lt;="&amp;EOMONTH(DATE($C60,$B60,1),0),#REF!,"user_request")</f>
        <v>#REF!</v>
      </c>
      <c r="P60" s="147">
        <f t="shared" si="9"/>
        <v>0</v>
      </c>
      <c r="Q60" s="147">
        <f t="shared" si="10"/>
        <v>0</v>
      </c>
      <c r="R60" s="147">
        <f t="shared" si="11"/>
        <v>0</v>
      </c>
      <c r="S60" s="146" t="e">
        <f t="shared" si="16"/>
        <v>#REF!</v>
      </c>
      <c r="T60" s="146" t="e">
        <f t="shared" si="16"/>
        <v>#REF!</v>
      </c>
      <c r="U60" s="145">
        <f t="shared" si="4"/>
        <v>0</v>
      </c>
      <c r="V60" s="145" t="e">
        <f t="shared" si="5"/>
        <v>#REF!</v>
      </c>
      <c r="W60" s="142">
        <v>45</v>
      </c>
      <c r="X60" s="142" t="str">
        <f>+IF((VLOOKUP(A60,List!B:C,2,0)-VLOOKUP(Summary!$P$7,List!B:C,2,0))=0,1,"")</f>
        <v/>
      </c>
      <c r="Y60" s="198">
        <f>+IF((VLOOKUP(A60,List!B:C,2,0)-VLOOKUP(Summary!$P$7,List!B:C,2,0))&gt;=0,1,"")</f>
        <v>1</v>
      </c>
      <c r="Z60" s="198">
        <f>+IF((VLOOKUP(A60,List!B:C,2,0)-VLOOKUP(Summary!$P$7,List!B:C,2,0))&gt;0,1,"")</f>
        <v>1</v>
      </c>
      <c r="AA60" s="141">
        <f t="shared" si="6"/>
        <v>2</v>
      </c>
      <c r="AB60" s="199" t="str">
        <f>+IF(AA60="","",IF(Summary!$J$7="Fixed Price","",IF(M60="",IF(I60="","",1),"")))</f>
        <v/>
      </c>
      <c r="AC60" s="198">
        <f t="shared" si="13"/>
        <v>0</v>
      </c>
    </row>
    <row r="61" spans="1:29" x14ac:dyDescent="0.2">
      <c r="A61" s="155" t="str">
        <f t="shared" si="0"/>
        <v>-</v>
      </c>
      <c r="B61" s="154" t="str">
        <f t="shared" si="7"/>
        <v/>
      </c>
      <c r="C61" s="153" t="str">
        <f t="shared" si="8"/>
        <v/>
      </c>
      <c r="D61" s="152" t="str">
        <f t="shared" si="1"/>
        <v>-</v>
      </c>
      <c r="E61" s="151" t="str">
        <f>+IF($B61="","",Summary!$P$4)</f>
        <v/>
      </c>
      <c r="F61" s="151" t="str">
        <f>+IF($B61="","",Summary!$P$5)</f>
        <v/>
      </c>
      <c r="G61" s="151" t="str">
        <f>+IF($B61="","",Summary!$P$6)</f>
        <v/>
      </c>
      <c r="H61" s="150" t="str">
        <f t="shared" si="2"/>
        <v/>
      </c>
      <c r="I61" s="148"/>
      <c r="J61" s="149"/>
      <c r="K61" s="148"/>
      <c r="L61" s="148"/>
      <c r="M61" s="148"/>
      <c r="N61" s="149" t="e">
        <f t="shared" si="3"/>
        <v>#REF!</v>
      </c>
      <c r="O61" s="149" t="e">
        <f>COUNTIFS(#REF!,"&gt;="&amp;DATE($C61,$B61,1),#REF!,"&lt;="&amp;EOMONTH(DATE($C61,$B61,1),0),#REF!,"Incident")+
COUNTIFS(#REF!,"&gt;="&amp;DATE($C61,$B61,1),#REF!,"&lt;="&amp;EOMONTH(DATE($C61,$B61,1),0),#REF!,"user_request")</f>
        <v>#REF!</v>
      </c>
      <c r="P61" s="147">
        <f t="shared" si="9"/>
        <v>0</v>
      </c>
      <c r="Q61" s="147">
        <f t="shared" si="10"/>
        <v>0</v>
      </c>
      <c r="R61" s="147">
        <f t="shared" si="11"/>
        <v>0</v>
      </c>
      <c r="S61" s="146" t="e">
        <f t="shared" si="16"/>
        <v>#REF!</v>
      </c>
      <c r="T61" s="146" t="e">
        <f t="shared" si="16"/>
        <v>#REF!</v>
      </c>
      <c r="U61" s="145">
        <f t="shared" si="4"/>
        <v>0</v>
      </c>
      <c r="V61" s="145" t="e">
        <f t="shared" si="5"/>
        <v>#REF!</v>
      </c>
      <c r="W61" s="142">
        <v>46</v>
      </c>
      <c r="X61" s="142" t="str">
        <f>+IF((VLOOKUP(A61,List!B:C,2,0)-VLOOKUP(Summary!$P$7,List!B:C,2,0))=0,1,"")</f>
        <v/>
      </c>
      <c r="Y61" s="198">
        <f>+IF((VLOOKUP(A61,List!B:C,2,0)-VLOOKUP(Summary!$P$7,List!B:C,2,0))&gt;=0,1,"")</f>
        <v>1</v>
      </c>
      <c r="Z61" s="198">
        <f>+IF((VLOOKUP(A61,List!B:C,2,0)-VLOOKUP(Summary!$P$7,List!B:C,2,0))&gt;0,1,"")</f>
        <v>1</v>
      </c>
      <c r="AA61" s="141">
        <f t="shared" si="6"/>
        <v>2</v>
      </c>
      <c r="AB61" s="199" t="str">
        <f>+IF(AA61="","",IF(Summary!$J$7="Fixed Price","",IF(M61="",IF(I61="","",1),"")))</f>
        <v/>
      </c>
      <c r="AC61" s="198">
        <f t="shared" si="13"/>
        <v>0</v>
      </c>
    </row>
    <row r="62" spans="1:29" x14ac:dyDescent="0.2">
      <c r="A62" s="155" t="str">
        <f t="shared" si="0"/>
        <v>-</v>
      </c>
      <c r="B62" s="154" t="str">
        <f t="shared" si="7"/>
        <v/>
      </c>
      <c r="C62" s="153" t="str">
        <f t="shared" si="8"/>
        <v/>
      </c>
      <c r="D62" s="152" t="str">
        <f t="shared" si="1"/>
        <v>-</v>
      </c>
      <c r="E62" s="159" t="str">
        <f>+IF($B62="","",Summary!$P$4)</f>
        <v/>
      </c>
      <c r="F62" s="159" t="str">
        <f>+IF($B62="","",Summary!$P$5)</f>
        <v/>
      </c>
      <c r="G62" s="159" t="str">
        <f>+IF($B62="","",Summary!$P$6)</f>
        <v/>
      </c>
      <c r="H62" s="158" t="str">
        <f t="shared" si="2"/>
        <v/>
      </c>
      <c r="I62" s="156"/>
      <c r="J62" s="157"/>
      <c r="K62" s="156"/>
      <c r="L62" s="156"/>
      <c r="M62" s="156"/>
      <c r="N62" s="157" t="e">
        <f t="shared" si="3"/>
        <v>#REF!</v>
      </c>
      <c r="O62" s="157" t="e">
        <f>COUNTIFS(#REF!,"&gt;="&amp;DATE($C62,$B62,1),#REF!,"&lt;="&amp;EOMONTH(DATE($C62,$B62,1),0),#REF!,"Incident")+
COUNTIFS(#REF!,"&gt;="&amp;DATE($C62,$B62,1),#REF!,"&lt;="&amp;EOMONTH(DATE($C62,$B62,1),0),#REF!,"user_request")</f>
        <v>#REF!</v>
      </c>
      <c r="P62" s="147">
        <f t="shared" si="9"/>
        <v>0</v>
      </c>
      <c r="Q62" s="147">
        <f t="shared" si="10"/>
        <v>0</v>
      </c>
      <c r="R62" s="147">
        <f t="shared" si="11"/>
        <v>0</v>
      </c>
      <c r="S62" s="146" t="e">
        <f t="shared" si="16"/>
        <v>#REF!</v>
      </c>
      <c r="T62" s="146" t="e">
        <f t="shared" si="16"/>
        <v>#REF!</v>
      </c>
      <c r="U62" s="145">
        <f t="shared" si="4"/>
        <v>0</v>
      </c>
      <c r="V62" s="145" t="e">
        <f t="shared" si="5"/>
        <v>#REF!</v>
      </c>
      <c r="W62" s="142">
        <v>47</v>
      </c>
      <c r="X62" s="142" t="str">
        <f>+IF((VLOOKUP(A62,List!B:C,2,0)-VLOOKUP(Summary!$P$7,List!B:C,2,0))=0,1,"")</f>
        <v/>
      </c>
      <c r="Y62" s="198">
        <f>+IF((VLOOKUP(A62,List!B:C,2,0)-VLOOKUP(Summary!$P$7,List!B:C,2,0))&gt;=0,1,"")</f>
        <v>1</v>
      </c>
      <c r="Z62" s="198">
        <f>+IF((VLOOKUP(A62,List!B:C,2,0)-VLOOKUP(Summary!$P$7,List!B:C,2,0))&gt;0,1,"")</f>
        <v>1</v>
      </c>
      <c r="AA62" s="141">
        <f t="shared" si="6"/>
        <v>2</v>
      </c>
      <c r="AB62" s="199" t="str">
        <f>+IF(AA62="","",IF(Summary!$J$7="Fixed Price","",IF(M62="",IF(I62="","",1),"")))</f>
        <v/>
      </c>
      <c r="AC62" s="198">
        <f t="shared" si="13"/>
        <v>0</v>
      </c>
    </row>
    <row r="63" spans="1:29" x14ac:dyDescent="0.2">
      <c r="A63" s="155" t="str">
        <f t="shared" si="0"/>
        <v>-</v>
      </c>
      <c r="B63" s="154" t="str">
        <f t="shared" si="7"/>
        <v/>
      </c>
      <c r="C63" s="153" t="str">
        <f t="shared" si="8"/>
        <v/>
      </c>
      <c r="D63" s="152" t="str">
        <f t="shared" si="1"/>
        <v>-</v>
      </c>
      <c r="E63" s="151" t="str">
        <f>+IF($B63="","",Summary!$P$4)</f>
        <v/>
      </c>
      <c r="F63" s="151" t="str">
        <f>+IF($B63="","",Summary!$P$5)</f>
        <v/>
      </c>
      <c r="G63" s="151" t="str">
        <f>+IF($B63="","",Summary!$P$6)</f>
        <v/>
      </c>
      <c r="H63" s="150" t="str">
        <f t="shared" si="2"/>
        <v/>
      </c>
      <c r="I63" s="148"/>
      <c r="J63" s="149"/>
      <c r="K63" s="148"/>
      <c r="L63" s="148"/>
      <c r="M63" s="148"/>
      <c r="N63" s="149" t="e">
        <f t="shared" si="3"/>
        <v>#REF!</v>
      </c>
      <c r="O63" s="149" t="e">
        <f>COUNTIFS(#REF!,"&gt;="&amp;DATE($C63,$B63,1),#REF!,"&lt;="&amp;EOMONTH(DATE($C63,$B63,1),0),#REF!,"Incident")+
COUNTIFS(#REF!,"&gt;="&amp;DATE($C63,$B63,1),#REF!,"&lt;="&amp;EOMONTH(DATE($C63,$B63,1),0),#REF!,"user_request")</f>
        <v>#REF!</v>
      </c>
      <c r="P63" s="147">
        <f t="shared" si="9"/>
        <v>0</v>
      </c>
      <c r="Q63" s="147">
        <f t="shared" si="10"/>
        <v>0</v>
      </c>
      <c r="R63" s="147">
        <f t="shared" si="11"/>
        <v>0</v>
      </c>
      <c r="S63" s="146" t="e">
        <f t="shared" si="16"/>
        <v>#REF!</v>
      </c>
      <c r="T63" s="146" t="e">
        <f t="shared" si="16"/>
        <v>#REF!</v>
      </c>
      <c r="U63" s="145">
        <f t="shared" si="4"/>
        <v>0</v>
      </c>
      <c r="V63" s="145" t="e">
        <f t="shared" si="5"/>
        <v>#REF!</v>
      </c>
      <c r="W63" s="142">
        <v>48</v>
      </c>
      <c r="X63" s="142" t="str">
        <f>+IF((VLOOKUP(A63,List!B:C,2,0)-VLOOKUP(Summary!$P$7,List!B:C,2,0))=0,1,"")</f>
        <v/>
      </c>
      <c r="Y63" s="198">
        <f>+IF((VLOOKUP(A63,List!B:C,2,0)-VLOOKUP(Summary!$P$7,List!B:C,2,0))&gt;=0,1,"")</f>
        <v>1</v>
      </c>
      <c r="Z63" s="198">
        <f>+IF((VLOOKUP(A63,List!B:C,2,0)-VLOOKUP(Summary!$P$7,List!B:C,2,0))&gt;0,1,"")</f>
        <v>1</v>
      </c>
      <c r="AA63" s="141">
        <f t="shared" si="6"/>
        <v>2</v>
      </c>
      <c r="AB63" s="199" t="str">
        <f>+IF(AA63="","",IF(Summary!$J$7="Fixed Price","",IF(M63="",IF(I63="","",1),"")))</f>
        <v/>
      </c>
      <c r="AC63" s="198">
        <f t="shared" si="13"/>
        <v>0</v>
      </c>
    </row>
  </sheetData>
  <sheetProtection formatColumns="0" formatRows="0" sort="0" autoFilter="0"/>
  <conditionalFormatting sqref="H4:H63">
    <cfRule type="containsText" dxfId="44" priority="4" operator="containsText" text="Green">
      <formula>NOT(ISERROR(SEARCH("Green",H4)))</formula>
    </cfRule>
    <cfRule type="containsText" dxfId="43" priority="5" operator="containsText" text="Amber">
      <formula>NOT(ISERROR(SEARCH("Amber",H4)))</formula>
    </cfRule>
    <cfRule type="containsText" dxfId="42" priority="6" operator="containsText" text="Red">
      <formula>NOT(ISERROR(SEARCH("Red",H4)))</formula>
    </cfRule>
  </conditionalFormatting>
  <conditionalFormatting sqref="I2:O2">
    <cfRule type="cellIs" dxfId="41" priority="1" operator="equal">
      <formula>"Select Report Month"</formula>
    </cfRule>
  </conditionalFormatting>
  <dataValidations count="1">
    <dataValidation type="list" allowBlank="1" showInputMessage="1" showErrorMessage="1" sqref="H4:H63" xr:uid="{248CFD6C-04EA-4059-831A-7CE7382C455E}">
      <formula1>"Red,Amber,Green"</formula1>
    </dataValidation>
  </dataValidations>
  <pageMargins left="0.7" right="0.7" top="0.75" bottom="0.75" header="0.3" footer="0.3"/>
  <pageSetup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I63"/>
  <sheetViews>
    <sheetView showGridLines="0" zoomScale="70" zoomScaleNormal="70" workbookViewId="0">
      <selection activeCell="L18" sqref="L18"/>
    </sheetView>
  </sheetViews>
  <sheetFormatPr defaultColWidth="9.28515625" defaultRowHeight="12.75" x14ac:dyDescent="0.2"/>
  <cols>
    <col min="1" max="1" width="10.42578125" style="144" customWidth="1"/>
    <col min="2" max="2" width="7.7109375" style="143" customWidth="1"/>
    <col min="3" max="3" width="7.7109375" style="139" customWidth="1"/>
    <col min="4" max="4" width="11.28515625" style="139" customWidth="1"/>
    <col min="5" max="7" width="14.28515625" style="139" customWidth="1"/>
    <col min="8" max="8" width="12.28515625" style="139" customWidth="1"/>
    <col min="9" max="13" width="11.5703125" style="143" customWidth="1"/>
    <col min="14" max="14" width="12" style="143" bestFit="1" customWidth="1"/>
    <col min="15" max="15" width="12.28515625" style="143" bestFit="1" customWidth="1"/>
    <col min="16" max="22" width="13.5703125" style="139" customWidth="1"/>
    <col min="23" max="23" width="9.42578125" style="142" bestFit="1" customWidth="1"/>
    <col min="24" max="24" width="9.42578125" style="142" customWidth="1"/>
    <col min="25" max="30" width="9.28515625" style="141"/>
    <col min="31" max="31" width="9.28515625" style="195"/>
    <col min="32" max="35" width="9.28515625" style="140"/>
    <col min="36" max="16384" width="9.28515625" style="139"/>
  </cols>
  <sheetData>
    <row r="1" spans="1:30" ht="60" customHeight="1" x14ac:dyDescent="0.2">
      <c r="C1" s="175" t="s">
        <v>107</v>
      </c>
      <c r="D1" s="175"/>
      <c r="E1" s="175"/>
      <c r="F1" s="175"/>
      <c r="G1" s="175"/>
      <c r="H1" s="175"/>
      <c r="I1" s="176"/>
      <c r="J1" s="176"/>
      <c r="K1" s="176"/>
      <c r="L1" s="176"/>
      <c r="M1" s="176"/>
      <c r="N1" s="176"/>
      <c r="O1" s="176"/>
      <c r="P1" s="175"/>
      <c r="Q1" s="175"/>
      <c r="R1" s="175"/>
      <c r="S1" s="175"/>
      <c r="T1" s="175"/>
      <c r="U1" s="175"/>
      <c r="V1" s="175"/>
      <c r="W1" s="196" t="s">
        <v>135</v>
      </c>
      <c r="X1" s="196" t="s">
        <v>142</v>
      </c>
      <c r="Y1" s="196" t="s">
        <v>137</v>
      </c>
      <c r="Z1" s="196" t="s">
        <v>138</v>
      </c>
      <c r="AA1" s="196" t="s">
        <v>136</v>
      </c>
      <c r="AB1" s="196" t="s">
        <v>139</v>
      </c>
      <c r="AC1" s="196" t="s">
        <v>404</v>
      </c>
      <c r="AD1" s="196" t="s">
        <v>405</v>
      </c>
    </row>
    <row r="2" spans="1:30" ht="32.25" customHeight="1" x14ac:dyDescent="0.2">
      <c r="B2" s="174"/>
      <c r="C2" s="173"/>
      <c r="D2" s="173"/>
      <c r="E2" s="173"/>
      <c r="F2" s="173"/>
      <c r="G2" s="173"/>
      <c r="H2" s="173"/>
      <c r="I2" s="173"/>
      <c r="J2" s="173"/>
      <c r="K2" s="173"/>
      <c r="L2" s="173"/>
      <c r="M2" s="173"/>
      <c r="N2" s="173"/>
      <c r="O2" s="173"/>
      <c r="P2" s="173"/>
      <c r="Q2" s="173"/>
      <c r="R2" s="173"/>
      <c r="S2" s="173"/>
      <c r="T2" s="173"/>
      <c r="U2" s="173"/>
      <c r="V2" s="173"/>
      <c r="W2" s="141">
        <f>(YEAR(Summary!P6)-YEAR(Summary!P4))*12+MONTH(Summary!P6)-MONTH(Summary!P4)+1</f>
        <v>25</v>
      </c>
      <c r="X2" s="141"/>
    </row>
    <row r="3" spans="1:30" s="162" customFormat="1" ht="37.5" customHeight="1" x14ac:dyDescent="0.2">
      <c r="A3" s="172" t="s">
        <v>87</v>
      </c>
      <c r="B3" s="169" t="s">
        <v>25</v>
      </c>
      <c r="C3" s="164" t="s">
        <v>26</v>
      </c>
      <c r="D3" s="164" t="s">
        <v>27</v>
      </c>
      <c r="E3" s="163" t="s">
        <v>101</v>
      </c>
      <c r="F3" s="163" t="s">
        <v>102</v>
      </c>
      <c r="G3" s="163" t="s">
        <v>103</v>
      </c>
      <c r="H3" s="164" t="s">
        <v>28</v>
      </c>
      <c r="I3" s="171" t="s">
        <v>29</v>
      </c>
      <c r="J3" s="171" t="s">
        <v>375</v>
      </c>
      <c r="K3" s="169" t="s">
        <v>31</v>
      </c>
      <c r="L3" s="170" t="s">
        <v>104</v>
      </c>
      <c r="M3" s="169" t="s">
        <v>32</v>
      </c>
      <c r="N3" s="168" t="s">
        <v>374</v>
      </c>
      <c r="O3" s="167" t="s">
        <v>373</v>
      </c>
      <c r="P3" s="163" t="s">
        <v>372</v>
      </c>
      <c r="Q3" s="166" t="s">
        <v>371</v>
      </c>
      <c r="R3" s="163" t="s">
        <v>370</v>
      </c>
      <c r="S3" s="165" t="s">
        <v>369</v>
      </c>
      <c r="T3" s="165" t="s">
        <v>368</v>
      </c>
      <c r="U3" s="164" t="s">
        <v>33</v>
      </c>
      <c r="V3" s="163" t="s">
        <v>367</v>
      </c>
      <c r="W3" s="197" t="s">
        <v>120</v>
      </c>
      <c r="X3" s="197"/>
      <c r="Y3" s="197"/>
      <c r="Z3" s="197"/>
      <c r="AA3" s="197"/>
      <c r="AB3" s="194"/>
      <c r="AC3" s="197"/>
      <c r="AD3" s="197"/>
    </row>
    <row r="4" spans="1:30" x14ac:dyDescent="0.2">
      <c r="A4" s="155" t="str">
        <f t="shared" ref="A4:A35" si="0">CONCATENATE(C4,"-",B4)</f>
        <v>2025-9</v>
      </c>
      <c r="B4" s="154">
        <f>MONTH(Summary!P4)</f>
        <v>9</v>
      </c>
      <c r="C4" s="153">
        <f>YEAR(Summary!P4)</f>
        <v>2025</v>
      </c>
      <c r="D4" s="152" t="str">
        <f t="shared" ref="D4:D35" si="1">CONCATENATE(C4,"-",B4)</f>
        <v>2025-9</v>
      </c>
      <c r="E4" s="159">
        <f>+IF($B4="","",Summary!$P$4)</f>
        <v>45929</v>
      </c>
      <c r="F4" s="159">
        <f>+IF($B4="","",Summary!$P$5)</f>
        <v>46657</v>
      </c>
      <c r="G4" s="159">
        <f>+IF($B4="","",Summary!$P$6)</f>
        <v>46657</v>
      </c>
      <c r="H4" s="158" t="str">
        <f t="shared" ref="H4:H35" si="2">+IF($B4="","",IF(U4&lt;-15%,"Red",IF(U4&lt;0%,"Amber","Green")))</f>
        <v>Green</v>
      </c>
      <c r="I4" s="156"/>
      <c r="J4" s="157"/>
      <c r="K4" s="156"/>
      <c r="L4" s="156"/>
      <c r="M4" s="156"/>
      <c r="N4" s="156" t="e">
        <f t="shared" ref="N4:N35" si="3">O4</f>
        <v>#REF!</v>
      </c>
      <c r="O4" s="156" t="e">
        <f>COUNTIFS(#REF!,"&gt;="&amp;DATE($C4,$B4,1),#REF!,"&lt;="&amp;EOMONTH(DATE($C4,$B4,1),0),#REF!,"Incident")+
COUNTIFS(#REF!,"&gt;="&amp;DATE($C4,$B4,1),#REF!,"&lt;="&amp;EOMONTH(DATE($C4,$B4,1),0),#REF!,"user_request")</f>
        <v>#REF!</v>
      </c>
      <c r="P4" s="147">
        <f>I4</f>
        <v>0</v>
      </c>
      <c r="Q4" s="147">
        <f>J4</f>
        <v>0</v>
      </c>
      <c r="R4" s="147">
        <f>K4</f>
        <v>0</v>
      </c>
      <c r="S4" s="146" t="e">
        <f>N4</f>
        <v>#REF!</v>
      </c>
      <c r="T4" s="146" t="e">
        <f>O4</f>
        <v>#REF!</v>
      </c>
      <c r="U4" s="145">
        <f t="shared" ref="U4:U35" si="4">IF(Q4=0,0,IF(K4&lt;&gt;"",(Q4-(R4+L4))/Q4,U3))</f>
        <v>0</v>
      </c>
      <c r="V4" s="145" t="e">
        <f t="shared" ref="V4:V35" si="5">IF(S4=0,0,IF(O4&lt;&gt;"",(S4-(T4))/S4,V3))</f>
        <v>#REF!</v>
      </c>
      <c r="W4" s="142">
        <v>1</v>
      </c>
      <c r="X4" s="142" t="str">
        <f>+IF((VLOOKUP(A4,List!B:C,2,0)-VLOOKUP(Summary!$P$7,List!B:C,2,0))=0,1,"")</f>
        <v/>
      </c>
      <c r="Y4" s="198" t="str">
        <f>+IF((VLOOKUP(A4,List!B:C,2,0)-VLOOKUP(Summary!$P$7,List!B:C,2,0))&gt;=0,1,"")</f>
        <v/>
      </c>
      <c r="Z4" s="198" t="str">
        <f>+IF((VLOOKUP(A4,List!B:C,2,0)-VLOOKUP(Summary!$P$7,List!B:C,2,0))&gt;0,1,"")</f>
        <v/>
      </c>
      <c r="AA4" s="141" t="str">
        <f t="shared" ref="AA4:AA35" si="6">+IFERROR(IF(Z4="","",IF(YEAR(G4)&gt;C4,1,IF(YEAR(G4)=C4,IF(MONTH(G4)&gt;=B4,1,2)))),2)</f>
        <v/>
      </c>
      <c r="AB4" s="199" t="str">
        <f>+IF(AA4="","",IF(Summary!$J$7="Fixed Price","",IF(M4="",IF(I4="","",1),"")))</f>
        <v/>
      </c>
      <c r="AC4" s="198">
        <f>+IFERROR(I4*AA4,0)</f>
        <v>0</v>
      </c>
      <c r="AD4" s="198" t="e">
        <f>+IF(AA4="",+IF(N4&gt;#REF!,#REF!,IF(N4&gt;#REF!,#REF!,IF(N4&gt;#REF!,#REF!,IF(N4&gt;#REF!,#REF!,IF(N4&gt;#REF!,#REF!,IF(N4&gt;#REF!,#REF!,IF(N4&gt;#REF!,#REF!,IF(N4&gt;#REF!,#REF!,#REF!)))))))),0)</f>
        <v>#REF!</v>
      </c>
    </row>
    <row r="5" spans="1:30" x14ac:dyDescent="0.2">
      <c r="A5" s="155" t="str">
        <f t="shared" si="0"/>
        <v>2025-10</v>
      </c>
      <c r="B5" s="154">
        <f t="shared" ref="B5:B36" si="7">IF(W5&lt;=$W$2,IF(B4&gt;11,1,B4+1),"")</f>
        <v>10</v>
      </c>
      <c r="C5" s="153">
        <f t="shared" ref="C5:C36" si="8">IF(W5&lt;=$W$2,IF(B4&gt;11,C4+1,C4),"")</f>
        <v>2025</v>
      </c>
      <c r="D5" s="152" t="str">
        <f t="shared" si="1"/>
        <v>2025-10</v>
      </c>
      <c r="E5" s="151">
        <f>+IF($B5="","",Summary!$P$4)</f>
        <v>45929</v>
      </c>
      <c r="F5" s="151">
        <f>+IF($B5="","",Summary!$P$5)</f>
        <v>46657</v>
      </c>
      <c r="G5" s="151">
        <f>+IF($B5="","",Summary!$P$6)</f>
        <v>46657</v>
      </c>
      <c r="H5" s="150" t="str">
        <f t="shared" si="2"/>
        <v>Green</v>
      </c>
      <c r="I5" s="148"/>
      <c r="J5" s="149"/>
      <c r="K5" s="148"/>
      <c r="L5" s="148"/>
      <c r="M5" s="148"/>
      <c r="N5" s="148" t="e">
        <f t="shared" si="3"/>
        <v>#REF!</v>
      </c>
      <c r="O5" s="148" t="e">
        <f>COUNTIFS(#REF!,"&gt;="&amp;DATE($C5,$B5,1),#REF!,"&lt;="&amp;EOMONTH(DATE($C5,$B5,1),0),#REF!,"Incident")+
COUNTIFS(#REF!,"&gt;="&amp;DATE($C5,$B5,1),#REF!,"&lt;="&amp;EOMONTH(DATE($C5,$B5,1),0),#REF!,"user_request")</f>
        <v>#REF!</v>
      </c>
      <c r="P5" s="147">
        <f t="shared" ref="P5:P36" si="9">I5+P4</f>
        <v>0</v>
      </c>
      <c r="Q5" s="147">
        <f t="shared" ref="Q5:Q36" si="10">Q4+J5</f>
        <v>0</v>
      </c>
      <c r="R5" s="147">
        <f t="shared" ref="R5:R36" si="11">K5+R4</f>
        <v>0</v>
      </c>
      <c r="S5" s="146" t="e">
        <f t="shared" ref="S5:S36" si="12">N5+S4</f>
        <v>#REF!</v>
      </c>
      <c r="T5" s="146" t="e">
        <f t="shared" ref="T5:T36" si="13">O5+T4</f>
        <v>#REF!</v>
      </c>
      <c r="U5" s="145">
        <f t="shared" si="4"/>
        <v>0</v>
      </c>
      <c r="V5" s="145" t="e">
        <f t="shared" si="5"/>
        <v>#REF!</v>
      </c>
      <c r="W5" s="142">
        <v>2</v>
      </c>
      <c r="X5" s="142" t="str">
        <f>+IF((VLOOKUP(A5,List!B:C,2,0)-VLOOKUP(Summary!$P$7,List!B:C,2,0))=0,1,"")</f>
        <v/>
      </c>
      <c r="Y5" s="198" t="str">
        <f>+IF((VLOOKUP(A5,List!B:C,2,0)-VLOOKUP(Summary!$P$7,List!B:C,2,0))&gt;=0,1,"")</f>
        <v/>
      </c>
      <c r="Z5" s="198" t="str">
        <f>+IF((VLOOKUP(A5,List!B:C,2,0)-VLOOKUP(Summary!$P$7,List!B:C,2,0))&gt;0,1,"")</f>
        <v/>
      </c>
      <c r="AA5" s="141" t="str">
        <f t="shared" si="6"/>
        <v/>
      </c>
      <c r="AB5" s="199" t="str">
        <f>+IF(AA5="","",IF(Summary!$J$7="Fixed Price","",IF(M5="",IF(I5="","",1),"")))</f>
        <v/>
      </c>
      <c r="AC5" s="198">
        <f t="shared" ref="AC5:AC63" si="14">+IFERROR(I5*AA5,0)</f>
        <v>0</v>
      </c>
      <c r="AD5" s="198" t="e">
        <f>+IF(AA5="",+IF(N5&gt;#REF!,#REF!,IF(N5&gt;#REF!,#REF!,IF(N5&gt;#REF!,#REF!,IF(N5&gt;#REF!,#REF!,IF(N5&gt;#REF!,#REF!,IF(N5&gt;#REF!,#REF!,IF(N5&gt;#REF!,#REF!,IF(N5&gt;#REF!,#REF!,#REF!)))))))),0)</f>
        <v>#REF!</v>
      </c>
    </row>
    <row r="6" spans="1:30" x14ac:dyDescent="0.2">
      <c r="A6" s="155" t="str">
        <f t="shared" si="0"/>
        <v>2025-11</v>
      </c>
      <c r="B6" s="154">
        <f t="shared" si="7"/>
        <v>11</v>
      </c>
      <c r="C6" s="153">
        <f t="shared" si="8"/>
        <v>2025</v>
      </c>
      <c r="D6" s="152" t="str">
        <f t="shared" si="1"/>
        <v>2025-11</v>
      </c>
      <c r="E6" s="159">
        <f>+IF($B6="","",Summary!$P$4)</f>
        <v>45929</v>
      </c>
      <c r="F6" s="159">
        <f>+IF($B6="","",Summary!$P$5)</f>
        <v>46657</v>
      </c>
      <c r="G6" s="159">
        <f>+IF($B6="","",Summary!$P$6)</f>
        <v>46657</v>
      </c>
      <c r="H6" s="158" t="str">
        <f t="shared" si="2"/>
        <v>Green</v>
      </c>
      <c r="I6" s="156"/>
      <c r="J6" s="157"/>
      <c r="K6" s="156"/>
      <c r="L6" s="156"/>
      <c r="M6" s="156"/>
      <c r="N6" s="156" t="e">
        <f t="shared" si="3"/>
        <v>#REF!</v>
      </c>
      <c r="O6" s="156" t="e">
        <f>COUNTIFS(#REF!,"&gt;="&amp;DATE($C6,$B6,1),#REF!,"&lt;="&amp;EOMONTH(DATE($C6,$B6,1),0),#REF!,"Incident")+
COUNTIFS(#REF!,"&gt;="&amp;DATE($C6,$B6,1),#REF!,"&lt;="&amp;EOMONTH(DATE($C6,$B6,1),0),#REF!,"user_request")</f>
        <v>#REF!</v>
      </c>
      <c r="P6" s="147">
        <f t="shared" si="9"/>
        <v>0</v>
      </c>
      <c r="Q6" s="147">
        <f t="shared" si="10"/>
        <v>0</v>
      </c>
      <c r="R6" s="147">
        <f t="shared" si="11"/>
        <v>0</v>
      </c>
      <c r="S6" s="146" t="e">
        <f t="shared" si="12"/>
        <v>#REF!</v>
      </c>
      <c r="T6" s="146" t="e">
        <f t="shared" si="13"/>
        <v>#REF!</v>
      </c>
      <c r="U6" s="145">
        <f t="shared" si="4"/>
        <v>0</v>
      </c>
      <c r="V6" s="145" t="e">
        <f t="shared" si="5"/>
        <v>#REF!</v>
      </c>
      <c r="W6" s="142">
        <v>3</v>
      </c>
      <c r="X6" s="142" t="str">
        <f>+IF((VLOOKUP(A6,List!B:C,2,0)-VLOOKUP(Summary!$P$7,List!B:C,2,0))=0,1,"")</f>
        <v/>
      </c>
      <c r="Y6" s="198" t="str">
        <f>+IF((VLOOKUP(A6,List!B:C,2,0)-VLOOKUP(Summary!$P$7,List!B:C,2,0))&gt;=0,1,"")</f>
        <v/>
      </c>
      <c r="Z6" s="198" t="str">
        <f>+IF((VLOOKUP(A6,List!B:C,2,0)-VLOOKUP(Summary!$P$7,List!B:C,2,0))&gt;0,1,"")</f>
        <v/>
      </c>
      <c r="AA6" s="141" t="str">
        <f t="shared" si="6"/>
        <v/>
      </c>
      <c r="AB6" s="199" t="str">
        <f>+IF(AA6="","",IF(Summary!$J$7="Fixed Price","",IF(M6="",IF(I6="","",1),"")))</f>
        <v/>
      </c>
      <c r="AC6" s="198">
        <f t="shared" si="14"/>
        <v>0</v>
      </c>
      <c r="AD6" s="198" t="e">
        <f>+IF(AA6="",+IF(N6&gt;#REF!,#REF!,IF(N6&gt;#REF!,#REF!,IF(N6&gt;#REF!,#REF!,IF(N6&gt;#REF!,#REF!,IF(N6&gt;#REF!,#REF!,IF(N6&gt;#REF!,#REF!,IF(N6&gt;#REF!,#REF!,IF(N6&gt;#REF!,#REF!,#REF!)))))))),0)</f>
        <v>#REF!</v>
      </c>
    </row>
    <row r="7" spans="1:30" x14ac:dyDescent="0.2">
      <c r="A7" s="155" t="str">
        <f t="shared" si="0"/>
        <v>2025-12</v>
      </c>
      <c r="B7" s="154">
        <f t="shared" si="7"/>
        <v>12</v>
      </c>
      <c r="C7" s="153">
        <f t="shared" si="8"/>
        <v>2025</v>
      </c>
      <c r="D7" s="152" t="str">
        <f t="shared" si="1"/>
        <v>2025-12</v>
      </c>
      <c r="E7" s="151">
        <f>+IF($B7="","",Summary!$P$4)</f>
        <v>45929</v>
      </c>
      <c r="F7" s="151">
        <f>+IF($B7="","",Summary!$P$5)</f>
        <v>46657</v>
      </c>
      <c r="G7" s="151">
        <f>+IF($B7="","",Summary!$P$6)</f>
        <v>46657</v>
      </c>
      <c r="H7" s="150" t="str">
        <f t="shared" si="2"/>
        <v>Green</v>
      </c>
      <c r="I7" s="148"/>
      <c r="J7" s="149"/>
      <c r="K7" s="148"/>
      <c r="L7" s="148"/>
      <c r="M7" s="148"/>
      <c r="N7" s="148" t="e">
        <f t="shared" si="3"/>
        <v>#REF!</v>
      </c>
      <c r="O7" s="148" t="e">
        <f>COUNTIFS(#REF!,"&gt;="&amp;DATE($C7,$B7,1),#REF!,"&lt;="&amp;EOMONTH(DATE($C7,$B7,1),0),#REF!,"Incident")+
COUNTIFS(#REF!,"&gt;="&amp;DATE($C7,$B7,1),#REF!,"&lt;="&amp;EOMONTH(DATE($C7,$B7,1),0),#REF!,"user_request")</f>
        <v>#REF!</v>
      </c>
      <c r="P7" s="147">
        <f t="shared" si="9"/>
        <v>0</v>
      </c>
      <c r="Q7" s="147">
        <f t="shared" si="10"/>
        <v>0</v>
      </c>
      <c r="R7" s="147">
        <f t="shared" si="11"/>
        <v>0</v>
      </c>
      <c r="S7" s="146" t="e">
        <f t="shared" si="12"/>
        <v>#REF!</v>
      </c>
      <c r="T7" s="146" t="e">
        <f t="shared" si="13"/>
        <v>#REF!</v>
      </c>
      <c r="U7" s="145">
        <f t="shared" si="4"/>
        <v>0</v>
      </c>
      <c r="V7" s="145" t="e">
        <f t="shared" si="5"/>
        <v>#REF!</v>
      </c>
      <c r="W7" s="142">
        <v>4</v>
      </c>
      <c r="X7" s="142" t="str">
        <f>+IF((VLOOKUP(A7,List!B:C,2,0)-VLOOKUP(Summary!$P$7,List!B:C,2,0))=0,1,"")</f>
        <v/>
      </c>
      <c r="Y7" s="198" t="str">
        <f>+IF((VLOOKUP(A7,List!B:C,2,0)-VLOOKUP(Summary!$P$7,List!B:C,2,0))&gt;=0,1,"")</f>
        <v/>
      </c>
      <c r="Z7" s="198" t="str">
        <f>+IF((VLOOKUP(A7,List!B:C,2,0)-VLOOKUP(Summary!$P$7,List!B:C,2,0))&gt;0,1,"")</f>
        <v/>
      </c>
      <c r="AA7" s="141" t="str">
        <f t="shared" si="6"/>
        <v/>
      </c>
      <c r="AB7" s="199" t="str">
        <f>+IF(AA7="","",IF(Summary!$J$7="Fixed Price","",IF(M7="",IF(I7="","",1),"")))</f>
        <v/>
      </c>
      <c r="AC7" s="198">
        <f t="shared" si="14"/>
        <v>0</v>
      </c>
      <c r="AD7" s="198" t="e">
        <f>+IF(AA7="",+IF(N7&gt;#REF!,#REF!,IF(N7&gt;#REF!,#REF!,IF(N7&gt;#REF!,#REF!,IF(N7&gt;#REF!,#REF!,IF(N7&gt;#REF!,#REF!,IF(N7&gt;#REF!,#REF!,IF(N7&gt;#REF!,#REF!,IF(N7&gt;#REF!,#REF!,#REF!)))))))),0)</f>
        <v>#REF!</v>
      </c>
    </row>
    <row r="8" spans="1:30" x14ac:dyDescent="0.2">
      <c r="A8" s="155" t="str">
        <f t="shared" si="0"/>
        <v>2026-1</v>
      </c>
      <c r="B8" s="154">
        <f t="shared" si="7"/>
        <v>1</v>
      </c>
      <c r="C8" s="153">
        <f t="shared" si="8"/>
        <v>2026</v>
      </c>
      <c r="D8" s="152" t="str">
        <f t="shared" si="1"/>
        <v>2026-1</v>
      </c>
      <c r="E8" s="159">
        <f>+IF($B8="","",Summary!$P$4)</f>
        <v>45929</v>
      </c>
      <c r="F8" s="159">
        <f>+IF($B8="","",Summary!$P$5)</f>
        <v>46657</v>
      </c>
      <c r="G8" s="159">
        <f>+IF($B8="","",Summary!$P$6)</f>
        <v>46657</v>
      </c>
      <c r="H8" s="158" t="str">
        <f t="shared" si="2"/>
        <v>Green</v>
      </c>
      <c r="I8" s="156"/>
      <c r="J8" s="157"/>
      <c r="K8" s="156"/>
      <c r="L8" s="156"/>
      <c r="M8" s="156"/>
      <c r="N8" s="156" t="e">
        <f t="shared" si="3"/>
        <v>#REF!</v>
      </c>
      <c r="O8" s="156" t="e">
        <f>COUNTIFS(#REF!,"&gt;="&amp;DATE($C8,$B8,1),#REF!,"&lt;="&amp;EOMONTH(DATE($C8,$B8,1),0),#REF!,"Incident")+
COUNTIFS(#REF!,"&gt;="&amp;DATE($C8,$B8,1),#REF!,"&lt;="&amp;EOMONTH(DATE($C8,$B8,1),0),#REF!,"user_request")</f>
        <v>#REF!</v>
      </c>
      <c r="P8" s="147">
        <f t="shared" si="9"/>
        <v>0</v>
      </c>
      <c r="Q8" s="147">
        <f t="shared" si="10"/>
        <v>0</v>
      </c>
      <c r="R8" s="147">
        <f t="shared" si="11"/>
        <v>0</v>
      </c>
      <c r="S8" s="146" t="e">
        <f t="shared" si="12"/>
        <v>#REF!</v>
      </c>
      <c r="T8" s="146" t="e">
        <f t="shared" si="13"/>
        <v>#REF!</v>
      </c>
      <c r="U8" s="145">
        <f t="shared" si="4"/>
        <v>0</v>
      </c>
      <c r="V8" s="145" t="e">
        <f t="shared" si="5"/>
        <v>#REF!</v>
      </c>
      <c r="W8" s="142">
        <v>5</v>
      </c>
      <c r="X8" s="142" t="str">
        <f>+IF((VLOOKUP(A8,List!B:C,2,0)-VLOOKUP(Summary!$P$7,List!B:C,2,0))=0,1,"")</f>
        <v/>
      </c>
      <c r="Y8" s="198" t="str">
        <f>+IF((VLOOKUP(A8,List!B:C,2,0)-VLOOKUP(Summary!$P$7,List!B:C,2,0))&gt;=0,1,"")</f>
        <v/>
      </c>
      <c r="Z8" s="198" t="str">
        <f>+IF((VLOOKUP(A8,List!B:C,2,0)-VLOOKUP(Summary!$P$7,List!B:C,2,0))&gt;0,1,"")</f>
        <v/>
      </c>
      <c r="AA8" s="141" t="str">
        <f t="shared" si="6"/>
        <v/>
      </c>
      <c r="AB8" s="199" t="str">
        <f>+IF(AA8="","",IF(Summary!$J$7="Fixed Price","",IF(M8="",IF(I8="","",1),"")))</f>
        <v/>
      </c>
      <c r="AC8" s="198">
        <f t="shared" si="14"/>
        <v>0</v>
      </c>
      <c r="AD8" s="198" t="e">
        <f>+IF(AA8="",+IF(N8&gt;#REF!,#REF!,IF(N8&gt;#REF!,#REF!,IF(N8&gt;#REF!,#REF!,IF(N8&gt;#REF!,#REF!,IF(N8&gt;#REF!,#REF!,IF(N8&gt;#REF!,#REF!,IF(N8&gt;#REF!,#REF!,IF(N8&gt;#REF!,#REF!,#REF!)))))))),0)</f>
        <v>#REF!</v>
      </c>
    </row>
    <row r="9" spans="1:30" x14ac:dyDescent="0.2">
      <c r="A9" s="155" t="str">
        <f t="shared" si="0"/>
        <v>2026-2</v>
      </c>
      <c r="B9" s="154">
        <f t="shared" si="7"/>
        <v>2</v>
      </c>
      <c r="C9" s="153">
        <f t="shared" si="8"/>
        <v>2026</v>
      </c>
      <c r="D9" s="152" t="str">
        <f t="shared" si="1"/>
        <v>2026-2</v>
      </c>
      <c r="E9" s="151">
        <f>+IF($B9="","",Summary!$P$4)</f>
        <v>45929</v>
      </c>
      <c r="F9" s="151">
        <f>+IF($B9="","",Summary!$P$5)</f>
        <v>46657</v>
      </c>
      <c r="G9" s="151">
        <f>+IF($B9="","",Summary!$P$6)</f>
        <v>46657</v>
      </c>
      <c r="H9" s="150" t="str">
        <f t="shared" si="2"/>
        <v>Green</v>
      </c>
      <c r="I9" s="148"/>
      <c r="J9" s="149"/>
      <c r="K9" s="148"/>
      <c r="L9" s="148"/>
      <c r="M9" s="148"/>
      <c r="N9" s="148" t="e">
        <f t="shared" si="3"/>
        <v>#REF!</v>
      </c>
      <c r="O9" s="148" t="e">
        <f>COUNTIFS(#REF!,"&gt;="&amp;DATE($C9,$B9,1),#REF!,"&lt;="&amp;EOMONTH(DATE($C9,$B9,1),0),#REF!,"Incident")+
COUNTIFS(#REF!,"&gt;="&amp;DATE($C9,$B9,1),#REF!,"&lt;="&amp;EOMONTH(DATE($C9,$B9,1),0),#REF!,"user_request")</f>
        <v>#REF!</v>
      </c>
      <c r="P9" s="147">
        <f t="shared" si="9"/>
        <v>0</v>
      </c>
      <c r="Q9" s="147">
        <f t="shared" si="10"/>
        <v>0</v>
      </c>
      <c r="R9" s="147">
        <f t="shared" si="11"/>
        <v>0</v>
      </c>
      <c r="S9" s="146" t="e">
        <f t="shared" si="12"/>
        <v>#REF!</v>
      </c>
      <c r="T9" s="146" t="e">
        <f t="shared" si="13"/>
        <v>#REF!</v>
      </c>
      <c r="U9" s="145">
        <f t="shared" si="4"/>
        <v>0</v>
      </c>
      <c r="V9" s="145" t="e">
        <f t="shared" si="5"/>
        <v>#REF!</v>
      </c>
      <c r="W9" s="142">
        <v>6</v>
      </c>
      <c r="X9" s="142">
        <f>+IF((VLOOKUP(A9,List!B:C,2,0)-VLOOKUP(Summary!$P$7,List!B:C,2,0))=0,1,"")</f>
        <v>1</v>
      </c>
      <c r="Y9" s="198">
        <f>+IF((VLOOKUP(A9,List!B:C,2,0)-VLOOKUP(Summary!$P$7,List!B:C,2,0))&gt;=0,1,"")</f>
        <v>1</v>
      </c>
      <c r="Z9" s="198" t="str">
        <f>+IF((VLOOKUP(A9,List!B:C,2,0)-VLOOKUP(Summary!$P$7,List!B:C,2,0))&gt;0,1,"")</f>
        <v/>
      </c>
      <c r="AA9" s="141" t="str">
        <f t="shared" si="6"/>
        <v/>
      </c>
      <c r="AB9" s="199" t="str">
        <f>+IF(AA9="","",IF(Summary!$J$7="Fixed Price","",IF(M9="",IF(I9="","",1),"")))</f>
        <v/>
      </c>
      <c r="AC9" s="198">
        <f t="shared" si="14"/>
        <v>0</v>
      </c>
      <c r="AD9" s="198" t="e">
        <f>+IF(AA9="",+IF(N9&gt;#REF!,#REF!,IF(N9&gt;#REF!,#REF!,IF(N9&gt;#REF!,#REF!,IF(N9&gt;#REF!,#REF!,IF(N9&gt;#REF!,#REF!,IF(N9&gt;#REF!,#REF!,IF(N9&gt;#REF!,#REF!,IF(N9&gt;#REF!,#REF!,#REF!)))))))),0)</f>
        <v>#REF!</v>
      </c>
    </row>
    <row r="10" spans="1:30" x14ac:dyDescent="0.2">
      <c r="A10" s="155" t="str">
        <f t="shared" si="0"/>
        <v>2026-3</v>
      </c>
      <c r="B10" s="154">
        <f t="shared" si="7"/>
        <v>3</v>
      </c>
      <c r="C10" s="153">
        <f t="shared" si="8"/>
        <v>2026</v>
      </c>
      <c r="D10" s="152" t="str">
        <f t="shared" si="1"/>
        <v>2026-3</v>
      </c>
      <c r="E10" s="159">
        <f>+IF($B10="","",Summary!$P$4)</f>
        <v>45929</v>
      </c>
      <c r="F10" s="159">
        <f>+IF($B10="","",Summary!$P$5)</f>
        <v>46657</v>
      </c>
      <c r="G10" s="159">
        <f>+IF($B10="","",Summary!$P$6)</f>
        <v>46657</v>
      </c>
      <c r="H10" s="158" t="str">
        <f t="shared" si="2"/>
        <v>Green</v>
      </c>
      <c r="I10" s="156"/>
      <c r="J10" s="157"/>
      <c r="K10" s="156"/>
      <c r="L10" s="156"/>
      <c r="M10" s="156"/>
      <c r="N10" s="156" t="e">
        <f t="shared" si="3"/>
        <v>#REF!</v>
      </c>
      <c r="O10" s="156" t="e">
        <f>COUNTIFS(#REF!,"&gt;="&amp;DATE($C10,$B10,1),#REF!,"&lt;="&amp;EOMONTH(DATE($C10,$B10,1),0),#REF!,"Incident")+
COUNTIFS(#REF!,"&gt;="&amp;DATE($C10,$B10,1),#REF!,"&lt;="&amp;EOMONTH(DATE($C10,$B10,1),0),#REF!,"user_request")</f>
        <v>#REF!</v>
      </c>
      <c r="P10" s="147">
        <f t="shared" si="9"/>
        <v>0</v>
      </c>
      <c r="Q10" s="147">
        <f t="shared" si="10"/>
        <v>0</v>
      </c>
      <c r="R10" s="147">
        <f t="shared" si="11"/>
        <v>0</v>
      </c>
      <c r="S10" s="146" t="e">
        <f t="shared" si="12"/>
        <v>#REF!</v>
      </c>
      <c r="T10" s="146" t="e">
        <f t="shared" si="13"/>
        <v>#REF!</v>
      </c>
      <c r="U10" s="145">
        <f t="shared" si="4"/>
        <v>0</v>
      </c>
      <c r="V10" s="145" t="e">
        <f t="shared" si="5"/>
        <v>#REF!</v>
      </c>
      <c r="W10" s="142">
        <v>7</v>
      </c>
      <c r="X10" s="142" t="str">
        <f>+IF((VLOOKUP(A10,List!B:C,2,0)-VLOOKUP(Summary!$P$7,List!B:C,2,0))=0,1,"")</f>
        <v/>
      </c>
      <c r="Y10" s="198">
        <f>+IF((VLOOKUP(A10,List!B:C,2,0)-VLOOKUP(Summary!$P$7,List!B:C,2,0))&gt;=0,1,"")</f>
        <v>1</v>
      </c>
      <c r="Z10" s="198">
        <f>+IF((VLOOKUP(A10,List!B:C,2,0)-VLOOKUP(Summary!$P$7,List!B:C,2,0))&gt;0,1,"")</f>
        <v>1</v>
      </c>
      <c r="AA10" s="141">
        <f t="shared" si="6"/>
        <v>1</v>
      </c>
      <c r="AB10" s="199" t="str">
        <f>+IF(AA10="","",IF(Summary!$J$7="Fixed Price","",IF(M10="",IF(I10="","",1),"")))</f>
        <v/>
      </c>
      <c r="AC10" s="198">
        <f t="shared" si="14"/>
        <v>0</v>
      </c>
      <c r="AD10" s="198">
        <f>+IF(AA10="",+IF(N10&gt;#REF!,#REF!,IF(N10&gt;#REF!,#REF!,IF(N10&gt;#REF!,#REF!,IF(N10&gt;#REF!,#REF!,IF(N10&gt;#REF!,#REF!,IF(N10&gt;#REF!,#REF!,IF(N10&gt;#REF!,#REF!,IF(N10&gt;#REF!,#REF!,#REF!)))))))),0)</f>
        <v>0</v>
      </c>
    </row>
    <row r="11" spans="1:30" x14ac:dyDescent="0.2">
      <c r="A11" s="155" t="str">
        <f t="shared" si="0"/>
        <v>2026-4</v>
      </c>
      <c r="B11" s="154">
        <f t="shared" si="7"/>
        <v>4</v>
      </c>
      <c r="C11" s="153">
        <f t="shared" si="8"/>
        <v>2026</v>
      </c>
      <c r="D11" s="152" t="str">
        <f t="shared" si="1"/>
        <v>2026-4</v>
      </c>
      <c r="E11" s="151">
        <f>+IF($B11="","",Summary!$P$4)</f>
        <v>45929</v>
      </c>
      <c r="F11" s="151">
        <f>+IF($B11="","",Summary!$P$5)</f>
        <v>46657</v>
      </c>
      <c r="G11" s="151">
        <f>+IF($B11="","",Summary!$P$6)</f>
        <v>46657</v>
      </c>
      <c r="H11" s="150" t="str">
        <f t="shared" si="2"/>
        <v>Green</v>
      </c>
      <c r="I11" s="148"/>
      <c r="J11" s="149"/>
      <c r="K11" s="148"/>
      <c r="L11" s="148"/>
      <c r="M11" s="148"/>
      <c r="N11" s="148" t="e">
        <f t="shared" si="3"/>
        <v>#REF!</v>
      </c>
      <c r="O11" s="148" t="e">
        <f>COUNTIFS(#REF!,"&gt;="&amp;DATE($C11,$B11,1),#REF!,"&lt;="&amp;EOMONTH(DATE($C11,$B11,1),0),#REF!,"Incident")+
COUNTIFS(#REF!,"&gt;="&amp;DATE($C11,$B11,1),#REF!,"&lt;="&amp;EOMONTH(DATE($C11,$B11,1),0),#REF!,"user_request")</f>
        <v>#REF!</v>
      </c>
      <c r="P11" s="147">
        <f t="shared" si="9"/>
        <v>0</v>
      </c>
      <c r="Q11" s="147">
        <f t="shared" si="10"/>
        <v>0</v>
      </c>
      <c r="R11" s="147">
        <f t="shared" si="11"/>
        <v>0</v>
      </c>
      <c r="S11" s="146" t="e">
        <f t="shared" si="12"/>
        <v>#REF!</v>
      </c>
      <c r="T11" s="146" t="e">
        <f t="shared" si="13"/>
        <v>#REF!</v>
      </c>
      <c r="U11" s="145">
        <f t="shared" si="4"/>
        <v>0</v>
      </c>
      <c r="V11" s="145" t="e">
        <f t="shared" si="5"/>
        <v>#REF!</v>
      </c>
      <c r="W11" s="142">
        <v>8</v>
      </c>
      <c r="X11" s="142" t="str">
        <f>+IF((VLOOKUP(A11,List!B:C,2,0)-VLOOKUP(Summary!$P$7,List!B:C,2,0))=0,1,"")</f>
        <v/>
      </c>
      <c r="Y11" s="198">
        <f>+IF((VLOOKUP(A11,List!B:C,2,0)-VLOOKUP(Summary!$P$7,List!B:C,2,0))&gt;=0,1,"")</f>
        <v>1</v>
      </c>
      <c r="Z11" s="198">
        <f>+IF((VLOOKUP(A11,List!B:C,2,0)-VLOOKUP(Summary!$P$7,List!B:C,2,0))&gt;0,1,"")</f>
        <v>1</v>
      </c>
      <c r="AA11" s="141">
        <f t="shared" si="6"/>
        <v>1</v>
      </c>
      <c r="AB11" s="199" t="str">
        <f>+IF(AA11="","",IF(Summary!$J$7="Fixed Price","",IF(M11="",IF(I11="","",1),"")))</f>
        <v/>
      </c>
      <c r="AC11" s="198">
        <f t="shared" si="14"/>
        <v>0</v>
      </c>
      <c r="AD11" s="198">
        <f>+IF(AA11="",+IF(N11&gt;#REF!,#REF!,IF(N11&gt;#REF!,#REF!,IF(N11&gt;#REF!,#REF!,IF(N11&gt;#REF!,#REF!,IF(N11&gt;#REF!,#REF!,IF(N11&gt;#REF!,#REF!,IF(N11&gt;#REF!,#REF!,IF(N11&gt;#REF!,#REF!,#REF!)))))))),0)</f>
        <v>0</v>
      </c>
    </row>
    <row r="12" spans="1:30" x14ac:dyDescent="0.2">
      <c r="A12" s="155" t="str">
        <f t="shared" si="0"/>
        <v>2026-5</v>
      </c>
      <c r="B12" s="154">
        <f t="shared" si="7"/>
        <v>5</v>
      </c>
      <c r="C12" s="153">
        <f t="shared" si="8"/>
        <v>2026</v>
      </c>
      <c r="D12" s="152" t="str">
        <f t="shared" si="1"/>
        <v>2026-5</v>
      </c>
      <c r="E12" s="159">
        <f>+IF($B12="","",Summary!$P$4)</f>
        <v>45929</v>
      </c>
      <c r="F12" s="159">
        <f>+IF($B12="","",Summary!$P$5)</f>
        <v>46657</v>
      </c>
      <c r="G12" s="159">
        <f>+IF($B12="","",Summary!$P$6)</f>
        <v>46657</v>
      </c>
      <c r="H12" s="158" t="str">
        <f t="shared" si="2"/>
        <v>Green</v>
      </c>
      <c r="I12" s="156"/>
      <c r="J12" s="157"/>
      <c r="K12" s="156"/>
      <c r="L12" s="156"/>
      <c r="M12" s="156"/>
      <c r="N12" s="156" t="e">
        <f t="shared" si="3"/>
        <v>#REF!</v>
      </c>
      <c r="O12" s="156" t="e">
        <f>COUNTIFS(#REF!,"&gt;="&amp;DATE($C12,$B12,1),#REF!,"&lt;="&amp;EOMONTH(DATE($C12,$B12,1),0),#REF!,"Incident")+
COUNTIFS(#REF!,"&gt;="&amp;DATE($C12,$B12,1),#REF!,"&lt;="&amp;EOMONTH(DATE($C12,$B12,1),0),#REF!,"user_request")</f>
        <v>#REF!</v>
      </c>
      <c r="P12" s="147">
        <f t="shared" si="9"/>
        <v>0</v>
      </c>
      <c r="Q12" s="147">
        <f t="shared" si="10"/>
        <v>0</v>
      </c>
      <c r="R12" s="147">
        <f t="shared" si="11"/>
        <v>0</v>
      </c>
      <c r="S12" s="146" t="e">
        <f t="shared" si="12"/>
        <v>#REF!</v>
      </c>
      <c r="T12" s="146" t="e">
        <f t="shared" si="13"/>
        <v>#REF!</v>
      </c>
      <c r="U12" s="145">
        <f t="shared" si="4"/>
        <v>0</v>
      </c>
      <c r="V12" s="145" t="e">
        <f t="shared" si="5"/>
        <v>#REF!</v>
      </c>
      <c r="W12" s="142">
        <v>9</v>
      </c>
      <c r="X12" s="142" t="str">
        <f>+IF((VLOOKUP(A12,List!B:C,2,0)-VLOOKUP(Summary!$P$7,List!B:C,2,0))=0,1,"")</f>
        <v/>
      </c>
      <c r="Y12" s="198">
        <f>+IF((VLOOKUP(A12,List!B:C,2,0)-VLOOKUP(Summary!$P$7,List!B:C,2,0))&gt;=0,1,"")</f>
        <v>1</v>
      </c>
      <c r="Z12" s="198">
        <f>+IF((VLOOKUP(A12,List!B:C,2,0)-VLOOKUP(Summary!$P$7,List!B:C,2,0))&gt;0,1,"")</f>
        <v>1</v>
      </c>
      <c r="AA12" s="141">
        <f t="shared" si="6"/>
        <v>1</v>
      </c>
      <c r="AB12" s="199" t="str">
        <f>+IF(AA12="","",IF(Summary!$J$7="Fixed Price","",IF(M12="",IF(I12="","",1),"")))</f>
        <v/>
      </c>
      <c r="AC12" s="198">
        <f t="shared" si="14"/>
        <v>0</v>
      </c>
      <c r="AD12" s="198">
        <f>+IF(AA12="",+IF(N12&gt;#REF!,#REF!,IF(N12&gt;#REF!,#REF!,IF(N12&gt;#REF!,#REF!,IF(N12&gt;#REF!,#REF!,IF(N12&gt;#REF!,#REF!,IF(N12&gt;#REF!,#REF!,IF(N12&gt;#REF!,#REF!,IF(N12&gt;#REF!,#REF!,#REF!)))))))),0)</f>
        <v>0</v>
      </c>
    </row>
    <row r="13" spans="1:30" x14ac:dyDescent="0.2">
      <c r="A13" s="155" t="str">
        <f t="shared" si="0"/>
        <v>2026-6</v>
      </c>
      <c r="B13" s="154">
        <f t="shared" si="7"/>
        <v>6</v>
      </c>
      <c r="C13" s="153">
        <f t="shared" si="8"/>
        <v>2026</v>
      </c>
      <c r="D13" s="152" t="str">
        <f t="shared" si="1"/>
        <v>2026-6</v>
      </c>
      <c r="E13" s="151">
        <f>+IF($B13="","",Summary!$P$4)</f>
        <v>45929</v>
      </c>
      <c r="F13" s="151">
        <f>+IF($B13="","",Summary!$P$5)</f>
        <v>46657</v>
      </c>
      <c r="G13" s="151">
        <f>+IF($B13="","",Summary!$P$6)</f>
        <v>46657</v>
      </c>
      <c r="H13" s="150" t="str">
        <f t="shared" si="2"/>
        <v>Green</v>
      </c>
      <c r="I13" s="148"/>
      <c r="J13" s="149"/>
      <c r="K13" s="148"/>
      <c r="L13" s="148"/>
      <c r="M13" s="148"/>
      <c r="N13" s="148" t="e">
        <f t="shared" si="3"/>
        <v>#REF!</v>
      </c>
      <c r="O13" s="148" t="e">
        <f>COUNTIFS(#REF!,"&gt;="&amp;DATE($C13,$B13,1),#REF!,"&lt;="&amp;EOMONTH(DATE($C13,$B13,1),0),#REF!,"Incident")+
COUNTIFS(#REF!,"&gt;="&amp;DATE($C13,$B13,1),#REF!,"&lt;="&amp;EOMONTH(DATE($C13,$B13,1),0),#REF!,"user_request")</f>
        <v>#REF!</v>
      </c>
      <c r="P13" s="147">
        <f t="shared" si="9"/>
        <v>0</v>
      </c>
      <c r="Q13" s="147">
        <f t="shared" si="10"/>
        <v>0</v>
      </c>
      <c r="R13" s="147">
        <f t="shared" si="11"/>
        <v>0</v>
      </c>
      <c r="S13" s="146" t="e">
        <f t="shared" si="12"/>
        <v>#REF!</v>
      </c>
      <c r="T13" s="146" t="e">
        <f t="shared" si="13"/>
        <v>#REF!</v>
      </c>
      <c r="U13" s="145">
        <f t="shared" si="4"/>
        <v>0</v>
      </c>
      <c r="V13" s="145" t="e">
        <f t="shared" si="5"/>
        <v>#REF!</v>
      </c>
      <c r="W13" s="142">
        <v>10</v>
      </c>
      <c r="X13" s="142" t="str">
        <f>+IF((VLOOKUP(A13,List!B:C,2,0)-VLOOKUP(Summary!$P$7,List!B:C,2,0))=0,1,"")</f>
        <v/>
      </c>
      <c r="Y13" s="198">
        <f>+IF((VLOOKUP(A13,List!B:C,2,0)-VLOOKUP(Summary!$P$7,List!B:C,2,0))&gt;=0,1,"")</f>
        <v>1</v>
      </c>
      <c r="Z13" s="198">
        <f>+IF((VLOOKUP(A13,List!B:C,2,0)-VLOOKUP(Summary!$P$7,List!B:C,2,0))&gt;0,1,"")</f>
        <v>1</v>
      </c>
      <c r="AA13" s="141">
        <f t="shared" si="6"/>
        <v>1</v>
      </c>
      <c r="AB13" s="199" t="str">
        <f>+IF(AA13="","",IF(Summary!$J$7="Fixed Price","",IF(M13="",IF(I13="","",1),"")))</f>
        <v/>
      </c>
      <c r="AC13" s="198">
        <f t="shared" si="14"/>
        <v>0</v>
      </c>
      <c r="AD13" s="198">
        <f>+IF(AA13="",+IF(N13&gt;#REF!,#REF!,IF(N13&gt;#REF!,#REF!,IF(N13&gt;#REF!,#REF!,IF(N13&gt;#REF!,#REF!,IF(N13&gt;#REF!,#REF!,IF(N13&gt;#REF!,#REF!,IF(N13&gt;#REF!,#REF!,IF(N13&gt;#REF!,#REF!,#REF!)))))))),0)</f>
        <v>0</v>
      </c>
    </row>
    <row r="14" spans="1:30" x14ac:dyDescent="0.2">
      <c r="A14" s="155" t="str">
        <f t="shared" si="0"/>
        <v>2026-7</v>
      </c>
      <c r="B14" s="154">
        <f t="shared" si="7"/>
        <v>7</v>
      </c>
      <c r="C14" s="153">
        <f t="shared" si="8"/>
        <v>2026</v>
      </c>
      <c r="D14" s="152" t="str">
        <f t="shared" si="1"/>
        <v>2026-7</v>
      </c>
      <c r="E14" s="159">
        <f>+IF($B14="","",Summary!$P$4)</f>
        <v>45929</v>
      </c>
      <c r="F14" s="159">
        <f>+IF($B14="","",Summary!$P$5)</f>
        <v>46657</v>
      </c>
      <c r="G14" s="159">
        <f>+IF($B14="","",Summary!$P$6)</f>
        <v>46657</v>
      </c>
      <c r="H14" s="158" t="str">
        <f t="shared" si="2"/>
        <v>Green</v>
      </c>
      <c r="I14" s="156"/>
      <c r="J14" s="157"/>
      <c r="K14" s="156"/>
      <c r="L14" s="156"/>
      <c r="M14" s="156"/>
      <c r="N14" s="156" t="e">
        <f t="shared" si="3"/>
        <v>#REF!</v>
      </c>
      <c r="O14" s="156" t="e">
        <f>COUNTIFS(#REF!,"&gt;="&amp;DATE($C14,$B14,1),#REF!,"&lt;="&amp;EOMONTH(DATE($C14,$B14,1),0),#REF!,"Incident")+
COUNTIFS(#REF!,"&gt;="&amp;DATE($C14,$B14,1),#REF!,"&lt;="&amp;EOMONTH(DATE($C14,$B14,1),0),#REF!,"user_request")</f>
        <v>#REF!</v>
      </c>
      <c r="P14" s="147">
        <f t="shared" si="9"/>
        <v>0</v>
      </c>
      <c r="Q14" s="147">
        <f t="shared" si="10"/>
        <v>0</v>
      </c>
      <c r="R14" s="147">
        <f t="shared" si="11"/>
        <v>0</v>
      </c>
      <c r="S14" s="146" t="e">
        <f t="shared" si="12"/>
        <v>#REF!</v>
      </c>
      <c r="T14" s="146" t="e">
        <f t="shared" si="13"/>
        <v>#REF!</v>
      </c>
      <c r="U14" s="145">
        <f t="shared" si="4"/>
        <v>0</v>
      </c>
      <c r="V14" s="145" t="e">
        <f t="shared" si="5"/>
        <v>#REF!</v>
      </c>
      <c r="W14" s="142">
        <v>11</v>
      </c>
      <c r="X14" s="142" t="str">
        <f>+IF((VLOOKUP(A14,List!B:C,2,0)-VLOOKUP(Summary!$P$7,List!B:C,2,0))=0,1,"")</f>
        <v/>
      </c>
      <c r="Y14" s="198">
        <f>+IF((VLOOKUP(A14,List!B:C,2,0)-VLOOKUP(Summary!$P$7,List!B:C,2,0))&gt;=0,1,"")</f>
        <v>1</v>
      </c>
      <c r="Z14" s="198">
        <f>+IF((VLOOKUP(A14,List!B:C,2,0)-VLOOKUP(Summary!$P$7,List!B:C,2,0))&gt;0,1,"")</f>
        <v>1</v>
      </c>
      <c r="AA14" s="141">
        <f t="shared" si="6"/>
        <v>1</v>
      </c>
      <c r="AB14" s="199" t="str">
        <f>+IF(AA14="","",IF(Summary!$J$7="Fixed Price","",IF(M14="",IF(I14="","",1),"")))</f>
        <v/>
      </c>
      <c r="AC14" s="198">
        <f t="shared" si="14"/>
        <v>0</v>
      </c>
      <c r="AD14" s="198">
        <f>+IF(AA14="",+IF(N14&gt;#REF!,#REF!,IF(N14&gt;#REF!,#REF!,IF(N14&gt;#REF!,#REF!,IF(N14&gt;#REF!,#REF!,IF(N14&gt;#REF!,#REF!,IF(N14&gt;#REF!,#REF!,IF(N14&gt;#REF!,#REF!,IF(N14&gt;#REF!,#REF!,#REF!)))))))),0)</f>
        <v>0</v>
      </c>
    </row>
    <row r="15" spans="1:30" x14ac:dyDescent="0.2">
      <c r="A15" s="155" t="str">
        <f t="shared" si="0"/>
        <v>2026-8</v>
      </c>
      <c r="B15" s="154">
        <f t="shared" si="7"/>
        <v>8</v>
      </c>
      <c r="C15" s="153">
        <f t="shared" si="8"/>
        <v>2026</v>
      </c>
      <c r="D15" s="152" t="str">
        <f t="shared" si="1"/>
        <v>2026-8</v>
      </c>
      <c r="E15" s="151">
        <f>+IF($B15="","",Summary!$P$4)</f>
        <v>45929</v>
      </c>
      <c r="F15" s="151">
        <f>+IF($B15="","",Summary!$P$5)</f>
        <v>46657</v>
      </c>
      <c r="G15" s="151">
        <f>+IF($B15="","",Summary!$P$6)</f>
        <v>46657</v>
      </c>
      <c r="H15" s="150" t="str">
        <f t="shared" si="2"/>
        <v>Green</v>
      </c>
      <c r="I15" s="148"/>
      <c r="J15" s="149"/>
      <c r="K15" s="148"/>
      <c r="L15" s="148"/>
      <c r="M15" s="148"/>
      <c r="N15" s="148" t="e">
        <f t="shared" si="3"/>
        <v>#REF!</v>
      </c>
      <c r="O15" s="148" t="e">
        <f>COUNTIFS(#REF!,"&gt;="&amp;DATE($C15,$B15,1),#REF!,"&lt;="&amp;EOMONTH(DATE($C15,$B15,1),0),#REF!,"Incident")+
COUNTIFS(#REF!,"&gt;="&amp;DATE($C15,$B15,1),#REF!,"&lt;="&amp;EOMONTH(DATE($C15,$B15,1),0),#REF!,"user_request")</f>
        <v>#REF!</v>
      </c>
      <c r="P15" s="147">
        <f t="shared" si="9"/>
        <v>0</v>
      </c>
      <c r="Q15" s="147">
        <f t="shared" si="10"/>
        <v>0</v>
      </c>
      <c r="R15" s="147">
        <f t="shared" si="11"/>
        <v>0</v>
      </c>
      <c r="S15" s="146" t="e">
        <f t="shared" si="12"/>
        <v>#REF!</v>
      </c>
      <c r="T15" s="146" t="e">
        <f t="shared" si="13"/>
        <v>#REF!</v>
      </c>
      <c r="U15" s="145">
        <f t="shared" si="4"/>
        <v>0</v>
      </c>
      <c r="V15" s="145" t="e">
        <f t="shared" si="5"/>
        <v>#REF!</v>
      </c>
      <c r="W15" s="142">
        <v>12</v>
      </c>
      <c r="X15" s="142" t="str">
        <f>+IF((VLOOKUP(A15,List!B:C,2,0)-VLOOKUP(Summary!$P$7,List!B:C,2,0))=0,1,"")</f>
        <v/>
      </c>
      <c r="Y15" s="198">
        <f>+IF((VLOOKUP(A15,List!B:C,2,0)-VLOOKUP(Summary!$P$7,List!B:C,2,0))&gt;=0,1,"")</f>
        <v>1</v>
      </c>
      <c r="Z15" s="198">
        <f>+IF((VLOOKUP(A15,List!B:C,2,0)-VLOOKUP(Summary!$P$7,List!B:C,2,0))&gt;0,1,"")</f>
        <v>1</v>
      </c>
      <c r="AA15" s="141">
        <f t="shared" si="6"/>
        <v>1</v>
      </c>
      <c r="AB15" s="199" t="str">
        <f>+IF(AA15="","",IF(Summary!$J$7="Fixed Price","",IF(M15="",IF(I15="","",1),"")))</f>
        <v/>
      </c>
      <c r="AC15" s="198">
        <f t="shared" si="14"/>
        <v>0</v>
      </c>
      <c r="AD15" s="198">
        <f>+IF(AA15="",+IF(N15&gt;#REF!,#REF!,IF(N15&gt;#REF!,#REF!,IF(N15&gt;#REF!,#REF!,IF(N15&gt;#REF!,#REF!,IF(N15&gt;#REF!,#REF!,IF(N15&gt;#REF!,#REF!,IF(N15&gt;#REF!,#REF!,IF(N15&gt;#REF!,#REF!,#REF!)))))))),0)</f>
        <v>0</v>
      </c>
    </row>
    <row r="16" spans="1:30" x14ac:dyDescent="0.2">
      <c r="A16" s="155" t="str">
        <f t="shared" si="0"/>
        <v>2026-9</v>
      </c>
      <c r="B16" s="154">
        <f t="shared" si="7"/>
        <v>9</v>
      </c>
      <c r="C16" s="153">
        <f t="shared" si="8"/>
        <v>2026</v>
      </c>
      <c r="D16" s="152" t="str">
        <f t="shared" si="1"/>
        <v>2026-9</v>
      </c>
      <c r="E16" s="159">
        <f>+IF($B16="","",Summary!$P$4)</f>
        <v>45929</v>
      </c>
      <c r="F16" s="159">
        <f>+IF($B16="","",Summary!$P$5)</f>
        <v>46657</v>
      </c>
      <c r="G16" s="159">
        <f>+IF($B16="","",Summary!$P$6)</f>
        <v>46657</v>
      </c>
      <c r="H16" s="158" t="str">
        <f t="shared" si="2"/>
        <v>Green</v>
      </c>
      <c r="I16" s="156"/>
      <c r="J16" s="157"/>
      <c r="K16" s="156"/>
      <c r="L16" s="156"/>
      <c r="M16" s="156"/>
      <c r="N16" s="156" t="e">
        <f t="shared" si="3"/>
        <v>#REF!</v>
      </c>
      <c r="O16" s="156" t="e">
        <f>COUNTIFS(#REF!,"&gt;="&amp;DATE($C16,$B16,1),#REF!,"&lt;="&amp;EOMONTH(DATE($C16,$B16,1),0),#REF!,"Incident")+
COUNTIFS(#REF!,"&gt;="&amp;DATE($C16,$B16,1),#REF!,"&lt;="&amp;EOMONTH(DATE($C16,$B16,1),0),#REF!,"user_request")</f>
        <v>#REF!</v>
      </c>
      <c r="P16" s="147">
        <f t="shared" si="9"/>
        <v>0</v>
      </c>
      <c r="Q16" s="147">
        <f t="shared" si="10"/>
        <v>0</v>
      </c>
      <c r="R16" s="147">
        <f t="shared" si="11"/>
        <v>0</v>
      </c>
      <c r="S16" s="146" t="e">
        <f t="shared" si="12"/>
        <v>#REF!</v>
      </c>
      <c r="T16" s="146" t="e">
        <f t="shared" si="13"/>
        <v>#REF!</v>
      </c>
      <c r="U16" s="145">
        <f t="shared" si="4"/>
        <v>0</v>
      </c>
      <c r="V16" s="145" t="e">
        <f t="shared" si="5"/>
        <v>#REF!</v>
      </c>
      <c r="W16" s="142">
        <v>13</v>
      </c>
      <c r="X16" s="142" t="str">
        <f>+IF((VLOOKUP(A16,List!B:C,2,0)-VLOOKUP(Summary!$P$7,List!B:C,2,0))=0,1,"")</f>
        <v/>
      </c>
      <c r="Y16" s="198">
        <f>+IF((VLOOKUP(A16,List!B:C,2,0)-VLOOKUP(Summary!$P$7,List!B:C,2,0))&gt;=0,1,"")</f>
        <v>1</v>
      </c>
      <c r="Z16" s="198">
        <f>+IF((VLOOKUP(A16,List!B:C,2,0)-VLOOKUP(Summary!$P$7,List!B:C,2,0))&gt;0,1,"")</f>
        <v>1</v>
      </c>
      <c r="AA16" s="141">
        <f t="shared" si="6"/>
        <v>1</v>
      </c>
      <c r="AB16" s="199" t="str">
        <f>+IF(AA16="","",IF(Summary!$J$7="Fixed Price","",IF(M16="",IF(I16="","",1),"")))</f>
        <v/>
      </c>
      <c r="AC16" s="198">
        <f t="shared" si="14"/>
        <v>0</v>
      </c>
      <c r="AD16" s="198">
        <f>+IF(AA16="",+IF(N16&gt;#REF!,#REF!,IF(N16&gt;#REF!,#REF!,IF(N16&gt;#REF!,#REF!,IF(N16&gt;#REF!,#REF!,IF(N16&gt;#REF!,#REF!,IF(N16&gt;#REF!,#REF!,IF(N16&gt;#REF!,#REF!,IF(N16&gt;#REF!,#REF!,#REF!)))))))),0)</f>
        <v>0</v>
      </c>
    </row>
    <row r="17" spans="1:30" x14ac:dyDescent="0.2">
      <c r="A17" s="155" t="str">
        <f t="shared" si="0"/>
        <v>2026-10</v>
      </c>
      <c r="B17" s="154">
        <f t="shared" si="7"/>
        <v>10</v>
      </c>
      <c r="C17" s="153">
        <f t="shared" si="8"/>
        <v>2026</v>
      </c>
      <c r="D17" s="152" t="str">
        <f t="shared" si="1"/>
        <v>2026-10</v>
      </c>
      <c r="E17" s="151">
        <f>+IF($B17="","",Summary!$P$4)</f>
        <v>45929</v>
      </c>
      <c r="F17" s="151">
        <f>+IF($B17="","",Summary!$P$5)</f>
        <v>46657</v>
      </c>
      <c r="G17" s="151">
        <f>+IF($B17="","",Summary!$P$6)</f>
        <v>46657</v>
      </c>
      <c r="H17" s="150" t="str">
        <f t="shared" si="2"/>
        <v>Green</v>
      </c>
      <c r="I17" s="148"/>
      <c r="J17" s="149"/>
      <c r="K17" s="148"/>
      <c r="L17" s="148"/>
      <c r="M17" s="148"/>
      <c r="N17" s="148" t="e">
        <f t="shared" si="3"/>
        <v>#REF!</v>
      </c>
      <c r="O17" s="148" t="e">
        <f>COUNTIFS(#REF!,"&gt;="&amp;DATE($C17,$B17,1),#REF!,"&lt;="&amp;EOMONTH(DATE($C17,$B17,1),0),#REF!,"Incident")+
COUNTIFS(#REF!,"&gt;="&amp;DATE($C17,$B17,1),#REF!,"&lt;="&amp;EOMONTH(DATE($C17,$B17,1),0),#REF!,"user_request")</f>
        <v>#REF!</v>
      </c>
      <c r="P17" s="147">
        <f t="shared" si="9"/>
        <v>0</v>
      </c>
      <c r="Q17" s="147">
        <f t="shared" si="10"/>
        <v>0</v>
      </c>
      <c r="R17" s="147">
        <f t="shared" si="11"/>
        <v>0</v>
      </c>
      <c r="S17" s="146" t="e">
        <f t="shared" si="12"/>
        <v>#REF!</v>
      </c>
      <c r="T17" s="146" t="e">
        <f t="shared" si="13"/>
        <v>#REF!</v>
      </c>
      <c r="U17" s="145">
        <f t="shared" si="4"/>
        <v>0</v>
      </c>
      <c r="V17" s="145" t="e">
        <f t="shared" si="5"/>
        <v>#REF!</v>
      </c>
      <c r="W17" s="142">
        <v>14</v>
      </c>
      <c r="X17" s="142" t="str">
        <f>+IF((VLOOKUP(A17,List!B:C,2,0)-VLOOKUP(Summary!$P$7,List!B:C,2,0))=0,1,"")</f>
        <v/>
      </c>
      <c r="Y17" s="198">
        <f>+IF((VLOOKUP(A17,List!B:C,2,0)-VLOOKUP(Summary!$P$7,List!B:C,2,0))&gt;=0,1,"")</f>
        <v>1</v>
      </c>
      <c r="Z17" s="198">
        <f>+IF((VLOOKUP(A17,List!B:C,2,0)-VLOOKUP(Summary!$P$7,List!B:C,2,0))&gt;0,1,"")</f>
        <v>1</v>
      </c>
      <c r="AA17" s="141">
        <f t="shared" si="6"/>
        <v>1</v>
      </c>
      <c r="AB17" s="199" t="str">
        <f>+IF(AA17="","",IF(Summary!$J$7="Fixed Price","",IF(M17="",IF(I17="","",1),"")))</f>
        <v/>
      </c>
      <c r="AC17" s="198">
        <f t="shared" si="14"/>
        <v>0</v>
      </c>
      <c r="AD17" s="198">
        <f>+IF(AA17="",+IF(N17&gt;#REF!,#REF!,IF(N17&gt;#REF!,#REF!,IF(N17&gt;#REF!,#REF!,IF(N17&gt;#REF!,#REF!,IF(N17&gt;#REF!,#REF!,IF(N17&gt;#REF!,#REF!,IF(N17&gt;#REF!,#REF!,IF(N17&gt;#REF!,#REF!,#REF!)))))))),0)</f>
        <v>0</v>
      </c>
    </row>
    <row r="18" spans="1:30" x14ac:dyDescent="0.2">
      <c r="A18" s="155" t="str">
        <f t="shared" si="0"/>
        <v>2026-11</v>
      </c>
      <c r="B18" s="154">
        <f t="shared" si="7"/>
        <v>11</v>
      </c>
      <c r="C18" s="153">
        <f t="shared" si="8"/>
        <v>2026</v>
      </c>
      <c r="D18" s="152" t="str">
        <f t="shared" si="1"/>
        <v>2026-11</v>
      </c>
      <c r="E18" s="159">
        <f>+IF($B18="","",Summary!$P$4)</f>
        <v>45929</v>
      </c>
      <c r="F18" s="159">
        <f>+IF($B18="","",Summary!$P$5)</f>
        <v>46657</v>
      </c>
      <c r="G18" s="159">
        <f>+IF($B18="","",Summary!$P$6)</f>
        <v>46657</v>
      </c>
      <c r="H18" s="158" t="str">
        <f t="shared" si="2"/>
        <v>Green</v>
      </c>
      <c r="I18" s="156"/>
      <c r="J18" s="157"/>
      <c r="K18" s="156"/>
      <c r="L18" s="156"/>
      <c r="M18" s="156"/>
      <c r="N18" s="156" t="e">
        <f t="shared" si="3"/>
        <v>#REF!</v>
      </c>
      <c r="O18" s="156" t="e">
        <f>COUNTIFS(#REF!,"&gt;="&amp;DATE($C18,$B18,1),#REF!,"&lt;="&amp;EOMONTH(DATE($C18,$B18,1),0),#REF!,"Incident")+
COUNTIFS(#REF!,"&gt;="&amp;DATE($C18,$B18,1),#REF!,"&lt;="&amp;EOMONTH(DATE($C18,$B18,1),0),#REF!,"user_request")</f>
        <v>#REF!</v>
      </c>
      <c r="P18" s="147">
        <f t="shared" si="9"/>
        <v>0</v>
      </c>
      <c r="Q18" s="147">
        <f t="shared" si="10"/>
        <v>0</v>
      </c>
      <c r="R18" s="147">
        <f t="shared" si="11"/>
        <v>0</v>
      </c>
      <c r="S18" s="146" t="e">
        <f t="shared" si="12"/>
        <v>#REF!</v>
      </c>
      <c r="T18" s="146" t="e">
        <f t="shared" si="13"/>
        <v>#REF!</v>
      </c>
      <c r="U18" s="145">
        <f t="shared" si="4"/>
        <v>0</v>
      </c>
      <c r="V18" s="145" t="e">
        <f t="shared" si="5"/>
        <v>#REF!</v>
      </c>
      <c r="W18" s="142">
        <v>15</v>
      </c>
      <c r="X18" s="142" t="str">
        <f>+IF((VLOOKUP(A18,List!B:C,2,0)-VLOOKUP(Summary!$P$7,List!B:C,2,0))=0,1,"")</f>
        <v/>
      </c>
      <c r="Y18" s="198">
        <f>+IF((VLOOKUP(A18,List!B:C,2,0)-VLOOKUP(Summary!$P$7,List!B:C,2,0))&gt;=0,1,"")</f>
        <v>1</v>
      </c>
      <c r="Z18" s="198">
        <f>+IF((VLOOKUP(A18,List!B:C,2,0)-VLOOKUP(Summary!$P$7,List!B:C,2,0))&gt;0,1,"")</f>
        <v>1</v>
      </c>
      <c r="AA18" s="141">
        <f t="shared" si="6"/>
        <v>1</v>
      </c>
      <c r="AB18" s="199" t="str">
        <f>+IF(AA18="","",IF(Summary!$J$7="Fixed Price","",IF(M18="",IF(I18="","",1),"")))</f>
        <v/>
      </c>
      <c r="AC18" s="198">
        <f t="shared" si="14"/>
        <v>0</v>
      </c>
      <c r="AD18" s="198">
        <f>+IF(AA18="",+IF(N18&gt;#REF!,#REF!,IF(N18&gt;#REF!,#REF!,IF(N18&gt;#REF!,#REF!,IF(N18&gt;#REF!,#REF!,IF(N18&gt;#REF!,#REF!,IF(N18&gt;#REF!,#REF!,IF(N18&gt;#REF!,#REF!,IF(N18&gt;#REF!,#REF!,#REF!)))))))),0)</f>
        <v>0</v>
      </c>
    </row>
    <row r="19" spans="1:30" x14ac:dyDescent="0.2">
      <c r="A19" s="155" t="str">
        <f t="shared" si="0"/>
        <v>2026-12</v>
      </c>
      <c r="B19" s="154">
        <f t="shared" si="7"/>
        <v>12</v>
      </c>
      <c r="C19" s="153">
        <f t="shared" si="8"/>
        <v>2026</v>
      </c>
      <c r="D19" s="152" t="str">
        <f t="shared" si="1"/>
        <v>2026-12</v>
      </c>
      <c r="E19" s="151">
        <f>+IF($B19="","",Summary!$P$4)</f>
        <v>45929</v>
      </c>
      <c r="F19" s="151">
        <f>+IF($B19="","",Summary!$P$5)</f>
        <v>46657</v>
      </c>
      <c r="G19" s="151">
        <f>+IF($B19="","",Summary!$P$6)</f>
        <v>46657</v>
      </c>
      <c r="H19" s="150" t="str">
        <f t="shared" si="2"/>
        <v>Green</v>
      </c>
      <c r="I19" s="148"/>
      <c r="J19" s="149"/>
      <c r="K19" s="148"/>
      <c r="L19" s="148"/>
      <c r="M19" s="148"/>
      <c r="N19" s="148" t="e">
        <f t="shared" si="3"/>
        <v>#REF!</v>
      </c>
      <c r="O19" s="148" t="e">
        <f>COUNTIFS(#REF!,"&gt;="&amp;DATE($C19,$B19,1),#REF!,"&lt;="&amp;EOMONTH(DATE($C19,$B19,1),0),#REF!,"Incident")+
COUNTIFS(#REF!,"&gt;="&amp;DATE($C19,$B19,1),#REF!,"&lt;="&amp;EOMONTH(DATE($C19,$B19,1),0),#REF!,"user_request")</f>
        <v>#REF!</v>
      </c>
      <c r="P19" s="147">
        <f t="shared" si="9"/>
        <v>0</v>
      </c>
      <c r="Q19" s="147">
        <f t="shared" si="10"/>
        <v>0</v>
      </c>
      <c r="R19" s="147">
        <f t="shared" si="11"/>
        <v>0</v>
      </c>
      <c r="S19" s="146" t="e">
        <f t="shared" si="12"/>
        <v>#REF!</v>
      </c>
      <c r="T19" s="146" t="e">
        <f t="shared" si="13"/>
        <v>#REF!</v>
      </c>
      <c r="U19" s="145">
        <f t="shared" si="4"/>
        <v>0</v>
      </c>
      <c r="V19" s="145" t="e">
        <f t="shared" si="5"/>
        <v>#REF!</v>
      </c>
      <c r="W19" s="142">
        <v>16</v>
      </c>
      <c r="X19" s="142" t="str">
        <f>+IF((VLOOKUP(A19,List!B:C,2,0)-VLOOKUP(Summary!$P$7,List!B:C,2,0))=0,1,"")</f>
        <v/>
      </c>
      <c r="Y19" s="198">
        <f>+IF((VLOOKUP(A19,List!B:C,2,0)-VLOOKUP(Summary!$P$7,List!B:C,2,0))&gt;=0,1,"")</f>
        <v>1</v>
      </c>
      <c r="Z19" s="198">
        <f>+IF((VLOOKUP(A19,List!B:C,2,0)-VLOOKUP(Summary!$P$7,List!B:C,2,0))&gt;0,1,"")</f>
        <v>1</v>
      </c>
      <c r="AA19" s="141">
        <f t="shared" si="6"/>
        <v>1</v>
      </c>
      <c r="AB19" s="199" t="str">
        <f>+IF(AA19="","",IF(Summary!$J$7="Fixed Price","",IF(M19="",IF(I19="","",1),"")))</f>
        <v/>
      </c>
      <c r="AC19" s="198">
        <f t="shared" si="14"/>
        <v>0</v>
      </c>
      <c r="AD19" s="198">
        <f>+IF(AA19="",+IF(N19&gt;#REF!,#REF!,IF(N19&gt;#REF!,#REF!,IF(N19&gt;#REF!,#REF!,IF(N19&gt;#REF!,#REF!,IF(N19&gt;#REF!,#REF!,IF(N19&gt;#REF!,#REF!,IF(N19&gt;#REF!,#REF!,IF(N19&gt;#REF!,#REF!,#REF!)))))))),0)</f>
        <v>0</v>
      </c>
    </row>
    <row r="20" spans="1:30" x14ac:dyDescent="0.2">
      <c r="A20" s="155" t="str">
        <f t="shared" si="0"/>
        <v>2027-1</v>
      </c>
      <c r="B20" s="154">
        <f t="shared" si="7"/>
        <v>1</v>
      </c>
      <c r="C20" s="153">
        <f t="shared" si="8"/>
        <v>2027</v>
      </c>
      <c r="D20" s="152" t="str">
        <f t="shared" si="1"/>
        <v>2027-1</v>
      </c>
      <c r="E20" s="159">
        <f>+IF($B20="","",Summary!$P$4)</f>
        <v>45929</v>
      </c>
      <c r="F20" s="159">
        <f>+IF($B20="","",Summary!$P$5)</f>
        <v>46657</v>
      </c>
      <c r="G20" s="159">
        <f>+IF($B20="","",Summary!$P$6)</f>
        <v>46657</v>
      </c>
      <c r="H20" s="158" t="str">
        <f t="shared" si="2"/>
        <v>Green</v>
      </c>
      <c r="I20" s="156"/>
      <c r="J20" s="160"/>
      <c r="K20" s="156"/>
      <c r="L20" s="156"/>
      <c r="M20" s="156"/>
      <c r="N20" s="156" t="e">
        <f t="shared" si="3"/>
        <v>#REF!</v>
      </c>
      <c r="O20" s="156" t="e">
        <f>COUNTIFS(#REF!,"&gt;="&amp;DATE($C20,$B20,1),#REF!,"&lt;="&amp;EOMONTH(DATE($C20,$B20,1),0),#REF!,"Incident")+
COUNTIFS(#REF!,"&gt;="&amp;DATE($C20,$B20,1),#REF!,"&lt;="&amp;EOMONTH(DATE($C20,$B20,1),0),#REF!,"user_request")</f>
        <v>#REF!</v>
      </c>
      <c r="P20" s="147">
        <f t="shared" si="9"/>
        <v>0</v>
      </c>
      <c r="Q20" s="147">
        <f t="shared" si="10"/>
        <v>0</v>
      </c>
      <c r="R20" s="147">
        <f t="shared" si="11"/>
        <v>0</v>
      </c>
      <c r="S20" s="146" t="e">
        <f t="shared" si="12"/>
        <v>#REF!</v>
      </c>
      <c r="T20" s="146" t="e">
        <f t="shared" si="13"/>
        <v>#REF!</v>
      </c>
      <c r="U20" s="145">
        <f t="shared" si="4"/>
        <v>0</v>
      </c>
      <c r="V20" s="145" t="e">
        <f t="shared" si="5"/>
        <v>#REF!</v>
      </c>
      <c r="W20" s="142">
        <v>17</v>
      </c>
      <c r="X20" s="142" t="str">
        <f>+IF((VLOOKUP(A20,List!B:C,2,0)-VLOOKUP(Summary!$P$7,List!B:C,2,0))=0,1,"")</f>
        <v/>
      </c>
      <c r="Y20" s="198">
        <f>+IF((VLOOKUP(A20,List!B:C,2,0)-VLOOKUP(Summary!$P$7,List!B:C,2,0))&gt;=0,1,"")</f>
        <v>1</v>
      </c>
      <c r="Z20" s="198">
        <f>+IF((VLOOKUP(A20,List!B:C,2,0)-VLOOKUP(Summary!$P$7,List!B:C,2,0))&gt;0,1,"")</f>
        <v>1</v>
      </c>
      <c r="AA20" s="141">
        <f t="shared" si="6"/>
        <v>1</v>
      </c>
      <c r="AB20" s="199" t="str">
        <f>+IF(AA20="","",IF(Summary!$J$7="Fixed Price","",IF(M20="",IF(I20="","",1),"")))</f>
        <v/>
      </c>
      <c r="AC20" s="198">
        <f t="shared" si="14"/>
        <v>0</v>
      </c>
      <c r="AD20" s="198">
        <f>+IF(AA20="",+IF(N20&gt;#REF!,#REF!,IF(N20&gt;#REF!,#REF!,IF(N20&gt;#REF!,#REF!,IF(N20&gt;#REF!,#REF!,IF(N20&gt;#REF!,#REF!,IF(N20&gt;#REF!,#REF!,IF(N20&gt;#REF!,#REF!,IF(N20&gt;#REF!,#REF!,#REF!)))))))),0)</f>
        <v>0</v>
      </c>
    </row>
    <row r="21" spans="1:30" x14ac:dyDescent="0.2">
      <c r="A21" s="155" t="str">
        <f t="shared" si="0"/>
        <v>2027-2</v>
      </c>
      <c r="B21" s="154">
        <f t="shared" si="7"/>
        <v>2</v>
      </c>
      <c r="C21" s="153">
        <f t="shared" si="8"/>
        <v>2027</v>
      </c>
      <c r="D21" s="152" t="str">
        <f t="shared" si="1"/>
        <v>2027-2</v>
      </c>
      <c r="E21" s="151">
        <f>+IF($B21="","",Summary!$P$4)</f>
        <v>45929</v>
      </c>
      <c r="F21" s="151">
        <f>+IF($B21="","",Summary!$P$5)</f>
        <v>46657</v>
      </c>
      <c r="G21" s="151">
        <f>+IF($B21="","",Summary!$P$6)</f>
        <v>46657</v>
      </c>
      <c r="H21" s="150" t="str">
        <f t="shared" si="2"/>
        <v>Green</v>
      </c>
      <c r="I21" s="148"/>
      <c r="J21" s="161"/>
      <c r="K21" s="148"/>
      <c r="L21" s="148"/>
      <c r="M21" s="148"/>
      <c r="N21" s="148" t="e">
        <f t="shared" si="3"/>
        <v>#REF!</v>
      </c>
      <c r="O21" s="148" t="e">
        <f>COUNTIFS(#REF!,"&gt;="&amp;DATE($C21,$B21,1),#REF!,"&lt;="&amp;EOMONTH(DATE($C21,$B21,1),0),#REF!,"Incident")+
COUNTIFS(#REF!,"&gt;="&amp;DATE($C21,$B21,1),#REF!,"&lt;="&amp;EOMONTH(DATE($C21,$B21,1),0),#REF!,"user_request")</f>
        <v>#REF!</v>
      </c>
      <c r="P21" s="147">
        <f t="shared" si="9"/>
        <v>0</v>
      </c>
      <c r="Q21" s="147">
        <f t="shared" si="10"/>
        <v>0</v>
      </c>
      <c r="R21" s="147">
        <f t="shared" si="11"/>
        <v>0</v>
      </c>
      <c r="S21" s="146" t="e">
        <f t="shared" si="12"/>
        <v>#REF!</v>
      </c>
      <c r="T21" s="146" t="e">
        <f t="shared" si="13"/>
        <v>#REF!</v>
      </c>
      <c r="U21" s="145">
        <f t="shared" si="4"/>
        <v>0</v>
      </c>
      <c r="V21" s="145" t="e">
        <f t="shared" si="5"/>
        <v>#REF!</v>
      </c>
      <c r="W21" s="142">
        <v>18</v>
      </c>
      <c r="X21" s="142" t="str">
        <f>+IF((VLOOKUP(A21,List!B:C,2,0)-VLOOKUP(Summary!$P$7,List!B:C,2,0))=0,1,"")</f>
        <v/>
      </c>
      <c r="Y21" s="198">
        <f>+IF((VLOOKUP(A21,List!B:C,2,0)-VLOOKUP(Summary!$P$7,List!B:C,2,0))&gt;=0,1,"")</f>
        <v>1</v>
      </c>
      <c r="Z21" s="198">
        <f>+IF((VLOOKUP(A21,List!B:C,2,0)-VLOOKUP(Summary!$P$7,List!B:C,2,0))&gt;0,1,"")</f>
        <v>1</v>
      </c>
      <c r="AA21" s="141">
        <f t="shared" si="6"/>
        <v>1</v>
      </c>
      <c r="AB21" s="199" t="str">
        <f>+IF(AA21="","",IF(Summary!$J$7="Fixed Price","",IF(M21="",IF(I21="","",1),"")))</f>
        <v/>
      </c>
      <c r="AC21" s="198">
        <f t="shared" si="14"/>
        <v>0</v>
      </c>
      <c r="AD21" s="198">
        <f>+IF(AA21="",+IF(N21&gt;#REF!,#REF!,IF(N21&gt;#REF!,#REF!,IF(N21&gt;#REF!,#REF!,IF(N21&gt;#REF!,#REF!,IF(N21&gt;#REF!,#REF!,IF(N21&gt;#REF!,#REF!,IF(N21&gt;#REF!,#REF!,IF(N21&gt;#REF!,#REF!,#REF!)))))))),0)</f>
        <v>0</v>
      </c>
    </row>
    <row r="22" spans="1:30" x14ac:dyDescent="0.2">
      <c r="A22" s="155" t="str">
        <f t="shared" si="0"/>
        <v>2027-3</v>
      </c>
      <c r="B22" s="154">
        <f t="shared" si="7"/>
        <v>3</v>
      </c>
      <c r="C22" s="153">
        <f t="shared" si="8"/>
        <v>2027</v>
      </c>
      <c r="D22" s="152" t="str">
        <f t="shared" si="1"/>
        <v>2027-3</v>
      </c>
      <c r="E22" s="159">
        <f>+IF($B22="","",Summary!$P$4)</f>
        <v>45929</v>
      </c>
      <c r="F22" s="159">
        <f>+IF($B22="","",Summary!$P$5)</f>
        <v>46657</v>
      </c>
      <c r="G22" s="159">
        <f>+IF($B22="","",Summary!$P$6)</f>
        <v>46657</v>
      </c>
      <c r="H22" s="158" t="str">
        <f t="shared" si="2"/>
        <v>Green</v>
      </c>
      <c r="I22" s="156"/>
      <c r="J22" s="160"/>
      <c r="K22" s="156"/>
      <c r="L22" s="156"/>
      <c r="M22" s="156"/>
      <c r="N22" s="156" t="e">
        <f t="shared" si="3"/>
        <v>#REF!</v>
      </c>
      <c r="O22" s="156" t="e">
        <f>COUNTIFS(#REF!,"&gt;="&amp;DATE($C22,$B22,1),#REF!,"&lt;="&amp;EOMONTH(DATE($C22,$B22,1),0),#REF!,"Incident")+
COUNTIFS(#REF!,"&gt;="&amp;DATE($C22,$B22,1),#REF!,"&lt;="&amp;EOMONTH(DATE($C22,$B22,1),0),#REF!,"user_request")</f>
        <v>#REF!</v>
      </c>
      <c r="P22" s="147">
        <f t="shared" si="9"/>
        <v>0</v>
      </c>
      <c r="Q22" s="147">
        <f t="shared" si="10"/>
        <v>0</v>
      </c>
      <c r="R22" s="147">
        <f t="shared" si="11"/>
        <v>0</v>
      </c>
      <c r="S22" s="146" t="e">
        <f t="shared" si="12"/>
        <v>#REF!</v>
      </c>
      <c r="T22" s="146" t="e">
        <f t="shared" si="13"/>
        <v>#REF!</v>
      </c>
      <c r="U22" s="145">
        <f t="shared" si="4"/>
        <v>0</v>
      </c>
      <c r="V22" s="145" t="e">
        <f t="shared" si="5"/>
        <v>#REF!</v>
      </c>
      <c r="W22" s="142">
        <v>19</v>
      </c>
      <c r="X22" s="142" t="str">
        <f>+IF((VLOOKUP(A22,List!B:C,2,0)-VLOOKUP(Summary!$P$7,List!B:C,2,0))=0,1,"")</f>
        <v/>
      </c>
      <c r="Y22" s="198">
        <f>+IF((VLOOKUP(A22,List!B:C,2,0)-VLOOKUP(Summary!$P$7,List!B:C,2,0))&gt;=0,1,"")</f>
        <v>1</v>
      </c>
      <c r="Z22" s="198">
        <f>+IF((VLOOKUP(A22,List!B:C,2,0)-VLOOKUP(Summary!$P$7,List!B:C,2,0))&gt;0,1,"")</f>
        <v>1</v>
      </c>
      <c r="AA22" s="141">
        <f t="shared" si="6"/>
        <v>1</v>
      </c>
      <c r="AB22" s="199" t="str">
        <f>+IF(AA22="","",IF(Summary!$J$7="Fixed Price","",IF(M22="",IF(I22="","",1),"")))</f>
        <v/>
      </c>
      <c r="AC22" s="198">
        <f t="shared" si="14"/>
        <v>0</v>
      </c>
      <c r="AD22" s="198">
        <f>+IF(AA22="",+IF(N22&gt;#REF!,#REF!,IF(N22&gt;#REF!,#REF!,IF(N22&gt;#REF!,#REF!,IF(N22&gt;#REF!,#REF!,IF(N22&gt;#REF!,#REF!,IF(N22&gt;#REF!,#REF!,IF(N22&gt;#REF!,#REF!,IF(N22&gt;#REF!,#REF!,#REF!)))))))),0)</f>
        <v>0</v>
      </c>
    </row>
    <row r="23" spans="1:30" x14ac:dyDescent="0.2">
      <c r="A23" s="155" t="str">
        <f t="shared" si="0"/>
        <v>2027-4</v>
      </c>
      <c r="B23" s="154">
        <f t="shared" si="7"/>
        <v>4</v>
      </c>
      <c r="C23" s="153">
        <f t="shared" si="8"/>
        <v>2027</v>
      </c>
      <c r="D23" s="152" t="str">
        <f t="shared" si="1"/>
        <v>2027-4</v>
      </c>
      <c r="E23" s="151">
        <f>+IF($B23="","",Summary!$P$4)</f>
        <v>45929</v>
      </c>
      <c r="F23" s="151">
        <f>+IF($B23="","",Summary!$P$5)</f>
        <v>46657</v>
      </c>
      <c r="G23" s="151">
        <f>+IF($B23="","",Summary!$P$6)</f>
        <v>46657</v>
      </c>
      <c r="H23" s="150" t="str">
        <f t="shared" si="2"/>
        <v>Green</v>
      </c>
      <c r="I23" s="148"/>
      <c r="J23" s="161"/>
      <c r="K23" s="148"/>
      <c r="L23" s="148"/>
      <c r="M23" s="148"/>
      <c r="N23" s="148" t="e">
        <f t="shared" si="3"/>
        <v>#REF!</v>
      </c>
      <c r="O23" s="148" t="e">
        <f>COUNTIFS(#REF!,"&gt;="&amp;DATE($C23,$B23,1),#REF!,"&lt;="&amp;EOMONTH(DATE($C23,$B23,1),0),#REF!,"Incident")+
COUNTIFS(#REF!,"&gt;="&amp;DATE($C23,$B23,1),#REF!,"&lt;="&amp;EOMONTH(DATE($C23,$B23,1),0),#REF!,"user_request")</f>
        <v>#REF!</v>
      </c>
      <c r="P23" s="147">
        <f t="shared" si="9"/>
        <v>0</v>
      </c>
      <c r="Q23" s="147">
        <f t="shared" si="10"/>
        <v>0</v>
      </c>
      <c r="R23" s="147">
        <f t="shared" si="11"/>
        <v>0</v>
      </c>
      <c r="S23" s="146" t="e">
        <f t="shared" si="12"/>
        <v>#REF!</v>
      </c>
      <c r="T23" s="146" t="e">
        <f t="shared" si="13"/>
        <v>#REF!</v>
      </c>
      <c r="U23" s="145">
        <f t="shared" si="4"/>
        <v>0</v>
      </c>
      <c r="V23" s="145" t="e">
        <f t="shared" si="5"/>
        <v>#REF!</v>
      </c>
      <c r="W23" s="142">
        <v>20</v>
      </c>
      <c r="X23" s="142" t="str">
        <f>+IF((VLOOKUP(A23,List!B:C,2,0)-VLOOKUP(Summary!$P$7,List!B:C,2,0))=0,1,"")</f>
        <v/>
      </c>
      <c r="Y23" s="198">
        <f>+IF((VLOOKUP(A23,List!B:C,2,0)-VLOOKUP(Summary!$P$7,List!B:C,2,0))&gt;=0,1,"")</f>
        <v>1</v>
      </c>
      <c r="Z23" s="198">
        <f>+IF((VLOOKUP(A23,List!B:C,2,0)-VLOOKUP(Summary!$P$7,List!B:C,2,0))&gt;0,1,"")</f>
        <v>1</v>
      </c>
      <c r="AA23" s="141">
        <f t="shared" si="6"/>
        <v>1</v>
      </c>
      <c r="AB23" s="199" t="str">
        <f>+IF(AA23="","",IF(Summary!$J$7="Fixed Price","",IF(M23="",IF(I23="","",1),"")))</f>
        <v/>
      </c>
      <c r="AC23" s="198">
        <f t="shared" si="14"/>
        <v>0</v>
      </c>
      <c r="AD23" s="198">
        <f>+IF(AA23="",+IF(N23&gt;#REF!,#REF!,IF(N23&gt;#REF!,#REF!,IF(N23&gt;#REF!,#REF!,IF(N23&gt;#REF!,#REF!,IF(N23&gt;#REF!,#REF!,IF(N23&gt;#REF!,#REF!,IF(N23&gt;#REF!,#REF!,IF(N23&gt;#REF!,#REF!,#REF!)))))))),0)</f>
        <v>0</v>
      </c>
    </row>
    <row r="24" spans="1:30" x14ac:dyDescent="0.2">
      <c r="A24" s="155" t="str">
        <f t="shared" si="0"/>
        <v>2027-5</v>
      </c>
      <c r="B24" s="154">
        <f t="shared" si="7"/>
        <v>5</v>
      </c>
      <c r="C24" s="153">
        <f t="shared" si="8"/>
        <v>2027</v>
      </c>
      <c r="D24" s="152" t="str">
        <f t="shared" si="1"/>
        <v>2027-5</v>
      </c>
      <c r="E24" s="159">
        <f>+IF($B24="","",Summary!$P$4)</f>
        <v>45929</v>
      </c>
      <c r="F24" s="159">
        <f>+IF($B24="","",Summary!$P$5)</f>
        <v>46657</v>
      </c>
      <c r="G24" s="159">
        <f>+IF($B24="","",Summary!$P$6)</f>
        <v>46657</v>
      </c>
      <c r="H24" s="158" t="str">
        <f t="shared" si="2"/>
        <v>Green</v>
      </c>
      <c r="I24" s="156"/>
      <c r="J24" s="160"/>
      <c r="K24" s="156"/>
      <c r="L24" s="156"/>
      <c r="M24" s="156"/>
      <c r="N24" s="156" t="e">
        <f t="shared" si="3"/>
        <v>#REF!</v>
      </c>
      <c r="O24" s="156" t="e">
        <f>COUNTIFS(#REF!,"&gt;="&amp;DATE($C24,$B24,1),#REF!,"&lt;="&amp;EOMONTH(DATE($C24,$B24,1),0),#REF!,"Incident")+
COUNTIFS(#REF!,"&gt;="&amp;DATE($C24,$B24,1),#REF!,"&lt;="&amp;EOMONTH(DATE($C24,$B24,1),0),#REF!,"user_request")</f>
        <v>#REF!</v>
      </c>
      <c r="P24" s="147">
        <f t="shared" si="9"/>
        <v>0</v>
      </c>
      <c r="Q24" s="147">
        <f t="shared" si="10"/>
        <v>0</v>
      </c>
      <c r="R24" s="147">
        <f t="shared" si="11"/>
        <v>0</v>
      </c>
      <c r="S24" s="146" t="e">
        <f t="shared" si="12"/>
        <v>#REF!</v>
      </c>
      <c r="T24" s="146" t="e">
        <f t="shared" si="13"/>
        <v>#REF!</v>
      </c>
      <c r="U24" s="145">
        <f t="shared" si="4"/>
        <v>0</v>
      </c>
      <c r="V24" s="145" t="e">
        <f t="shared" si="5"/>
        <v>#REF!</v>
      </c>
      <c r="W24" s="142">
        <v>21</v>
      </c>
      <c r="X24" s="142" t="str">
        <f>+IF((VLOOKUP(A24,List!B:C,2,0)-VLOOKUP(Summary!$P$7,List!B:C,2,0))=0,1,"")</f>
        <v/>
      </c>
      <c r="Y24" s="198">
        <f>+IF((VLOOKUP(A24,List!B:C,2,0)-VLOOKUP(Summary!$P$7,List!B:C,2,0))&gt;=0,1,"")</f>
        <v>1</v>
      </c>
      <c r="Z24" s="198">
        <f>+IF((VLOOKUP(A24,List!B:C,2,0)-VLOOKUP(Summary!$P$7,List!B:C,2,0))&gt;0,1,"")</f>
        <v>1</v>
      </c>
      <c r="AA24" s="141">
        <f t="shared" si="6"/>
        <v>1</v>
      </c>
      <c r="AB24" s="199" t="str">
        <f>+IF(AA24="","",IF(Summary!$J$7="Fixed Price","",IF(M24="",IF(I24="","",1),"")))</f>
        <v/>
      </c>
      <c r="AC24" s="198">
        <f t="shared" si="14"/>
        <v>0</v>
      </c>
      <c r="AD24" s="198">
        <f>+IF(AA24="",+IF(N24&gt;#REF!,#REF!,IF(N24&gt;#REF!,#REF!,IF(N24&gt;#REF!,#REF!,IF(N24&gt;#REF!,#REF!,IF(N24&gt;#REF!,#REF!,IF(N24&gt;#REF!,#REF!,IF(N24&gt;#REF!,#REF!,IF(N24&gt;#REF!,#REF!,#REF!)))))))),0)</f>
        <v>0</v>
      </c>
    </row>
    <row r="25" spans="1:30" x14ac:dyDescent="0.2">
      <c r="A25" s="155" t="str">
        <f t="shared" si="0"/>
        <v>2027-6</v>
      </c>
      <c r="B25" s="154">
        <f t="shared" si="7"/>
        <v>6</v>
      </c>
      <c r="C25" s="153">
        <f t="shared" si="8"/>
        <v>2027</v>
      </c>
      <c r="D25" s="152" t="str">
        <f t="shared" si="1"/>
        <v>2027-6</v>
      </c>
      <c r="E25" s="151">
        <f>+IF($B25="","",Summary!$P$4)</f>
        <v>45929</v>
      </c>
      <c r="F25" s="151">
        <f>+IF($B25="","",Summary!$P$5)</f>
        <v>46657</v>
      </c>
      <c r="G25" s="151">
        <f>+IF($B25="","",Summary!$P$6)</f>
        <v>46657</v>
      </c>
      <c r="H25" s="150" t="str">
        <f t="shared" si="2"/>
        <v>Green</v>
      </c>
      <c r="I25" s="148"/>
      <c r="J25" s="161"/>
      <c r="K25" s="148"/>
      <c r="L25" s="148"/>
      <c r="M25" s="148"/>
      <c r="N25" s="148" t="e">
        <f t="shared" si="3"/>
        <v>#REF!</v>
      </c>
      <c r="O25" s="148" t="e">
        <f>COUNTIFS(#REF!,"&gt;="&amp;DATE($C25,$B25,1),#REF!,"&lt;="&amp;EOMONTH(DATE($C25,$B25,1),0),#REF!,"Incident")+
COUNTIFS(#REF!,"&gt;="&amp;DATE($C25,$B25,1),#REF!,"&lt;="&amp;EOMONTH(DATE($C25,$B25,1),0),#REF!,"user_request")</f>
        <v>#REF!</v>
      </c>
      <c r="P25" s="147">
        <f t="shared" si="9"/>
        <v>0</v>
      </c>
      <c r="Q25" s="147">
        <f t="shared" si="10"/>
        <v>0</v>
      </c>
      <c r="R25" s="147">
        <f t="shared" si="11"/>
        <v>0</v>
      </c>
      <c r="S25" s="146" t="e">
        <f t="shared" si="12"/>
        <v>#REF!</v>
      </c>
      <c r="T25" s="146" t="e">
        <f t="shared" si="13"/>
        <v>#REF!</v>
      </c>
      <c r="U25" s="145">
        <f t="shared" si="4"/>
        <v>0</v>
      </c>
      <c r="V25" s="145" t="e">
        <f t="shared" si="5"/>
        <v>#REF!</v>
      </c>
      <c r="W25" s="142">
        <v>22</v>
      </c>
      <c r="X25" s="142" t="str">
        <f>+IF((VLOOKUP(A25,List!B:C,2,0)-VLOOKUP(Summary!$P$7,List!B:C,2,0))=0,1,"")</f>
        <v/>
      </c>
      <c r="Y25" s="198">
        <f>+IF((VLOOKUP(A25,List!B:C,2,0)-VLOOKUP(Summary!$P$7,List!B:C,2,0))&gt;=0,1,"")</f>
        <v>1</v>
      </c>
      <c r="Z25" s="198">
        <f>+IF((VLOOKUP(A25,List!B:C,2,0)-VLOOKUP(Summary!$P$7,List!B:C,2,0))&gt;0,1,"")</f>
        <v>1</v>
      </c>
      <c r="AA25" s="141">
        <f t="shared" si="6"/>
        <v>1</v>
      </c>
      <c r="AB25" s="199" t="str">
        <f>+IF(AA25="","",IF(Summary!$J$7="Fixed Price","",IF(M25="",IF(I25="","",1),"")))</f>
        <v/>
      </c>
      <c r="AC25" s="198">
        <f t="shared" si="14"/>
        <v>0</v>
      </c>
      <c r="AD25" s="198">
        <f>+IF(AA25="",+IF(N25&gt;#REF!,#REF!,IF(N25&gt;#REF!,#REF!,IF(N25&gt;#REF!,#REF!,IF(N25&gt;#REF!,#REF!,IF(N25&gt;#REF!,#REF!,IF(N25&gt;#REF!,#REF!,IF(N25&gt;#REF!,#REF!,IF(N25&gt;#REF!,#REF!,#REF!)))))))),0)</f>
        <v>0</v>
      </c>
    </row>
    <row r="26" spans="1:30" x14ac:dyDescent="0.2">
      <c r="A26" s="155" t="str">
        <f t="shared" si="0"/>
        <v>2027-7</v>
      </c>
      <c r="B26" s="154">
        <f t="shared" si="7"/>
        <v>7</v>
      </c>
      <c r="C26" s="153">
        <f t="shared" si="8"/>
        <v>2027</v>
      </c>
      <c r="D26" s="152" t="str">
        <f t="shared" si="1"/>
        <v>2027-7</v>
      </c>
      <c r="E26" s="159">
        <f>+IF($B26="","",Summary!$P$4)</f>
        <v>45929</v>
      </c>
      <c r="F26" s="159">
        <f>+IF($B26="","",Summary!$P$5)</f>
        <v>46657</v>
      </c>
      <c r="G26" s="159">
        <f>+IF($B26="","",Summary!$P$6)</f>
        <v>46657</v>
      </c>
      <c r="H26" s="158" t="str">
        <f t="shared" si="2"/>
        <v>Green</v>
      </c>
      <c r="I26" s="156"/>
      <c r="J26" s="160"/>
      <c r="K26" s="156"/>
      <c r="L26" s="156"/>
      <c r="M26" s="156"/>
      <c r="N26" s="156" t="e">
        <f t="shared" si="3"/>
        <v>#REF!</v>
      </c>
      <c r="O26" s="156" t="e">
        <f>COUNTIFS(#REF!,"&gt;="&amp;DATE($C26,$B26,1),#REF!,"&lt;="&amp;EOMONTH(DATE($C26,$B26,1),0),#REF!,"Incident")+
COUNTIFS(#REF!,"&gt;="&amp;DATE($C26,$B26,1),#REF!,"&lt;="&amp;EOMONTH(DATE($C26,$B26,1),0),#REF!,"user_request")</f>
        <v>#REF!</v>
      </c>
      <c r="P26" s="147">
        <f t="shared" si="9"/>
        <v>0</v>
      </c>
      <c r="Q26" s="147">
        <f t="shared" si="10"/>
        <v>0</v>
      </c>
      <c r="R26" s="147">
        <f t="shared" si="11"/>
        <v>0</v>
      </c>
      <c r="S26" s="146" t="e">
        <f t="shared" si="12"/>
        <v>#REF!</v>
      </c>
      <c r="T26" s="146" t="e">
        <f t="shared" si="13"/>
        <v>#REF!</v>
      </c>
      <c r="U26" s="145">
        <f t="shared" si="4"/>
        <v>0</v>
      </c>
      <c r="V26" s="145" t="e">
        <f t="shared" si="5"/>
        <v>#REF!</v>
      </c>
      <c r="W26" s="142">
        <v>23</v>
      </c>
      <c r="X26" s="142" t="str">
        <f>+IF((VLOOKUP(A26,List!B:C,2,0)-VLOOKUP(Summary!$P$7,List!B:C,2,0))=0,1,"")</f>
        <v/>
      </c>
      <c r="Y26" s="198">
        <f>+IF((VLOOKUP(A26,List!B:C,2,0)-VLOOKUP(Summary!$P$7,List!B:C,2,0))&gt;=0,1,"")</f>
        <v>1</v>
      </c>
      <c r="Z26" s="198">
        <f>+IF((VLOOKUP(A26,List!B:C,2,0)-VLOOKUP(Summary!$P$7,List!B:C,2,0))&gt;0,1,"")</f>
        <v>1</v>
      </c>
      <c r="AA26" s="141">
        <f t="shared" si="6"/>
        <v>1</v>
      </c>
      <c r="AB26" s="199" t="str">
        <f>+IF(AA26="","",IF(Summary!$J$7="Fixed Price","",IF(M26="",IF(I26="","",1),"")))</f>
        <v/>
      </c>
      <c r="AC26" s="198">
        <f t="shared" si="14"/>
        <v>0</v>
      </c>
      <c r="AD26" s="198">
        <f>+IF(AA26="",+IF(N26&gt;#REF!,#REF!,IF(N26&gt;#REF!,#REF!,IF(N26&gt;#REF!,#REF!,IF(N26&gt;#REF!,#REF!,IF(N26&gt;#REF!,#REF!,IF(N26&gt;#REF!,#REF!,IF(N26&gt;#REF!,#REF!,IF(N26&gt;#REF!,#REF!,#REF!)))))))),0)</f>
        <v>0</v>
      </c>
    </row>
    <row r="27" spans="1:30" ht="13.9" customHeight="1" x14ac:dyDescent="0.2">
      <c r="A27" s="155" t="str">
        <f t="shared" si="0"/>
        <v>2027-8</v>
      </c>
      <c r="B27" s="154">
        <f t="shared" si="7"/>
        <v>8</v>
      </c>
      <c r="C27" s="153">
        <f t="shared" si="8"/>
        <v>2027</v>
      </c>
      <c r="D27" s="152" t="str">
        <f t="shared" si="1"/>
        <v>2027-8</v>
      </c>
      <c r="E27" s="151">
        <f>+IF($B27="","",Summary!$P$4)</f>
        <v>45929</v>
      </c>
      <c r="F27" s="151">
        <f>+IF($B27="","",Summary!$P$5)</f>
        <v>46657</v>
      </c>
      <c r="G27" s="151">
        <f>+IF($B27="","",Summary!$P$6)</f>
        <v>46657</v>
      </c>
      <c r="H27" s="150" t="str">
        <f t="shared" si="2"/>
        <v>Green</v>
      </c>
      <c r="I27" s="148"/>
      <c r="J27" s="161"/>
      <c r="K27" s="148"/>
      <c r="L27" s="148"/>
      <c r="M27" s="148"/>
      <c r="N27" s="148" t="e">
        <f t="shared" si="3"/>
        <v>#REF!</v>
      </c>
      <c r="O27" s="148" t="e">
        <f>COUNTIFS(#REF!,"&gt;="&amp;DATE($C27,$B27,1),#REF!,"&lt;="&amp;EOMONTH(DATE($C27,$B27,1),0),#REF!,"Incident")+
COUNTIFS(#REF!,"&gt;="&amp;DATE($C27,$B27,1),#REF!,"&lt;="&amp;EOMONTH(DATE($C27,$B27,1),0),#REF!,"user_request")</f>
        <v>#REF!</v>
      </c>
      <c r="P27" s="147">
        <f t="shared" si="9"/>
        <v>0</v>
      </c>
      <c r="Q27" s="147">
        <f t="shared" si="10"/>
        <v>0</v>
      </c>
      <c r="R27" s="147">
        <f t="shared" si="11"/>
        <v>0</v>
      </c>
      <c r="S27" s="146" t="e">
        <f t="shared" si="12"/>
        <v>#REF!</v>
      </c>
      <c r="T27" s="146" t="e">
        <f t="shared" si="13"/>
        <v>#REF!</v>
      </c>
      <c r="U27" s="145">
        <f t="shared" si="4"/>
        <v>0</v>
      </c>
      <c r="V27" s="145" t="e">
        <f t="shared" si="5"/>
        <v>#REF!</v>
      </c>
      <c r="W27" s="142">
        <v>24</v>
      </c>
      <c r="X27" s="142" t="str">
        <f>+IF((VLOOKUP(A27,List!B:C,2,0)-VLOOKUP(Summary!$P$7,List!B:C,2,0))=0,1,"")</f>
        <v/>
      </c>
      <c r="Y27" s="198">
        <f>+IF((VLOOKUP(A27,List!B:C,2,0)-VLOOKUP(Summary!$P$7,List!B:C,2,0))&gt;=0,1,"")</f>
        <v>1</v>
      </c>
      <c r="Z27" s="198">
        <f>+IF((VLOOKUP(A27,List!B:C,2,0)-VLOOKUP(Summary!$P$7,List!B:C,2,0))&gt;0,1,"")</f>
        <v>1</v>
      </c>
      <c r="AA27" s="141">
        <f t="shared" si="6"/>
        <v>1</v>
      </c>
      <c r="AB27" s="199" t="str">
        <f>+IF(AA27="","",IF(Summary!$J$7="Fixed Price","",IF(M27="",IF(I27="","",1),"")))</f>
        <v/>
      </c>
      <c r="AC27" s="198">
        <f t="shared" si="14"/>
        <v>0</v>
      </c>
      <c r="AD27" s="198">
        <f>+IF(AA27="",+IF(N27&gt;#REF!,#REF!,IF(N27&gt;#REF!,#REF!,IF(N27&gt;#REF!,#REF!,IF(N27&gt;#REF!,#REF!,IF(N27&gt;#REF!,#REF!,IF(N27&gt;#REF!,#REF!,IF(N27&gt;#REF!,#REF!,IF(N27&gt;#REF!,#REF!,#REF!)))))))),0)</f>
        <v>0</v>
      </c>
    </row>
    <row r="28" spans="1:30" x14ac:dyDescent="0.2">
      <c r="A28" s="155" t="str">
        <f t="shared" si="0"/>
        <v>2027-9</v>
      </c>
      <c r="B28" s="154">
        <f t="shared" si="7"/>
        <v>9</v>
      </c>
      <c r="C28" s="153">
        <f t="shared" si="8"/>
        <v>2027</v>
      </c>
      <c r="D28" s="152" t="str">
        <f t="shared" si="1"/>
        <v>2027-9</v>
      </c>
      <c r="E28" s="159">
        <f>+IF($B28="","",Summary!$P$4)</f>
        <v>45929</v>
      </c>
      <c r="F28" s="159">
        <f>+IF($B28="","",Summary!$P$5)</f>
        <v>46657</v>
      </c>
      <c r="G28" s="159">
        <f>+IF($B28="","",Summary!$P$6)</f>
        <v>46657</v>
      </c>
      <c r="H28" s="158" t="str">
        <f t="shared" si="2"/>
        <v>Green</v>
      </c>
      <c r="I28" s="156"/>
      <c r="J28" s="156"/>
      <c r="K28" s="156"/>
      <c r="L28" s="156"/>
      <c r="M28" s="156"/>
      <c r="N28" s="156" t="e">
        <f t="shared" si="3"/>
        <v>#REF!</v>
      </c>
      <c r="O28" s="156" t="e">
        <f>COUNTIFS(#REF!,"&gt;="&amp;DATE($C28,$B28,1),#REF!,"&lt;="&amp;EOMONTH(DATE($C28,$B28,1),0),#REF!,"Incident")+
COUNTIFS(#REF!,"&gt;="&amp;DATE($C28,$B28,1),#REF!,"&lt;="&amp;EOMONTH(DATE($C28,$B28,1),0),#REF!,"user_request")</f>
        <v>#REF!</v>
      </c>
      <c r="P28" s="147">
        <f t="shared" si="9"/>
        <v>0</v>
      </c>
      <c r="Q28" s="147">
        <f t="shared" si="10"/>
        <v>0</v>
      </c>
      <c r="R28" s="147">
        <f t="shared" si="11"/>
        <v>0</v>
      </c>
      <c r="S28" s="146" t="e">
        <f t="shared" si="12"/>
        <v>#REF!</v>
      </c>
      <c r="T28" s="146" t="e">
        <f t="shared" si="13"/>
        <v>#REF!</v>
      </c>
      <c r="U28" s="145">
        <f t="shared" si="4"/>
        <v>0</v>
      </c>
      <c r="V28" s="145" t="e">
        <f t="shared" si="5"/>
        <v>#REF!</v>
      </c>
      <c r="W28" s="142">
        <v>25</v>
      </c>
      <c r="X28" s="142" t="str">
        <f>+IF((VLOOKUP(A28,List!B:C,2,0)-VLOOKUP(Summary!$P$7,List!B:C,2,0))=0,1,"")</f>
        <v/>
      </c>
      <c r="Y28" s="198">
        <f>+IF((VLOOKUP(A28,List!B:C,2,0)-VLOOKUP(Summary!$P$7,List!B:C,2,0))&gt;=0,1,"")</f>
        <v>1</v>
      </c>
      <c r="Z28" s="198">
        <f>+IF((VLOOKUP(A28,List!B:C,2,0)-VLOOKUP(Summary!$P$7,List!B:C,2,0))&gt;0,1,"")</f>
        <v>1</v>
      </c>
      <c r="AA28" s="141">
        <f t="shared" si="6"/>
        <v>1</v>
      </c>
      <c r="AB28" s="199" t="str">
        <f>+IF(AA28="","",IF(Summary!$J$7="Fixed Price","",IF(M28="",IF(I28="","",1),"")))</f>
        <v/>
      </c>
      <c r="AC28" s="198">
        <f t="shared" si="14"/>
        <v>0</v>
      </c>
      <c r="AD28" s="198">
        <f>+IF(AA28="",+IF(N28&gt;#REF!,#REF!,IF(N28&gt;#REF!,#REF!,IF(N28&gt;#REF!,#REF!,IF(N28&gt;#REF!,#REF!,IF(N28&gt;#REF!,#REF!,IF(N28&gt;#REF!,#REF!,IF(N28&gt;#REF!,#REF!,IF(N28&gt;#REF!,#REF!,#REF!)))))))),0)</f>
        <v>0</v>
      </c>
    </row>
    <row r="29" spans="1:30" x14ac:dyDescent="0.2">
      <c r="A29" s="155" t="str">
        <f t="shared" si="0"/>
        <v>-</v>
      </c>
      <c r="B29" s="154" t="str">
        <f t="shared" si="7"/>
        <v/>
      </c>
      <c r="C29" s="153" t="str">
        <f t="shared" si="8"/>
        <v/>
      </c>
      <c r="D29" s="152" t="str">
        <f t="shared" si="1"/>
        <v>-</v>
      </c>
      <c r="E29" s="151" t="str">
        <f>+IF($B29="","",Summary!$P$4)</f>
        <v/>
      </c>
      <c r="F29" s="151" t="str">
        <f>+IF($B29="","",Summary!$P$5)</f>
        <v/>
      </c>
      <c r="G29" s="151" t="str">
        <f>+IF($B29="","",Summary!$P$6)</f>
        <v/>
      </c>
      <c r="H29" s="150" t="str">
        <f t="shared" si="2"/>
        <v/>
      </c>
      <c r="I29" s="148"/>
      <c r="J29" s="148"/>
      <c r="K29" s="148"/>
      <c r="L29" s="148"/>
      <c r="M29" s="148"/>
      <c r="N29" s="148" t="e">
        <f t="shared" si="3"/>
        <v>#REF!</v>
      </c>
      <c r="O29" s="148" t="e">
        <f>COUNTIFS(#REF!,"&gt;="&amp;DATE($C29,$B29,1),#REF!,"&lt;="&amp;EOMONTH(DATE($C29,$B29,1),0),#REF!,"Incident")+
COUNTIFS(#REF!,"&gt;="&amp;DATE($C29,$B29,1),#REF!,"&lt;="&amp;EOMONTH(DATE($C29,$B29,1),0),#REF!,"user_request")</f>
        <v>#REF!</v>
      </c>
      <c r="P29" s="147">
        <f t="shared" si="9"/>
        <v>0</v>
      </c>
      <c r="Q29" s="147">
        <f t="shared" si="10"/>
        <v>0</v>
      </c>
      <c r="R29" s="147">
        <f t="shared" si="11"/>
        <v>0</v>
      </c>
      <c r="S29" s="146" t="e">
        <f t="shared" si="12"/>
        <v>#REF!</v>
      </c>
      <c r="T29" s="146" t="e">
        <f t="shared" si="13"/>
        <v>#REF!</v>
      </c>
      <c r="U29" s="145">
        <f t="shared" si="4"/>
        <v>0</v>
      </c>
      <c r="V29" s="145" t="e">
        <f t="shared" si="5"/>
        <v>#REF!</v>
      </c>
      <c r="W29" s="142">
        <v>26</v>
      </c>
      <c r="X29" s="142" t="str">
        <f>+IF((VLOOKUP(A29,List!B:C,2,0)-VLOOKUP(Summary!$P$7,List!B:C,2,0))=0,1,"")</f>
        <v/>
      </c>
      <c r="Y29" s="198">
        <f>+IF((VLOOKUP(A29,List!B:C,2,0)-VLOOKUP(Summary!$P$7,List!B:C,2,0))&gt;=0,1,"")</f>
        <v>1</v>
      </c>
      <c r="Z29" s="198">
        <f>+IF((VLOOKUP(A29,List!B:C,2,0)-VLOOKUP(Summary!$P$7,List!B:C,2,0))&gt;0,1,"")</f>
        <v>1</v>
      </c>
      <c r="AA29" s="141">
        <f t="shared" si="6"/>
        <v>2</v>
      </c>
      <c r="AB29" s="199" t="str">
        <f>+IF(AA29="","",IF(Summary!$J$7="Fixed Price","",IF(M29="",IF(I29="","",1),"")))</f>
        <v/>
      </c>
      <c r="AC29" s="198">
        <f t="shared" si="14"/>
        <v>0</v>
      </c>
      <c r="AD29" s="198">
        <f>+IF(AA29="",+IF(N29&gt;#REF!,#REF!,IF(N29&gt;#REF!,#REF!,IF(N29&gt;#REF!,#REF!,IF(N29&gt;#REF!,#REF!,IF(N29&gt;#REF!,#REF!,IF(N29&gt;#REF!,#REF!,IF(N29&gt;#REF!,#REF!,IF(N29&gt;#REF!,#REF!,#REF!)))))))),0)</f>
        <v>0</v>
      </c>
    </row>
    <row r="30" spans="1:30" x14ac:dyDescent="0.2">
      <c r="A30" s="155" t="str">
        <f t="shared" si="0"/>
        <v>-</v>
      </c>
      <c r="B30" s="154" t="str">
        <f t="shared" si="7"/>
        <v/>
      </c>
      <c r="C30" s="153" t="str">
        <f t="shared" si="8"/>
        <v/>
      </c>
      <c r="D30" s="152" t="str">
        <f t="shared" si="1"/>
        <v>-</v>
      </c>
      <c r="E30" s="159" t="str">
        <f>+IF($B30="","",Summary!$P$4)</f>
        <v/>
      </c>
      <c r="F30" s="159" t="str">
        <f>+IF($B30="","",Summary!$P$5)</f>
        <v/>
      </c>
      <c r="G30" s="159" t="str">
        <f>+IF($B30="","",Summary!$P$6)</f>
        <v/>
      </c>
      <c r="H30" s="158" t="str">
        <f t="shared" si="2"/>
        <v/>
      </c>
      <c r="I30" s="156"/>
      <c r="J30" s="156"/>
      <c r="K30" s="156"/>
      <c r="L30" s="156"/>
      <c r="M30" s="156"/>
      <c r="N30" s="156" t="e">
        <f t="shared" si="3"/>
        <v>#REF!</v>
      </c>
      <c r="O30" s="156" t="e">
        <f>COUNTIFS(#REF!,"&gt;="&amp;DATE($C30,$B30,1),#REF!,"&lt;="&amp;EOMONTH(DATE($C30,$B30,1),0),#REF!,"Incident")+
COUNTIFS(#REF!,"&gt;="&amp;DATE($C30,$B30,1),#REF!,"&lt;="&amp;EOMONTH(DATE($C30,$B30,1),0),#REF!,"user_request")</f>
        <v>#REF!</v>
      </c>
      <c r="P30" s="147">
        <f t="shared" si="9"/>
        <v>0</v>
      </c>
      <c r="Q30" s="147">
        <f t="shared" si="10"/>
        <v>0</v>
      </c>
      <c r="R30" s="147">
        <f t="shared" si="11"/>
        <v>0</v>
      </c>
      <c r="S30" s="146" t="e">
        <f t="shared" si="12"/>
        <v>#REF!</v>
      </c>
      <c r="T30" s="146" t="e">
        <f t="shared" si="13"/>
        <v>#REF!</v>
      </c>
      <c r="U30" s="145">
        <f t="shared" si="4"/>
        <v>0</v>
      </c>
      <c r="V30" s="145" t="e">
        <f t="shared" si="5"/>
        <v>#REF!</v>
      </c>
      <c r="W30" s="142">
        <v>27</v>
      </c>
      <c r="X30" s="142" t="str">
        <f>+IF((VLOOKUP(A30,List!B:C,2,0)-VLOOKUP(Summary!$P$7,List!B:C,2,0))=0,1,"")</f>
        <v/>
      </c>
      <c r="Y30" s="198">
        <f>+IF((VLOOKUP(A30,List!B:C,2,0)-VLOOKUP(Summary!$P$7,List!B:C,2,0))&gt;=0,1,"")</f>
        <v>1</v>
      </c>
      <c r="Z30" s="198">
        <f>+IF((VLOOKUP(A30,List!B:C,2,0)-VLOOKUP(Summary!$P$7,List!B:C,2,0))&gt;0,1,"")</f>
        <v>1</v>
      </c>
      <c r="AA30" s="141">
        <f t="shared" si="6"/>
        <v>2</v>
      </c>
      <c r="AB30" s="199" t="str">
        <f>+IF(AA30="","",IF(Summary!$J$7="Fixed Price","",IF(M30="",IF(I30="","",1),"")))</f>
        <v/>
      </c>
      <c r="AC30" s="198">
        <f t="shared" si="14"/>
        <v>0</v>
      </c>
      <c r="AD30" s="198">
        <f>+IF(AA30="",+IF(N30&gt;#REF!,#REF!,IF(N30&gt;#REF!,#REF!,IF(N30&gt;#REF!,#REF!,IF(N30&gt;#REF!,#REF!,IF(N30&gt;#REF!,#REF!,IF(N30&gt;#REF!,#REF!,IF(N30&gt;#REF!,#REF!,IF(N30&gt;#REF!,#REF!,#REF!)))))))),0)</f>
        <v>0</v>
      </c>
    </row>
    <row r="31" spans="1:30" x14ac:dyDescent="0.2">
      <c r="A31" s="155" t="str">
        <f t="shared" si="0"/>
        <v>-</v>
      </c>
      <c r="B31" s="154" t="str">
        <f t="shared" si="7"/>
        <v/>
      </c>
      <c r="C31" s="153" t="str">
        <f t="shared" si="8"/>
        <v/>
      </c>
      <c r="D31" s="152" t="str">
        <f t="shared" si="1"/>
        <v>-</v>
      </c>
      <c r="E31" s="151" t="str">
        <f>+IF($B31="","",Summary!$P$4)</f>
        <v/>
      </c>
      <c r="F31" s="151" t="str">
        <f>+IF($B31="","",Summary!$P$5)</f>
        <v/>
      </c>
      <c r="G31" s="151" t="str">
        <f>+IF($B31="","",Summary!$P$6)</f>
        <v/>
      </c>
      <c r="H31" s="150" t="str">
        <f t="shared" si="2"/>
        <v/>
      </c>
      <c r="I31" s="148"/>
      <c r="J31" s="148"/>
      <c r="K31" s="148"/>
      <c r="L31" s="148"/>
      <c r="M31" s="148"/>
      <c r="N31" s="148" t="e">
        <f t="shared" si="3"/>
        <v>#REF!</v>
      </c>
      <c r="O31" s="148" t="e">
        <f>COUNTIFS(#REF!,"&gt;="&amp;DATE($C31,$B31,1),#REF!,"&lt;="&amp;EOMONTH(DATE($C31,$B31,1),0),#REF!,"Incident")+
COUNTIFS(#REF!,"&gt;="&amp;DATE($C31,$B31,1),#REF!,"&lt;="&amp;EOMONTH(DATE($C31,$B31,1),0),#REF!,"user_request")</f>
        <v>#REF!</v>
      </c>
      <c r="P31" s="147">
        <f t="shared" si="9"/>
        <v>0</v>
      </c>
      <c r="Q31" s="147">
        <f t="shared" si="10"/>
        <v>0</v>
      </c>
      <c r="R31" s="147">
        <f t="shared" si="11"/>
        <v>0</v>
      </c>
      <c r="S31" s="146" t="e">
        <f t="shared" si="12"/>
        <v>#REF!</v>
      </c>
      <c r="T31" s="146" t="e">
        <f t="shared" si="13"/>
        <v>#REF!</v>
      </c>
      <c r="U31" s="145">
        <f t="shared" si="4"/>
        <v>0</v>
      </c>
      <c r="V31" s="145" t="e">
        <f t="shared" si="5"/>
        <v>#REF!</v>
      </c>
      <c r="W31" s="142">
        <v>28</v>
      </c>
      <c r="X31" s="142" t="str">
        <f>+IF((VLOOKUP(A31,List!B:C,2,0)-VLOOKUP(Summary!$P$7,List!B:C,2,0))=0,1,"")</f>
        <v/>
      </c>
      <c r="Y31" s="198">
        <f>+IF((VLOOKUP(A31,List!B:C,2,0)-VLOOKUP(Summary!$P$7,List!B:C,2,0))&gt;=0,1,"")</f>
        <v>1</v>
      </c>
      <c r="Z31" s="198">
        <f>+IF((VLOOKUP(A31,List!B:C,2,0)-VLOOKUP(Summary!$P$7,List!B:C,2,0))&gt;0,1,"")</f>
        <v>1</v>
      </c>
      <c r="AA31" s="141">
        <f t="shared" si="6"/>
        <v>2</v>
      </c>
      <c r="AB31" s="199" t="str">
        <f>+IF(AA31="","",IF(Summary!$J$7="Fixed Price","",IF(M31="",IF(I31="","",1),"")))</f>
        <v/>
      </c>
      <c r="AC31" s="198">
        <f t="shared" si="14"/>
        <v>0</v>
      </c>
      <c r="AD31" s="198">
        <f>+IF(AA31="",+IF(N31&gt;#REF!,#REF!,IF(N31&gt;#REF!,#REF!,IF(N31&gt;#REF!,#REF!,IF(N31&gt;#REF!,#REF!,IF(N31&gt;#REF!,#REF!,IF(N31&gt;#REF!,#REF!,IF(N31&gt;#REF!,#REF!,IF(N31&gt;#REF!,#REF!,#REF!)))))))),0)</f>
        <v>0</v>
      </c>
    </row>
    <row r="32" spans="1:30" x14ac:dyDescent="0.2">
      <c r="A32" s="155" t="str">
        <f t="shared" si="0"/>
        <v>-</v>
      </c>
      <c r="B32" s="154" t="str">
        <f t="shared" si="7"/>
        <v/>
      </c>
      <c r="C32" s="153" t="str">
        <f t="shared" si="8"/>
        <v/>
      </c>
      <c r="D32" s="152" t="str">
        <f t="shared" si="1"/>
        <v>-</v>
      </c>
      <c r="E32" s="159" t="str">
        <f>+IF($B32="","",Summary!$P$4)</f>
        <v/>
      </c>
      <c r="F32" s="159" t="str">
        <f>+IF($B32="","",Summary!$P$5)</f>
        <v/>
      </c>
      <c r="G32" s="159" t="str">
        <f>+IF($B32="","",Summary!$P$6)</f>
        <v/>
      </c>
      <c r="H32" s="158" t="str">
        <f t="shared" si="2"/>
        <v/>
      </c>
      <c r="I32" s="156"/>
      <c r="J32" s="156"/>
      <c r="K32" s="156"/>
      <c r="L32" s="156"/>
      <c r="M32" s="156"/>
      <c r="N32" s="156" t="e">
        <f t="shared" si="3"/>
        <v>#REF!</v>
      </c>
      <c r="O32" s="156" t="e">
        <f>COUNTIFS(#REF!,"&gt;="&amp;DATE($C32,$B32,1),#REF!,"&lt;="&amp;EOMONTH(DATE($C32,$B32,1),0),#REF!,"Incident")+
COUNTIFS(#REF!,"&gt;="&amp;DATE($C32,$B32,1),#REF!,"&lt;="&amp;EOMONTH(DATE($C32,$B32,1),0),#REF!,"user_request")</f>
        <v>#REF!</v>
      </c>
      <c r="P32" s="147">
        <f t="shared" si="9"/>
        <v>0</v>
      </c>
      <c r="Q32" s="147">
        <f t="shared" si="10"/>
        <v>0</v>
      </c>
      <c r="R32" s="147">
        <f t="shared" si="11"/>
        <v>0</v>
      </c>
      <c r="S32" s="146" t="e">
        <f t="shared" si="12"/>
        <v>#REF!</v>
      </c>
      <c r="T32" s="146" t="e">
        <f t="shared" si="13"/>
        <v>#REF!</v>
      </c>
      <c r="U32" s="145">
        <f t="shared" si="4"/>
        <v>0</v>
      </c>
      <c r="V32" s="145" t="e">
        <f t="shared" si="5"/>
        <v>#REF!</v>
      </c>
      <c r="W32" s="142">
        <v>29</v>
      </c>
      <c r="X32" s="142" t="str">
        <f>+IF((VLOOKUP(A32,List!B:C,2,0)-VLOOKUP(Summary!$P$7,List!B:C,2,0))=0,1,"")</f>
        <v/>
      </c>
      <c r="Y32" s="198">
        <f>+IF((VLOOKUP(A32,List!B:C,2,0)-VLOOKUP(Summary!$P$7,List!B:C,2,0))&gt;=0,1,"")</f>
        <v>1</v>
      </c>
      <c r="Z32" s="198">
        <f>+IF((VLOOKUP(A32,List!B:C,2,0)-VLOOKUP(Summary!$P$7,List!B:C,2,0))&gt;0,1,"")</f>
        <v>1</v>
      </c>
      <c r="AA32" s="141">
        <f t="shared" si="6"/>
        <v>2</v>
      </c>
      <c r="AB32" s="199" t="str">
        <f>+IF(AA32="","",IF(Summary!$J$7="Fixed Price","",IF(M32="",IF(I32="","",1),"")))</f>
        <v/>
      </c>
      <c r="AC32" s="198">
        <f t="shared" si="14"/>
        <v>0</v>
      </c>
    </row>
    <row r="33" spans="1:29" x14ac:dyDescent="0.2">
      <c r="A33" s="155" t="str">
        <f t="shared" si="0"/>
        <v>-</v>
      </c>
      <c r="B33" s="154" t="str">
        <f t="shared" si="7"/>
        <v/>
      </c>
      <c r="C33" s="153" t="str">
        <f t="shared" si="8"/>
        <v/>
      </c>
      <c r="D33" s="152" t="str">
        <f t="shared" si="1"/>
        <v>-</v>
      </c>
      <c r="E33" s="151" t="str">
        <f>+IF($B33="","",Summary!$P$4)</f>
        <v/>
      </c>
      <c r="F33" s="151" t="str">
        <f>+IF($B33="","",Summary!$P$5)</f>
        <v/>
      </c>
      <c r="G33" s="151" t="str">
        <f>+IF($B33="","",Summary!$P$6)</f>
        <v/>
      </c>
      <c r="H33" s="150" t="str">
        <f t="shared" si="2"/>
        <v/>
      </c>
      <c r="I33" s="148"/>
      <c r="J33" s="148"/>
      <c r="K33" s="148"/>
      <c r="L33" s="148"/>
      <c r="M33" s="148"/>
      <c r="N33" s="148" t="e">
        <f t="shared" si="3"/>
        <v>#REF!</v>
      </c>
      <c r="O33" s="148" t="e">
        <f>COUNTIFS(#REF!,"&gt;="&amp;DATE($C33,$B33,1),#REF!,"&lt;="&amp;EOMONTH(DATE($C33,$B33,1),0),#REF!,"Incident")+
COUNTIFS(#REF!,"&gt;="&amp;DATE($C33,$B33,1),#REF!,"&lt;="&amp;EOMONTH(DATE($C33,$B33,1),0),#REF!,"user_request")</f>
        <v>#REF!</v>
      </c>
      <c r="P33" s="147">
        <f t="shared" si="9"/>
        <v>0</v>
      </c>
      <c r="Q33" s="147">
        <f t="shared" si="10"/>
        <v>0</v>
      </c>
      <c r="R33" s="147">
        <f t="shared" si="11"/>
        <v>0</v>
      </c>
      <c r="S33" s="146" t="e">
        <f t="shared" si="12"/>
        <v>#REF!</v>
      </c>
      <c r="T33" s="146" t="e">
        <f t="shared" si="13"/>
        <v>#REF!</v>
      </c>
      <c r="U33" s="145">
        <f t="shared" si="4"/>
        <v>0</v>
      </c>
      <c r="V33" s="145" t="e">
        <f t="shared" si="5"/>
        <v>#REF!</v>
      </c>
      <c r="W33" s="142">
        <v>30</v>
      </c>
      <c r="X33" s="142" t="str">
        <f>+IF((VLOOKUP(A33,List!B:C,2,0)-VLOOKUP(Summary!$P$7,List!B:C,2,0))=0,1,"")</f>
        <v/>
      </c>
      <c r="Y33" s="198">
        <f>+IF((VLOOKUP(A33,List!B:C,2,0)-VLOOKUP(Summary!$P$7,List!B:C,2,0))&gt;=0,1,"")</f>
        <v>1</v>
      </c>
      <c r="Z33" s="198">
        <f>+IF((VLOOKUP(A33,List!B:C,2,0)-VLOOKUP(Summary!$P$7,List!B:C,2,0))&gt;0,1,"")</f>
        <v>1</v>
      </c>
      <c r="AA33" s="141">
        <f t="shared" si="6"/>
        <v>2</v>
      </c>
      <c r="AB33" s="199" t="str">
        <f>+IF(AA33="","",IF(Summary!$J$7="Fixed Price","",IF(M33="",IF(I33="","",1),"")))</f>
        <v/>
      </c>
      <c r="AC33" s="198">
        <f t="shared" si="14"/>
        <v>0</v>
      </c>
    </row>
    <row r="34" spans="1:29" x14ac:dyDescent="0.2">
      <c r="A34" s="155" t="str">
        <f t="shared" si="0"/>
        <v>-</v>
      </c>
      <c r="B34" s="154" t="str">
        <f t="shared" si="7"/>
        <v/>
      </c>
      <c r="C34" s="153" t="str">
        <f t="shared" si="8"/>
        <v/>
      </c>
      <c r="D34" s="152" t="str">
        <f t="shared" si="1"/>
        <v>-</v>
      </c>
      <c r="E34" s="159" t="str">
        <f>+IF($B34="","",Summary!$P$4)</f>
        <v/>
      </c>
      <c r="F34" s="159" t="str">
        <f>+IF($B34="","",Summary!$P$5)</f>
        <v/>
      </c>
      <c r="G34" s="159" t="str">
        <f>+IF($B34="","",Summary!$P$6)</f>
        <v/>
      </c>
      <c r="H34" s="158" t="str">
        <f t="shared" si="2"/>
        <v/>
      </c>
      <c r="I34" s="156"/>
      <c r="J34" s="156"/>
      <c r="K34" s="156"/>
      <c r="L34" s="156"/>
      <c r="M34" s="156"/>
      <c r="N34" s="156" t="e">
        <f t="shared" si="3"/>
        <v>#REF!</v>
      </c>
      <c r="O34" s="156" t="e">
        <f>COUNTIFS(#REF!,"&gt;="&amp;DATE($C34,$B34,1),#REF!,"&lt;="&amp;EOMONTH(DATE($C34,$B34,1),0),#REF!,"Incident")+
COUNTIFS(#REF!,"&gt;="&amp;DATE($C34,$B34,1),#REF!,"&lt;="&amp;EOMONTH(DATE($C34,$B34,1),0),#REF!,"user_request")</f>
        <v>#REF!</v>
      </c>
      <c r="P34" s="147">
        <f t="shared" si="9"/>
        <v>0</v>
      </c>
      <c r="Q34" s="147">
        <f t="shared" si="10"/>
        <v>0</v>
      </c>
      <c r="R34" s="147">
        <f t="shared" si="11"/>
        <v>0</v>
      </c>
      <c r="S34" s="146" t="e">
        <f t="shared" si="12"/>
        <v>#REF!</v>
      </c>
      <c r="T34" s="146" t="e">
        <f t="shared" si="13"/>
        <v>#REF!</v>
      </c>
      <c r="U34" s="145">
        <f t="shared" si="4"/>
        <v>0</v>
      </c>
      <c r="V34" s="145" t="e">
        <f t="shared" si="5"/>
        <v>#REF!</v>
      </c>
      <c r="W34" s="142">
        <v>31</v>
      </c>
      <c r="X34" s="142" t="str">
        <f>+IF((VLOOKUP(A34,List!B:C,2,0)-VLOOKUP(Summary!$P$7,List!B:C,2,0))=0,1,"")</f>
        <v/>
      </c>
      <c r="Y34" s="198">
        <f>+IF((VLOOKUP(A34,List!B:C,2,0)-VLOOKUP(Summary!$P$7,List!B:C,2,0))&gt;=0,1,"")</f>
        <v>1</v>
      </c>
      <c r="Z34" s="198">
        <f>+IF((VLOOKUP(A34,List!B:C,2,0)-VLOOKUP(Summary!$P$7,List!B:C,2,0))&gt;0,1,"")</f>
        <v>1</v>
      </c>
      <c r="AA34" s="141">
        <f t="shared" si="6"/>
        <v>2</v>
      </c>
      <c r="AB34" s="199" t="str">
        <f>+IF(AA34="","",IF(Summary!$J$7="Fixed Price","",IF(M34="",IF(I34="","",1),"")))</f>
        <v/>
      </c>
      <c r="AC34" s="198">
        <f t="shared" si="14"/>
        <v>0</v>
      </c>
    </row>
    <row r="35" spans="1:29" x14ac:dyDescent="0.2">
      <c r="A35" s="155" t="str">
        <f t="shared" si="0"/>
        <v>-</v>
      </c>
      <c r="B35" s="154" t="str">
        <f t="shared" si="7"/>
        <v/>
      </c>
      <c r="C35" s="153" t="str">
        <f t="shared" si="8"/>
        <v/>
      </c>
      <c r="D35" s="152" t="str">
        <f t="shared" si="1"/>
        <v>-</v>
      </c>
      <c r="E35" s="151" t="str">
        <f>+IF($B35="","",Summary!$P$4)</f>
        <v/>
      </c>
      <c r="F35" s="151" t="str">
        <f>+IF($B35="","",Summary!$P$5)</f>
        <v/>
      </c>
      <c r="G35" s="151" t="str">
        <f>+IF($B35="","",Summary!$P$6)</f>
        <v/>
      </c>
      <c r="H35" s="150" t="str">
        <f t="shared" si="2"/>
        <v/>
      </c>
      <c r="I35" s="148"/>
      <c r="J35" s="148"/>
      <c r="K35" s="148"/>
      <c r="L35" s="148"/>
      <c r="M35" s="148"/>
      <c r="N35" s="148" t="e">
        <f t="shared" si="3"/>
        <v>#REF!</v>
      </c>
      <c r="O35" s="148" t="e">
        <f>COUNTIFS(#REF!,"&gt;="&amp;DATE($C35,$B35,1),#REF!,"&lt;="&amp;EOMONTH(DATE($C35,$B35,1),0),#REF!,"Incident")+
COUNTIFS(#REF!,"&gt;="&amp;DATE($C35,$B35,1),#REF!,"&lt;="&amp;EOMONTH(DATE($C35,$B35,1),0),#REF!,"user_request")</f>
        <v>#REF!</v>
      </c>
      <c r="P35" s="147">
        <f t="shared" si="9"/>
        <v>0</v>
      </c>
      <c r="Q35" s="147">
        <f t="shared" si="10"/>
        <v>0</v>
      </c>
      <c r="R35" s="147">
        <f t="shared" si="11"/>
        <v>0</v>
      </c>
      <c r="S35" s="146" t="e">
        <f t="shared" si="12"/>
        <v>#REF!</v>
      </c>
      <c r="T35" s="146" t="e">
        <f t="shared" si="13"/>
        <v>#REF!</v>
      </c>
      <c r="U35" s="145">
        <f t="shared" si="4"/>
        <v>0</v>
      </c>
      <c r="V35" s="145" t="e">
        <f t="shared" si="5"/>
        <v>#REF!</v>
      </c>
      <c r="W35" s="142">
        <v>32</v>
      </c>
      <c r="X35" s="142" t="str">
        <f>+IF((VLOOKUP(A35,List!B:C,2,0)-VLOOKUP(Summary!$P$7,List!B:C,2,0))=0,1,"")</f>
        <v/>
      </c>
      <c r="Y35" s="198">
        <f>+IF((VLOOKUP(A35,List!B:C,2,0)-VLOOKUP(Summary!$P$7,List!B:C,2,0))&gt;=0,1,"")</f>
        <v>1</v>
      </c>
      <c r="Z35" s="198">
        <f>+IF((VLOOKUP(A35,List!B:C,2,0)-VLOOKUP(Summary!$P$7,List!B:C,2,0))&gt;0,1,"")</f>
        <v>1</v>
      </c>
      <c r="AA35" s="141">
        <f t="shared" si="6"/>
        <v>2</v>
      </c>
      <c r="AB35" s="199" t="str">
        <f>+IF(AA35="","",IF(Summary!$J$7="Fixed Price","",IF(M35="",IF(I35="","",1),"")))</f>
        <v/>
      </c>
      <c r="AC35" s="198">
        <f t="shared" si="14"/>
        <v>0</v>
      </c>
    </row>
    <row r="36" spans="1:29" x14ac:dyDescent="0.2">
      <c r="A36" s="155" t="str">
        <f t="shared" ref="A36:A63" si="15">CONCATENATE(C36,"-",B36)</f>
        <v>-</v>
      </c>
      <c r="B36" s="154" t="str">
        <f t="shared" si="7"/>
        <v/>
      </c>
      <c r="C36" s="153" t="str">
        <f t="shared" si="8"/>
        <v/>
      </c>
      <c r="D36" s="152" t="str">
        <f t="shared" ref="D36:D63" si="16">CONCATENATE(C36,"-",B36)</f>
        <v>-</v>
      </c>
      <c r="E36" s="159" t="str">
        <f>+IF($B36="","",Summary!$P$4)</f>
        <v/>
      </c>
      <c r="F36" s="159" t="str">
        <f>+IF($B36="","",Summary!$P$5)</f>
        <v/>
      </c>
      <c r="G36" s="159" t="str">
        <f>+IF($B36="","",Summary!$P$6)</f>
        <v/>
      </c>
      <c r="H36" s="158" t="str">
        <f t="shared" ref="H36:H63" si="17">+IF($B36="","",IF(U36&lt;-15%,"Red",IF(U36&lt;0%,"Amber","Green")))</f>
        <v/>
      </c>
      <c r="I36" s="156"/>
      <c r="J36" s="156"/>
      <c r="K36" s="156"/>
      <c r="L36" s="156"/>
      <c r="M36" s="156"/>
      <c r="N36" s="156" t="e">
        <f t="shared" ref="N36:N63" si="18">O36</f>
        <v>#REF!</v>
      </c>
      <c r="O36" s="156" t="e">
        <f>COUNTIFS(#REF!,"&gt;="&amp;DATE($C36,$B36,1),#REF!,"&lt;="&amp;EOMONTH(DATE($C36,$B36,1),0),#REF!,"Incident")+
COUNTIFS(#REF!,"&gt;="&amp;DATE($C36,$B36,1),#REF!,"&lt;="&amp;EOMONTH(DATE($C36,$B36,1),0),#REF!,"user_request")</f>
        <v>#REF!</v>
      </c>
      <c r="P36" s="147">
        <f t="shared" si="9"/>
        <v>0</v>
      </c>
      <c r="Q36" s="147">
        <f t="shared" si="10"/>
        <v>0</v>
      </c>
      <c r="R36" s="147">
        <f t="shared" si="11"/>
        <v>0</v>
      </c>
      <c r="S36" s="146" t="e">
        <f t="shared" si="12"/>
        <v>#REF!</v>
      </c>
      <c r="T36" s="146" t="e">
        <f t="shared" si="13"/>
        <v>#REF!</v>
      </c>
      <c r="U36" s="145">
        <f t="shared" ref="U36:U63" si="19">IF(Q36=0,0,IF(K36&lt;&gt;"",(Q36-(R36+L36))/Q36,U35))</f>
        <v>0</v>
      </c>
      <c r="V36" s="145" t="e">
        <f t="shared" ref="V36:V63" si="20">IF(S36=0,0,IF(O36&lt;&gt;"",(S36-(T36))/S36,V35))</f>
        <v>#REF!</v>
      </c>
      <c r="W36" s="142">
        <v>33</v>
      </c>
      <c r="X36" s="142" t="str">
        <f>+IF((VLOOKUP(A36,List!B:C,2,0)-VLOOKUP(Summary!$P$7,List!B:C,2,0))=0,1,"")</f>
        <v/>
      </c>
      <c r="Y36" s="198">
        <f>+IF((VLOOKUP(A36,List!B:C,2,0)-VLOOKUP(Summary!$P$7,List!B:C,2,0))&gt;=0,1,"")</f>
        <v>1</v>
      </c>
      <c r="Z36" s="198">
        <f>+IF((VLOOKUP(A36,List!B:C,2,0)-VLOOKUP(Summary!$P$7,List!B:C,2,0))&gt;0,1,"")</f>
        <v>1</v>
      </c>
      <c r="AA36" s="141">
        <f t="shared" ref="AA36:AA63" si="21">+IFERROR(IF(Z36="","",IF(YEAR(G36)&gt;C36,1,IF(YEAR(G36)=C36,IF(MONTH(G36)&gt;=B36,1,2)))),2)</f>
        <v>2</v>
      </c>
      <c r="AB36" s="199" t="str">
        <f>+IF(AA36="","",IF(Summary!$J$7="Fixed Price","",IF(M36="",IF(I36="","",1),"")))</f>
        <v/>
      </c>
      <c r="AC36" s="198">
        <f t="shared" si="14"/>
        <v>0</v>
      </c>
    </row>
    <row r="37" spans="1:29" x14ac:dyDescent="0.2">
      <c r="A37" s="155" t="str">
        <f t="shared" si="15"/>
        <v>-</v>
      </c>
      <c r="B37" s="154" t="str">
        <f t="shared" ref="B37:B63" si="22">IF(W37&lt;=$W$2,IF(B36&gt;11,1,B36+1),"")</f>
        <v/>
      </c>
      <c r="C37" s="153" t="str">
        <f t="shared" ref="C37:C63" si="23">IF(W37&lt;=$W$2,IF(B36&gt;11,C36+1,C36),"")</f>
        <v/>
      </c>
      <c r="D37" s="152" t="str">
        <f t="shared" si="16"/>
        <v>-</v>
      </c>
      <c r="E37" s="151" t="str">
        <f>+IF($B37="","",Summary!$P$4)</f>
        <v/>
      </c>
      <c r="F37" s="151" t="str">
        <f>+IF($B37="","",Summary!$P$5)</f>
        <v/>
      </c>
      <c r="G37" s="151" t="str">
        <f>+IF($B37="","",Summary!$P$6)</f>
        <v/>
      </c>
      <c r="H37" s="150" t="str">
        <f t="shared" si="17"/>
        <v/>
      </c>
      <c r="I37" s="148"/>
      <c r="J37" s="148"/>
      <c r="K37" s="148"/>
      <c r="L37" s="148"/>
      <c r="M37" s="148"/>
      <c r="N37" s="148" t="e">
        <f t="shared" si="18"/>
        <v>#REF!</v>
      </c>
      <c r="O37" s="148" t="e">
        <f>COUNTIFS(#REF!,"&gt;="&amp;DATE($C37,$B37,1),#REF!,"&lt;="&amp;EOMONTH(DATE($C37,$B37,1),0),#REF!,"Incident")+
COUNTIFS(#REF!,"&gt;="&amp;DATE($C37,$B37,1),#REF!,"&lt;="&amp;EOMONTH(DATE($C37,$B37,1),0),#REF!,"user_request")</f>
        <v>#REF!</v>
      </c>
      <c r="P37" s="147">
        <f t="shared" ref="P37:P63" si="24">I37+P36</f>
        <v>0</v>
      </c>
      <c r="Q37" s="147">
        <f t="shared" ref="Q37:Q63" si="25">Q36+J37</f>
        <v>0</v>
      </c>
      <c r="R37" s="147">
        <f t="shared" ref="R37:R63" si="26">K37+R36</f>
        <v>0</v>
      </c>
      <c r="S37" s="146" t="e">
        <f t="shared" ref="S37:S63" si="27">N37+S36</f>
        <v>#REF!</v>
      </c>
      <c r="T37" s="146" t="e">
        <f t="shared" ref="T37:T63" si="28">O37+T36</f>
        <v>#REF!</v>
      </c>
      <c r="U37" s="145">
        <f t="shared" si="19"/>
        <v>0</v>
      </c>
      <c r="V37" s="145" t="e">
        <f t="shared" si="20"/>
        <v>#REF!</v>
      </c>
      <c r="W37" s="142">
        <v>34</v>
      </c>
      <c r="X37" s="142" t="str">
        <f>+IF((VLOOKUP(A37,List!B:C,2,0)-VLOOKUP(Summary!$P$7,List!B:C,2,0))=0,1,"")</f>
        <v/>
      </c>
      <c r="Y37" s="198">
        <f>+IF((VLOOKUP(A37,List!B:C,2,0)-VLOOKUP(Summary!$P$7,List!B:C,2,0))&gt;=0,1,"")</f>
        <v>1</v>
      </c>
      <c r="Z37" s="198">
        <f>+IF((VLOOKUP(A37,List!B:C,2,0)-VLOOKUP(Summary!$P$7,List!B:C,2,0))&gt;0,1,"")</f>
        <v>1</v>
      </c>
      <c r="AA37" s="141">
        <f t="shared" si="21"/>
        <v>2</v>
      </c>
      <c r="AB37" s="199" t="str">
        <f>+IF(AA37="","",IF(Summary!$J$7="Fixed Price","",IF(M37="",IF(I37="","",1),"")))</f>
        <v/>
      </c>
      <c r="AC37" s="198">
        <f t="shared" si="14"/>
        <v>0</v>
      </c>
    </row>
    <row r="38" spans="1:29" x14ac:dyDescent="0.2">
      <c r="A38" s="155" t="str">
        <f t="shared" si="15"/>
        <v>-</v>
      </c>
      <c r="B38" s="154" t="str">
        <f t="shared" si="22"/>
        <v/>
      </c>
      <c r="C38" s="153" t="str">
        <f t="shared" si="23"/>
        <v/>
      </c>
      <c r="D38" s="152" t="str">
        <f t="shared" si="16"/>
        <v>-</v>
      </c>
      <c r="E38" s="159" t="str">
        <f>+IF($B38="","",Summary!$P$4)</f>
        <v/>
      </c>
      <c r="F38" s="159" t="str">
        <f>+IF($B38="","",Summary!$P$5)</f>
        <v/>
      </c>
      <c r="G38" s="159" t="str">
        <f>+IF($B38="","",Summary!$P$6)</f>
        <v/>
      </c>
      <c r="H38" s="158" t="str">
        <f t="shared" si="17"/>
        <v/>
      </c>
      <c r="I38" s="156"/>
      <c r="J38" s="156"/>
      <c r="K38" s="156"/>
      <c r="L38" s="156"/>
      <c r="M38" s="156"/>
      <c r="N38" s="156" t="e">
        <f t="shared" si="18"/>
        <v>#REF!</v>
      </c>
      <c r="O38" s="156" t="e">
        <f>COUNTIFS(#REF!,"&gt;="&amp;DATE($C38,$B38,1),#REF!,"&lt;="&amp;EOMONTH(DATE($C38,$B38,1),0),#REF!,"Incident")+
COUNTIFS(#REF!,"&gt;="&amp;DATE($C38,$B38,1),#REF!,"&lt;="&amp;EOMONTH(DATE($C38,$B38,1),0),#REF!,"user_request")</f>
        <v>#REF!</v>
      </c>
      <c r="P38" s="147">
        <f t="shared" si="24"/>
        <v>0</v>
      </c>
      <c r="Q38" s="147">
        <f t="shared" si="25"/>
        <v>0</v>
      </c>
      <c r="R38" s="147">
        <f t="shared" si="26"/>
        <v>0</v>
      </c>
      <c r="S38" s="146" t="e">
        <f t="shared" si="27"/>
        <v>#REF!</v>
      </c>
      <c r="T38" s="146" t="e">
        <f t="shared" si="28"/>
        <v>#REF!</v>
      </c>
      <c r="U38" s="145">
        <f t="shared" si="19"/>
        <v>0</v>
      </c>
      <c r="V38" s="145" t="e">
        <f t="shared" si="20"/>
        <v>#REF!</v>
      </c>
      <c r="W38" s="142">
        <v>35</v>
      </c>
      <c r="X38" s="142" t="str">
        <f>+IF((VLOOKUP(A38,List!B:C,2,0)-VLOOKUP(Summary!$P$7,List!B:C,2,0))=0,1,"")</f>
        <v/>
      </c>
      <c r="Y38" s="198">
        <f>+IF((VLOOKUP(A38,List!B:C,2,0)-VLOOKUP(Summary!$P$7,List!B:C,2,0))&gt;=0,1,"")</f>
        <v>1</v>
      </c>
      <c r="Z38" s="198">
        <f>+IF((VLOOKUP(A38,List!B:C,2,0)-VLOOKUP(Summary!$P$7,List!B:C,2,0))&gt;0,1,"")</f>
        <v>1</v>
      </c>
      <c r="AA38" s="141">
        <f t="shared" si="21"/>
        <v>2</v>
      </c>
      <c r="AB38" s="199" t="str">
        <f>+IF(AA38="","",IF(Summary!$J$7="Fixed Price","",IF(M38="",IF(I38="","",1),"")))</f>
        <v/>
      </c>
      <c r="AC38" s="198">
        <f t="shared" si="14"/>
        <v>0</v>
      </c>
    </row>
    <row r="39" spans="1:29" x14ac:dyDescent="0.2">
      <c r="A39" s="155" t="str">
        <f t="shared" si="15"/>
        <v>-</v>
      </c>
      <c r="B39" s="154" t="str">
        <f t="shared" si="22"/>
        <v/>
      </c>
      <c r="C39" s="153" t="str">
        <f t="shared" si="23"/>
        <v/>
      </c>
      <c r="D39" s="152" t="str">
        <f t="shared" si="16"/>
        <v>-</v>
      </c>
      <c r="E39" s="151" t="str">
        <f>+IF($B39="","",Summary!$P$4)</f>
        <v/>
      </c>
      <c r="F39" s="151" t="str">
        <f>+IF($B39="","",Summary!$P$5)</f>
        <v/>
      </c>
      <c r="G39" s="151" t="str">
        <f>+IF($B39="","",Summary!$P$6)</f>
        <v/>
      </c>
      <c r="H39" s="150" t="str">
        <f t="shared" si="17"/>
        <v/>
      </c>
      <c r="I39" s="148"/>
      <c r="J39" s="148"/>
      <c r="K39" s="148"/>
      <c r="L39" s="148"/>
      <c r="M39" s="148"/>
      <c r="N39" s="148" t="e">
        <f t="shared" si="18"/>
        <v>#REF!</v>
      </c>
      <c r="O39" s="148" t="e">
        <f>COUNTIFS(#REF!,"&gt;="&amp;DATE($C39,$B39,1),#REF!,"&lt;="&amp;EOMONTH(DATE($C39,$B39,1),0),#REF!,"Incident")+
COUNTIFS(#REF!,"&gt;="&amp;DATE($C39,$B39,1),#REF!,"&lt;="&amp;EOMONTH(DATE($C39,$B39,1),0),#REF!,"user_request")</f>
        <v>#REF!</v>
      </c>
      <c r="P39" s="147">
        <f t="shared" si="24"/>
        <v>0</v>
      </c>
      <c r="Q39" s="147">
        <f t="shared" si="25"/>
        <v>0</v>
      </c>
      <c r="R39" s="147">
        <f t="shared" si="26"/>
        <v>0</v>
      </c>
      <c r="S39" s="146" t="e">
        <f t="shared" si="27"/>
        <v>#REF!</v>
      </c>
      <c r="T39" s="146" t="e">
        <f t="shared" si="28"/>
        <v>#REF!</v>
      </c>
      <c r="U39" s="145">
        <f t="shared" si="19"/>
        <v>0</v>
      </c>
      <c r="V39" s="145" t="e">
        <f t="shared" si="20"/>
        <v>#REF!</v>
      </c>
      <c r="W39" s="142">
        <v>36</v>
      </c>
      <c r="X39" s="142" t="str">
        <f>+IF((VLOOKUP(A39,List!B:C,2,0)-VLOOKUP(Summary!$P$7,List!B:C,2,0))=0,1,"")</f>
        <v/>
      </c>
      <c r="Y39" s="198">
        <f>+IF((VLOOKUP(A39,List!B:C,2,0)-VLOOKUP(Summary!$P$7,List!B:C,2,0))&gt;=0,1,"")</f>
        <v>1</v>
      </c>
      <c r="Z39" s="198">
        <f>+IF((VLOOKUP(A39,List!B:C,2,0)-VLOOKUP(Summary!$P$7,List!B:C,2,0))&gt;0,1,"")</f>
        <v>1</v>
      </c>
      <c r="AA39" s="141">
        <f t="shared" si="21"/>
        <v>2</v>
      </c>
      <c r="AB39" s="199" t="str">
        <f>+IF(AA39="","",IF(Summary!$J$7="Fixed Price","",IF(M39="",IF(I39="","",1),"")))</f>
        <v/>
      </c>
      <c r="AC39" s="198">
        <f t="shared" si="14"/>
        <v>0</v>
      </c>
    </row>
    <row r="40" spans="1:29" x14ac:dyDescent="0.2">
      <c r="A40" s="155" t="str">
        <f t="shared" si="15"/>
        <v>-</v>
      </c>
      <c r="B40" s="154" t="str">
        <f t="shared" si="22"/>
        <v/>
      </c>
      <c r="C40" s="153" t="str">
        <f t="shared" si="23"/>
        <v/>
      </c>
      <c r="D40" s="152" t="str">
        <f t="shared" si="16"/>
        <v>-</v>
      </c>
      <c r="E40" s="159" t="str">
        <f>+IF($B40="","",Summary!$P$4)</f>
        <v/>
      </c>
      <c r="F40" s="159" t="str">
        <f>+IF($B40="","",Summary!$P$5)</f>
        <v/>
      </c>
      <c r="G40" s="159" t="str">
        <f>+IF($B40="","",Summary!$P$6)</f>
        <v/>
      </c>
      <c r="H40" s="158" t="str">
        <f t="shared" si="17"/>
        <v/>
      </c>
      <c r="I40" s="156"/>
      <c r="J40" s="157"/>
      <c r="K40" s="156"/>
      <c r="L40" s="156"/>
      <c r="M40" s="156"/>
      <c r="N40" s="157" t="e">
        <f t="shared" si="18"/>
        <v>#REF!</v>
      </c>
      <c r="O40" s="157" t="e">
        <f>COUNTIFS(#REF!,"&gt;="&amp;DATE($C40,$B40,1),#REF!,"&lt;="&amp;EOMONTH(DATE($C40,$B40,1),0),#REF!,"Incident")+
COUNTIFS(#REF!,"&gt;="&amp;DATE($C40,$B40,1),#REF!,"&lt;="&amp;EOMONTH(DATE($C40,$B40,1),0),#REF!,"user_request")</f>
        <v>#REF!</v>
      </c>
      <c r="P40" s="147">
        <f t="shared" si="24"/>
        <v>0</v>
      </c>
      <c r="Q40" s="147">
        <f t="shared" si="25"/>
        <v>0</v>
      </c>
      <c r="R40" s="147">
        <f t="shared" si="26"/>
        <v>0</v>
      </c>
      <c r="S40" s="146" t="e">
        <f t="shared" si="27"/>
        <v>#REF!</v>
      </c>
      <c r="T40" s="146" t="e">
        <f t="shared" si="28"/>
        <v>#REF!</v>
      </c>
      <c r="U40" s="145">
        <f t="shared" si="19"/>
        <v>0</v>
      </c>
      <c r="V40" s="145" t="e">
        <f t="shared" si="20"/>
        <v>#REF!</v>
      </c>
      <c r="W40" s="142">
        <v>37</v>
      </c>
      <c r="X40" s="142" t="str">
        <f>+IF((VLOOKUP(A40,List!B:C,2,0)-VLOOKUP(Summary!$P$7,List!B:C,2,0))=0,1,"")</f>
        <v/>
      </c>
      <c r="Y40" s="198">
        <f>+IF((VLOOKUP(A40,List!B:C,2,0)-VLOOKUP(Summary!$P$7,List!B:C,2,0))&gt;=0,1,"")</f>
        <v>1</v>
      </c>
      <c r="Z40" s="198">
        <f>+IF((VLOOKUP(A40,List!B:C,2,0)-VLOOKUP(Summary!$P$7,List!B:C,2,0))&gt;0,1,"")</f>
        <v>1</v>
      </c>
      <c r="AA40" s="141">
        <f t="shared" si="21"/>
        <v>2</v>
      </c>
      <c r="AB40" s="199" t="str">
        <f>+IF(AA40="","",IF(Summary!$J$7="Fixed Price","",IF(M40="",IF(I40="","",1),"")))</f>
        <v/>
      </c>
      <c r="AC40" s="198">
        <f t="shared" si="14"/>
        <v>0</v>
      </c>
    </row>
    <row r="41" spans="1:29" x14ac:dyDescent="0.2">
      <c r="A41" s="155" t="str">
        <f t="shared" si="15"/>
        <v>-</v>
      </c>
      <c r="B41" s="154" t="str">
        <f t="shared" si="22"/>
        <v/>
      </c>
      <c r="C41" s="153" t="str">
        <f t="shared" si="23"/>
        <v/>
      </c>
      <c r="D41" s="152" t="str">
        <f t="shared" si="16"/>
        <v>-</v>
      </c>
      <c r="E41" s="151" t="str">
        <f>+IF($B41="","",Summary!$P$4)</f>
        <v/>
      </c>
      <c r="F41" s="151" t="str">
        <f>+IF($B41="","",Summary!$P$5)</f>
        <v/>
      </c>
      <c r="G41" s="151" t="str">
        <f>+IF($B41="","",Summary!$P$6)</f>
        <v/>
      </c>
      <c r="H41" s="150" t="str">
        <f t="shared" si="17"/>
        <v/>
      </c>
      <c r="I41" s="148"/>
      <c r="J41" s="149"/>
      <c r="K41" s="148"/>
      <c r="L41" s="148"/>
      <c r="M41" s="148"/>
      <c r="N41" s="149" t="e">
        <f t="shared" si="18"/>
        <v>#REF!</v>
      </c>
      <c r="O41" s="149" t="e">
        <f>COUNTIFS(#REF!,"&gt;="&amp;DATE($C41,$B41,1),#REF!,"&lt;="&amp;EOMONTH(DATE($C41,$B41,1),0),#REF!,"Incident")+
COUNTIFS(#REF!,"&gt;="&amp;DATE($C41,$B41,1),#REF!,"&lt;="&amp;EOMONTH(DATE($C41,$B41,1),0),#REF!,"user_request")</f>
        <v>#REF!</v>
      </c>
      <c r="P41" s="147">
        <f t="shared" si="24"/>
        <v>0</v>
      </c>
      <c r="Q41" s="147">
        <f t="shared" si="25"/>
        <v>0</v>
      </c>
      <c r="R41" s="147">
        <f t="shared" si="26"/>
        <v>0</v>
      </c>
      <c r="S41" s="146" t="e">
        <f t="shared" si="27"/>
        <v>#REF!</v>
      </c>
      <c r="T41" s="146" t="e">
        <f t="shared" si="28"/>
        <v>#REF!</v>
      </c>
      <c r="U41" s="145">
        <f t="shared" si="19"/>
        <v>0</v>
      </c>
      <c r="V41" s="145" t="e">
        <f t="shared" si="20"/>
        <v>#REF!</v>
      </c>
      <c r="W41" s="142">
        <v>38</v>
      </c>
      <c r="X41" s="142" t="str">
        <f>+IF((VLOOKUP(A41,List!B:C,2,0)-VLOOKUP(Summary!$P$7,List!B:C,2,0))=0,1,"")</f>
        <v/>
      </c>
      <c r="Y41" s="198">
        <f>+IF((VLOOKUP(A41,List!B:C,2,0)-VLOOKUP(Summary!$P$7,List!B:C,2,0))&gt;=0,1,"")</f>
        <v>1</v>
      </c>
      <c r="Z41" s="198">
        <f>+IF((VLOOKUP(A41,List!B:C,2,0)-VLOOKUP(Summary!$P$7,List!B:C,2,0))&gt;0,1,"")</f>
        <v>1</v>
      </c>
      <c r="AA41" s="141">
        <f t="shared" si="21"/>
        <v>2</v>
      </c>
      <c r="AB41" s="199" t="str">
        <f>+IF(AA41="","",IF(Summary!$J$7="Fixed Price","",IF(M41="",IF(I41="","",1),"")))</f>
        <v/>
      </c>
      <c r="AC41" s="198">
        <f t="shared" si="14"/>
        <v>0</v>
      </c>
    </row>
    <row r="42" spans="1:29" x14ac:dyDescent="0.2">
      <c r="A42" s="155" t="str">
        <f t="shared" si="15"/>
        <v>-</v>
      </c>
      <c r="B42" s="154" t="str">
        <f t="shared" si="22"/>
        <v/>
      </c>
      <c r="C42" s="153" t="str">
        <f t="shared" si="23"/>
        <v/>
      </c>
      <c r="D42" s="152" t="str">
        <f t="shared" si="16"/>
        <v>-</v>
      </c>
      <c r="E42" s="159" t="str">
        <f>+IF($B42="","",Summary!$P$4)</f>
        <v/>
      </c>
      <c r="F42" s="159" t="str">
        <f>+IF($B42="","",Summary!$P$5)</f>
        <v/>
      </c>
      <c r="G42" s="159" t="str">
        <f>+IF($B42="","",Summary!$P$6)</f>
        <v/>
      </c>
      <c r="H42" s="158" t="str">
        <f t="shared" si="17"/>
        <v/>
      </c>
      <c r="I42" s="156"/>
      <c r="J42" s="157"/>
      <c r="K42" s="156"/>
      <c r="L42" s="156"/>
      <c r="M42" s="156"/>
      <c r="N42" s="157" t="e">
        <f t="shared" si="18"/>
        <v>#REF!</v>
      </c>
      <c r="O42" s="157" t="e">
        <f>COUNTIFS(#REF!,"&gt;="&amp;DATE($C42,$B42,1),#REF!,"&lt;="&amp;EOMONTH(DATE($C42,$B42,1),0),#REF!,"Incident")+
COUNTIFS(#REF!,"&gt;="&amp;DATE($C42,$B42,1),#REF!,"&lt;="&amp;EOMONTH(DATE($C42,$B42,1),0),#REF!,"user_request")</f>
        <v>#REF!</v>
      </c>
      <c r="P42" s="147">
        <f t="shared" si="24"/>
        <v>0</v>
      </c>
      <c r="Q42" s="147">
        <f t="shared" si="25"/>
        <v>0</v>
      </c>
      <c r="R42" s="147">
        <f t="shared" si="26"/>
        <v>0</v>
      </c>
      <c r="S42" s="146" t="e">
        <f t="shared" si="27"/>
        <v>#REF!</v>
      </c>
      <c r="T42" s="146" t="e">
        <f t="shared" si="28"/>
        <v>#REF!</v>
      </c>
      <c r="U42" s="145">
        <f t="shared" si="19"/>
        <v>0</v>
      </c>
      <c r="V42" s="145" t="e">
        <f t="shared" si="20"/>
        <v>#REF!</v>
      </c>
      <c r="W42" s="142">
        <v>39</v>
      </c>
      <c r="X42" s="142" t="str">
        <f>+IF((VLOOKUP(A42,List!B:C,2,0)-VLOOKUP(Summary!$P$7,List!B:C,2,0))=0,1,"")</f>
        <v/>
      </c>
      <c r="Y42" s="198">
        <f>+IF((VLOOKUP(A42,List!B:C,2,0)-VLOOKUP(Summary!$P$7,List!B:C,2,0))&gt;=0,1,"")</f>
        <v>1</v>
      </c>
      <c r="Z42" s="198">
        <f>+IF((VLOOKUP(A42,List!B:C,2,0)-VLOOKUP(Summary!$P$7,List!B:C,2,0))&gt;0,1,"")</f>
        <v>1</v>
      </c>
      <c r="AA42" s="141">
        <f t="shared" si="21"/>
        <v>2</v>
      </c>
      <c r="AB42" s="199" t="str">
        <f>+IF(AA42="","",IF(Summary!$J$7="Fixed Price","",IF(M42="",IF(I42="","",1),"")))</f>
        <v/>
      </c>
      <c r="AC42" s="198">
        <f t="shared" si="14"/>
        <v>0</v>
      </c>
    </row>
    <row r="43" spans="1:29" x14ac:dyDescent="0.2">
      <c r="A43" s="155" t="str">
        <f t="shared" si="15"/>
        <v>-</v>
      </c>
      <c r="B43" s="154" t="str">
        <f t="shared" si="22"/>
        <v/>
      </c>
      <c r="C43" s="153" t="str">
        <f t="shared" si="23"/>
        <v/>
      </c>
      <c r="D43" s="152" t="str">
        <f t="shared" si="16"/>
        <v>-</v>
      </c>
      <c r="E43" s="151" t="str">
        <f>+IF($B43="","",Summary!$P$4)</f>
        <v/>
      </c>
      <c r="F43" s="151" t="str">
        <f>+IF($B43="","",Summary!$P$5)</f>
        <v/>
      </c>
      <c r="G43" s="151" t="str">
        <f>+IF($B43="","",Summary!$P$6)</f>
        <v/>
      </c>
      <c r="H43" s="150" t="str">
        <f t="shared" si="17"/>
        <v/>
      </c>
      <c r="I43" s="148"/>
      <c r="J43" s="149"/>
      <c r="K43" s="148"/>
      <c r="L43" s="148"/>
      <c r="M43" s="148"/>
      <c r="N43" s="149" t="e">
        <f t="shared" si="18"/>
        <v>#REF!</v>
      </c>
      <c r="O43" s="149" t="e">
        <f>COUNTIFS(#REF!,"&gt;="&amp;DATE($C43,$B43,1),#REF!,"&lt;="&amp;EOMONTH(DATE($C43,$B43,1),0),#REF!,"Incident")+
COUNTIFS(#REF!,"&gt;="&amp;DATE($C43,$B43,1),#REF!,"&lt;="&amp;EOMONTH(DATE($C43,$B43,1),0),#REF!,"user_request")</f>
        <v>#REF!</v>
      </c>
      <c r="P43" s="147">
        <f t="shared" si="24"/>
        <v>0</v>
      </c>
      <c r="Q43" s="147">
        <f t="shared" si="25"/>
        <v>0</v>
      </c>
      <c r="R43" s="147">
        <f t="shared" si="26"/>
        <v>0</v>
      </c>
      <c r="S43" s="146" t="e">
        <f t="shared" si="27"/>
        <v>#REF!</v>
      </c>
      <c r="T43" s="146" t="e">
        <f t="shared" si="28"/>
        <v>#REF!</v>
      </c>
      <c r="U43" s="145">
        <f t="shared" si="19"/>
        <v>0</v>
      </c>
      <c r="V43" s="145" t="e">
        <f t="shared" si="20"/>
        <v>#REF!</v>
      </c>
      <c r="W43" s="142">
        <v>40</v>
      </c>
      <c r="X43" s="142" t="str">
        <f>+IF((VLOOKUP(A43,List!B:C,2,0)-VLOOKUP(Summary!$P$7,List!B:C,2,0))=0,1,"")</f>
        <v/>
      </c>
      <c r="Y43" s="198">
        <f>+IF((VLOOKUP(A43,List!B:C,2,0)-VLOOKUP(Summary!$P$7,List!B:C,2,0))&gt;=0,1,"")</f>
        <v>1</v>
      </c>
      <c r="Z43" s="198">
        <f>+IF((VLOOKUP(A43,List!B:C,2,0)-VLOOKUP(Summary!$P$7,List!B:C,2,0))&gt;0,1,"")</f>
        <v>1</v>
      </c>
      <c r="AA43" s="141">
        <f t="shared" si="21"/>
        <v>2</v>
      </c>
      <c r="AB43" s="199" t="str">
        <f>+IF(AA43="","",IF(Summary!$J$7="Fixed Price","",IF(M43="",IF(I43="","",1),"")))</f>
        <v/>
      </c>
      <c r="AC43" s="198">
        <f t="shared" si="14"/>
        <v>0</v>
      </c>
    </row>
    <row r="44" spans="1:29" x14ac:dyDescent="0.2">
      <c r="A44" s="155" t="str">
        <f t="shared" si="15"/>
        <v>-</v>
      </c>
      <c r="B44" s="154" t="str">
        <f t="shared" si="22"/>
        <v/>
      </c>
      <c r="C44" s="153" t="str">
        <f t="shared" si="23"/>
        <v/>
      </c>
      <c r="D44" s="152" t="str">
        <f t="shared" si="16"/>
        <v>-</v>
      </c>
      <c r="E44" s="159" t="str">
        <f>+IF($B44="","",Summary!$P$4)</f>
        <v/>
      </c>
      <c r="F44" s="159" t="str">
        <f>+IF($B44="","",Summary!$P$5)</f>
        <v/>
      </c>
      <c r="G44" s="159" t="str">
        <f>+IF($B44="","",Summary!$P$6)</f>
        <v/>
      </c>
      <c r="H44" s="158" t="str">
        <f t="shared" si="17"/>
        <v/>
      </c>
      <c r="I44" s="156"/>
      <c r="J44" s="157"/>
      <c r="K44" s="156"/>
      <c r="L44" s="156"/>
      <c r="M44" s="156"/>
      <c r="N44" s="157" t="e">
        <f t="shared" si="18"/>
        <v>#REF!</v>
      </c>
      <c r="O44" s="157" t="e">
        <f>COUNTIFS(#REF!,"&gt;="&amp;DATE($C44,$B44,1),#REF!,"&lt;="&amp;EOMONTH(DATE($C44,$B44,1),0),#REF!,"Incident")+
COUNTIFS(#REF!,"&gt;="&amp;DATE($C44,$B44,1),#REF!,"&lt;="&amp;EOMONTH(DATE($C44,$B44,1),0),#REF!,"user_request")</f>
        <v>#REF!</v>
      </c>
      <c r="P44" s="147">
        <f t="shared" si="24"/>
        <v>0</v>
      </c>
      <c r="Q44" s="147">
        <f t="shared" si="25"/>
        <v>0</v>
      </c>
      <c r="R44" s="147">
        <f t="shared" si="26"/>
        <v>0</v>
      </c>
      <c r="S44" s="146" t="e">
        <f t="shared" si="27"/>
        <v>#REF!</v>
      </c>
      <c r="T44" s="146" t="e">
        <f t="shared" si="28"/>
        <v>#REF!</v>
      </c>
      <c r="U44" s="145">
        <f t="shared" si="19"/>
        <v>0</v>
      </c>
      <c r="V44" s="145" t="e">
        <f t="shared" si="20"/>
        <v>#REF!</v>
      </c>
      <c r="W44" s="142">
        <v>41</v>
      </c>
      <c r="X44" s="142" t="str">
        <f>+IF((VLOOKUP(A44,List!B:C,2,0)-VLOOKUP(Summary!$P$7,List!B:C,2,0))=0,1,"")</f>
        <v/>
      </c>
      <c r="Y44" s="198">
        <f>+IF((VLOOKUP(A44,List!B:C,2,0)-VLOOKUP(Summary!$P$7,List!B:C,2,0))&gt;=0,1,"")</f>
        <v>1</v>
      </c>
      <c r="Z44" s="198">
        <f>+IF((VLOOKUP(A44,List!B:C,2,0)-VLOOKUP(Summary!$P$7,List!B:C,2,0))&gt;0,1,"")</f>
        <v>1</v>
      </c>
      <c r="AA44" s="141">
        <f t="shared" si="21"/>
        <v>2</v>
      </c>
      <c r="AB44" s="199" t="str">
        <f>+IF(AA44="","",IF(Summary!$J$7="Fixed Price","",IF(M44="",IF(I44="","",1),"")))</f>
        <v/>
      </c>
      <c r="AC44" s="198">
        <f t="shared" si="14"/>
        <v>0</v>
      </c>
    </row>
    <row r="45" spans="1:29" x14ac:dyDescent="0.2">
      <c r="A45" s="155" t="str">
        <f t="shared" si="15"/>
        <v>-</v>
      </c>
      <c r="B45" s="154" t="str">
        <f t="shared" si="22"/>
        <v/>
      </c>
      <c r="C45" s="153" t="str">
        <f t="shared" si="23"/>
        <v/>
      </c>
      <c r="D45" s="152" t="str">
        <f t="shared" si="16"/>
        <v>-</v>
      </c>
      <c r="E45" s="151" t="str">
        <f>+IF($B45="","",Summary!$P$4)</f>
        <v/>
      </c>
      <c r="F45" s="151" t="str">
        <f>+IF($B45="","",Summary!$P$5)</f>
        <v/>
      </c>
      <c r="G45" s="151" t="str">
        <f>+IF($B45="","",Summary!$P$6)</f>
        <v/>
      </c>
      <c r="H45" s="150" t="str">
        <f t="shared" si="17"/>
        <v/>
      </c>
      <c r="I45" s="148"/>
      <c r="J45" s="149"/>
      <c r="K45" s="148"/>
      <c r="L45" s="148"/>
      <c r="M45" s="148"/>
      <c r="N45" s="149" t="e">
        <f t="shared" si="18"/>
        <v>#REF!</v>
      </c>
      <c r="O45" s="149" t="e">
        <f>COUNTIFS(#REF!,"&gt;="&amp;DATE($C45,$B45,1),#REF!,"&lt;="&amp;EOMONTH(DATE($C45,$B45,1),0),#REF!,"Incident")+
COUNTIFS(#REF!,"&gt;="&amp;DATE($C45,$B45,1),#REF!,"&lt;="&amp;EOMONTH(DATE($C45,$B45,1),0),#REF!,"user_request")</f>
        <v>#REF!</v>
      </c>
      <c r="P45" s="147">
        <f t="shared" si="24"/>
        <v>0</v>
      </c>
      <c r="Q45" s="147">
        <f t="shared" si="25"/>
        <v>0</v>
      </c>
      <c r="R45" s="147">
        <f t="shared" si="26"/>
        <v>0</v>
      </c>
      <c r="S45" s="146" t="e">
        <f t="shared" si="27"/>
        <v>#REF!</v>
      </c>
      <c r="T45" s="146" t="e">
        <f t="shared" si="28"/>
        <v>#REF!</v>
      </c>
      <c r="U45" s="145">
        <f t="shared" si="19"/>
        <v>0</v>
      </c>
      <c r="V45" s="145" t="e">
        <f t="shared" si="20"/>
        <v>#REF!</v>
      </c>
      <c r="W45" s="142">
        <v>42</v>
      </c>
      <c r="X45" s="142" t="str">
        <f>+IF((VLOOKUP(A45,List!B:C,2,0)-VLOOKUP(Summary!$P$7,List!B:C,2,0))=0,1,"")</f>
        <v/>
      </c>
      <c r="Y45" s="198">
        <f>+IF((VLOOKUP(A45,List!B:C,2,0)-VLOOKUP(Summary!$P$7,List!B:C,2,0))&gt;=0,1,"")</f>
        <v>1</v>
      </c>
      <c r="Z45" s="198">
        <f>+IF((VLOOKUP(A45,List!B:C,2,0)-VLOOKUP(Summary!$P$7,List!B:C,2,0))&gt;0,1,"")</f>
        <v>1</v>
      </c>
      <c r="AA45" s="141">
        <f t="shared" si="21"/>
        <v>2</v>
      </c>
      <c r="AB45" s="199" t="str">
        <f>+IF(AA45="","",IF(Summary!$J$7="Fixed Price","",IF(M45="",IF(I45="","",1),"")))</f>
        <v/>
      </c>
      <c r="AC45" s="198">
        <f t="shared" si="14"/>
        <v>0</v>
      </c>
    </row>
    <row r="46" spans="1:29" x14ac:dyDescent="0.2">
      <c r="A46" s="155" t="str">
        <f t="shared" si="15"/>
        <v>-</v>
      </c>
      <c r="B46" s="154" t="str">
        <f t="shared" si="22"/>
        <v/>
      </c>
      <c r="C46" s="153" t="str">
        <f t="shared" si="23"/>
        <v/>
      </c>
      <c r="D46" s="152" t="str">
        <f t="shared" si="16"/>
        <v>-</v>
      </c>
      <c r="E46" s="159" t="str">
        <f>+IF($B46="","",Summary!$P$4)</f>
        <v/>
      </c>
      <c r="F46" s="159" t="str">
        <f>+IF($B46="","",Summary!$P$5)</f>
        <v/>
      </c>
      <c r="G46" s="159" t="str">
        <f>+IF($B46="","",Summary!$P$6)</f>
        <v/>
      </c>
      <c r="H46" s="158" t="str">
        <f t="shared" si="17"/>
        <v/>
      </c>
      <c r="I46" s="156"/>
      <c r="J46" s="157"/>
      <c r="K46" s="156"/>
      <c r="L46" s="156"/>
      <c r="M46" s="156"/>
      <c r="N46" s="157" t="e">
        <f t="shared" si="18"/>
        <v>#REF!</v>
      </c>
      <c r="O46" s="157" t="e">
        <f>COUNTIFS(#REF!,"&gt;="&amp;DATE($C46,$B46,1),#REF!,"&lt;="&amp;EOMONTH(DATE($C46,$B46,1),0),#REF!,"Incident")+
COUNTIFS(#REF!,"&gt;="&amp;DATE($C46,$B46,1),#REF!,"&lt;="&amp;EOMONTH(DATE($C46,$B46,1),0),#REF!,"user_request")</f>
        <v>#REF!</v>
      </c>
      <c r="P46" s="147">
        <f t="shared" si="24"/>
        <v>0</v>
      </c>
      <c r="Q46" s="147">
        <f t="shared" si="25"/>
        <v>0</v>
      </c>
      <c r="R46" s="147">
        <f t="shared" si="26"/>
        <v>0</v>
      </c>
      <c r="S46" s="146" t="e">
        <f t="shared" si="27"/>
        <v>#REF!</v>
      </c>
      <c r="T46" s="146" t="e">
        <f t="shared" si="28"/>
        <v>#REF!</v>
      </c>
      <c r="U46" s="145">
        <f t="shared" si="19"/>
        <v>0</v>
      </c>
      <c r="V46" s="145" t="e">
        <f t="shared" si="20"/>
        <v>#REF!</v>
      </c>
      <c r="W46" s="142">
        <v>43</v>
      </c>
      <c r="X46" s="142" t="str">
        <f>+IF((VLOOKUP(A46,List!B:C,2,0)-VLOOKUP(Summary!$P$7,List!B:C,2,0))=0,1,"")</f>
        <v/>
      </c>
      <c r="Y46" s="198">
        <f>+IF((VLOOKUP(A46,List!B:C,2,0)-VLOOKUP(Summary!$P$7,List!B:C,2,0))&gt;=0,1,"")</f>
        <v>1</v>
      </c>
      <c r="Z46" s="198">
        <f>+IF((VLOOKUP(A46,List!B:C,2,0)-VLOOKUP(Summary!$P$7,List!B:C,2,0))&gt;0,1,"")</f>
        <v>1</v>
      </c>
      <c r="AA46" s="141">
        <f t="shared" si="21"/>
        <v>2</v>
      </c>
      <c r="AB46" s="199" t="str">
        <f>+IF(AA46="","",IF(Summary!$J$7="Fixed Price","",IF(M46="",IF(I46="","",1),"")))</f>
        <v/>
      </c>
      <c r="AC46" s="198">
        <f t="shared" si="14"/>
        <v>0</v>
      </c>
    </row>
    <row r="47" spans="1:29" x14ac:dyDescent="0.2">
      <c r="A47" s="155" t="str">
        <f t="shared" si="15"/>
        <v>-</v>
      </c>
      <c r="B47" s="154" t="str">
        <f t="shared" si="22"/>
        <v/>
      </c>
      <c r="C47" s="153" t="str">
        <f t="shared" si="23"/>
        <v/>
      </c>
      <c r="D47" s="152" t="str">
        <f t="shared" si="16"/>
        <v>-</v>
      </c>
      <c r="E47" s="151" t="str">
        <f>+IF($B47="","",Summary!$P$4)</f>
        <v/>
      </c>
      <c r="F47" s="151" t="str">
        <f>+IF($B47="","",Summary!$P$5)</f>
        <v/>
      </c>
      <c r="G47" s="151" t="str">
        <f>+IF($B47="","",Summary!$P$6)</f>
        <v/>
      </c>
      <c r="H47" s="150" t="str">
        <f t="shared" si="17"/>
        <v/>
      </c>
      <c r="I47" s="148"/>
      <c r="J47" s="149"/>
      <c r="K47" s="148"/>
      <c r="L47" s="148"/>
      <c r="M47" s="148"/>
      <c r="N47" s="149" t="e">
        <f t="shared" si="18"/>
        <v>#REF!</v>
      </c>
      <c r="O47" s="149" t="e">
        <f>COUNTIFS(#REF!,"&gt;="&amp;DATE($C47,$B47,1),#REF!,"&lt;="&amp;EOMONTH(DATE($C47,$B47,1),0),#REF!,"Incident")+
COUNTIFS(#REF!,"&gt;="&amp;DATE($C47,$B47,1),#REF!,"&lt;="&amp;EOMONTH(DATE($C47,$B47,1),0),#REF!,"user_request")</f>
        <v>#REF!</v>
      </c>
      <c r="P47" s="147">
        <f t="shared" si="24"/>
        <v>0</v>
      </c>
      <c r="Q47" s="147">
        <f t="shared" si="25"/>
        <v>0</v>
      </c>
      <c r="R47" s="147">
        <f t="shared" si="26"/>
        <v>0</v>
      </c>
      <c r="S47" s="146" t="e">
        <f t="shared" si="27"/>
        <v>#REF!</v>
      </c>
      <c r="T47" s="146" t="e">
        <f t="shared" si="28"/>
        <v>#REF!</v>
      </c>
      <c r="U47" s="145">
        <f t="shared" si="19"/>
        <v>0</v>
      </c>
      <c r="V47" s="145" t="e">
        <f t="shared" si="20"/>
        <v>#REF!</v>
      </c>
      <c r="W47" s="142">
        <v>44</v>
      </c>
      <c r="X47" s="142" t="str">
        <f>+IF((VLOOKUP(A47,List!B:C,2,0)-VLOOKUP(Summary!$P$7,List!B:C,2,0))=0,1,"")</f>
        <v/>
      </c>
      <c r="Y47" s="198">
        <f>+IF((VLOOKUP(A47,List!B:C,2,0)-VLOOKUP(Summary!$P$7,List!B:C,2,0))&gt;=0,1,"")</f>
        <v>1</v>
      </c>
      <c r="Z47" s="198">
        <f>+IF((VLOOKUP(A47,List!B:C,2,0)-VLOOKUP(Summary!$P$7,List!B:C,2,0))&gt;0,1,"")</f>
        <v>1</v>
      </c>
      <c r="AA47" s="141">
        <f t="shared" si="21"/>
        <v>2</v>
      </c>
      <c r="AB47" s="199" t="str">
        <f>+IF(AA47="","",IF(Summary!$J$7="Fixed Price","",IF(M47="",IF(I47="","",1),"")))</f>
        <v/>
      </c>
      <c r="AC47" s="198">
        <f t="shared" si="14"/>
        <v>0</v>
      </c>
    </row>
    <row r="48" spans="1:29" x14ac:dyDescent="0.2">
      <c r="A48" s="155" t="str">
        <f t="shared" si="15"/>
        <v>-</v>
      </c>
      <c r="B48" s="154" t="str">
        <f t="shared" si="22"/>
        <v/>
      </c>
      <c r="C48" s="153" t="str">
        <f t="shared" si="23"/>
        <v/>
      </c>
      <c r="D48" s="152" t="str">
        <f t="shared" si="16"/>
        <v>-</v>
      </c>
      <c r="E48" s="159" t="str">
        <f>+IF($B48="","",Summary!$P$4)</f>
        <v/>
      </c>
      <c r="F48" s="159" t="str">
        <f>+IF($B48="","",Summary!$P$5)</f>
        <v/>
      </c>
      <c r="G48" s="159" t="str">
        <f>+IF($B48="","",Summary!$P$6)</f>
        <v/>
      </c>
      <c r="H48" s="158" t="str">
        <f t="shared" si="17"/>
        <v/>
      </c>
      <c r="I48" s="156"/>
      <c r="J48" s="157"/>
      <c r="K48" s="156"/>
      <c r="L48" s="156"/>
      <c r="M48" s="156"/>
      <c r="N48" s="157" t="e">
        <f t="shared" si="18"/>
        <v>#REF!</v>
      </c>
      <c r="O48" s="157" t="e">
        <f>COUNTIFS(#REF!,"&gt;="&amp;DATE($C48,$B48,1),#REF!,"&lt;="&amp;EOMONTH(DATE($C48,$B48,1),0),#REF!,"Incident")+
COUNTIFS(#REF!,"&gt;="&amp;DATE($C48,$B48,1),#REF!,"&lt;="&amp;EOMONTH(DATE($C48,$B48,1),0),#REF!,"user_request")</f>
        <v>#REF!</v>
      </c>
      <c r="P48" s="147">
        <f t="shared" si="24"/>
        <v>0</v>
      </c>
      <c r="Q48" s="147">
        <f t="shared" si="25"/>
        <v>0</v>
      </c>
      <c r="R48" s="147">
        <f t="shared" si="26"/>
        <v>0</v>
      </c>
      <c r="S48" s="146" t="e">
        <f t="shared" si="27"/>
        <v>#REF!</v>
      </c>
      <c r="T48" s="146" t="e">
        <f t="shared" si="28"/>
        <v>#REF!</v>
      </c>
      <c r="U48" s="145">
        <f t="shared" si="19"/>
        <v>0</v>
      </c>
      <c r="V48" s="145" t="e">
        <f t="shared" si="20"/>
        <v>#REF!</v>
      </c>
      <c r="W48" s="142">
        <v>45</v>
      </c>
      <c r="X48" s="142" t="str">
        <f>+IF((VLOOKUP(A48,List!B:C,2,0)-VLOOKUP(Summary!$P$7,List!B:C,2,0))=0,1,"")</f>
        <v/>
      </c>
      <c r="Y48" s="198">
        <f>+IF((VLOOKUP(A48,List!B:C,2,0)-VLOOKUP(Summary!$P$7,List!B:C,2,0))&gt;=0,1,"")</f>
        <v>1</v>
      </c>
      <c r="Z48" s="198">
        <f>+IF((VLOOKUP(A48,List!B:C,2,0)-VLOOKUP(Summary!$P$7,List!B:C,2,0))&gt;0,1,"")</f>
        <v>1</v>
      </c>
      <c r="AA48" s="141">
        <f t="shared" si="21"/>
        <v>2</v>
      </c>
      <c r="AB48" s="199" t="str">
        <f>+IF(AA48="","",IF(Summary!$J$7="Fixed Price","",IF(M48="",IF(I48="","",1),"")))</f>
        <v/>
      </c>
      <c r="AC48" s="198">
        <f t="shared" si="14"/>
        <v>0</v>
      </c>
    </row>
    <row r="49" spans="1:29" x14ac:dyDescent="0.2">
      <c r="A49" s="155" t="str">
        <f t="shared" si="15"/>
        <v>-</v>
      </c>
      <c r="B49" s="154" t="str">
        <f t="shared" si="22"/>
        <v/>
      </c>
      <c r="C49" s="153" t="str">
        <f t="shared" si="23"/>
        <v/>
      </c>
      <c r="D49" s="152" t="str">
        <f t="shared" si="16"/>
        <v>-</v>
      </c>
      <c r="E49" s="151" t="str">
        <f>+IF($B49="","",Summary!$P$4)</f>
        <v/>
      </c>
      <c r="F49" s="151" t="str">
        <f>+IF($B49="","",Summary!$P$5)</f>
        <v/>
      </c>
      <c r="G49" s="151" t="str">
        <f>+IF($B49="","",Summary!$P$6)</f>
        <v/>
      </c>
      <c r="H49" s="150" t="str">
        <f t="shared" si="17"/>
        <v/>
      </c>
      <c r="I49" s="148"/>
      <c r="J49" s="149"/>
      <c r="K49" s="148"/>
      <c r="L49" s="148"/>
      <c r="M49" s="148"/>
      <c r="N49" s="149" t="e">
        <f t="shared" si="18"/>
        <v>#REF!</v>
      </c>
      <c r="O49" s="149" t="e">
        <f>COUNTIFS(#REF!,"&gt;="&amp;DATE($C49,$B49,1),#REF!,"&lt;="&amp;EOMONTH(DATE($C49,$B49,1),0),#REF!,"Incident")+
COUNTIFS(#REF!,"&gt;="&amp;DATE($C49,$B49,1),#REF!,"&lt;="&amp;EOMONTH(DATE($C49,$B49,1),0),#REF!,"user_request")</f>
        <v>#REF!</v>
      </c>
      <c r="P49" s="147">
        <f t="shared" si="24"/>
        <v>0</v>
      </c>
      <c r="Q49" s="147">
        <f t="shared" si="25"/>
        <v>0</v>
      </c>
      <c r="R49" s="147">
        <f t="shared" si="26"/>
        <v>0</v>
      </c>
      <c r="S49" s="146" t="e">
        <f t="shared" si="27"/>
        <v>#REF!</v>
      </c>
      <c r="T49" s="146" t="e">
        <f t="shared" si="28"/>
        <v>#REF!</v>
      </c>
      <c r="U49" s="145">
        <f t="shared" si="19"/>
        <v>0</v>
      </c>
      <c r="V49" s="145" t="e">
        <f t="shared" si="20"/>
        <v>#REF!</v>
      </c>
      <c r="W49" s="142">
        <v>46</v>
      </c>
      <c r="X49" s="142" t="str">
        <f>+IF((VLOOKUP(A49,List!B:C,2,0)-VLOOKUP(Summary!$P$7,List!B:C,2,0))=0,1,"")</f>
        <v/>
      </c>
      <c r="Y49" s="198">
        <f>+IF((VLOOKUP(A49,List!B:C,2,0)-VLOOKUP(Summary!$P$7,List!B:C,2,0))&gt;=0,1,"")</f>
        <v>1</v>
      </c>
      <c r="Z49" s="198">
        <f>+IF((VLOOKUP(A49,List!B:C,2,0)-VLOOKUP(Summary!$P$7,List!B:C,2,0))&gt;0,1,"")</f>
        <v>1</v>
      </c>
      <c r="AA49" s="141">
        <f t="shared" si="21"/>
        <v>2</v>
      </c>
      <c r="AB49" s="199" t="str">
        <f>+IF(AA49="","",IF(Summary!$J$7="Fixed Price","",IF(M49="",IF(I49="","",1),"")))</f>
        <v/>
      </c>
      <c r="AC49" s="198">
        <f t="shared" si="14"/>
        <v>0</v>
      </c>
    </row>
    <row r="50" spans="1:29" x14ac:dyDescent="0.2">
      <c r="A50" s="155" t="str">
        <f t="shared" si="15"/>
        <v>-</v>
      </c>
      <c r="B50" s="154" t="str">
        <f t="shared" si="22"/>
        <v/>
      </c>
      <c r="C50" s="153" t="str">
        <f t="shared" si="23"/>
        <v/>
      </c>
      <c r="D50" s="152" t="str">
        <f t="shared" si="16"/>
        <v>-</v>
      </c>
      <c r="E50" s="159" t="str">
        <f>+IF($B50="","",Summary!$P$4)</f>
        <v/>
      </c>
      <c r="F50" s="159" t="str">
        <f>+IF($B50="","",Summary!$P$5)</f>
        <v/>
      </c>
      <c r="G50" s="159" t="str">
        <f>+IF($B50="","",Summary!$P$6)</f>
        <v/>
      </c>
      <c r="H50" s="158" t="str">
        <f t="shared" si="17"/>
        <v/>
      </c>
      <c r="I50" s="156"/>
      <c r="J50" s="157"/>
      <c r="K50" s="156"/>
      <c r="L50" s="156"/>
      <c r="M50" s="156"/>
      <c r="N50" s="157" t="e">
        <f t="shared" si="18"/>
        <v>#REF!</v>
      </c>
      <c r="O50" s="157" t="e">
        <f>COUNTIFS(#REF!,"&gt;="&amp;DATE($C50,$B50,1),#REF!,"&lt;="&amp;EOMONTH(DATE($C50,$B50,1),0),#REF!,"Incident")+
COUNTIFS(#REF!,"&gt;="&amp;DATE($C50,$B50,1),#REF!,"&lt;="&amp;EOMONTH(DATE($C50,$B50,1),0),#REF!,"user_request")</f>
        <v>#REF!</v>
      </c>
      <c r="P50" s="147">
        <f t="shared" si="24"/>
        <v>0</v>
      </c>
      <c r="Q50" s="147">
        <f t="shared" si="25"/>
        <v>0</v>
      </c>
      <c r="R50" s="147">
        <f t="shared" si="26"/>
        <v>0</v>
      </c>
      <c r="S50" s="146" t="e">
        <f t="shared" si="27"/>
        <v>#REF!</v>
      </c>
      <c r="T50" s="146" t="e">
        <f t="shared" si="28"/>
        <v>#REF!</v>
      </c>
      <c r="U50" s="145">
        <f t="shared" si="19"/>
        <v>0</v>
      </c>
      <c r="V50" s="145" t="e">
        <f t="shared" si="20"/>
        <v>#REF!</v>
      </c>
      <c r="W50" s="142">
        <v>47</v>
      </c>
      <c r="X50" s="142" t="str">
        <f>+IF((VLOOKUP(A50,List!B:C,2,0)-VLOOKUP(Summary!$P$7,List!B:C,2,0))=0,1,"")</f>
        <v/>
      </c>
      <c r="Y50" s="198">
        <f>+IF((VLOOKUP(A50,List!B:C,2,0)-VLOOKUP(Summary!$P$7,List!B:C,2,0))&gt;=0,1,"")</f>
        <v>1</v>
      </c>
      <c r="Z50" s="198">
        <f>+IF((VLOOKUP(A50,List!B:C,2,0)-VLOOKUP(Summary!$P$7,List!B:C,2,0))&gt;0,1,"")</f>
        <v>1</v>
      </c>
      <c r="AA50" s="141">
        <f t="shared" si="21"/>
        <v>2</v>
      </c>
      <c r="AB50" s="199" t="str">
        <f>+IF(AA50="","",IF(Summary!$J$7="Fixed Price","",IF(M50="",IF(I50="","",1),"")))</f>
        <v/>
      </c>
      <c r="AC50" s="198">
        <f t="shared" si="14"/>
        <v>0</v>
      </c>
    </row>
    <row r="51" spans="1:29" x14ac:dyDescent="0.2">
      <c r="A51" s="155" t="str">
        <f t="shared" si="15"/>
        <v>-</v>
      </c>
      <c r="B51" s="154" t="str">
        <f t="shared" si="22"/>
        <v/>
      </c>
      <c r="C51" s="153" t="str">
        <f t="shared" si="23"/>
        <v/>
      </c>
      <c r="D51" s="152" t="str">
        <f t="shared" si="16"/>
        <v>-</v>
      </c>
      <c r="E51" s="151" t="str">
        <f>+IF($B51="","",Summary!$P$4)</f>
        <v/>
      </c>
      <c r="F51" s="151" t="str">
        <f>+IF($B51="","",Summary!$P$5)</f>
        <v/>
      </c>
      <c r="G51" s="151" t="str">
        <f>+IF($B51="","",Summary!$P$6)</f>
        <v/>
      </c>
      <c r="H51" s="150" t="str">
        <f t="shared" si="17"/>
        <v/>
      </c>
      <c r="I51" s="148"/>
      <c r="J51" s="149"/>
      <c r="K51" s="148"/>
      <c r="L51" s="148"/>
      <c r="M51" s="148"/>
      <c r="N51" s="149" t="e">
        <f t="shared" si="18"/>
        <v>#REF!</v>
      </c>
      <c r="O51" s="149" t="e">
        <f>COUNTIFS(#REF!,"&gt;="&amp;DATE($C51,$B51,1),#REF!,"&lt;="&amp;EOMONTH(DATE($C51,$B51,1),0),#REF!,"Incident")+
COUNTIFS(#REF!,"&gt;="&amp;DATE($C51,$B51,1),#REF!,"&lt;="&amp;EOMONTH(DATE($C51,$B51,1),0),#REF!,"user_request")</f>
        <v>#REF!</v>
      </c>
      <c r="P51" s="147">
        <f t="shared" si="24"/>
        <v>0</v>
      </c>
      <c r="Q51" s="147">
        <f t="shared" si="25"/>
        <v>0</v>
      </c>
      <c r="R51" s="147">
        <f t="shared" si="26"/>
        <v>0</v>
      </c>
      <c r="S51" s="146" t="e">
        <f t="shared" si="27"/>
        <v>#REF!</v>
      </c>
      <c r="T51" s="146" t="e">
        <f t="shared" si="28"/>
        <v>#REF!</v>
      </c>
      <c r="U51" s="145">
        <f t="shared" si="19"/>
        <v>0</v>
      </c>
      <c r="V51" s="145" t="e">
        <f t="shared" si="20"/>
        <v>#REF!</v>
      </c>
      <c r="W51" s="142">
        <v>48</v>
      </c>
      <c r="X51" s="142" t="str">
        <f>+IF((VLOOKUP(A51,List!B:C,2,0)-VLOOKUP(Summary!$P$7,List!B:C,2,0))=0,1,"")</f>
        <v/>
      </c>
      <c r="Y51" s="198">
        <f>+IF((VLOOKUP(A51,List!B:C,2,0)-VLOOKUP(Summary!$P$7,List!B:C,2,0))&gt;=0,1,"")</f>
        <v>1</v>
      </c>
      <c r="Z51" s="198">
        <f>+IF((VLOOKUP(A51,List!B:C,2,0)-VLOOKUP(Summary!$P$7,List!B:C,2,0))&gt;0,1,"")</f>
        <v>1</v>
      </c>
      <c r="AA51" s="141">
        <f t="shared" si="21"/>
        <v>2</v>
      </c>
      <c r="AB51" s="199" t="str">
        <f>+IF(AA51="","",IF(Summary!$J$7="Fixed Price","",IF(M51="",IF(I51="","",1),"")))</f>
        <v/>
      </c>
      <c r="AC51" s="198">
        <f t="shared" si="14"/>
        <v>0</v>
      </c>
    </row>
    <row r="52" spans="1:29" x14ac:dyDescent="0.2">
      <c r="A52" s="155" t="str">
        <f t="shared" si="15"/>
        <v>-</v>
      </c>
      <c r="B52" s="154" t="str">
        <f t="shared" si="22"/>
        <v/>
      </c>
      <c r="C52" s="153" t="str">
        <f t="shared" si="23"/>
        <v/>
      </c>
      <c r="D52" s="152" t="str">
        <f t="shared" si="16"/>
        <v>-</v>
      </c>
      <c r="E52" s="159" t="str">
        <f>+IF($B52="","",Summary!$P$4)</f>
        <v/>
      </c>
      <c r="F52" s="159" t="str">
        <f>+IF($B52="","",Summary!$P$5)</f>
        <v/>
      </c>
      <c r="G52" s="159" t="str">
        <f>+IF($B52="","",Summary!$P$6)</f>
        <v/>
      </c>
      <c r="H52" s="158" t="str">
        <f t="shared" si="17"/>
        <v/>
      </c>
      <c r="I52" s="156"/>
      <c r="J52" s="157"/>
      <c r="K52" s="156"/>
      <c r="L52" s="156"/>
      <c r="M52" s="156"/>
      <c r="N52" s="157" t="e">
        <f t="shared" si="18"/>
        <v>#REF!</v>
      </c>
      <c r="O52" s="157" t="e">
        <f>COUNTIFS(#REF!,"&gt;="&amp;DATE($C52,$B52,1),#REF!,"&lt;="&amp;EOMONTH(DATE($C52,$B52,1),0),#REF!,"Incident")+
COUNTIFS(#REF!,"&gt;="&amp;DATE($C52,$B52,1),#REF!,"&lt;="&amp;EOMONTH(DATE($C52,$B52,1),0),#REF!,"user_request")</f>
        <v>#REF!</v>
      </c>
      <c r="P52" s="147">
        <f t="shared" si="24"/>
        <v>0</v>
      </c>
      <c r="Q52" s="147">
        <f t="shared" si="25"/>
        <v>0</v>
      </c>
      <c r="R52" s="147">
        <f t="shared" si="26"/>
        <v>0</v>
      </c>
      <c r="S52" s="146" t="e">
        <f t="shared" si="27"/>
        <v>#REF!</v>
      </c>
      <c r="T52" s="146" t="e">
        <f t="shared" si="28"/>
        <v>#REF!</v>
      </c>
      <c r="U52" s="145">
        <f t="shared" si="19"/>
        <v>0</v>
      </c>
      <c r="V52" s="145" t="e">
        <f t="shared" si="20"/>
        <v>#REF!</v>
      </c>
      <c r="W52" s="142">
        <v>45</v>
      </c>
      <c r="X52" s="142" t="str">
        <f>+IF((VLOOKUP(A52,List!B:C,2,0)-VLOOKUP(Summary!$P$7,List!B:C,2,0))=0,1,"")</f>
        <v/>
      </c>
      <c r="Y52" s="198">
        <f>+IF((VLOOKUP(A52,List!B:C,2,0)-VLOOKUP(Summary!$P$7,List!B:C,2,0))&gt;=0,1,"")</f>
        <v>1</v>
      </c>
      <c r="Z52" s="198">
        <f>+IF((VLOOKUP(A52,List!B:C,2,0)-VLOOKUP(Summary!$P$7,List!B:C,2,0))&gt;0,1,"")</f>
        <v>1</v>
      </c>
      <c r="AA52" s="141">
        <f t="shared" si="21"/>
        <v>2</v>
      </c>
      <c r="AB52" s="199" t="str">
        <f>+IF(AA52="","",IF(Summary!$J$7="Fixed Price","",IF(M52="",IF(I52="","",1),"")))</f>
        <v/>
      </c>
      <c r="AC52" s="198">
        <f t="shared" si="14"/>
        <v>0</v>
      </c>
    </row>
    <row r="53" spans="1:29" x14ac:dyDescent="0.2">
      <c r="A53" s="155" t="str">
        <f t="shared" si="15"/>
        <v>-</v>
      </c>
      <c r="B53" s="154" t="str">
        <f t="shared" si="22"/>
        <v/>
      </c>
      <c r="C53" s="153" t="str">
        <f t="shared" si="23"/>
        <v/>
      </c>
      <c r="D53" s="152" t="str">
        <f t="shared" si="16"/>
        <v>-</v>
      </c>
      <c r="E53" s="151" t="str">
        <f>+IF($B53="","",Summary!$P$4)</f>
        <v/>
      </c>
      <c r="F53" s="151" t="str">
        <f>+IF($B53="","",Summary!$P$5)</f>
        <v/>
      </c>
      <c r="G53" s="151" t="str">
        <f>+IF($B53="","",Summary!$P$6)</f>
        <v/>
      </c>
      <c r="H53" s="150" t="str">
        <f t="shared" si="17"/>
        <v/>
      </c>
      <c r="I53" s="148"/>
      <c r="J53" s="149"/>
      <c r="K53" s="148"/>
      <c r="L53" s="148"/>
      <c r="M53" s="148"/>
      <c r="N53" s="149" t="e">
        <f t="shared" si="18"/>
        <v>#REF!</v>
      </c>
      <c r="O53" s="149" t="e">
        <f>COUNTIFS(#REF!,"&gt;="&amp;DATE($C53,$B53,1),#REF!,"&lt;="&amp;EOMONTH(DATE($C53,$B53,1),0),#REF!,"Incident")+
COUNTIFS(#REF!,"&gt;="&amp;DATE($C53,$B53,1),#REF!,"&lt;="&amp;EOMONTH(DATE($C53,$B53,1),0),#REF!,"user_request")</f>
        <v>#REF!</v>
      </c>
      <c r="P53" s="147">
        <f t="shared" si="24"/>
        <v>0</v>
      </c>
      <c r="Q53" s="147">
        <f t="shared" si="25"/>
        <v>0</v>
      </c>
      <c r="R53" s="147">
        <f t="shared" si="26"/>
        <v>0</v>
      </c>
      <c r="S53" s="146" t="e">
        <f t="shared" si="27"/>
        <v>#REF!</v>
      </c>
      <c r="T53" s="146" t="e">
        <f t="shared" si="28"/>
        <v>#REF!</v>
      </c>
      <c r="U53" s="145">
        <f t="shared" si="19"/>
        <v>0</v>
      </c>
      <c r="V53" s="145" t="e">
        <f t="shared" si="20"/>
        <v>#REF!</v>
      </c>
      <c r="W53" s="142">
        <v>46</v>
      </c>
      <c r="X53" s="142" t="str">
        <f>+IF((VLOOKUP(A53,List!B:C,2,0)-VLOOKUP(Summary!$P$7,List!B:C,2,0))=0,1,"")</f>
        <v/>
      </c>
      <c r="Y53" s="198">
        <f>+IF((VLOOKUP(A53,List!B:C,2,0)-VLOOKUP(Summary!$P$7,List!B:C,2,0))&gt;=0,1,"")</f>
        <v>1</v>
      </c>
      <c r="Z53" s="198">
        <f>+IF((VLOOKUP(A53,List!B:C,2,0)-VLOOKUP(Summary!$P$7,List!B:C,2,0))&gt;0,1,"")</f>
        <v>1</v>
      </c>
      <c r="AA53" s="141">
        <f t="shared" si="21"/>
        <v>2</v>
      </c>
      <c r="AB53" s="199" t="str">
        <f>+IF(AA53="","",IF(Summary!$J$7="Fixed Price","",IF(M53="",IF(I53="","",1),"")))</f>
        <v/>
      </c>
      <c r="AC53" s="198">
        <f t="shared" si="14"/>
        <v>0</v>
      </c>
    </row>
    <row r="54" spans="1:29" x14ac:dyDescent="0.2">
      <c r="A54" s="155" t="str">
        <f t="shared" si="15"/>
        <v>-</v>
      </c>
      <c r="B54" s="154" t="str">
        <f t="shared" si="22"/>
        <v/>
      </c>
      <c r="C54" s="153" t="str">
        <f t="shared" si="23"/>
        <v/>
      </c>
      <c r="D54" s="152" t="str">
        <f t="shared" si="16"/>
        <v>-</v>
      </c>
      <c r="E54" s="159" t="str">
        <f>+IF($B54="","",Summary!$P$4)</f>
        <v/>
      </c>
      <c r="F54" s="159" t="str">
        <f>+IF($B54="","",Summary!$P$5)</f>
        <v/>
      </c>
      <c r="G54" s="159" t="str">
        <f>+IF($B54="","",Summary!$P$6)</f>
        <v/>
      </c>
      <c r="H54" s="158" t="str">
        <f t="shared" si="17"/>
        <v/>
      </c>
      <c r="I54" s="156"/>
      <c r="J54" s="157"/>
      <c r="K54" s="156"/>
      <c r="L54" s="156"/>
      <c r="M54" s="156"/>
      <c r="N54" s="157" t="e">
        <f t="shared" si="18"/>
        <v>#REF!</v>
      </c>
      <c r="O54" s="157" t="e">
        <f>COUNTIFS(#REF!,"&gt;="&amp;DATE($C54,$B54,1),#REF!,"&lt;="&amp;EOMONTH(DATE($C54,$B54,1),0),#REF!,"Incident")+
COUNTIFS(#REF!,"&gt;="&amp;DATE($C54,$B54,1),#REF!,"&lt;="&amp;EOMONTH(DATE($C54,$B54,1),0),#REF!,"user_request")</f>
        <v>#REF!</v>
      </c>
      <c r="P54" s="147">
        <f t="shared" si="24"/>
        <v>0</v>
      </c>
      <c r="Q54" s="147">
        <f t="shared" si="25"/>
        <v>0</v>
      </c>
      <c r="R54" s="147">
        <f t="shared" si="26"/>
        <v>0</v>
      </c>
      <c r="S54" s="146" t="e">
        <f t="shared" si="27"/>
        <v>#REF!</v>
      </c>
      <c r="T54" s="146" t="e">
        <f t="shared" si="28"/>
        <v>#REF!</v>
      </c>
      <c r="U54" s="145">
        <f t="shared" si="19"/>
        <v>0</v>
      </c>
      <c r="V54" s="145" t="e">
        <f t="shared" si="20"/>
        <v>#REF!</v>
      </c>
      <c r="W54" s="142">
        <v>47</v>
      </c>
      <c r="X54" s="142" t="str">
        <f>+IF((VLOOKUP(A54,List!B:C,2,0)-VLOOKUP(Summary!$P$7,List!B:C,2,0))=0,1,"")</f>
        <v/>
      </c>
      <c r="Y54" s="198">
        <f>+IF((VLOOKUP(A54,List!B:C,2,0)-VLOOKUP(Summary!$P$7,List!B:C,2,0))&gt;=0,1,"")</f>
        <v>1</v>
      </c>
      <c r="Z54" s="198">
        <f>+IF((VLOOKUP(A54,List!B:C,2,0)-VLOOKUP(Summary!$P$7,List!B:C,2,0))&gt;0,1,"")</f>
        <v>1</v>
      </c>
      <c r="AA54" s="141">
        <f t="shared" si="21"/>
        <v>2</v>
      </c>
      <c r="AB54" s="199" t="str">
        <f>+IF(AA54="","",IF(Summary!$J$7="Fixed Price","",IF(M54="",IF(I54="","",1),"")))</f>
        <v/>
      </c>
      <c r="AC54" s="198">
        <f t="shared" si="14"/>
        <v>0</v>
      </c>
    </row>
    <row r="55" spans="1:29" x14ac:dyDescent="0.2">
      <c r="A55" s="155" t="str">
        <f t="shared" si="15"/>
        <v>-</v>
      </c>
      <c r="B55" s="154" t="str">
        <f t="shared" si="22"/>
        <v/>
      </c>
      <c r="C55" s="153" t="str">
        <f t="shared" si="23"/>
        <v/>
      </c>
      <c r="D55" s="152" t="str">
        <f t="shared" si="16"/>
        <v>-</v>
      </c>
      <c r="E55" s="151" t="str">
        <f>+IF($B55="","",Summary!$P$4)</f>
        <v/>
      </c>
      <c r="F55" s="151" t="str">
        <f>+IF($B55="","",Summary!$P$5)</f>
        <v/>
      </c>
      <c r="G55" s="151" t="str">
        <f>+IF($B55="","",Summary!$P$6)</f>
        <v/>
      </c>
      <c r="H55" s="150" t="str">
        <f t="shared" si="17"/>
        <v/>
      </c>
      <c r="I55" s="148"/>
      <c r="J55" s="149"/>
      <c r="K55" s="148"/>
      <c r="L55" s="148"/>
      <c r="M55" s="148"/>
      <c r="N55" s="149" t="e">
        <f t="shared" si="18"/>
        <v>#REF!</v>
      </c>
      <c r="O55" s="149" t="e">
        <f>COUNTIFS(#REF!,"&gt;="&amp;DATE($C55,$B55,1),#REF!,"&lt;="&amp;EOMONTH(DATE($C55,$B55,1),0),#REF!,"Incident")+
COUNTIFS(#REF!,"&gt;="&amp;DATE($C55,$B55,1),#REF!,"&lt;="&amp;EOMONTH(DATE($C55,$B55,1),0),#REF!,"user_request")</f>
        <v>#REF!</v>
      </c>
      <c r="P55" s="147">
        <f t="shared" si="24"/>
        <v>0</v>
      </c>
      <c r="Q55" s="147">
        <f t="shared" si="25"/>
        <v>0</v>
      </c>
      <c r="R55" s="147">
        <f t="shared" si="26"/>
        <v>0</v>
      </c>
      <c r="S55" s="146" t="e">
        <f t="shared" si="27"/>
        <v>#REF!</v>
      </c>
      <c r="T55" s="146" t="e">
        <f t="shared" si="28"/>
        <v>#REF!</v>
      </c>
      <c r="U55" s="145">
        <f t="shared" si="19"/>
        <v>0</v>
      </c>
      <c r="V55" s="145" t="e">
        <f t="shared" si="20"/>
        <v>#REF!</v>
      </c>
      <c r="W55" s="142">
        <v>48</v>
      </c>
      <c r="X55" s="142" t="str">
        <f>+IF((VLOOKUP(A55,List!B:C,2,0)-VLOOKUP(Summary!$P$7,List!B:C,2,0))=0,1,"")</f>
        <v/>
      </c>
      <c r="Y55" s="198">
        <f>+IF((VLOOKUP(A55,List!B:C,2,0)-VLOOKUP(Summary!$P$7,List!B:C,2,0))&gt;=0,1,"")</f>
        <v>1</v>
      </c>
      <c r="Z55" s="198">
        <f>+IF((VLOOKUP(A55,List!B:C,2,0)-VLOOKUP(Summary!$P$7,List!B:C,2,0))&gt;0,1,"")</f>
        <v>1</v>
      </c>
      <c r="AA55" s="141">
        <f t="shared" si="21"/>
        <v>2</v>
      </c>
      <c r="AB55" s="199" t="str">
        <f>+IF(AA55="","",IF(Summary!$J$7="Fixed Price","",IF(M55="",IF(I55="","",1),"")))</f>
        <v/>
      </c>
      <c r="AC55" s="198">
        <f t="shared" si="14"/>
        <v>0</v>
      </c>
    </row>
    <row r="56" spans="1:29" x14ac:dyDescent="0.2">
      <c r="A56" s="155" t="str">
        <f t="shared" si="15"/>
        <v>-</v>
      </c>
      <c r="B56" s="154" t="str">
        <f t="shared" si="22"/>
        <v/>
      </c>
      <c r="C56" s="153" t="str">
        <f t="shared" si="23"/>
        <v/>
      </c>
      <c r="D56" s="152" t="str">
        <f t="shared" si="16"/>
        <v>-</v>
      </c>
      <c r="E56" s="159" t="str">
        <f>+IF($B56="","",Summary!$P$4)</f>
        <v/>
      </c>
      <c r="F56" s="159" t="str">
        <f>+IF($B56="","",Summary!$P$5)</f>
        <v/>
      </c>
      <c r="G56" s="159" t="str">
        <f>+IF($B56="","",Summary!$P$6)</f>
        <v/>
      </c>
      <c r="H56" s="158" t="str">
        <f t="shared" si="17"/>
        <v/>
      </c>
      <c r="I56" s="156"/>
      <c r="J56" s="157"/>
      <c r="K56" s="156"/>
      <c r="L56" s="156"/>
      <c r="M56" s="156"/>
      <c r="N56" s="157" t="e">
        <f t="shared" si="18"/>
        <v>#REF!</v>
      </c>
      <c r="O56" s="157" t="e">
        <f>COUNTIFS(#REF!,"&gt;="&amp;DATE($C56,$B56,1),#REF!,"&lt;="&amp;EOMONTH(DATE($C56,$B56,1),0),#REF!,"Incident")+
COUNTIFS(#REF!,"&gt;="&amp;DATE($C56,$B56,1),#REF!,"&lt;="&amp;EOMONTH(DATE($C56,$B56,1),0),#REF!,"user_request")</f>
        <v>#REF!</v>
      </c>
      <c r="P56" s="147">
        <f t="shared" si="24"/>
        <v>0</v>
      </c>
      <c r="Q56" s="147">
        <f t="shared" si="25"/>
        <v>0</v>
      </c>
      <c r="R56" s="147">
        <f t="shared" si="26"/>
        <v>0</v>
      </c>
      <c r="S56" s="146" t="e">
        <f t="shared" si="27"/>
        <v>#REF!</v>
      </c>
      <c r="T56" s="146" t="e">
        <f t="shared" si="28"/>
        <v>#REF!</v>
      </c>
      <c r="U56" s="145">
        <f t="shared" si="19"/>
        <v>0</v>
      </c>
      <c r="V56" s="145" t="e">
        <f t="shared" si="20"/>
        <v>#REF!</v>
      </c>
      <c r="W56" s="142">
        <v>45</v>
      </c>
      <c r="X56" s="142" t="str">
        <f>+IF((VLOOKUP(A56,List!B:C,2,0)-VLOOKUP(Summary!$P$7,List!B:C,2,0))=0,1,"")</f>
        <v/>
      </c>
      <c r="Y56" s="198">
        <f>+IF((VLOOKUP(A56,List!B:C,2,0)-VLOOKUP(Summary!$P$7,List!B:C,2,0))&gt;=0,1,"")</f>
        <v>1</v>
      </c>
      <c r="Z56" s="198">
        <f>+IF((VLOOKUP(A56,List!B:C,2,0)-VLOOKUP(Summary!$P$7,List!B:C,2,0))&gt;0,1,"")</f>
        <v>1</v>
      </c>
      <c r="AA56" s="141">
        <f t="shared" si="21"/>
        <v>2</v>
      </c>
      <c r="AB56" s="199" t="str">
        <f>+IF(AA56="","",IF(Summary!$J$7="Fixed Price","",IF(M56="",IF(I56="","",1),"")))</f>
        <v/>
      </c>
      <c r="AC56" s="198">
        <f t="shared" si="14"/>
        <v>0</v>
      </c>
    </row>
    <row r="57" spans="1:29" x14ac:dyDescent="0.2">
      <c r="A57" s="155" t="str">
        <f t="shared" si="15"/>
        <v>-</v>
      </c>
      <c r="B57" s="154" t="str">
        <f t="shared" si="22"/>
        <v/>
      </c>
      <c r="C57" s="153" t="str">
        <f t="shared" si="23"/>
        <v/>
      </c>
      <c r="D57" s="152" t="str">
        <f t="shared" si="16"/>
        <v>-</v>
      </c>
      <c r="E57" s="151" t="str">
        <f>+IF($B57="","",Summary!$P$4)</f>
        <v/>
      </c>
      <c r="F57" s="151" t="str">
        <f>+IF($B57="","",Summary!$P$5)</f>
        <v/>
      </c>
      <c r="G57" s="151" t="str">
        <f>+IF($B57="","",Summary!$P$6)</f>
        <v/>
      </c>
      <c r="H57" s="150" t="str">
        <f t="shared" si="17"/>
        <v/>
      </c>
      <c r="I57" s="148"/>
      <c r="J57" s="149"/>
      <c r="K57" s="148"/>
      <c r="L57" s="148"/>
      <c r="M57" s="148"/>
      <c r="N57" s="149" t="e">
        <f t="shared" si="18"/>
        <v>#REF!</v>
      </c>
      <c r="O57" s="149" t="e">
        <f>COUNTIFS(#REF!,"&gt;="&amp;DATE($C57,$B57,1),#REF!,"&lt;="&amp;EOMONTH(DATE($C57,$B57,1),0),#REF!,"Incident")+
COUNTIFS(#REF!,"&gt;="&amp;DATE($C57,$B57,1),#REF!,"&lt;="&amp;EOMONTH(DATE($C57,$B57,1),0),#REF!,"user_request")</f>
        <v>#REF!</v>
      </c>
      <c r="P57" s="147">
        <f t="shared" si="24"/>
        <v>0</v>
      </c>
      <c r="Q57" s="147">
        <f t="shared" si="25"/>
        <v>0</v>
      </c>
      <c r="R57" s="147">
        <f t="shared" si="26"/>
        <v>0</v>
      </c>
      <c r="S57" s="146" t="e">
        <f t="shared" si="27"/>
        <v>#REF!</v>
      </c>
      <c r="T57" s="146" t="e">
        <f t="shared" si="28"/>
        <v>#REF!</v>
      </c>
      <c r="U57" s="145">
        <f t="shared" si="19"/>
        <v>0</v>
      </c>
      <c r="V57" s="145" t="e">
        <f t="shared" si="20"/>
        <v>#REF!</v>
      </c>
      <c r="W57" s="142">
        <v>46</v>
      </c>
      <c r="X57" s="142" t="str">
        <f>+IF((VLOOKUP(A57,List!B:C,2,0)-VLOOKUP(Summary!$P$7,List!B:C,2,0))=0,1,"")</f>
        <v/>
      </c>
      <c r="Y57" s="198">
        <f>+IF((VLOOKUP(A57,List!B:C,2,0)-VLOOKUP(Summary!$P$7,List!B:C,2,0))&gt;=0,1,"")</f>
        <v>1</v>
      </c>
      <c r="Z57" s="198">
        <f>+IF((VLOOKUP(A57,List!B:C,2,0)-VLOOKUP(Summary!$P$7,List!B:C,2,0))&gt;0,1,"")</f>
        <v>1</v>
      </c>
      <c r="AA57" s="141">
        <f t="shared" si="21"/>
        <v>2</v>
      </c>
      <c r="AB57" s="199" t="str">
        <f>+IF(AA57="","",IF(Summary!$J$7="Fixed Price","",IF(M57="",IF(I57="","",1),"")))</f>
        <v/>
      </c>
      <c r="AC57" s="198">
        <f t="shared" si="14"/>
        <v>0</v>
      </c>
    </row>
    <row r="58" spans="1:29" x14ac:dyDescent="0.2">
      <c r="A58" s="155" t="str">
        <f t="shared" si="15"/>
        <v>-</v>
      </c>
      <c r="B58" s="154" t="str">
        <f t="shared" si="22"/>
        <v/>
      </c>
      <c r="C58" s="153" t="str">
        <f t="shared" si="23"/>
        <v/>
      </c>
      <c r="D58" s="152" t="str">
        <f t="shared" si="16"/>
        <v>-</v>
      </c>
      <c r="E58" s="159" t="str">
        <f>+IF($B58="","",Summary!$P$4)</f>
        <v/>
      </c>
      <c r="F58" s="159" t="str">
        <f>+IF($B58="","",Summary!$P$5)</f>
        <v/>
      </c>
      <c r="G58" s="159" t="str">
        <f>+IF($B58="","",Summary!$P$6)</f>
        <v/>
      </c>
      <c r="H58" s="158" t="str">
        <f t="shared" si="17"/>
        <v/>
      </c>
      <c r="I58" s="156"/>
      <c r="J58" s="157"/>
      <c r="K58" s="156"/>
      <c r="L58" s="156"/>
      <c r="M58" s="156"/>
      <c r="N58" s="157" t="e">
        <f t="shared" si="18"/>
        <v>#REF!</v>
      </c>
      <c r="O58" s="157" t="e">
        <f>COUNTIFS(#REF!,"&gt;="&amp;DATE($C58,$B58,1),#REF!,"&lt;="&amp;EOMONTH(DATE($C58,$B58,1),0),#REF!,"Incident")+
COUNTIFS(#REF!,"&gt;="&amp;DATE($C58,$B58,1),#REF!,"&lt;="&amp;EOMONTH(DATE($C58,$B58,1),0),#REF!,"user_request")</f>
        <v>#REF!</v>
      </c>
      <c r="P58" s="147">
        <f t="shared" si="24"/>
        <v>0</v>
      </c>
      <c r="Q58" s="147">
        <f t="shared" si="25"/>
        <v>0</v>
      </c>
      <c r="R58" s="147">
        <f t="shared" si="26"/>
        <v>0</v>
      </c>
      <c r="S58" s="146" t="e">
        <f t="shared" si="27"/>
        <v>#REF!</v>
      </c>
      <c r="T58" s="146" t="e">
        <f t="shared" si="28"/>
        <v>#REF!</v>
      </c>
      <c r="U58" s="145">
        <f t="shared" si="19"/>
        <v>0</v>
      </c>
      <c r="V58" s="145" t="e">
        <f t="shared" si="20"/>
        <v>#REF!</v>
      </c>
      <c r="W58" s="142">
        <v>47</v>
      </c>
      <c r="X58" s="142" t="str">
        <f>+IF((VLOOKUP(A58,List!B:C,2,0)-VLOOKUP(Summary!$P$7,List!B:C,2,0))=0,1,"")</f>
        <v/>
      </c>
      <c r="Y58" s="198">
        <f>+IF((VLOOKUP(A58,List!B:C,2,0)-VLOOKUP(Summary!$P$7,List!B:C,2,0))&gt;=0,1,"")</f>
        <v>1</v>
      </c>
      <c r="Z58" s="198">
        <f>+IF((VLOOKUP(A58,List!B:C,2,0)-VLOOKUP(Summary!$P$7,List!B:C,2,0))&gt;0,1,"")</f>
        <v>1</v>
      </c>
      <c r="AA58" s="141">
        <f t="shared" si="21"/>
        <v>2</v>
      </c>
      <c r="AB58" s="199" t="str">
        <f>+IF(AA58="","",IF(Summary!$J$7="Fixed Price","",IF(M58="",IF(I58="","",1),"")))</f>
        <v/>
      </c>
      <c r="AC58" s="198">
        <f t="shared" si="14"/>
        <v>0</v>
      </c>
    </row>
    <row r="59" spans="1:29" x14ac:dyDescent="0.2">
      <c r="A59" s="155" t="str">
        <f t="shared" si="15"/>
        <v>-</v>
      </c>
      <c r="B59" s="154" t="str">
        <f t="shared" si="22"/>
        <v/>
      </c>
      <c r="C59" s="153" t="str">
        <f t="shared" si="23"/>
        <v/>
      </c>
      <c r="D59" s="152" t="str">
        <f t="shared" si="16"/>
        <v>-</v>
      </c>
      <c r="E59" s="151" t="str">
        <f>+IF($B59="","",Summary!$P$4)</f>
        <v/>
      </c>
      <c r="F59" s="151" t="str">
        <f>+IF($B59="","",Summary!$P$5)</f>
        <v/>
      </c>
      <c r="G59" s="151" t="str">
        <f>+IF($B59="","",Summary!$P$6)</f>
        <v/>
      </c>
      <c r="H59" s="150" t="str">
        <f t="shared" si="17"/>
        <v/>
      </c>
      <c r="I59" s="148"/>
      <c r="J59" s="149"/>
      <c r="K59" s="148"/>
      <c r="L59" s="148"/>
      <c r="M59" s="148"/>
      <c r="N59" s="149" t="e">
        <f t="shared" si="18"/>
        <v>#REF!</v>
      </c>
      <c r="O59" s="149" t="e">
        <f>COUNTIFS(#REF!,"&gt;="&amp;DATE($C59,$B59,1),#REF!,"&lt;="&amp;EOMONTH(DATE($C59,$B59,1),0),#REF!,"Incident")+
COUNTIFS(#REF!,"&gt;="&amp;DATE($C59,$B59,1),#REF!,"&lt;="&amp;EOMONTH(DATE($C59,$B59,1),0),#REF!,"user_request")</f>
        <v>#REF!</v>
      </c>
      <c r="P59" s="147">
        <f t="shared" si="24"/>
        <v>0</v>
      </c>
      <c r="Q59" s="147">
        <f t="shared" si="25"/>
        <v>0</v>
      </c>
      <c r="R59" s="147">
        <f t="shared" si="26"/>
        <v>0</v>
      </c>
      <c r="S59" s="146" t="e">
        <f t="shared" si="27"/>
        <v>#REF!</v>
      </c>
      <c r="T59" s="146" t="e">
        <f t="shared" si="28"/>
        <v>#REF!</v>
      </c>
      <c r="U59" s="145">
        <f t="shared" si="19"/>
        <v>0</v>
      </c>
      <c r="V59" s="145" t="e">
        <f t="shared" si="20"/>
        <v>#REF!</v>
      </c>
      <c r="W59" s="142">
        <v>48</v>
      </c>
      <c r="X59" s="142" t="str">
        <f>+IF((VLOOKUP(A59,List!B:C,2,0)-VLOOKUP(Summary!$P$7,List!B:C,2,0))=0,1,"")</f>
        <v/>
      </c>
      <c r="Y59" s="198">
        <f>+IF((VLOOKUP(A59,List!B:C,2,0)-VLOOKUP(Summary!$P$7,List!B:C,2,0))&gt;=0,1,"")</f>
        <v>1</v>
      </c>
      <c r="Z59" s="198">
        <f>+IF((VLOOKUP(A59,List!B:C,2,0)-VLOOKUP(Summary!$P$7,List!B:C,2,0))&gt;0,1,"")</f>
        <v>1</v>
      </c>
      <c r="AA59" s="141">
        <f t="shared" si="21"/>
        <v>2</v>
      </c>
      <c r="AB59" s="199" t="str">
        <f>+IF(AA59="","",IF(Summary!$J$7="Fixed Price","",IF(M59="",IF(I59="","",1),"")))</f>
        <v/>
      </c>
      <c r="AC59" s="198">
        <f t="shared" si="14"/>
        <v>0</v>
      </c>
    </row>
    <row r="60" spans="1:29" x14ac:dyDescent="0.2">
      <c r="A60" s="155" t="str">
        <f t="shared" si="15"/>
        <v>-</v>
      </c>
      <c r="B60" s="154" t="str">
        <f t="shared" si="22"/>
        <v/>
      </c>
      <c r="C60" s="153" t="str">
        <f t="shared" si="23"/>
        <v/>
      </c>
      <c r="D60" s="152" t="str">
        <f t="shared" si="16"/>
        <v>-</v>
      </c>
      <c r="E60" s="159" t="str">
        <f>+IF($B60="","",Summary!$P$4)</f>
        <v/>
      </c>
      <c r="F60" s="159" t="str">
        <f>+IF($B60="","",Summary!$P$5)</f>
        <v/>
      </c>
      <c r="G60" s="159" t="str">
        <f>+IF($B60="","",Summary!$P$6)</f>
        <v/>
      </c>
      <c r="H60" s="158" t="str">
        <f t="shared" si="17"/>
        <v/>
      </c>
      <c r="I60" s="156"/>
      <c r="J60" s="157"/>
      <c r="K60" s="156"/>
      <c r="L60" s="156"/>
      <c r="M60" s="156"/>
      <c r="N60" s="157" t="e">
        <f t="shared" si="18"/>
        <v>#REF!</v>
      </c>
      <c r="O60" s="157" t="e">
        <f>COUNTIFS(#REF!,"&gt;="&amp;DATE($C60,$B60,1),#REF!,"&lt;="&amp;EOMONTH(DATE($C60,$B60,1),0),#REF!,"Incident")+
COUNTIFS(#REF!,"&gt;="&amp;DATE($C60,$B60,1),#REF!,"&lt;="&amp;EOMONTH(DATE($C60,$B60,1),0),#REF!,"user_request")</f>
        <v>#REF!</v>
      </c>
      <c r="P60" s="147">
        <f t="shared" si="24"/>
        <v>0</v>
      </c>
      <c r="Q60" s="147">
        <f t="shared" si="25"/>
        <v>0</v>
      </c>
      <c r="R60" s="147">
        <f t="shared" si="26"/>
        <v>0</v>
      </c>
      <c r="S60" s="146" t="e">
        <f t="shared" si="27"/>
        <v>#REF!</v>
      </c>
      <c r="T60" s="146" t="e">
        <f t="shared" si="28"/>
        <v>#REF!</v>
      </c>
      <c r="U60" s="145">
        <f t="shared" si="19"/>
        <v>0</v>
      </c>
      <c r="V60" s="145" t="e">
        <f t="shared" si="20"/>
        <v>#REF!</v>
      </c>
      <c r="W60" s="142">
        <v>45</v>
      </c>
      <c r="X60" s="142" t="str">
        <f>+IF((VLOOKUP(A60,List!B:C,2,0)-VLOOKUP(Summary!$P$7,List!B:C,2,0))=0,1,"")</f>
        <v/>
      </c>
      <c r="Y60" s="198">
        <f>+IF((VLOOKUP(A60,List!B:C,2,0)-VLOOKUP(Summary!$P$7,List!B:C,2,0))&gt;=0,1,"")</f>
        <v>1</v>
      </c>
      <c r="Z60" s="198">
        <f>+IF((VLOOKUP(A60,List!B:C,2,0)-VLOOKUP(Summary!$P$7,List!B:C,2,0))&gt;0,1,"")</f>
        <v>1</v>
      </c>
      <c r="AA60" s="141">
        <f t="shared" si="21"/>
        <v>2</v>
      </c>
      <c r="AB60" s="199" t="str">
        <f>+IF(AA60="","",IF(Summary!$J$7="Fixed Price","",IF(M60="",IF(I60="","",1),"")))</f>
        <v/>
      </c>
      <c r="AC60" s="198">
        <f t="shared" si="14"/>
        <v>0</v>
      </c>
    </row>
    <row r="61" spans="1:29" x14ac:dyDescent="0.2">
      <c r="A61" s="155" t="str">
        <f t="shared" si="15"/>
        <v>-</v>
      </c>
      <c r="B61" s="154" t="str">
        <f t="shared" si="22"/>
        <v/>
      </c>
      <c r="C61" s="153" t="str">
        <f t="shared" si="23"/>
        <v/>
      </c>
      <c r="D61" s="152" t="str">
        <f t="shared" si="16"/>
        <v>-</v>
      </c>
      <c r="E61" s="151" t="str">
        <f>+IF($B61="","",Summary!$P$4)</f>
        <v/>
      </c>
      <c r="F61" s="151" t="str">
        <f>+IF($B61="","",Summary!$P$5)</f>
        <v/>
      </c>
      <c r="G61" s="151" t="str">
        <f>+IF($B61="","",Summary!$P$6)</f>
        <v/>
      </c>
      <c r="H61" s="150" t="str">
        <f t="shared" si="17"/>
        <v/>
      </c>
      <c r="I61" s="148"/>
      <c r="J61" s="149"/>
      <c r="K61" s="148"/>
      <c r="L61" s="148"/>
      <c r="M61" s="148"/>
      <c r="N61" s="149" t="e">
        <f t="shared" si="18"/>
        <v>#REF!</v>
      </c>
      <c r="O61" s="149" t="e">
        <f>COUNTIFS(#REF!,"&gt;="&amp;DATE($C61,$B61,1),#REF!,"&lt;="&amp;EOMONTH(DATE($C61,$B61,1),0),#REF!,"Incident")+
COUNTIFS(#REF!,"&gt;="&amp;DATE($C61,$B61,1),#REF!,"&lt;="&amp;EOMONTH(DATE($C61,$B61,1),0),#REF!,"user_request")</f>
        <v>#REF!</v>
      </c>
      <c r="P61" s="147">
        <f t="shared" si="24"/>
        <v>0</v>
      </c>
      <c r="Q61" s="147">
        <f t="shared" si="25"/>
        <v>0</v>
      </c>
      <c r="R61" s="147">
        <f t="shared" si="26"/>
        <v>0</v>
      </c>
      <c r="S61" s="146" t="e">
        <f t="shared" si="27"/>
        <v>#REF!</v>
      </c>
      <c r="T61" s="146" t="e">
        <f t="shared" si="28"/>
        <v>#REF!</v>
      </c>
      <c r="U61" s="145">
        <f t="shared" si="19"/>
        <v>0</v>
      </c>
      <c r="V61" s="145" t="e">
        <f t="shared" si="20"/>
        <v>#REF!</v>
      </c>
      <c r="W61" s="142">
        <v>46</v>
      </c>
      <c r="X61" s="142" t="str">
        <f>+IF((VLOOKUP(A61,List!B:C,2,0)-VLOOKUP(Summary!$P$7,List!B:C,2,0))=0,1,"")</f>
        <v/>
      </c>
      <c r="Y61" s="198">
        <f>+IF((VLOOKUP(A61,List!B:C,2,0)-VLOOKUP(Summary!$P$7,List!B:C,2,0))&gt;=0,1,"")</f>
        <v>1</v>
      </c>
      <c r="Z61" s="198">
        <f>+IF((VLOOKUP(A61,List!B:C,2,0)-VLOOKUP(Summary!$P$7,List!B:C,2,0))&gt;0,1,"")</f>
        <v>1</v>
      </c>
      <c r="AA61" s="141">
        <f t="shared" si="21"/>
        <v>2</v>
      </c>
      <c r="AB61" s="199" t="str">
        <f>+IF(AA61="","",IF(Summary!$J$7="Fixed Price","",IF(M61="",IF(I61="","",1),"")))</f>
        <v/>
      </c>
      <c r="AC61" s="198">
        <f t="shared" si="14"/>
        <v>0</v>
      </c>
    </row>
    <row r="62" spans="1:29" x14ac:dyDescent="0.2">
      <c r="A62" s="155" t="str">
        <f t="shared" si="15"/>
        <v>-</v>
      </c>
      <c r="B62" s="154" t="str">
        <f t="shared" si="22"/>
        <v/>
      </c>
      <c r="C62" s="153" t="str">
        <f t="shared" si="23"/>
        <v/>
      </c>
      <c r="D62" s="152" t="str">
        <f t="shared" si="16"/>
        <v>-</v>
      </c>
      <c r="E62" s="159" t="str">
        <f>+IF($B62="","",Summary!$P$4)</f>
        <v/>
      </c>
      <c r="F62" s="159" t="str">
        <f>+IF($B62="","",Summary!$P$5)</f>
        <v/>
      </c>
      <c r="G62" s="159" t="str">
        <f>+IF($B62="","",Summary!$P$6)</f>
        <v/>
      </c>
      <c r="H62" s="158" t="str">
        <f t="shared" si="17"/>
        <v/>
      </c>
      <c r="I62" s="156"/>
      <c r="J62" s="157"/>
      <c r="K62" s="156"/>
      <c r="L62" s="156"/>
      <c r="M62" s="156"/>
      <c r="N62" s="157" t="e">
        <f t="shared" si="18"/>
        <v>#REF!</v>
      </c>
      <c r="O62" s="157" t="e">
        <f>COUNTIFS(#REF!,"&gt;="&amp;DATE($C62,$B62,1),#REF!,"&lt;="&amp;EOMONTH(DATE($C62,$B62,1),0),#REF!,"Incident")+
COUNTIFS(#REF!,"&gt;="&amp;DATE($C62,$B62,1),#REF!,"&lt;="&amp;EOMONTH(DATE($C62,$B62,1),0),#REF!,"user_request")</f>
        <v>#REF!</v>
      </c>
      <c r="P62" s="147">
        <f t="shared" si="24"/>
        <v>0</v>
      </c>
      <c r="Q62" s="147">
        <f t="shared" si="25"/>
        <v>0</v>
      </c>
      <c r="R62" s="147">
        <f t="shared" si="26"/>
        <v>0</v>
      </c>
      <c r="S62" s="146" t="e">
        <f t="shared" si="27"/>
        <v>#REF!</v>
      </c>
      <c r="T62" s="146" t="e">
        <f t="shared" si="28"/>
        <v>#REF!</v>
      </c>
      <c r="U62" s="145">
        <f t="shared" si="19"/>
        <v>0</v>
      </c>
      <c r="V62" s="145" t="e">
        <f t="shared" si="20"/>
        <v>#REF!</v>
      </c>
      <c r="W62" s="142">
        <v>47</v>
      </c>
      <c r="X62" s="142" t="str">
        <f>+IF((VLOOKUP(A62,List!B:C,2,0)-VLOOKUP(Summary!$P$7,List!B:C,2,0))=0,1,"")</f>
        <v/>
      </c>
      <c r="Y62" s="198">
        <f>+IF((VLOOKUP(A62,List!B:C,2,0)-VLOOKUP(Summary!$P$7,List!B:C,2,0))&gt;=0,1,"")</f>
        <v>1</v>
      </c>
      <c r="Z62" s="198">
        <f>+IF((VLOOKUP(A62,List!B:C,2,0)-VLOOKUP(Summary!$P$7,List!B:C,2,0))&gt;0,1,"")</f>
        <v>1</v>
      </c>
      <c r="AA62" s="141">
        <f t="shared" si="21"/>
        <v>2</v>
      </c>
      <c r="AB62" s="199" t="str">
        <f>+IF(AA62="","",IF(Summary!$J$7="Fixed Price","",IF(M62="",IF(I62="","",1),"")))</f>
        <v/>
      </c>
      <c r="AC62" s="198">
        <f t="shared" si="14"/>
        <v>0</v>
      </c>
    </row>
    <row r="63" spans="1:29" x14ac:dyDescent="0.2">
      <c r="A63" s="155" t="str">
        <f t="shared" si="15"/>
        <v>-</v>
      </c>
      <c r="B63" s="154" t="str">
        <f t="shared" si="22"/>
        <v/>
      </c>
      <c r="C63" s="153" t="str">
        <f t="shared" si="23"/>
        <v/>
      </c>
      <c r="D63" s="152" t="str">
        <f t="shared" si="16"/>
        <v>-</v>
      </c>
      <c r="E63" s="151" t="str">
        <f>+IF($B63="","",Summary!$P$4)</f>
        <v/>
      </c>
      <c r="F63" s="151" t="str">
        <f>+IF($B63="","",Summary!$P$5)</f>
        <v/>
      </c>
      <c r="G63" s="151" t="str">
        <f>+IF($B63="","",Summary!$P$6)</f>
        <v/>
      </c>
      <c r="H63" s="150" t="str">
        <f t="shared" si="17"/>
        <v/>
      </c>
      <c r="I63" s="148"/>
      <c r="J63" s="149"/>
      <c r="K63" s="148"/>
      <c r="L63" s="148"/>
      <c r="M63" s="148"/>
      <c r="N63" s="149" t="e">
        <f t="shared" si="18"/>
        <v>#REF!</v>
      </c>
      <c r="O63" s="149" t="e">
        <f>COUNTIFS(#REF!,"&gt;="&amp;DATE($C63,$B63,1),#REF!,"&lt;="&amp;EOMONTH(DATE($C63,$B63,1),0),#REF!,"Incident")+
COUNTIFS(#REF!,"&gt;="&amp;DATE($C63,$B63,1),#REF!,"&lt;="&amp;EOMONTH(DATE($C63,$B63,1),0),#REF!,"user_request")</f>
        <v>#REF!</v>
      </c>
      <c r="P63" s="147">
        <f t="shared" si="24"/>
        <v>0</v>
      </c>
      <c r="Q63" s="147">
        <f t="shared" si="25"/>
        <v>0</v>
      </c>
      <c r="R63" s="147">
        <f t="shared" si="26"/>
        <v>0</v>
      </c>
      <c r="S63" s="146" t="e">
        <f t="shared" si="27"/>
        <v>#REF!</v>
      </c>
      <c r="T63" s="146" t="e">
        <f t="shared" si="28"/>
        <v>#REF!</v>
      </c>
      <c r="U63" s="145">
        <f t="shared" si="19"/>
        <v>0</v>
      </c>
      <c r="V63" s="145" t="e">
        <f t="shared" si="20"/>
        <v>#REF!</v>
      </c>
      <c r="W63" s="142">
        <v>48</v>
      </c>
      <c r="X63" s="142" t="str">
        <f>+IF((VLOOKUP(A63,List!B:C,2,0)-VLOOKUP(Summary!$P$7,List!B:C,2,0))=0,1,"")</f>
        <v/>
      </c>
      <c r="Y63" s="198">
        <f>+IF((VLOOKUP(A63,List!B:C,2,0)-VLOOKUP(Summary!$P$7,List!B:C,2,0))&gt;=0,1,"")</f>
        <v>1</v>
      </c>
      <c r="Z63" s="198">
        <f>+IF((VLOOKUP(A63,List!B:C,2,0)-VLOOKUP(Summary!$P$7,List!B:C,2,0))&gt;0,1,"")</f>
        <v>1</v>
      </c>
      <c r="AA63" s="141">
        <f t="shared" si="21"/>
        <v>2</v>
      </c>
      <c r="AB63" s="199" t="str">
        <f>+IF(AA63="","",IF(Summary!$J$7="Fixed Price","",IF(M63="",IF(I63="","",1),"")))</f>
        <v/>
      </c>
      <c r="AC63" s="198">
        <f t="shared" si="14"/>
        <v>0</v>
      </c>
    </row>
  </sheetData>
  <sheetProtection formatColumns="0" formatRows="0" sort="0" autoFilter="0"/>
  <phoneticPr fontId="85" type="noConversion"/>
  <conditionalFormatting sqref="H4:H63">
    <cfRule type="containsText" dxfId="40" priority="1" operator="containsText" text="Green">
      <formula>NOT(ISERROR(SEARCH("Green",H4)))</formula>
    </cfRule>
    <cfRule type="containsText" dxfId="39" priority="2" operator="containsText" text="Amber">
      <formula>NOT(ISERROR(SEARCH("Amber",H4)))</formula>
    </cfRule>
    <cfRule type="containsText" dxfId="38" priority="3" operator="containsText" text="Red">
      <formula>NOT(ISERROR(SEARCH("Red",H4)))</formula>
    </cfRule>
  </conditionalFormatting>
  <dataValidations count="1">
    <dataValidation type="list" allowBlank="1" showInputMessage="1" showErrorMessage="1" sqref="H4:H63" xr:uid="{00000000-0002-0000-1100-000000000000}">
      <formula1>"Red,Amber,Green"</formula1>
    </dataValidation>
  </dataValidations>
  <pageMargins left="0.7" right="0.7" top="0.75" bottom="0.75" header="0.3" footer="0.3"/>
  <pageSetup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AD63"/>
  <sheetViews>
    <sheetView showGridLines="0" zoomScale="70" zoomScaleNormal="70" workbookViewId="0">
      <selection activeCell="L18" sqref="L18"/>
    </sheetView>
  </sheetViews>
  <sheetFormatPr defaultColWidth="9.28515625" defaultRowHeight="12.75" x14ac:dyDescent="0.2"/>
  <cols>
    <col min="1" max="1" width="10.42578125" style="139" customWidth="1"/>
    <col min="2" max="3" width="7.7109375" style="139" customWidth="1"/>
    <col min="4" max="4" width="11.28515625" style="139" customWidth="1"/>
    <col min="5" max="7" width="14.28515625" style="139" customWidth="1"/>
    <col min="8" max="8" width="12.28515625" style="139" customWidth="1"/>
    <col min="9" max="13" width="11.5703125" style="143" customWidth="1"/>
    <col min="14" max="15" width="13.5703125" style="139" customWidth="1"/>
    <col min="16" max="16" width="11.42578125" style="139" bestFit="1" customWidth="1"/>
    <col min="17" max="17" width="10.5703125" style="139" bestFit="1" customWidth="1"/>
    <col min="18" max="18" width="13.5703125" style="139" customWidth="1"/>
    <col min="19" max="19" width="11.7109375" style="142" bestFit="1" customWidth="1"/>
    <col min="20" max="20" width="12.42578125" style="142" bestFit="1" customWidth="1"/>
    <col min="21" max="21" width="12.28515625" style="142" bestFit="1" customWidth="1"/>
    <col min="22" max="22" width="10.28515625" style="141" bestFit="1" customWidth="1"/>
    <col min="23" max="23" width="9.42578125" style="142" bestFit="1" customWidth="1"/>
    <col min="24" max="24" width="9.42578125" style="142" customWidth="1"/>
    <col min="25" max="30" width="9.28515625" style="141"/>
    <col min="31" max="16384" width="9.28515625" style="139"/>
  </cols>
  <sheetData>
    <row r="1" spans="1:30" ht="60" customHeight="1" x14ac:dyDescent="0.2">
      <c r="A1" s="144"/>
      <c r="B1" s="143"/>
      <c r="C1" s="175" t="s">
        <v>113</v>
      </c>
      <c r="D1" s="175"/>
      <c r="E1" s="175"/>
      <c r="F1" s="175"/>
      <c r="G1" s="175"/>
      <c r="H1" s="175"/>
      <c r="I1" s="176"/>
      <c r="J1" s="176"/>
      <c r="K1" s="176"/>
      <c r="L1" s="176"/>
      <c r="M1" s="176"/>
      <c r="N1" s="176"/>
      <c r="O1" s="176"/>
      <c r="P1" s="175"/>
      <c r="Q1" s="175"/>
      <c r="R1" s="175"/>
      <c r="S1" s="175"/>
      <c r="T1" s="175"/>
      <c r="U1" s="175"/>
      <c r="V1" s="175"/>
      <c r="W1" s="196" t="s">
        <v>135</v>
      </c>
      <c r="X1" s="196" t="s">
        <v>142</v>
      </c>
      <c r="Y1" s="196" t="s">
        <v>137</v>
      </c>
      <c r="Z1" s="196" t="s">
        <v>138</v>
      </c>
      <c r="AA1" s="196" t="s">
        <v>136</v>
      </c>
      <c r="AB1" s="196" t="s">
        <v>139</v>
      </c>
      <c r="AC1" s="196" t="s">
        <v>404</v>
      </c>
      <c r="AD1" s="196" t="s">
        <v>405</v>
      </c>
    </row>
    <row r="2" spans="1:30" ht="32.25" customHeight="1" x14ac:dyDescent="0.2">
      <c r="A2" s="144"/>
      <c r="B2" s="174"/>
      <c r="C2" s="173"/>
      <c r="D2" s="173"/>
      <c r="E2" s="173"/>
      <c r="F2" s="173"/>
      <c r="G2" s="173"/>
      <c r="H2" s="173"/>
      <c r="I2" s="177"/>
      <c r="J2" s="177"/>
      <c r="K2" s="177"/>
      <c r="L2" s="177"/>
      <c r="M2" s="177"/>
      <c r="N2" s="177"/>
      <c r="O2" s="177"/>
      <c r="P2" s="173"/>
      <c r="Q2" s="173"/>
      <c r="R2" s="173"/>
      <c r="S2" s="173"/>
      <c r="T2" s="173"/>
      <c r="U2" s="173"/>
      <c r="V2" s="173"/>
      <c r="W2" s="141">
        <f>(YEAR(Summary!P6)-YEAR(Summary!P4))*12+MONTH(Summary!P6)-MONTH(Summary!P4)+1</f>
        <v>25</v>
      </c>
      <c r="X2" s="141"/>
    </row>
    <row r="3" spans="1:30" s="162" customFormat="1" ht="37.5" customHeight="1" x14ac:dyDescent="0.2">
      <c r="A3" s="172" t="s">
        <v>87</v>
      </c>
      <c r="B3" s="169" t="s">
        <v>25</v>
      </c>
      <c r="C3" s="164" t="s">
        <v>26</v>
      </c>
      <c r="D3" s="164" t="s">
        <v>27</v>
      </c>
      <c r="E3" s="163" t="s">
        <v>101</v>
      </c>
      <c r="F3" s="163" t="s">
        <v>102</v>
      </c>
      <c r="G3" s="163" t="s">
        <v>103</v>
      </c>
      <c r="H3" s="164" t="s">
        <v>28</v>
      </c>
      <c r="I3" s="171" t="s">
        <v>29</v>
      </c>
      <c r="J3" s="171" t="s">
        <v>30</v>
      </c>
      <c r="K3" s="169" t="s">
        <v>31</v>
      </c>
      <c r="L3" s="170" t="s">
        <v>104</v>
      </c>
      <c r="M3" s="169" t="s">
        <v>32</v>
      </c>
      <c r="N3" s="168" t="s">
        <v>374</v>
      </c>
      <c r="O3" s="167" t="s">
        <v>373</v>
      </c>
      <c r="P3" s="163" t="s">
        <v>372</v>
      </c>
      <c r="Q3" s="166" t="s">
        <v>371</v>
      </c>
      <c r="R3" s="163" t="s">
        <v>370</v>
      </c>
      <c r="S3" s="165" t="s">
        <v>369</v>
      </c>
      <c r="T3" s="165" t="s">
        <v>368</v>
      </c>
      <c r="U3" s="164" t="s">
        <v>33</v>
      </c>
      <c r="V3" s="163" t="s">
        <v>367</v>
      </c>
      <c r="W3" s="197" t="s">
        <v>120</v>
      </c>
      <c r="X3" s="197"/>
      <c r="Y3" s="197"/>
      <c r="Z3" s="197"/>
      <c r="AA3" s="197"/>
      <c r="AB3" s="194"/>
      <c r="AC3" s="197"/>
      <c r="AD3" s="197"/>
    </row>
    <row r="4" spans="1:30" x14ac:dyDescent="0.2">
      <c r="A4" s="155" t="str">
        <f t="shared" ref="A4:A35" si="0">CONCATENATE(C4,"-",B4)</f>
        <v>2025-9</v>
      </c>
      <c r="B4" s="154">
        <f>MONTH(Summary!P4)</f>
        <v>9</v>
      </c>
      <c r="C4" s="153">
        <f>YEAR(Summary!P4)</f>
        <v>2025</v>
      </c>
      <c r="D4" s="152" t="str">
        <f t="shared" ref="D4:D35" si="1">CONCATENATE(C4,"-",B4)</f>
        <v>2025-9</v>
      </c>
      <c r="E4" s="159">
        <f>+IF($B4="","",Summary!$P$4)</f>
        <v>45929</v>
      </c>
      <c r="F4" s="159">
        <f>+IF($B4="","",Summary!$P$5)</f>
        <v>46657</v>
      </c>
      <c r="G4" s="159">
        <f>+IF($B4="","",Summary!$P$6)</f>
        <v>46657</v>
      </c>
      <c r="H4" s="158" t="str">
        <f t="shared" ref="H4:H35" si="2">+IF($B4="","",IF(U4&lt;-15%,"Red",IF(U4&lt;0%,"Amber","Green")))</f>
        <v>Green</v>
      </c>
      <c r="I4" s="156"/>
      <c r="J4" s="157"/>
      <c r="K4" s="156"/>
      <c r="L4" s="156"/>
      <c r="M4" s="156"/>
      <c r="N4" s="156" t="e">
        <f t="shared" ref="N4:N63" si="3">O4</f>
        <v>#REF!</v>
      </c>
      <c r="O4" s="156" t="e">
        <f>COUNTIFS(#REF!,"&gt;="&amp;DATE($C4,$B4,1),#REF!,"&lt;="&amp;EOMONTH(DATE($C4,$B4,1),0),#REF!,"Incident")+
COUNTIFS(#REF!,"&gt;="&amp;DATE($C4,$B4,1),#REF!,"&lt;="&amp;EOMONTH(DATE($C4,$B4,1),0),#REF!,"user_request")</f>
        <v>#REF!</v>
      </c>
      <c r="P4" s="147">
        <f>I4</f>
        <v>0</v>
      </c>
      <c r="Q4" s="147">
        <f>J4</f>
        <v>0</v>
      </c>
      <c r="R4" s="147">
        <f>K4</f>
        <v>0</v>
      </c>
      <c r="S4" s="146" t="e">
        <f>N4</f>
        <v>#REF!</v>
      </c>
      <c r="T4" s="146" t="e">
        <f>O4</f>
        <v>#REF!</v>
      </c>
      <c r="U4" s="145">
        <f t="shared" ref="U4:U35" si="4">IF(Q4=0,0,IF(K4&lt;&gt;"",(Q4-(R4+L4))/Q4,U3))</f>
        <v>0</v>
      </c>
      <c r="V4" s="145" t="e">
        <f t="shared" ref="V4:V35" si="5">IF(S4=0,0,IF(O4&lt;&gt;"",(S4-(T4))/S4,V3))</f>
        <v>#REF!</v>
      </c>
      <c r="W4" s="142">
        <v>1</v>
      </c>
      <c r="X4" s="142" t="str">
        <f>+IF((VLOOKUP(A4,List!B:C,2,0)-VLOOKUP(Summary!$P$7,List!B:C,2,0))=0,1,"")</f>
        <v/>
      </c>
      <c r="Y4" s="198" t="str">
        <f>+IF((VLOOKUP(A4,List!B:C,2,0)-VLOOKUP(Summary!$P$7,List!B:C,2,0))&gt;=0,1,"")</f>
        <v/>
      </c>
      <c r="Z4" s="198" t="str">
        <f>+IF((VLOOKUP(A4,List!B:C,2,0)-VLOOKUP(Summary!$P$7,List!B:C,2,0))&gt;0,1,"")</f>
        <v/>
      </c>
      <c r="AA4" s="141" t="str">
        <f t="shared" ref="AA4:AA63" si="6">+IFERROR(IF(Z4="","",IF(YEAR(G4)&gt;C4,1,IF(YEAR(G4)=C4,IF(MONTH(G4)&gt;=B4,1,2)))),2)</f>
        <v/>
      </c>
      <c r="AB4" s="199" t="str">
        <f>+IF(AA4="","",IF(Summary!$J$7="Fixed Price","",IF(M4="",IF(I4="","",1),"")))</f>
        <v/>
      </c>
      <c r="AC4" s="198">
        <f>+IFERROR(I4*AA4,0)</f>
        <v>0</v>
      </c>
      <c r="AD4" s="198" t="e">
        <f>+IF(AA4="",+IF(N4&gt;#REF!,#REF!,IF(N4&gt;#REF!,#REF!,IF(N4&gt;#REF!,#REF!,IF(N4&gt;#REF!,#REF!,IF(N4&gt;#REF!,#REF!,IF(N4&gt;#REF!,#REF!,IF(N4&gt;#REF!,#REF!,IF(N4&gt;#REF!,#REF!,#REF!)))))))),0)</f>
        <v>#REF!</v>
      </c>
    </row>
    <row r="5" spans="1:30" x14ac:dyDescent="0.2">
      <c r="A5" s="155" t="str">
        <f t="shared" si="0"/>
        <v>2025-10</v>
      </c>
      <c r="B5" s="154">
        <f t="shared" ref="B5:B36" si="7">IF(W5&lt;=$W$2,IF(B4&gt;11,1,B4+1),"")</f>
        <v>10</v>
      </c>
      <c r="C5" s="153">
        <f t="shared" ref="C5:C36" si="8">IF(W5&lt;=$W$2,IF(B4&gt;11,C4+1,C4),"")</f>
        <v>2025</v>
      </c>
      <c r="D5" s="152" t="str">
        <f t="shared" si="1"/>
        <v>2025-10</v>
      </c>
      <c r="E5" s="151">
        <f>+IF($B5="","",Summary!$P$4)</f>
        <v>45929</v>
      </c>
      <c r="F5" s="151">
        <f>+IF($B5="","",Summary!$P$5)</f>
        <v>46657</v>
      </c>
      <c r="G5" s="151">
        <f>+IF($B5="","",Summary!$P$6)</f>
        <v>46657</v>
      </c>
      <c r="H5" s="150" t="str">
        <f t="shared" si="2"/>
        <v>Green</v>
      </c>
      <c r="I5" s="148"/>
      <c r="J5" s="149"/>
      <c r="K5" s="148"/>
      <c r="L5" s="148"/>
      <c r="M5" s="148"/>
      <c r="N5" s="148" t="e">
        <f t="shared" si="3"/>
        <v>#REF!</v>
      </c>
      <c r="O5" s="148" t="e">
        <f>COUNTIFS(#REF!,"&gt;="&amp;DATE($C5,$B5,1),#REF!,"&lt;="&amp;EOMONTH(DATE($C5,$B5,1),0),#REF!,"Incident")+
COUNTIFS(#REF!,"&gt;="&amp;DATE($C5,$B5,1),#REF!,"&lt;="&amp;EOMONTH(DATE($C5,$B5,1),0),#REF!,"user_request")</f>
        <v>#REF!</v>
      </c>
      <c r="P5" s="147">
        <f t="shared" ref="P5:P36" si="9">I5+P4</f>
        <v>0</v>
      </c>
      <c r="Q5" s="147">
        <f t="shared" ref="Q5:Q36" si="10">Q4+J5</f>
        <v>0</v>
      </c>
      <c r="R5" s="147">
        <f t="shared" ref="R5:R36" si="11">K5+R4</f>
        <v>0</v>
      </c>
      <c r="S5" s="146" t="e">
        <f t="shared" ref="S5:S36" si="12">N5+S4</f>
        <v>#REF!</v>
      </c>
      <c r="T5" s="146" t="e">
        <f t="shared" ref="T5:T36" si="13">O5+T4</f>
        <v>#REF!</v>
      </c>
      <c r="U5" s="145">
        <f t="shared" si="4"/>
        <v>0</v>
      </c>
      <c r="V5" s="145" t="e">
        <f t="shared" si="5"/>
        <v>#REF!</v>
      </c>
      <c r="W5" s="142">
        <v>2</v>
      </c>
      <c r="X5" s="142" t="str">
        <f>+IF((VLOOKUP(A5,List!B:C,2,0)-VLOOKUP(Summary!$P$7,List!B:C,2,0))=0,1,"")</f>
        <v/>
      </c>
      <c r="Y5" s="198" t="str">
        <f>+IF((VLOOKUP(A5,List!B:C,2,0)-VLOOKUP(Summary!$P$7,List!B:C,2,0))&gt;=0,1,"")</f>
        <v/>
      </c>
      <c r="Z5" s="198" t="str">
        <f>+IF((VLOOKUP(A5,List!B:C,2,0)-VLOOKUP(Summary!$P$7,List!B:C,2,0))&gt;0,1,"")</f>
        <v/>
      </c>
      <c r="AA5" s="141" t="str">
        <f t="shared" si="6"/>
        <v/>
      </c>
      <c r="AB5" s="199" t="str">
        <f>+IF(AA5="","",IF(Summary!$J$7="Fixed Price","",IF(M5="",IF(I5="","",1),"")))</f>
        <v/>
      </c>
      <c r="AC5" s="198">
        <f t="shared" ref="AC5:AC63" si="14">+IFERROR(I5*AA5,0)</f>
        <v>0</v>
      </c>
      <c r="AD5" s="198" t="e">
        <f>+IF(AA5="",+IF(N5&gt;#REF!,#REF!,IF(N5&gt;#REF!,#REF!,IF(N5&gt;#REF!,#REF!,IF(N5&gt;#REF!,#REF!,IF(N5&gt;#REF!,#REF!,IF(N5&gt;#REF!,#REF!,IF(N5&gt;#REF!,#REF!,IF(N5&gt;#REF!,#REF!,#REF!)))))))),0)</f>
        <v>#REF!</v>
      </c>
    </row>
    <row r="6" spans="1:30" x14ac:dyDescent="0.2">
      <c r="A6" s="155" t="str">
        <f t="shared" si="0"/>
        <v>2025-11</v>
      </c>
      <c r="B6" s="154">
        <f t="shared" si="7"/>
        <v>11</v>
      </c>
      <c r="C6" s="153">
        <f t="shared" si="8"/>
        <v>2025</v>
      </c>
      <c r="D6" s="152" t="str">
        <f t="shared" si="1"/>
        <v>2025-11</v>
      </c>
      <c r="E6" s="159">
        <f>+IF($B6="","",Summary!$P$4)</f>
        <v>45929</v>
      </c>
      <c r="F6" s="159">
        <f>+IF($B6="","",Summary!$P$5)</f>
        <v>46657</v>
      </c>
      <c r="G6" s="159">
        <f>+IF($B6="","",Summary!$P$6)</f>
        <v>46657</v>
      </c>
      <c r="H6" s="158" t="str">
        <f t="shared" si="2"/>
        <v>Green</v>
      </c>
      <c r="I6" s="156"/>
      <c r="J6" s="157"/>
      <c r="K6" s="156"/>
      <c r="L6" s="156"/>
      <c r="M6" s="156"/>
      <c r="N6" s="156" t="e">
        <f t="shared" si="3"/>
        <v>#REF!</v>
      </c>
      <c r="O6" s="156" t="e">
        <f>COUNTIFS(#REF!,"&gt;="&amp;DATE($C6,$B6,1),#REF!,"&lt;="&amp;EOMONTH(DATE($C6,$B6,1),0),#REF!,"Incident")+
COUNTIFS(#REF!,"&gt;="&amp;DATE($C6,$B6,1),#REF!,"&lt;="&amp;EOMONTH(DATE($C6,$B6,1),0),#REF!,"user_request")</f>
        <v>#REF!</v>
      </c>
      <c r="P6" s="147">
        <f t="shared" si="9"/>
        <v>0</v>
      </c>
      <c r="Q6" s="147">
        <f t="shared" si="10"/>
        <v>0</v>
      </c>
      <c r="R6" s="147">
        <f t="shared" si="11"/>
        <v>0</v>
      </c>
      <c r="S6" s="146" t="e">
        <f t="shared" si="12"/>
        <v>#REF!</v>
      </c>
      <c r="T6" s="146" t="e">
        <f t="shared" si="13"/>
        <v>#REF!</v>
      </c>
      <c r="U6" s="145">
        <f t="shared" si="4"/>
        <v>0</v>
      </c>
      <c r="V6" s="145" t="e">
        <f t="shared" si="5"/>
        <v>#REF!</v>
      </c>
      <c r="W6" s="142">
        <v>3</v>
      </c>
      <c r="X6" s="142" t="str">
        <f>+IF((VLOOKUP(A6,List!B:C,2,0)-VLOOKUP(Summary!$P$7,List!B:C,2,0))=0,1,"")</f>
        <v/>
      </c>
      <c r="Y6" s="198" t="str">
        <f>+IF((VLOOKUP(A6,List!B:C,2,0)-VLOOKUP(Summary!$P$7,List!B:C,2,0))&gt;=0,1,"")</f>
        <v/>
      </c>
      <c r="Z6" s="198" t="str">
        <f>+IF((VLOOKUP(A6,List!B:C,2,0)-VLOOKUP(Summary!$P$7,List!B:C,2,0))&gt;0,1,"")</f>
        <v/>
      </c>
      <c r="AA6" s="141" t="str">
        <f t="shared" si="6"/>
        <v/>
      </c>
      <c r="AB6" s="199" t="str">
        <f>+IF(AA6="","",IF(Summary!$J$7="Fixed Price","",IF(M6="",IF(I6="","",1),"")))</f>
        <v/>
      </c>
      <c r="AC6" s="198">
        <f t="shared" si="14"/>
        <v>0</v>
      </c>
      <c r="AD6" s="198" t="e">
        <f>+IF(AA6="",+IF(N6&gt;#REF!,#REF!,IF(N6&gt;#REF!,#REF!,IF(N6&gt;#REF!,#REF!,IF(N6&gt;#REF!,#REF!,IF(N6&gt;#REF!,#REF!,IF(N6&gt;#REF!,#REF!,IF(N6&gt;#REF!,#REF!,IF(N6&gt;#REF!,#REF!,#REF!)))))))),0)</f>
        <v>#REF!</v>
      </c>
    </row>
    <row r="7" spans="1:30" x14ac:dyDescent="0.2">
      <c r="A7" s="155" t="str">
        <f t="shared" si="0"/>
        <v>2025-12</v>
      </c>
      <c r="B7" s="154">
        <f t="shared" si="7"/>
        <v>12</v>
      </c>
      <c r="C7" s="153">
        <f t="shared" si="8"/>
        <v>2025</v>
      </c>
      <c r="D7" s="152" t="str">
        <f t="shared" si="1"/>
        <v>2025-12</v>
      </c>
      <c r="E7" s="151">
        <f>+IF($B7="","",Summary!$P$4)</f>
        <v>45929</v>
      </c>
      <c r="F7" s="151">
        <f>+IF($B7="","",Summary!$P$5)</f>
        <v>46657</v>
      </c>
      <c r="G7" s="151">
        <f>+IF($B7="","",Summary!$P$6)</f>
        <v>46657</v>
      </c>
      <c r="H7" s="150" t="str">
        <f t="shared" si="2"/>
        <v>Green</v>
      </c>
      <c r="I7" s="148"/>
      <c r="J7" s="149"/>
      <c r="K7" s="148"/>
      <c r="L7" s="148"/>
      <c r="M7" s="148"/>
      <c r="N7" s="148" t="e">
        <f t="shared" si="3"/>
        <v>#REF!</v>
      </c>
      <c r="O7" s="148" t="e">
        <f>COUNTIFS(#REF!,"&gt;="&amp;DATE($C7,$B7,1),#REF!,"&lt;="&amp;EOMONTH(DATE($C7,$B7,1),0),#REF!,"Incident")+
COUNTIFS(#REF!,"&gt;="&amp;DATE($C7,$B7,1),#REF!,"&lt;="&amp;EOMONTH(DATE($C7,$B7,1),0),#REF!,"user_request")</f>
        <v>#REF!</v>
      </c>
      <c r="P7" s="147">
        <f t="shared" si="9"/>
        <v>0</v>
      </c>
      <c r="Q7" s="147">
        <f t="shared" si="10"/>
        <v>0</v>
      </c>
      <c r="R7" s="147">
        <f t="shared" si="11"/>
        <v>0</v>
      </c>
      <c r="S7" s="146" t="e">
        <f t="shared" si="12"/>
        <v>#REF!</v>
      </c>
      <c r="T7" s="146" t="e">
        <f t="shared" si="13"/>
        <v>#REF!</v>
      </c>
      <c r="U7" s="145">
        <f t="shared" si="4"/>
        <v>0</v>
      </c>
      <c r="V7" s="145" t="e">
        <f t="shared" si="5"/>
        <v>#REF!</v>
      </c>
      <c r="W7" s="142">
        <v>4</v>
      </c>
      <c r="X7" s="142" t="str">
        <f>+IF((VLOOKUP(A7,List!B:C,2,0)-VLOOKUP(Summary!$P$7,List!B:C,2,0))=0,1,"")</f>
        <v/>
      </c>
      <c r="Y7" s="198" t="str">
        <f>+IF((VLOOKUP(A7,List!B:C,2,0)-VLOOKUP(Summary!$P$7,List!B:C,2,0))&gt;=0,1,"")</f>
        <v/>
      </c>
      <c r="Z7" s="198" t="str">
        <f>+IF((VLOOKUP(A7,List!B:C,2,0)-VLOOKUP(Summary!$P$7,List!B:C,2,0))&gt;0,1,"")</f>
        <v/>
      </c>
      <c r="AA7" s="141" t="str">
        <f t="shared" si="6"/>
        <v/>
      </c>
      <c r="AB7" s="199" t="str">
        <f>+IF(AA7="","",IF(Summary!$J$7="Fixed Price","",IF(M7="",IF(I7="","",1),"")))</f>
        <v/>
      </c>
      <c r="AC7" s="198">
        <f t="shared" si="14"/>
        <v>0</v>
      </c>
      <c r="AD7" s="198" t="e">
        <f>+IF(AA7="",+IF(N7&gt;#REF!,#REF!,IF(N7&gt;#REF!,#REF!,IF(N7&gt;#REF!,#REF!,IF(N7&gt;#REF!,#REF!,IF(N7&gt;#REF!,#REF!,IF(N7&gt;#REF!,#REF!,IF(N7&gt;#REF!,#REF!,IF(N7&gt;#REF!,#REF!,#REF!)))))))),0)</f>
        <v>#REF!</v>
      </c>
    </row>
    <row r="8" spans="1:30" x14ac:dyDescent="0.2">
      <c r="A8" s="155" t="str">
        <f t="shared" si="0"/>
        <v>2026-1</v>
      </c>
      <c r="B8" s="154">
        <f t="shared" si="7"/>
        <v>1</v>
      </c>
      <c r="C8" s="153">
        <f t="shared" si="8"/>
        <v>2026</v>
      </c>
      <c r="D8" s="152" t="str">
        <f t="shared" si="1"/>
        <v>2026-1</v>
      </c>
      <c r="E8" s="159">
        <f>+IF($B8="","",Summary!$P$4)</f>
        <v>45929</v>
      </c>
      <c r="F8" s="159">
        <f>+IF($B8="","",Summary!$P$5)</f>
        <v>46657</v>
      </c>
      <c r="G8" s="159">
        <f>+IF($B8="","",Summary!$P$6)</f>
        <v>46657</v>
      </c>
      <c r="H8" s="158" t="str">
        <f t="shared" si="2"/>
        <v>Green</v>
      </c>
      <c r="I8" s="156"/>
      <c r="J8" s="157"/>
      <c r="K8" s="156"/>
      <c r="L8" s="156"/>
      <c r="M8" s="156"/>
      <c r="N8" s="156" t="e">
        <f t="shared" si="3"/>
        <v>#REF!</v>
      </c>
      <c r="O8" s="156" t="e">
        <f>COUNTIFS(#REF!,"&gt;="&amp;DATE($C8,$B8,1),#REF!,"&lt;="&amp;EOMONTH(DATE($C8,$B8,1),0),#REF!,"Incident")+
COUNTIFS(#REF!,"&gt;="&amp;DATE($C8,$B8,1),#REF!,"&lt;="&amp;EOMONTH(DATE($C8,$B8,1),0),#REF!,"user_request")</f>
        <v>#REF!</v>
      </c>
      <c r="P8" s="147">
        <f t="shared" si="9"/>
        <v>0</v>
      </c>
      <c r="Q8" s="147">
        <f t="shared" si="10"/>
        <v>0</v>
      </c>
      <c r="R8" s="147">
        <f t="shared" si="11"/>
        <v>0</v>
      </c>
      <c r="S8" s="146" t="e">
        <f t="shared" si="12"/>
        <v>#REF!</v>
      </c>
      <c r="T8" s="146" t="e">
        <f t="shared" si="13"/>
        <v>#REF!</v>
      </c>
      <c r="U8" s="145">
        <f t="shared" si="4"/>
        <v>0</v>
      </c>
      <c r="V8" s="145" t="e">
        <f t="shared" si="5"/>
        <v>#REF!</v>
      </c>
      <c r="W8" s="142">
        <v>5</v>
      </c>
      <c r="X8" s="142" t="str">
        <f>+IF((VLOOKUP(A8,List!B:C,2,0)-VLOOKUP(Summary!$P$7,List!B:C,2,0))=0,1,"")</f>
        <v/>
      </c>
      <c r="Y8" s="198" t="str">
        <f>+IF((VLOOKUP(A8,List!B:C,2,0)-VLOOKUP(Summary!$P$7,List!B:C,2,0))&gt;=0,1,"")</f>
        <v/>
      </c>
      <c r="Z8" s="198" t="str">
        <f>+IF((VLOOKUP(A8,List!B:C,2,0)-VLOOKUP(Summary!$P$7,List!B:C,2,0))&gt;0,1,"")</f>
        <v/>
      </c>
      <c r="AA8" s="141" t="str">
        <f t="shared" si="6"/>
        <v/>
      </c>
      <c r="AB8" s="199" t="str">
        <f>+IF(AA8="","",IF(Summary!$J$7="Fixed Price","",IF(M8="",IF(I8="","",1),"")))</f>
        <v/>
      </c>
      <c r="AC8" s="198">
        <f t="shared" si="14"/>
        <v>0</v>
      </c>
      <c r="AD8" s="198" t="e">
        <f>+IF(AA8="",+IF(N8&gt;#REF!,#REF!,IF(N8&gt;#REF!,#REF!,IF(N8&gt;#REF!,#REF!,IF(N8&gt;#REF!,#REF!,IF(N8&gt;#REF!,#REF!,IF(N8&gt;#REF!,#REF!,IF(N8&gt;#REF!,#REF!,IF(N8&gt;#REF!,#REF!,#REF!)))))))),0)</f>
        <v>#REF!</v>
      </c>
    </row>
    <row r="9" spans="1:30" x14ac:dyDescent="0.2">
      <c r="A9" s="155" t="str">
        <f t="shared" si="0"/>
        <v>2026-2</v>
      </c>
      <c r="B9" s="154">
        <f t="shared" si="7"/>
        <v>2</v>
      </c>
      <c r="C9" s="153">
        <f t="shared" si="8"/>
        <v>2026</v>
      </c>
      <c r="D9" s="152" t="str">
        <f t="shared" si="1"/>
        <v>2026-2</v>
      </c>
      <c r="E9" s="151">
        <f>+IF($B9="","",Summary!$P$4)</f>
        <v>45929</v>
      </c>
      <c r="F9" s="151">
        <f>+IF($B9="","",Summary!$P$5)</f>
        <v>46657</v>
      </c>
      <c r="G9" s="151">
        <f>+IF($B9="","",Summary!$P$6)</f>
        <v>46657</v>
      </c>
      <c r="H9" s="150" t="str">
        <f t="shared" si="2"/>
        <v>Green</v>
      </c>
      <c r="I9" s="148"/>
      <c r="J9" s="149"/>
      <c r="K9" s="148"/>
      <c r="L9" s="148"/>
      <c r="M9" s="148"/>
      <c r="N9" s="148" t="e">
        <f t="shared" si="3"/>
        <v>#REF!</v>
      </c>
      <c r="O9" s="148" t="e">
        <f>COUNTIFS(#REF!,"&gt;="&amp;DATE($C9,$B9,1),#REF!,"&lt;="&amp;EOMONTH(DATE($C9,$B9,1),0),#REF!,"Incident")+
COUNTIFS(#REF!,"&gt;="&amp;DATE($C9,$B9,1),#REF!,"&lt;="&amp;EOMONTH(DATE($C9,$B9,1),0),#REF!,"user_request")</f>
        <v>#REF!</v>
      </c>
      <c r="P9" s="147">
        <f t="shared" si="9"/>
        <v>0</v>
      </c>
      <c r="Q9" s="147">
        <f t="shared" si="10"/>
        <v>0</v>
      </c>
      <c r="R9" s="147">
        <f t="shared" si="11"/>
        <v>0</v>
      </c>
      <c r="S9" s="146" t="e">
        <f t="shared" si="12"/>
        <v>#REF!</v>
      </c>
      <c r="T9" s="146" t="e">
        <f t="shared" si="13"/>
        <v>#REF!</v>
      </c>
      <c r="U9" s="145">
        <f t="shared" si="4"/>
        <v>0</v>
      </c>
      <c r="V9" s="145" t="e">
        <f t="shared" si="5"/>
        <v>#REF!</v>
      </c>
      <c r="W9" s="142">
        <v>6</v>
      </c>
      <c r="X9" s="142">
        <f>+IF((VLOOKUP(A9,List!B:C,2,0)-VLOOKUP(Summary!$P$7,List!B:C,2,0))=0,1,"")</f>
        <v>1</v>
      </c>
      <c r="Y9" s="198">
        <f>+IF((VLOOKUP(A9,List!B:C,2,0)-VLOOKUP(Summary!$P$7,List!B:C,2,0))&gt;=0,1,"")</f>
        <v>1</v>
      </c>
      <c r="Z9" s="198" t="str">
        <f>+IF((VLOOKUP(A9,List!B:C,2,0)-VLOOKUP(Summary!$P$7,List!B:C,2,0))&gt;0,1,"")</f>
        <v/>
      </c>
      <c r="AA9" s="141" t="str">
        <f t="shared" si="6"/>
        <v/>
      </c>
      <c r="AB9" s="199" t="str">
        <f>+IF(AA9="","",IF(Summary!$J$7="Fixed Price","",IF(M9="",IF(I9="","",1),"")))</f>
        <v/>
      </c>
      <c r="AC9" s="198">
        <f t="shared" si="14"/>
        <v>0</v>
      </c>
      <c r="AD9" s="198" t="e">
        <f>+IF(AA9="",+IF(N9&gt;#REF!,#REF!,IF(N9&gt;#REF!,#REF!,IF(N9&gt;#REF!,#REF!,IF(N9&gt;#REF!,#REF!,IF(N9&gt;#REF!,#REF!,IF(N9&gt;#REF!,#REF!,IF(N9&gt;#REF!,#REF!,IF(N9&gt;#REF!,#REF!,#REF!)))))))),0)</f>
        <v>#REF!</v>
      </c>
    </row>
    <row r="10" spans="1:30" x14ac:dyDescent="0.2">
      <c r="A10" s="155" t="str">
        <f t="shared" si="0"/>
        <v>2026-3</v>
      </c>
      <c r="B10" s="154">
        <f t="shared" si="7"/>
        <v>3</v>
      </c>
      <c r="C10" s="153">
        <f t="shared" si="8"/>
        <v>2026</v>
      </c>
      <c r="D10" s="152" t="str">
        <f t="shared" si="1"/>
        <v>2026-3</v>
      </c>
      <c r="E10" s="159">
        <f>+IF($B10="","",Summary!$P$4)</f>
        <v>45929</v>
      </c>
      <c r="F10" s="159">
        <f>+IF($B10="","",Summary!$P$5)</f>
        <v>46657</v>
      </c>
      <c r="G10" s="159">
        <f>+IF($B10="","",Summary!$P$6)</f>
        <v>46657</v>
      </c>
      <c r="H10" s="158" t="str">
        <f t="shared" si="2"/>
        <v>Green</v>
      </c>
      <c r="I10" s="156"/>
      <c r="J10" s="157"/>
      <c r="K10" s="156"/>
      <c r="L10" s="156"/>
      <c r="M10" s="156"/>
      <c r="N10" s="156" t="e">
        <f t="shared" si="3"/>
        <v>#REF!</v>
      </c>
      <c r="O10" s="156" t="e">
        <f>COUNTIFS(#REF!,"&gt;="&amp;DATE($C10,$B10,1),#REF!,"&lt;="&amp;EOMONTH(DATE($C10,$B10,1),0),#REF!,"Incident")+
COUNTIFS(#REF!,"&gt;="&amp;DATE($C10,$B10,1),#REF!,"&lt;="&amp;EOMONTH(DATE($C10,$B10,1),0),#REF!,"user_request")</f>
        <v>#REF!</v>
      </c>
      <c r="P10" s="147">
        <f t="shared" si="9"/>
        <v>0</v>
      </c>
      <c r="Q10" s="147">
        <f t="shared" si="10"/>
        <v>0</v>
      </c>
      <c r="R10" s="147">
        <f t="shared" si="11"/>
        <v>0</v>
      </c>
      <c r="S10" s="146" t="e">
        <f t="shared" si="12"/>
        <v>#REF!</v>
      </c>
      <c r="T10" s="146" t="e">
        <f t="shared" si="13"/>
        <v>#REF!</v>
      </c>
      <c r="U10" s="145">
        <f t="shared" si="4"/>
        <v>0</v>
      </c>
      <c r="V10" s="145" t="e">
        <f t="shared" si="5"/>
        <v>#REF!</v>
      </c>
      <c r="W10" s="142">
        <v>7</v>
      </c>
      <c r="X10" s="142" t="str">
        <f>+IF((VLOOKUP(A10,List!B:C,2,0)-VLOOKUP(Summary!$P$7,List!B:C,2,0))=0,1,"")</f>
        <v/>
      </c>
      <c r="Y10" s="198">
        <f>+IF((VLOOKUP(A10,List!B:C,2,0)-VLOOKUP(Summary!$P$7,List!B:C,2,0))&gt;=0,1,"")</f>
        <v>1</v>
      </c>
      <c r="Z10" s="198">
        <f>+IF((VLOOKUP(A10,List!B:C,2,0)-VLOOKUP(Summary!$P$7,List!B:C,2,0))&gt;0,1,"")</f>
        <v>1</v>
      </c>
      <c r="AA10" s="141">
        <f t="shared" si="6"/>
        <v>1</v>
      </c>
      <c r="AB10" s="199" t="str">
        <f>+IF(AA10="","",IF(Summary!$J$7="Fixed Price","",IF(M10="",IF(I10="","",1),"")))</f>
        <v/>
      </c>
      <c r="AC10" s="198">
        <f t="shared" si="14"/>
        <v>0</v>
      </c>
      <c r="AD10" s="198">
        <f>+IF(AA10="",+IF(N10&gt;#REF!,#REF!,IF(N10&gt;#REF!,#REF!,IF(N10&gt;#REF!,#REF!,IF(N10&gt;#REF!,#REF!,IF(N10&gt;#REF!,#REF!,IF(N10&gt;#REF!,#REF!,IF(N10&gt;#REF!,#REF!,IF(N10&gt;#REF!,#REF!,#REF!)))))))),0)</f>
        <v>0</v>
      </c>
    </row>
    <row r="11" spans="1:30" x14ac:dyDescent="0.2">
      <c r="A11" s="155" t="str">
        <f t="shared" si="0"/>
        <v>2026-4</v>
      </c>
      <c r="B11" s="154">
        <f t="shared" si="7"/>
        <v>4</v>
      </c>
      <c r="C11" s="153">
        <f t="shared" si="8"/>
        <v>2026</v>
      </c>
      <c r="D11" s="152" t="str">
        <f t="shared" si="1"/>
        <v>2026-4</v>
      </c>
      <c r="E11" s="151">
        <f>+IF($B11="","",Summary!$P$4)</f>
        <v>45929</v>
      </c>
      <c r="F11" s="151">
        <f>+IF($B11="","",Summary!$P$5)</f>
        <v>46657</v>
      </c>
      <c r="G11" s="151">
        <f>+IF($B11="","",Summary!$P$6)</f>
        <v>46657</v>
      </c>
      <c r="H11" s="150" t="str">
        <f t="shared" si="2"/>
        <v>Green</v>
      </c>
      <c r="I11" s="148"/>
      <c r="J11" s="149"/>
      <c r="K11" s="148"/>
      <c r="L11" s="148"/>
      <c r="M11" s="148"/>
      <c r="N11" s="148" t="e">
        <f t="shared" si="3"/>
        <v>#REF!</v>
      </c>
      <c r="O11" s="148" t="e">
        <f>COUNTIFS(#REF!,"&gt;="&amp;DATE($C11,$B11,1),#REF!,"&lt;="&amp;EOMONTH(DATE($C11,$B11,1),0),#REF!,"Incident")+
COUNTIFS(#REF!,"&gt;="&amp;DATE($C11,$B11,1),#REF!,"&lt;="&amp;EOMONTH(DATE($C11,$B11,1),0),#REF!,"user_request")</f>
        <v>#REF!</v>
      </c>
      <c r="P11" s="147">
        <f t="shared" si="9"/>
        <v>0</v>
      </c>
      <c r="Q11" s="147">
        <f t="shared" si="10"/>
        <v>0</v>
      </c>
      <c r="R11" s="147">
        <f t="shared" si="11"/>
        <v>0</v>
      </c>
      <c r="S11" s="146" t="e">
        <f t="shared" si="12"/>
        <v>#REF!</v>
      </c>
      <c r="T11" s="146" t="e">
        <f t="shared" si="13"/>
        <v>#REF!</v>
      </c>
      <c r="U11" s="145">
        <f t="shared" si="4"/>
        <v>0</v>
      </c>
      <c r="V11" s="145" t="e">
        <f t="shared" si="5"/>
        <v>#REF!</v>
      </c>
      <c r="W11" s="142">
        <v>8</v>
      </c>
      <c r="X11" s="142" t="str">
        <f>+IF((VLOOKUP(A11,List!B:C,2,0)-VLOOKUP(Summary!$P$7,List!B:C,2,0))=0,1,"")</f>
        <v/>
      </c>
      <c r="Y11" s="198">
        <f>+IF((VLOOKUP(A11,List!B:C,2,0)-VLOOKUP(Summary!$P$7,List!B:C,2,0))&gt;=0,1,"")</f>
        <v>1</v>
      </c>
      <c r="Z11" s="198">
        <f>+IF((VLOOKUP(A11,List!B:C,2,0)-VLOOKUP(Summary!$P$7,List!B:C,2,0))&gt;0,1,"")</f>
        <v>1</v>
      </c>
      <c r="AA11" s="141">
        <f t="shared" si="6"/>
        <v>1</v>
      </c>
      <c r="AB11" s="199" t="str">
        <f>+IF(AA11="","",IF(Summary!$J$7="Fixed Price","",IF(M11="",IF(I11="","",1),"")))</f>
        <v/>
      </c>
      <c r="AC11" s="198">
        <f t="shared" si="14"/>
        <v>0</v>
      </c>
      <c r="AD11" s="198">
        <f>+IF(AA11="",+IF(N11&gt;#REF!,#REF!,IF(N11&gt;#REF!,#REF!,IF(N11&gt;#REF!,#REF!,IF(N11&gt;#REF!,#REF!,IF(N11&gt;#REF!,#REF!,IF(N11&gt;#REF!,#REF!,IF(N11&gt;#REF!,#REF!,IF(N11&gt;#REF!,#REF!,#REF!)))))))),0)</f>
        <v>0</v>
      </c>
    </row>
    <row r="12" spans="1:30" x14ac:dyDescent="0.2">
      <c r="A12" s="155" t="str">
        <f t="shared" si="0"/>
        <v>2026-5</v>
      </c>
      <c r="B12" s="154">
        <f t="shared" si="7"/>
        <v>5</v>
      </c>
      <c r="C12" s="153">
        <f t="shared" si="8"/>
        <v>2026</v>
      </c>
      <c r="D12" s="152" t="str">
        <f t="shared" si="1"/>
        <v>2026-5</v>
      </c>
      <c r="E12" s="159">
        <f>+IF($B12="","",Summary!$P$4)</f>
        <v>45929</v>
      </c>
      <c r="F12" s="159">
        <f>+IF($B12="","",Summary!$P$5)</f>
        <v>46657</v>
      </c>
      <c r="G12" s="159">
        <f>+IF($B12="","",Summary!$P$6)</f>
        <v>46657</v>
      </c>
      <c r="H12" s="158" t="str">
        <f t="shared" si="2"/>
        <v>Green</v>
      </c>
      <c r="I12" s="156"/>
      <c r="J12" s="157"/>
      <c r="K12" s="156"/>
      <c r="L12" s="156"/>
      <c r="M12" s="156"/>
      <c r="N12" s="156" t="e">
        <f t="shared" si="3"/>
        <v>#REF!</v>
      </c>
      <c r="O12" s="156" t="e">
        <f>COUNTIFS(#REF!,"&gt;="&amp;DATE($C12,$B12,1),#REF!,"&lt;="&amp;EOMONTH(DATE($C12,$B12,1),0),#REF!,"Incident")+
COUNTIFS(#REF!,"&gt;="&amp;DATE($C12,$B12,1),#REF!,"&lt;="&amp;EOMONTH(DATE($C12,$B12,1),0),#REF!,"user_request")</f>
        <v>#REF!</v>
      </c>
      <c r="P12" s="147">
        <f t="shared" si="9"/>
        <v>0</v>
      </c>
      <c r="Q12" s="147">
        <f t="shared" si="10"/>
        <v>0</v>
      </c>
      <c r="R12" s="147">
        <f t="shared" si="11"/>
        <v>0</v>
      </c>
      <c r="S12" s="146" t="e">
        <f t="shared" si="12"/>
        <v>#REF!</v>
      </c>
      <c r="T12" s="146" t="e">
        <f t="shared" si="13"/>
        <v>#REF!</v>
      </c>
      <c r="U12" s="145">
        <f t="shared" si="4"/>
        <v>0</v>
      </c>
      <c r="V12" s="145" t="e">
        <f t="shared" si="5"/>
        <v>#REF!</v>
      </c>
      <c r="W12" s="142">
        <v>9</v>
      </c>
      <c r="X12" s="142" t="str">
        <f>+IF((VLOOKUP(A12,List!B:C,2,0)-VLOOKUP(Summary!$P$7,List!B:C,2,0))=0,1,"")</f>
        <v/>
      </c>
      <c r="Y12" s="198">
        <f>+IF((VLOOKUP(A12,List!B:C,2,0)-VLOOKUP(Summary!$P$7,List!B:C,2,0))&gt;=0,1,"")</f>
        <v>1</v>
      </c>
      <c r="Z12" s="198">
        <f>+IF((VLOOKUP(A12,List!B:C,2,0)-VLOOKUP(Summary!$P$7,List!B:C,2,0))&gt;0,1,"")</f>
        <v>1</v>
      </c>
      <c r="AA12" s="141">
        <f t="shared" si="6"/>
        <v>1</v>
      </c>
      <c r="AB12" s="199" t="str">
        <f>+IF(AA12="","",IF(Summary!$J$7="Fixed Price","",IF(M12="",IF(I12="","",1),"")))</f>
        <v/>
      </c>
      <c r="AC12" s="198">
        <f t="shared" si="14"/>
        <v>0</v>
      </c>
      <c r="AD12" s="198">
        <f>+IF(AA12="",+IF(N12&gt;#REF!,#REF!,IF(N12&gt;#REF!,#REF!,IF(N12&gt;#REF!,#REF!,IF(N12&gt;#REF!,#REF!,IF(N12&gt;#REF!,#REF!,IF(N12&gt;#REF!,#REF!,IF(N12&gt;#REF!,#REF!,IF(N12&gt;#REF!,#REF!,#REF!)))))))),0)</f>
        <v>0</v>
      </c>
    </row>
    <row r="13" spans="1:30" x14ac:dyDescent="0.2">
      <c r="A13" s="155" t="str">
        <f t="shared" si="0"/>
        <v>2026-6</v>
      </c>
      <c r="B13" s="154">
        <f t="shared" si="7"/>
        <v>6</v>
      </c>
      <c r="C13" s="153">
        <f t="shared" si="8"/>
        <v>2026</v>
      </c>
      <c r="D13" s="152" t="str">
        <f t="shared" si="1"/>
        <v>2026-6</v>
      </c>
      <c r="E13" s="151">
        <f>+IF($B13="","",Summary!$P$4)</f>
        <v>45929</v>
      </c>
      <c r="F13" s="151">
        <f>+IF($B13="","",Summary!$P$5)</f>
        <v>46657</v>
      </c>
      <c r="G13" s="151">
        <f>+IF($B13="","",Summary!$P$6)</f>
        <v>46657</v>
      </c>
      <c r="H13" s="150" t="str">
        <f t="shared" si="2"/>
        <v>Green</v>
      </c>
      <c r="I13" s="148"/>
      <c r="J13" s="149"/>
      <c r="K13" s="148"/>
      <c r="L13" s="148"/>
      <c r="M13" s="148"/>
      <c r="N13" s="148" t="e">
        <f t="shared" si="3"/>
        <v>#REF!</v>
      </c>
      <c r="O13" s="148" t="e">
        <f>COUNTIFS(#REF!,"&gt;="&amp;DATE($C13,$B13,1),#REF!,"&lt;="&amp;EOMONTH(DATE($C13,$B13,1),0),#REF!,"Incident")+
COUNTIFS(#REF!,"&gt;="&amp;DATE($C13,$B13,1),#REF!,"&lt;="&amp;EOMONTH(DATE($C13,$B13,1),0),#REF!,"user_request")</f>
        <v>#REF!</v>
      </c>
      <c r="P13" s="147">
        <f t="shared" si="9"/>
        <v>0</v>
      </c>
      <c r="Q13" s="147">
        <f t="shared" si="10"/>
        <v>0</v>
      </c>
      <c r="R13" s="147">
        <f t="shared" si="11"/>
        <v>0</v>
      </c>
      <c r="S13" s="146" t="e">
        <f t="shared" si="12"/>
        <v>#REF!</v>
      </c>
      <c r="T13" s="146" t="e">
        <f t="shared" si="13"/>
        <v>#REF!</v>
      </c>
      <c r="U13" s="145">
        <f t="shared" si="4"/>
        <v>0</v>
      </c>
      <c r="V13" s="145" t="e">
        <f t="shared" si="5"/>
        <v>#REF!</v>
      </c>
      <c r="W13" s="142">
        <v>10</v>
      </c>
      <c r="X13" s="142" t="str">
        <f>+IF((VLOOKUP(A13,List!B:C,2,0)-VLOOKUP(Summary!$P$7,List!B:C,2,0))=0,1,"")</f>
        <v/>
      </c>
      <c r="Y13" s="198">
        <f>+IF((VLOOKUP(A13,List!B:C,2,0)-VLOOKUP(Summary!$P$7,List!B:C,2,0))&gt;=0,1,"")</f>
        <v>1</v>
      </c>
      <c r="Z13" s="198">
        <f>+IF((VLOOKUP(A13,List!B:C,2,0)-VLOOKUP(Summary!$P$7,List!B:C,2,0))&gt;0,1,"")</f>
        <v>1</v>
      </c>
      <c r="AA13" s="141">
        <f t="shared" si="6"/>
        <v>1</v>
      </c>
      <c r="AB13" s="199" t="str">
        <f>+IF(AA13="","",IF(Summary!$J$7="Fixed Price","",IF(M13="",IF(I13="","",1),"")))</f>
        <v/>
      </c>
      <c r="AC13" s="198">
        <f t="shared" si="14"/>
        <v>0</v>
      </c>
      <c r="AD13" s="198">
        <f>+IF(AA13="",+IF(N13&gt;#REF!,#REF!,IF(N13&gt;#REF!,#REF!,IF(N13&gt;#REF!,#REF!,IF(N13&gt;#REF!,#REF!,IF(N13&gt;#REF!,#REF!,IF(N13&gt;#REF!,#REF!,IF(N13&gt;#REF!,#REF!,IF(N13&gt;#REF!,#REF!,#REF!)))))))),0)</f>
        <v>0</v>
      </c>
    </row>
    <row r="14" spans="1:30" x14ac:dyDescent="0.2">
      <c r="A14" s="155" t="str">
        <f t="shared" si="0"/>
        <v>2026-7</v>
      </c>
      <c r="B14" s="154">
        <f t="shared" si="7"/>
        <v>7</v>
      </c>
      <c r="C14" s="153">
        <f t="shared" si="8"/>
        <v>2026</v>
      </c>
      <c r="D14" s="152" t="str">
        <f t="shared" si="1"/>
        <v>2026-7</v>
      </c>
      <c r="E14" s="159">
        <f>+IF($B14="","",Summary!$P$4)</f>
        <v>45929</v>
      </c>
      <c r="F14" s="159">
        <f>+IF($B14="","",Summary!$P$5)</f>
        <v>46657</v>
      </c>
      <c r="G14" s="159">
        <f>+IF($B14="","",Summary!$P$6)</f>
        <v>46657</v>
      </c>
      <c r="H14" s="158" t="str">
        <f t="shared" si="2"/>
        <v>Green</v>
      </c>
      <c r="I14" s="156"/>
      <c r="J14" s="157"/>
      <c r="K14" s="156"/>
      <c r="L14" s="156"/>
      <c r="M14" s="156"/>
      <c r="N14" s="156" t="e">
        <f t="shared" si="3"/>
        <v>#REF!</v>
      </c>
      <c r="O14" s="156" t="e">
        <f>COUNTIFS(#REF!,"&gt;="&amp;DATE($C14,$B14,1),#REF!,"&lt;="&amp;EOMONTH(DATE($C14,$B14,1),0),#REF!,"Incident")+
COUNTIFS(#REF!,"&gt;="&amp;DATE($C14,$B14,1),#REF!,"&lt;="&amp;EOMONTH(DATE($C14,$B14,1),0),#REF!,"user_request")</f>
        <v>#REF!</v>
      </c>
      <c r="P14" s="147">
        <f t="shared" si="9"/>
        <v>0</v>
      </c>
      <c r="Q14" s="147">
        <f t="shared" si="10"/>
        <v>0</v>
      </c>
      <c r="R14" s="147">
        <f t="shared" si="11"/>
        <v>0</v>
      </c>
      <c r="S14" s="146" t="e">
        <f t="shared" si="12"/>
        <v>#REF!</v>
      </c>
      <c r="T14" s="146" t="e">
        <f t="shared" si="13"/>
        <v>#REF!</v>
      </c>
      <c r="U14" s="145">
        <f t="shared" si="4"/>
        <v>0</v>
      </c>
      <c r="V14" s="145" t="e">
        <f t="shared" si="5"/>
        <v>#REF!</v>
      </c>
      <c r="W14" s="142">
        <v>11</v>
      </c>
      <c r="X14" s="142" t="str">
        <f>+IF((VLOOKUP(A14,List!B:C,2,0)-VLOOKUP(Summary!$P$7,List!B:C,2,0))=0,1,"")</f>
        <v/>
      </c>
      <c r="Y14" s="198">
        <f>+IF((VLOOKUP(A14,List!B:C,2,0)-VLOOKUP(Summary!$P$7,List!B:C,2,0))&gt;=0,1,"")</f>
        <v>1</v>
      </c>
      <c r="Z14" s="198">
        <f>+IF((VLOOKUP(A14,List!B:C,2,0)-VLOOKUP(Summary!$P$7,List!B:C,2,0))&gt;0,1,"")</f>
        <v>1</v>
      </c>
      <c r="AA14" s="141">
        <f t="shared" si="6"/>
        <v>1</v>
      </c>
      <c r="AB14" s="199" t="str">
        <f>+IF(AA14="","",IF(Summary!$J$7="Fixed Price","",IF(M14="",IF(I14="","",1),"")))</f>
        <v/>
      </c>
      <c r="AC14" s="198">
        <f t="shared" si="14"/>
        <v>0</v>
      </c>
      <c r="AD14" s="198">
        <f>+IF(AA14="",+IF(N14&gt;#REF!,#REF!,IF(N14&gt;#REF!,#REF!,IF(N14&gt;#REF!,#REF!,IF(N14&gt;#REF!,#REF!,IF(N14&gt;#REF!,#REF!,IF(N14&gt;#REF!,#REF!,IF(N14&gt;#REF!,#REF!,IF(N14&gt;#REF!,#REF!,#REF!)))))))),0)</f>
        <v>0</v>
      </c>
    </row>
    <row r="15" spans="1:30" x14ac:dyDescent="0.2">
      <c r="A15" s="155" t="str">
        <f t="shared" si="0"/>
        <v>2026-8</v>
      </c>
      <c r="B15" s="154">
        <f t="shared" si="7"/>
        <v>8</v>
      </c>
      <c r="C15" s="153">
        <f t="shared" si="8"/>
        <v>2026</v>
      </c>
      <c r="D15" s="152" t="str">
        <f t="shared" si="1"/>
        <v>2026-8</v>
      </c>
      <c r="E15" s="151">
        <f>+IF($B15="","",Summary!$P$4)</f>
        <v>45929</v>
      </c>
      <c r="F15" s="151">
        <f>+IF($B15="","",Summary!$P$5)</f>
        <v>46657</v>
      </c>
      <c r="G15" s="151">
        <f>+IF($B15="","",Summary!$P$6)</f>
        <v>46657</v>
      </c>
      <c r="H15" s="150" t="str">
        <f t="shared" si="2"/>
        <v>Green</v>
      </c>
      <c r="I15" s="148"/>
      <c r="J15" s="149"/>
      <c r="K15" s="148"/>
      <c r="L15" s="148"/>
      <c r="M15" s="148"/>
      <c r="N15" s="148" t="e">
        <f t="shared" si="3"/>
        <v>#REF!</v>
      </c>
      <c r="O15" s="148" t="e">
        <f>COUNTIFS(#REF!,"&gt;="&amp;DATE($C15,$B15,1),#REF!,"&lt;="&amp;EOMONTH(DATE($C15,$B15,1),0),#REF!,"Incident")+
COUNTIFS(#REF!,"&gt;="&amp;DATE($C15,$B15,1),#REF!,"&lt;="&amp;EOMONTH(DATE($C15,$B15,1),0),#REF!,"user_request")</f>
        <v>#REF!</v>
      </c>
      <c r="P15" s="147">
        <f t="shared" si="9"/>
        <v>0</v>
      </c>
      <c r="Q15" s="147">
        <f t="shared" si="10"/>
        <v>0</v>
      </c>
      <c r="R15" s="147">
        <f t="shared" si="11"/>
        <v>0</v>
      </c>
      <c r="S15" s="146" t="e">
        <f t="shared" si="12"/>
        <v>#REF!</v>
      </c>
      <c r="T15" s="146" t="e">
        <f t="shared" si="13"/>
        <v>#REF!</v>
      </c>
      <c r="U15" s="145">
        <f t="shared" si="4"/>
        <v>0</v>
      </c>
      <c r="V15" s="145" t="e">
        <f t="shared" si="5"/>
        <v>#REF!</v>
      </c>
      <c r="W15" s="142">
        <v>12</v>
      </c>
      <c r="X15" s="142" t="str">
        <f>+IF((VLOOKUP(A15,List!B:C,2,0)-VLOOKUP(Summary!$P$7,List!B:C,2,0))=0,1,"")</f>
        <v/>
      </c>
      <c r="Y15" s="198">
        <f>+IF((VLOOKUP(A15,List!B:C,2,0)-VLOOKUP(Summary!$P$7,List!B:C,2,0))&gt;=0,1,"")</f>
        <v>1</v>
      </c>
      <c r="Z15" s="198">
        <f>+IF((VLOOKUP(A15,List!B:C,2,0)-VLOOKUP(Summary!$P$7,List!B:C,2,0))&gt;0,1,"")</f>
        <v>1</v>
      </c>
      <c r="AA15" s="141">
        <f t="shared" si="6"/>
        <v>1</v>
      </c>
      <c r="AB15" s="199" t="str">
        <f>+IF(AA15="","",IF(Summary!$J$7="Fixed Price","",IF(M15="",IF(I15="","",1),"")))</f>
        <v/>
      </c>
      <c r="AC15" s="198">
        <f t="shared" si="14"/>
        <v>0</v>
      </c>
      <c r="AD15" s="198">
        <f>+IF(AA15="",+IF(N15&gt;#REF!,#REF!,IF(N15&gt;#REF!,#REF!,IF(N15&gt;#REF!,#REF!,IF(N15&gt;#REF!,#REF!,IF(N15&gt;#REF!,#REF!,IF(N15&gt;#REF!,#REF!,IF(N15&gt;#REF!,#REF!,IF(N15&gt;#REF!,#REF!,#REF!)))))))),0)</f>
        <v>0</v>
      </c>
    </row>
    <row r="16" spans="1:30" x14ac:dyDescent="0.2">
      <c r="A16" s="155" t="str">
        <f t="shared" si="0"/>
        <v>2026-9</v>
      </c>
      <c r="B16" s="154">
        <f t="shared" si="7"/>
        <v>9</v>
      </c>
      <c r="C16" s="153">
        <f t="shared" si="8"/>
        <v>2026</v>
      </c>
      <c r="D16" s="152" t="str">
        <f t="shared" si="1"/>
        <v>2026-9</v>
      </c>
      <c r="E16" s="159">
        <f>+IF($B16="","",Summary!$P$4)</f>
        <v>45929</v>
      </c>
      <c r="F16" s="159">
        <f>+IF($B16="","",Summary!$P$5)</f>
        <v>46657</v>
      </c>
      <c r="G16" s="159">
        <f>+IF($B16="","",Summary!$P$6)</f>
        <v>46657</v>
      </c>
      <c r="H16" s="158" t="str">
        <f t="shared" si="2"/>
        <v>Green</v>
      </c>
      <c r="I16" s="156"/>
      <c r="J16" s="160"/>
      <c r="K16" s="156"/>
      <c r="L16" s="156"/>
      <c r="M16" s="156"/>
      <c r="N16" s="156" t="e">
        <f t="shared" si="3"/>
        <v>#REF!</v>
      </c>
      <c r="O16" s="156" t="e">
        <f>COUNTIFS(#REF!,"&gt;="&amp;DATE($C16,$B16,1),#REF!,"&lt;="&amp;EOMONTH(DATE($C16,$B16,1),0),#REF!,"Incident")+
COUNTIFS(#REF!,"&gt;="&amp;DATE($C16,$B16,1),#REF!,"&lt;="&amp;EOMONTH(DATE($C16,$B16,1),0),#REF!,"user_request")</f>
        <v>#REF!</v>
      </c>
      <c r="P16" s="147">
        <f t="shared" si="9"/>
        <v>0</v>
      </c>
      <c r="Q16" s="147">
        <f t="shared" si="10"/>
        <v>0</v>
      </c>
      <c r="R16" s="147">
        <f t="shared" si="11"/>
        <v>0</v>
      </c>
      <c r="S16" s="146" t="e">
        <f t="shared" si="12"/>
        <v>#REF!</v>
      </c>
      <c r="T16" s="146" t="e">
        <f t="shared" si="13"/>
        <v>#REF!</v>
      </c>
      <c r="U16" s="145">
        <f t="shared" si="4"/>
        <v>0</v>
      </c>
      <c r="V16" s="145" t="e">
        <f t="shared" si="5"/>
        <v>#REF!</v>
      </c>
      <c r="W16" s="142">
        <v>13</v>
      </c>
      <c r="X16" s="142" t="str">
        <f>+IF((VLOOKUP(A16,List!B:C,2,0)-VLOOKUP(Summary!$P$7,List!B:C,2,0))=0,1,"")</f>
        <v/>
      </c>
      <c r="Y16" s="198">
        <f>+IF((VLOOKUP(A16,List!B:C,2,0)-VLOOKUP(Summary!$P$7,List!B:C,2,0))&gt;=0,1,"")</f>
        <v>1</v>
      </c>
      <c r="Z16" s="198">
        <f>+IF((VLOOKUP(A16,List!B:C,2,0)-VLOOKUP(Summary!$P$7,List!B:C,2,0))&gt;0,1,"")</f>
        <v>1</v>
      </c>
      <c r="AA16" s="141">
        <f t="shared" si="6"/>
        <v>1</v>
      </c>
      <c r="AB16" s="199" t="str">
        <f>+IF(AA16="","",IF(Summary!$J$7="Fixed Price","",IF(M16="",IF(I16="","",1),"")))</f>
        <v/>
      </c>
      <c r="AC16" s="198">
        <f t="shared" si="14"/>
        <v>0</v>
      </c>
      <c r="AD16" s="198">
        <f>+IF(AA16="",+IF(N16&gt;#REF!,#REF!,IF(N16&gt;#REF!,#REF!,IF(N16&gt;#REF!,#REF!,IF(N16&gt;#REF!,#REF!,IF(N16&gt;#REF!,#REF!,IF(N16&gt;#REF!,#REF!,IF(N16&gt;#REF!,#REF!,IF(N16&gt;#REF!,#REF!,#REF!)))))))),0)</f>
        <v>0</v>
      </c>
    </row>
    <row r="17" spans="1:30" x14ac:dyDescent="0.2">
      <c r="A17" s="155" t="str">
        <f t="shared" si="0"/>
        <v>2026-10</v>
      </c>
      <c r="B17" s="154">
        <f t="shared" si="7"/>
        <v>10</v>
      </c>
      <c r="C17" s="153">
        <f t="shared" si="8"/>
        <v>2026</v>
      </c>
      <c r="D17" s="152" t="str">
        <f t="shared" si="1"/>
        <v>2026-10</v>
      </c>
      <c r="E17" s="151">
        <f>+IF($B17="","",Summary!$P$4)</f>
        <v>45929</v>
      </c>
      <c r="F17" s="151">
        <f>+IF($B17="","",Summary!$P$5)</f>
        <v>46657</v>
      </c>
      <c r="G17" s="151">
        <f>+IF($B17="","",Summary!$P$6)</f>
        <v>46657</v>
      </c>
      <c r="H17" s="150" t="str">
        <f t="shared" si="2"/>
        <v>Green</v>
      </c>
      <c r="I17" s="148"/>
      <c r="J17" s="161"/>
      <c r="K17" s="148"/>
      <c r="L17" s="148"/>
      <c r="M17" s="148"/>
      <c r="N17" s="148" t="e">
        <f t="shared" si="3"/>
        <v>#REF!</v>
      </c>
      <c r="O17" s="148" t="e">
        <f>COUNTIFS(#REF!,"&gt;="&amp;DATE($C17,$B17,1),#REF!,"&lt;="&amp;EOMONTH(DATE($C17,$B17,1),0),#REF!,"Incident")+
COUNTIFS(#REF!,"&gt;="&amp;DATE($C17,$B17,1),#REF!,"&lt;="&amp;EOMONTH(DATE($C17,$B17,1),0),#REF!,"user_request")</f>
        <v>#REF!</v>
      </c>
      <c r="P17" s="147">
        <f t="shared" si="9"/>
        <v>0</v>
      </c>
      <c r="Q17" s="147">
        <f t="shared" si="10"/>
        <v>0</v>
      </c>
      <c r="R17" s="147">
        <f t="shared" si="11"/>
        <v>0</v>
      </c>
      <c r="S17" s="146" t="e">
        <f t="shared" si="12"/>
        <v>#REF!</v>
      </c>
      <c r="T17" s="146" t="e">
        <f t="shared" si="13"/>
        <v>#REF!</v>
      </c>
      <c r="U17" s="145">
        <f t="shared" si="4"/>
        <v>0</v>
      </c>
      <c r="V17" s="145" t="e">
        <f t="shared" si="5"/>
        <v>#REF!</v>
      </c>
      <c r="W17" s="142">
        <v>14</v>
      </c>
      <c r="X17" s="142" t="str">
        <f>+IF((VLOOKUP(A17,List!B:C,2,0)-VLOOKUP(Summary!$P$7,List!B:C,2,0))=0,1,"")</f>
        <v/>
      </c>
      <c r="Y17" s="198">
        <f>+IF((VLOOKUP(A17,List!B:C,2,0)-VLOOKUP(Summary!$P$7,List!B:C,2,0))&gt;=0,1,"")</f>
        <v>1</v>
      </c>
      <c r="Z17" s="198">
        <f>+IF((VLOOKUP(A17,List!B:C,2,0)-VLOOKUP(Summary!$P$7,List!B:C,2,0))&gt;0,1,"")</f>
        <v>1</v>
      </c>
      <c r="AA17" s="141">
        <f t="shared" si="6"/>
        <v>1</v>
      </c>
      <c r="AB17" s="199" t="str">
        <f>+IF(AA17="","",IF(Summary!$J$7="Fixed Price","",IF(M17="",IF(I17="","",1),"")))</f>
        <v/>
      </c>
      <c r="AC17" s="198">
        <f t="shared" si="14"/>
        <v>0</v>
      </c>
      <c r="AD17" s="198">
        <f>+IF(AA17="",+IF(N17&gt;#REF!,#REF!,IF(N17&gt;#REF!,#REF!,IF(N17&gt;#REF!,#REF!,IF(N17&gt;#REF!,#REF!,IF(N17&gt;#REF!,#REF!,IF(N17&gt;#REF!,#REF!,IF(N17&gt;#REF!,#REF!,IF(N17&gt;#REF!,#REF!,#REF!)))))))),0)</f>
        <v>0</v>
      </c>
    </row>
    <row r="18" spans="1:30" x14ac:dyDescent="0.2">
      <c r="A18" s="155" t="str">
        <f t="shared" si="0"/>
        <v>2026-11</v>
      </c>
      <c r="B18" s="154">
        <f t="shared" si="7"/>
        <v>11</v>
      </c>
      <c r="C18" s="153">
        <f t="shared" si="8"/>
        <v>2026</v>
      </c>
      <c r="D18" s="152" t="str">
        <f t="shared" si="1"/>
        <v>2026-11</v>
      </c>
      <c r="E18" s="159">
        <f>+IF($B18="","",Summary!$P$4)</f>
        <v>45929</v>
      </c>
      <c r="F18" s="159">
        <f>+IF($B18="","",Summary!$P$5)</f>
        <v>46657</v>
      </c>
      <c r="G18" s="159">
        <f>+IF($B18="","",Summary!$P$6)</f>
        <v>46657</v>
      </c>
      <c r="H18" s="158" t="str">
        <f t="shared" si="2"/>
        <v>Green</v>
      </c>
      <c r="I18" s="156"/>
      <c r="J18" s="160"/>
      <c r="K18" s="156"/>
      <c r="L18" s="156"/>
      <c r="M18" s="156"/>
      <c r="N18" s="156" t="e">
        <f t="shared" si="3"/>
        <v>#REF!</v>
      </c>
      <c r="O18" s="156" t="e">
        <f>COUNTIFS(#REF!,"&gt;="&amp;DATE($C18,$B18,1),#REF!,"&lt;="&amp;EOMONTH(DATE($C18,$B18,1),0),#REF!,"Incident")+
COUNTIFS(#REF!,"&gt;="&amp;DATE($C18,$B18,1),#REF!,"&lt;="&amp;EOMONTH(DATE($C18,$B18,1),0),#REF!,"user_request")</f>
        <v>#REF!</v>
      </c>
      <c r="P18" s="147">
        <f t="shared" si="9"/>
        <v>0</v>
      </c>
      <c r="Q18" s="147">
        <f t="shared" si="10"/>
        <v>0</v>
      </c>
      <c r="R18" s="147">
        <f t="shared" si="11"/>
        <v>0</v>
      </c>
      <c r="S18" s="146" t="e">
        <f t="shared" si="12"/>
        <v>#REF!</v>
      </c>
      <c r="T18" s="146" t="e">
        <f t="shared" si="13"/>
        <v>#REF!</v>
      </c>
      <c r="U18" s="145">
        <f t="shared" si="4"/>
        <v>0</v>
      </c>
      <c r="V18" s="145" t="e">
        <f t="shared" si="5"/>
        <v>#REF!</v>
      </c>
      <c r="W18" s="142">
        <v>15</v>
      </c>
      <c r="X18" s="142" t="str">
        <f>+IF((VLOOKUP(A18,List!B:C,2,0)-VLOOKUP(Summary!$P$7,List!B:C,2,0))=0,1,"")</f>
        <v/>
      </c>
      <c r="Y18" s="198">
        <f>+IF((VLOOKUP(A18,List!B:C,2,0)-VLOOKUP(Summary!$P$7,List!B:C,2,0))&gt;=0,1,"")</f>
        <v>1</v>
      </c>
      <c r="Z18" s="198">
        <f>+IF((VLOOKUP(A18,List!B:C,2,0)-VLOOKUP(Summary!$P$7,List!B:C,2,0))&gt;0,1,"")</f>
        <v>1</v>
      </c>
      <c r="AA18" s="141">
        <f t="shared" si="6"/>
        <v>1</v>
      </c>
      <c r="AB18" s="199" t="str">
        <f>+IF(AA18="","",IF(Summary!$J$7="Fixed Price","",IF(M18="",IF(I18="","",1),"")))</f>
        <v/>
      </c>
      <c r="AC18" s="198">
        <f t="shared" si="14"/>
        <v>0</v>
      </c>
      <c r="AD18" s="198">
        <f>+IF(AA18="",+IF(N18&gt;#REF!,#REF!,IF(N18&gt;#REF!,#REF!,IF(N18&gt;#REF!,#REF!,IF(N18&gt;#REF!,#REF!,IF(N18&gt;#REF!,#REF!,IF(N18&gt;#REF!,#REF!,IF(N18&gt;#REF!,#REF!,IF(N18&gt;#REF!,#REF!,#REF!)))))))),0)</f>
        <v>0</v>
      </c>
    </row>
    <row r="19" spans="1:30" x14ac:dyDescent="0.2">
      <c r="A19" s="155" t="str">
        <f t="shared" si="0"/>
        <v>2026-12</v>
      </c>
      <c r="B19" s="154">
        <f t="shared" si="7"/>
        <v>12</v>
      </c>
      <c r="C19" s="153">
        <f t="shared" si="8"/>
        <v>2026</v>
      </c>
      <c r="D19" s="152" t="str">
        <f t="shared" si="1"/>
        <v>2026-12</v>
      </c>
      <c r="E19" s="151">
        <f>+IF($B19="","",Summary!$P$4)</f>
        <v>45929</v>
      </c>
      <c r="F19" s="151">
        <f>+IF($B19="","",Summary!$P$5)</f>
        <v>46657</v>
      </c>
      <c r="G19" s="151">
        <f>+IF($B19="","",Summary!$P$6)</f>
        <v>46657</v>
      </c>
      <c r="H19" s="150" t="str">
        <f t="shared" si="2"/>
        <v>Green</v>
      </c>
      <c r="I19" s="148"/>
      <c r="J19" s="161"/>
      <c r="K19" s="148"/>
      <c r="L19" s="148"/>
      <c r="M19" s="148"/>
      <c r="N19" s="148" t="e">
        <f t="shared" si="3"/>
        <v>#REF!</v>
      </c>
      <c r="O19" s="148" t="e">
        <f>COUNTIFS(#REF!,"&gt;="&amp;DATE($C19,$B19,1),#REF!,"&lt;="&amp;EOMONTH(DATE($C19,$B19,1),0),#REF!,"Incident")+
COUNTIFS(#REF!,"&gt;="&amp;DATE($C19,$B19,1),#REF!,"&lt;="&amp;EOMONTH(DATE($C19,$B19,1),0),#REF!,"user_request")</f>
        <v>#REF!</v>
      </c>
      <c r="P19" s="147">
        <f t="shared" si="9"/>
        <v>0</v>
      </c>
      <c r="Q19" s="147">
        <f t="shared" si="10"/>
        <v>0</v>
      </c>
      <c r="R19" s="147">
        <f t="shared" si="11"/>
        <v>0</v>
      </c>
      <c r="S19" s="146" t="e">
        <f t="shared" si="12"/>
        <v>#REF!</v>
      </c>
      <c r="T19" s="146" t="e">
        <f t="shared" si="13"/>
        <v>#REF!</v>
      </c>
      <c r="U19" s="145">
        <f t="shared" si="4"/>
        <v>0</v>
      </c>
      <c r="V19" s="145" t="e">
        <f t="shared" si="5"/>
        <v>#REF!</v>
      </c>
      <c r="W19" s="142">
        <v>16</v>
      </c>
      <c r="X19" s="142" t="str">
        <f>+IF((VLOOKUP(A19,List!B:C,2,0)-VLOOKUP(Summary!$P$7,List!B:C,2,0))=0,1,"")</f>
        <v/>
      </c>
      <c r="Y19" s="198">
        <f>+IF((VLOOKUP(A19,List!B:C,2,0)-VLOOKUP(Summary!$P$7,List!B:C,2,0))&gt;=0,1,"")</f>
        <v>1</v>
      </c>
      <c r="Z19" s="198">
        <f>+IF((VLOOKUP(A19,List!B:C,2,0)-VLOOKUP(Summary!$P$7,List!B:C,2,0))&gt;0,1,"")</f>
        <v>1</v>
      </c>
      <c r="AA19" s="141">
        <f t="shared" si="6"/>
        <v>1</v>
      </c>
      <c r="AB19" s="199" t="str">
        <f>+IF(AA19="","",IF(Summary!$J$7="Fixed Price","",IF(M19="",IF(I19="","",1),"")))</f>
        <v/>
      </c>
      <c r="AC19" s="198">
        <f t="shared" si="14"/>
        <v>0</v>
      </c>
      <c r="AD19" s="198">
        <f>+IF(AA19="",+IF(N19&gt;#REF!,#REF!,IF(N19&gt;#REF!,#REF!,IF(N19&gt;#REF!,#REF!,IF(N19&gt;#REF!,#REF!,IF(N19&gt;#REF!,#REF!,IF(N19&gt;#REF!,#REF!,IF(N19&gt;#REF!,#REF!,IF(N19&gt;#REF!,#REF!,#REF!)))))))),0)</f>
        <v>0</v>
      </c>
    </row>
    <row r="20" spans="1:30" x14ac:dyDescent="0.2">
      <c r="A20" s="155" t="str">
        <f t="shared" si="0"/>
        <v>2027-1</v>
      </c>
      <c r="B20" s="154">
        <f t="shared" si="7"/>
        <v>1</v>
      </c>
      <c r="C20" s="153">
        <f t="shared" si="8"/>
        <v>2027</v>
      </c>
      <c r="D20" s="152" t="str">
        <f t="shared" si="1"/>
        <v>2027-1</v>
      </c>
      <c r="E20" s="159">
        <f>+IF($B20="","",Summary!$P$4)</f>
        <v>45929</v>
      </c>
      <c r="F20" s="159">
        <f>+IF($B20="","",Summary!$P$5)</f>
        <v>46657</v>
      </c>
      <c r="G20" s="159">
        <f>+IF($B20="","",Summary!$P$6)</f>
        <v>46657</v>
      </c>
      <c r="H20" s="158" t="str">
        <f t="shared" si="2"/>
        <v>Green</v>
      </c>
      <c r="I20" s="156"/>
      <c r="J20" s="160"/>
      <c r="K20" s="156"/>
      <c r="L20" s="156"/>
      <c r="M20" s="156"/>
      <c r="N20" s="156" t="e">
        <f t="shared" si="3"/>
        <v>#REF!</v>
      </c>
      <c r="O20" s="156" t="e">
        <f>COUNTIFS(#REF!,"&gt;="&amp;DATE($C20,$B20,1),#REF!,"&lt;="&amp;EOMONTH(DATE($C20,$B20,1),0),#REF!,"Incident")+
COUNTIFS(#REF!,"&gt;="&amp;DATE($C20,$B20,1),#REF!,"&lt;="&amp;EOMONTH(DATE($C20,$B20,1),0),#REF!,"user_request")</f>
        <v>#REF!</v>
      </c>
      <c r="P20" s="147">
        <f t="shared" si="9"/>
        <v>0</v>
      </c>
      <c r="Q20" s="147">
        <f t="shared" si="10"/>
        <v>0</v>
      </c>
      <c r="R20" s="147">
        <f t="shared" si="11"/>
        <v>0</v>
      </c>
      <c r="S20" s="146" t="e">
        <f t="shared" si="12"/>
        <v>#REF!</v>
      </c>
      <c r="T20" s="146" t="e">
        <f t="shared" si="13"/>
        <v>#REF!</v>
      </c>
      <c r="U20" s="145">
        <f t="shared" si="4"/>
        <v>0</v>
      </c>
      <c r="V20" s="145" t="e">
        <f t="shared" si="5"/>
        <v>#REF!</v>
      </c>
      <c r="W20" s="142">
        <v>17</v>
      </c>
      <c r="X20" s="142" t="str">
        <f>+IF((VLOOKUP(A20,List!B:C,2,0)-VLOOKUP(Summary!$P$7,List!B:C,2,0))=0,1,"")</f>
        <v/>
      </c>
      <c r="Y20" s="198">
        <f>+IF((VLOOKUP(A20,List!B:C,2,0)-VLOOKUP(Summary!$P$7,List!B:C,2,0))&gt;=0,1,"")</f>
        <v>1</v>
      </c>
      <c r="Z20" s="198">
        <f>+IF((VLOOKUP(A20,List!B:C,2,0)-VLOOKUP(Summary!$P$7,List!B:C,2,0))&gt;0,1,"")</f>
        <v>1</v>
      </c>
      <c r="AA20" s="141">
        <f t="shared" si="6"/>
        <v>1</v>
      </c>
      <c r="AB20" s="199" t="str">
        <f>+IF(AA20="","",IF(Summary!$J$7="Fixed Price","",IF(M20="",IF(I20="","",1),"")))</f>
        <v/>
      </c>
      <c r="AC20" s="198">
        <f t="shared" si="14"/>
        <v>0</v>
      </c>
      <c r="AD20" s="198">
        <f>+IF(AA20="",+IF(N20&gt;#REF!,#REF!,IF(N20&gt;#REF!,#REF!,IF(N20&gt;#REF!,#REF!,IF(N20&gt;#REF!,#REF!,IF(N20&gt;#REF!,#REF!,IF(N20&gt;#REF!,#REF!,IF(N20&gt;#REF!,#REF!,IF(N20&gt;#REF!,#REF!,#REF!)))))))),0)</f>
        <v>0</v>
      </c>
    </row>
    <row r="21" spans="1:30" x14ac:dyDescent="0.2">
      <c r="A21" s="155" t="str">
        <f t="shared" si="0"/>
        <v>2027-2</v>
      </c>
      <c r="B21" s="154">
        <f t="shared" si="7"/>
        <v>2</v>
      </c>
      <c r="C21" s="153">
        <f t="shared" si="8"/>
        <v>2027</v>
      </c>
      <c r="D21" s="152" t="str">
        <f t="shared" si="1"/>
        <v>2027-2</v>
      </c>
      <c r="E21" s="151">
        <f>+IF($B21="","",Summary!$P$4)</f>
        <v>45929</v>
      </c>
      <c r="F21" s="151">
        <f>+IF($B21="","",Summary!$P$5)</f>
        <v>46657</v>
      </c>
      <c r="G21" s="151">
        <f>+IF($B21="","",Summary!$P$6)</f>
        <v>46657</v>
      </c>
      <c r="H21" s="150" t="str">
        <f t="shared" si="2"/>
        <v>Green</v>
      </c>
      <c r="I21" s="148"/>
      <c r="J21" s="161"/>
      <c r="K21" s="148"/>
      <c r="L21" s="148"/>
      <c r="M21" s="148"/>
      <c r="N21" s="148" t="e">
        <f t="shared" si="3"/>
        <v>#REF!</v>
      </c>
      <c r="O21" s="148" t="e">
        <f>COUNTIFS(#REF!,"&gt;="&amp;DATE($C21,$B21,1),#REF!,"&lt;="&amp;EOMONTH(DATE($C21,$B21,1),0),#REF!,"Incident")+
COUNTIFS(#REF!,"&gt;="&amp;DATE($C21,$B21,1),#REF!,"&lt;="&amp;EOMONTH(DATE($C21,$B21,1),0),#REF!,"user_request")</f>
        <v>#REF!</v>
      </c>
      <c r="P21" s="147">
        <f t="shared" si="9"/>
        <v>0</v>
      </c>
      <c r="Q21" s="147">
        <f t="shared" si="10"/>
        <v>0</v>
      </c>
      <c r="R21" s="147">
        <f t="shared" si="11"/>
        <v>0</v>
      </c>
      <c r="S21" s="146" t="e">
        <f t="shared" si="12"/>
        <v>#REF!</v>
      </c>
      <c r="T21" s="146" t="e">
        <f t="shared" si="13"/>
        <v>#REF!</v>
      </c>
      <c r="U21" s="145">
        <f t="shared" si="4"/>
        <v>0</v>
      </c>
      <c r="V21" s="145" t="e">
        <f t="shared" si="5"/>
        <v>#REF!</v>
      </c>
      <c r="W21" s="142">
        <v>18</v>
      </c>
      <c r="X21" s="142" t="str">
        <f>+IF((VLOOKUP(A21,List!B:C,2,0)-VLOOKUP(Summary!$P$7,List!B:C,2,0))=0,1,"")</f>
        <v/>
      </c>
      <c r="Y21" s="198">
        <f>+IF((VLOOKUP(A21,List!B:C,2,0)-VLOOKUP(Summary!$P$7,List!B:C,2,0))&gt;=0,1,"")</f>
        <v>1</v>
      </c>
      <c r="Z21" s="198">
        <f>+IF((VLOOKUP(A21,List!B:C,2,0)-VLOOKUP(Summary!$P$7,List!B:C,2,0))&gt;0,1,"")</f>
        <v>1</v>
      </c>
      <c r="AA21" s="141">
        <f t="shared" si="6"/>
        <v>1</v>
      </c>
      <c r="AB21" s="199" t="str">
        <f>+IF(AA21="","",IF(Summary!$J$7="Fixed Price","",IF(M21="",IF(I21="","",1),"")))</f>
        <v/>
      </c>
      <c r="AC21" s="198">
        <f t="shared" si="14"/>
        <v>0</v>
      </c>
      <c r="AD21" s="198">
        <f>+IF(AA21="",+IF(N21&gt;#REF!,#REF!,IF(N21&gt;#REF!,#REF!,IF(N21&gt;#REF!,#REF!,IF(N21&gt;#REF!,#REF!,IF(N21&gt;#REF!,#REF!,IF(N21&gt;#REF!,#REF!,IF(N21&gt;#REF!,#REF!,IF(N21&gt;#REF!,#REF!,#REF!)))))))),0)</f>
        <v>0</v>
      </c>
    </row>
    <row r="22" spans="1:30" x14ac:dyDescent="0.2">
      <c r="A22" s="155" t="str">
        <f t="shared" si="0"/>
        <v>2027-3</v>
      </c>
      <c r="B22" s="154">
        <f t="shared" si="7"/>
        <v>3</v>
      </c>
      <c r="C22" s="153">
        <f t="shared" si="8"/>
        <v>2027</v>
      </c>
      <c r="D22" s="152" t="str">
        <f t="shared" si="1"/>
        <v>2027-3</v>
      </c>
      <c r="E22" s="159">
        <f>+IF($B22="","",Summary!$P$4)</f>
        <v>45929</v>
      </c>
      <c r="F22" s="159">
        <f>+IF($B22="","",Summary!$P$5)</f>
        <v>46657</v>
      </c>
      <c r="G22" s="159">
        <f>+IF($B22="","",Summary!$P$6)</f>
        <v>46657</v>
      </c>
      <c r="H22" s="158" t="str">
        <f t="shared" si="2"/>
        <v>Green</v>
      </c>
      <c r="I22" s="156"/>
      <c r="J22" s="160"/>
      <c r="K22" s="156"/>
      <c r="L22" s="156"/>
      <c r="M22" s="156"/>
      <c r="N22" s="156" t="e">
        <f t="shared" si="3"/>
        <v>#REF!</v>
      </c>
      <c r="O22" s="156" t="e">
        <f>COUNTIFS(#REF!,"&gt;="&amp;DATE($C22,$B22,1),#REF!,"&lt;="&amp;EOMONTH(DATE($C22,$B22,1),0),#REF!,"Incident")+
COUNTIFS(#REF!,"&gt;="&amp;DATE($C22,$B22,1),#REF!,"&lt;="&amp;EOMONTH(DATE($C22,$B22,1),0),#REF!,"user_request")</f>
        <v>#REF!</v>
      </c>
      <c r="P22" s="147">
        <f t="shared" si="9"/>
        <v>0</v>
      </c>
      <c r="Q22" s="147">
        <f t="shared" si="10"/>
        <v>0</v>
      </c>
      <c r="R22" s="147">
        <f t="shared" si="11"/>
        <v>0</v>
      </c>
      <c r="S22" s="146" t="e">
        <f t="shared" si="12"/>
        <v>#REF!</v>
      </c>
      <c r="T22" s="146" t="e">
        <f t="shared" si="13"/>
        <v>#REF!</v>
      </c>
      <c r="U22" s="145">
        <f t="shared" si="4"/>
        <v>0</v>
      </c>
      <c r="V22" s="145" t="e">
        <f t="shared" si="5"/>
        <v>#REF!</v>
      </c>
      <c r="W22" s="142">
        <v>19</v>
      </c>
      <c r="X22" s="142" t="str">
        <f>+IF((VLOOKUP(A22,List!B:C,2,0)-VLOOKUP(Summary!$P$7,List!B:C,2,0))=0,1,"")</f>
        <v/>
      </c>
      <c r="Y22" s="198">
        <f>+IF((VLOOKUP(A22,List!B:C,2,0)-VLOOKUP(Summary!$P$7,List!B:C,2,0))&gt;=0,1,"")</f>
        <v>1</v>
      </c>
      <c r="Z22" s="198">
        <f>+IF((VLOOKUP(A22,List!B:C,2,0)-VLOOKUP(Summary!$P$7,List!B:C,2,0))&gt;0,1,"")</f>
        <v>1</v>
      </c>
      <c r="AA22" s="141">
        <f t="shared" si="6"/>
        <v>1</v>
      </c>
      <c r="AB22" s="199" t="str">
        <f>+IF(AA22="","",IF(Summary!$J$7="Fixed Price","",IF(M22="",IF(I22="","",1),"")))</f>
        <v/>
      </c>
      <c r="AC22" s="198">
        <f t="shared" si="14"/>
        <v>0</v>
      </c>
      <c r="AD22" s="198">
        <f>+IF(AA22="",+IF(N22&gt;#REF!,#REF!,IF(N22&gt;#REF!,#REF!,IF(N22&gt;#REF!,#REF!,IF(N22&gt;#REF!,#REF!,IF(N22&gt;#REF!,#REF!,IF(N22&gt;#REF!,#REF!,IF(N22&gt;#REF!,#REF!,IF(N22&gt;#REF!,#REF!,#REF!)))))))),0)</f>
        <v>0</v>
      </c>
    </row>
    <row r="23" spans="1:30" x14ac:dyDescent="0.2">
      <c r="A23" s="155" t="str">
        <f t="shared" si="0"/>
        <v>2027-4</v>
      </c>
      <c r="B23" s="154">
        <f t="shared" si="7"/>
        <v>4</v>
      </c>
      <c r="C23" s="153">
        <f t="shared" si="8"/>
        <v>2027</v>
      </c>
      <c r="D23" s="152" t="str">
        <f t="shared" si="1"/>
        <v>2027-4</v>
      </c>
      <c r="E23" s="151">
        <f>+IF($B23="","",Summary!$P$4)</f>
        <v>45929</v>
      </c>
      <c r="F23" s="151">
        <f>+IF($B23="","",Summary!$P$5)</f>
        <v>46657</v>
      </c>
      <c r="G23" s="151">
        <f>+IF($B23="","",Summary!$P$6)</f>
        <v>46657</v>
      </c>
      <c r="H23" s="150" t="str">
        <f t="shared" si="2"/>
        <v>Green</v>
      </c>
      <c r="I23" s="148"/>
      <c r="J23" s="148"/>
      <c r="K23" s="148"/>
      <c r="L23" s="148"/>
      <c r="M23" s="148"/>
      <c r="N23" s="148" t="e">
        <f t="shared" si="3"/>
        <v>#REF!</v>
      </c>
      <c r="O23" s="148" t="e">
        <f>COUNTIFS(#REF!,"&gt;="&amp;DATE($C23,$B23,1),#REF!,"&lt;="&amp;EOMONTH(DATE($C23,$B23,1),0),#REF!,"Incident")+
COUNTIFS(#REF!,"&gt;="&amp;DATE($C23,$B23,1),#REF!,"&lt;="&amp;EOMONTH(DATE($C23,$B23,1),0),#REF!,"user_request")</f>
        <v>#REF!</v>
      </c>
      <c r="P23" s="147">
        <f t="shared" si="9"/>
        <v>0</v>
      </c>
      <c r="Q23" s="147">
        <f t="shared" si="10"/>
        <v>0</v>
      </c>
      <c r="R23" s="147">
        <f t="shared" si="11"/>
        <v>0</v>
      </c>
      <c r="S23" s="146" t="e">
        <f t="shared" si="12"/>
        <v>#REF!</v>
      </c>
      <c r="T23" s="146" t="e">
        <f t="shared" si="13"/>
        <v>#REF!</v>
      </c>
      <c r="U23" s="145">
        <f t="shared" si="4"/>
        <v>0</v>
      </c>
      <c r="V23" s="145" t="e">
        <f t="shared" si="5"/>
        <v>#REF!</v>
      </c>
      <c r="W23" s="142">
        <v>20</v>
      </c>
      <c r="X23" s="142" t="str">
        <f>+IF((VLOOKUP(A23,List!B:C,2,0)-VLOOKUP(Summary!$P$7,List!B:C,2,0))=0,1,"")</f>
        <v/>
      </c>
      <c r="Y23" s="198">
        <f>+IF((VLOOKUP(A23,List!B:C,2,0)-VLOOKUP(Summary!$P$7,List!B:C,2,0))&gt;=0,1,"")</f>
        <v>1</v>
      </c>
      <c r="Z23" s="198">
        <f>+IF((VLOOKUP(A23,List!B:C,2,0)-VLOOKUP(Summary!$P$7,List!B:C,2,0))&gt;0,1,"")</f>
        <v>1</v>
      </c>
      <c r="AA23" s="141">
        <f t="shared" si="6"/>
        <v>1</v>
      </c>
      <c r="AB23" s="199" t="str">
        <f>+IF(AA23="","",IF(Summary!$J$7="Fixed Price","",IF(M23="",IF(I23="","",1),"")))</f>
        <v/>
      </c>
      <c r="AC23" s="198">
        <f t="shared" si="14"/>
        <v>0</v>
      </c>
      <c r="AD23" s="198">
        <f>+IF(AA23="",+IF(N23&gt;#REF!,#REF!,IF(N23&gt;#REF!,#REF!,IF(N23&gt;#REF!,#REF!,IF(N23&gt;#REF!,#REF!,IF(N23&gt;#REF!,#REF!,IF(N23&gt;#REF!,#REF!,IF(N23&gt;#REF!,#REF!,IF(N23&gt;#REF!,#REF!,#REF!)))))))),0)</f>
        <v>0</v>
      </c>
    </row>
    <row r="24" spans="1:30" x14ac:dyDescent="0.2">
      <c r="A24" s="155" t="str">
        <f t="shared" si="0"/>
        <v>2027-5</v>
      </c>
      <c r="B24" s="154">
        <f t="shared" si="7"/>
        <v>5</v>
      </c>
      <c r="C24" s="153">
        <f t="shared" si="8"/>
        <v>2027</v>
      </c>
      <c r="D24" s="152" t="str">
        <f t="shared" si="1"/>
        <v>2027-5</v>
      </c>
      <c r="E24" s="159">
        <f>+IF($B24="","",Summary!$P$4)</f>
        <v>45929</v>
      </c>
      <c r="F24" s="159">
        <f>+IF($B24="","",Summary!$P$5)</f>
        <v>46657</v>
      </c>
      <c r="G24" s="159">
        <f>+IF($B24="","",Summary!$P$6)</f>
        <v>46657</v>
      </c>
      <c r="H24" s="158" t="str">
        <f t="shared" si="2"/>
        <v>Green</v>
      </c>
      <c r="I24" s="156"/>
      <c r="J24" s="156"/>
      <c r="K24" s="156"/>
      <c r="L24" s="156"/>
      <c r="M24" s="156"/>
      <c r="N24" s="156" t="e">
        <f t="shared" si="3"/>
        <v>#REF!</v>
      </c>
      <c r="O24" s="156" t="e">
        <f>COUNTIFS(#REF!,"&gt;="&amp;DATE($C24,$B24,1),#REF!,"&lt;="&amp;EOMONTH(DATE($C24,$B24,1),0),#REF!,"Incident")+
COUNTIFS(#REF!,"&gt;="&amp;DATE($C24,$B24,1),#REF!,"&lt;="&amp;EOMONTH(DATE($C24,$B24,1),0),#REF!,"user_request")</f>
        <v>#REF!</v>
      </c>
      <c r="P24" s="147">
        <f t="shared" si="9"/>
        <v>0</v>
      </c>
      <c r="Q24" s="147">
        <f t="shared" si="10"/>
        <v>0</v>
      </c>
      <c r="R24" s="147">
        <f t="shared" si="11"/>
        <v>0</v>
      </c>
      <c r="S24" s="146" t="e">
        <f t="shared" si="12"/>
        <v>#REF!</v>
      </c>
      <c r="T24" s="146" t="e">
        <f t="shared" si="13"/>
        <v>#REF!</v>
      </c>
      <c r="U24" s="145">
        <f t="shared" si="4"/>
        <v>0</v>
      </c>
      <c r="V24" s="145" t="e">
        <f t="shared" si="5"/>
        <v>#REF!</v>
      </c>
      <c r="W24" s="142">
        <v>21</v>
      </c>
      <c r="X24" s="142" t="str">
        <f>+IF((VLOOKUP(A24,List!B:C,2,0)-VLOOKUP(Summary!$P$7,List!B:C,2,0))=0,1,"")</f>
        <v/>
      </c>
      <c r="Y24" s="198">
        <f>+IF((VLOOKUP(A24,List!B:C,2,0)-VLOOKUP(Summary!$P$7,List!B:C,2,0))&gt;=0,1,"")</f>
        <v>1</v>
      </c>
      <c r="Z24" s="198">
        <f>+IF((VLOOKUP(A24,List!B:C,2,0)-VLOOKUP(Summary!$P$7,List!B:C,2,0))&gt;0,1,"")</f>
        <v>1</v>
      </c>
      <c r="AA24" s="141">
        <f t="shared" si="6"/>
        <v>1</v>
      </c>
      <c r="AB24" s="199" t="str">
        <f>+IF(AA24="","",IF(Summary!$J$7="Fixed Price","",IF(M24="",IF(I24="","",1),"")))</f>
        <v/>
      </c>
      <c r="AC24" s="198">
        <f t="shared" si="14"/>
        <v>0</v>
      </c>
      <c r="AD24" s="198">
        <f>+IF(AA24="",+IF(N24&gt;#REF!,#REF!,IF(N24&gt;#REF!,#REF!,IF(N24&gt;#REF!,#REF!,IF(N24&gt;#REF!,#REF!,IF(N24&gt;#REF!,#REF!,IF(N24&gt;#REF!,#REF!,IF(N24&gt;#REF!,#REF!,IF(N24&gt;#REF!,#REF!,#REF!)))))))),0)</f>
        <v>0</v>
      </c>
    </row>
    <row r="25" spans="1:30" x14ac:dyDescent="0.2">
      <c r="A25" s="155" t="str">
        <f t="shared" si="0"/>
        <v>2027-6</v>
      </c>
      <c r="B25" s="154">
        <f t="shared" si="7"/>
        <v>6</v>
      </c>
      <c r="C25" s="153">
        <f t="shared" si="8"/>
        <v>2027</v>
      </c>
      <c r="D25" s="152" t="str">
        <f t="shared" si="1"/>
        <v>2027-6</v>
      </c>
      <c r="E25" s="151">
        <f>+IF($B25="","",Summary!$P$4)</f>
        <v>45929</v>
      </c>
      <c r="F25" s="151">
        <f>+IF($B25="","",Summary!$P$5)</f>
        <v>46657</v>
      </c>
      <c r="G25" s="151">
        <f>+IF($B25="","",Summary!$P$6)</f>
        <v>46657</v>
      </c>
      <c r="H25" s="150" t="str">
        <f t="shared" si="2"/>
        <v>Green</v>
      </c>
      <c r="I25" s="148"/>
      <c r="J25" s="148"/>
      <c r="K25" s="148"/>
      <c r="L25" s="148"/>
      <c r="M25" s="148"/>
      <c r="N25" s="148" t="e">
        <f t="shared" si="3"/>
        <v>#REF!</v>
      </c>
      <c r="O25" s="148" t="e">
        <f>COUNTIFS(#REF!,"&gt;="&amp;DATE($C25,$B25,1),#REF!,"&lt;="&amp;EOMONTH(DATE($C25,$B25,1),0),#REF!,"Incident")+
COUNTIFS(#REF!,"&gt;="&amp;DATE($C25,$B25,1),#REF!,"&lt;="&amp;EOMONTH(DATE($C25,$B25,1),0),#REF!,"user_request")</f>
        <v>#REF!</v>
      </c>
      <c r="P25" s="147">
        <f t="shared" si="9"/>
        <v>0</v>
      </c>
      <c r="Q25" s="147">
        <f t="shared" si="10"/>
        <v>0</v>
      </c>
      <c r="R25" s="147">
        <f t="shared" si="11"/>
        <v>0</v>
      </c>
      <c r="S25" s="146" t="e">
        <f t="shared" si="12"/>
        <v>#REF!</v>
      </c>
      <c r="T25" s="146" t="e">
        <f t="shared" si="13"/>
        <v>#REF!</v>
      </c>
      <c r="U25" s="145">
        <f t="shared" si="4"/>
        <v>0</v>
      </c>
      <c r="V25" s="145" t="e">
        <f t="shared" si="5"/>
        <v>#REF!</v>
      </c>
      <c r="W25" s="142">
        <v>22</v>
      </c>
      <c r="X25" s="142" t="str">
        <f>+IF((VLOOKUP(A25,List!B:C,2,0)-VLOOKUP(Summary!$P$7,List!B:C,2,0))=0,1,"")</f>
        <v/>
      </c>
      <c r="Y25" s="198">
        <f>+IF((VLOOKUP(A25,List!B:C,2,0)-VLOOKUP(Summary!$P$7,List!B:C,2,0))&gt;=0,1,"")</f>
        <v>1</v>
      </c>
      <c r="Z25" s="198">
        <f>+IF((VLOOKUP(A25,List!B:C,2,0)-VLOOKUP(Summary!$P$7,List!B:C,2,0))&gt;0,1,"")</f>
        <v>1</v>
      </c>
      <c r="AA25" s="141">
        <f t="shared" si="6"/>
        <v>1</v>
      </c>
      <c r="AB25" s="199" t="str">
        <f>+IF(AA25="","",IF(Summary!$J$7="Fixed Price","",IF(M25="",IF(I25="","",1),"")))</f>
        <v/>
      </c>
      <c r="AC25" s="198">
        <f t="shared" si="14"/>
        <v>0</v>
      </c>
      <c r="AD25" s="198">
        <f>+IF(AA25="",+IF(N25&gt;#REF!,#REF!,IF(N25&gt;#REF!,#REF!,IF(N25&gt;#REF!,#REF!,IF(N25&gt;#REF!,#REF!,IF(N25&gt;#REF!,#REF!,IF(N25&gt;#REF!,#REF!,IF(N25&gt;#REF!,#REF!,IF(N25&gt;#REF!,#REF!,#REF!)))))))),0)</f>
        <v>0</v>
      </c>
    </row>
    <row r="26" spans="1:30" x14ac:dyDescent="0.2">
      <c r="A26" s="155" t="str">
        <f t="shared" si="0"/>
        <v>2027-7</v>
      </c>
      <c r="B26" s="154">
        <f t="shared" si="7"/>
        <v>7</v>
      </c>
      <c r="C26" s="153">
        <f t="shared" si="8"/>
        <v>2027</v>
      </c>
      <c r="D26" s="152" t="str">
        <f t="shared" si="1"/>
        <v>2027-7</v>
      </c>
      <c r="E26" s="159">
        <f>+IF($B26="","",Summary!$P$4)</f>
        <v>45929</v>
      </c>
      <c r="F26" s="159">
        <f>+IF($B26="","",Summary!$P$5)</f>
        <v>46657</v>
      </c>
      <c r="G26" s="159">
        <f>+IF($B26="","",Summary!$P$6)</f>
        <v>46657</v>
      </c>
      <c r="H26" s="158" t="str">
        <f t="shared" si="2"/>
        <v>Green</v>
      </c>
      <c r="I26" s="156"/>
      <c r="J26" s="156"/>
      <c r="K26" s="156"/>
      <c r="L26" s="156"/>
      <c r="M26" s="156"/>
      <c r="N26" s="156" t="e">
        <f t="shared" si="3"/>
        <v>#REF!</v>
      </c>
      <c r="O26" s="156" t="e">
        <f>COUNTIFS(#REF!,"&gt;="&amp;DATE($C26,$B26,1),#REF!,"&lt;="&amp;EOMONTH(DATE($C26,$B26,1),0),#REF!,"Incident")+
COUNTIFS(#REF!,"&gt;="&amp;DATE($C26,$B26,1),#REF!,"&lt;="&amp;EOMONTH(DATE($C26,$B26,1),0),#REF!,"user_request")</f>
        <v>#REF!</v>
      </c>
      <c r="P26" s="147">
        <f t="shared" si="9"/>
        <v>0</v>
      </c>
      <c r="Q26" s="147">
        <f t="shared" si="10"/>
        <v>0</v>
      </c>
      <c r="R26" s="147">
        <f t="shared" si="11"/>
        <v>0</v>
      </c>
      <c r="S26" s="146" t="e">
        <f t="shared" si="12"/>
        <v>#REF!</v>
      </c>
      <c r="T26" s="146" t="e">
        <f t="shared" si="13"/>
        <v>#REF!</v>
      </c>
      <c r="U26" s="145">
        <f t="shared" si="4"/>
        <v>0</v>
      </c>
      <c r="V26" s="145" t="e">
        <f t="shared" si="5"/>
        <v>#REF!</v>
      </c>
      <c r="W26" s="142">
        <v>23</v>
      </c>
      <c r="X26" s="142" t="str">
        <f>+IF((VLOOKUP(A26,List!B:C,2,0)-VLOOKUP(Summary!$P$7,List!B:C,2,0))=0,1,"")</f>
        <v/>
      </c>
      <c r="Y26" s="198">
        <f>+IF((VLOOKUP(A26,List!B:C,2,0)-VLOOKUP(Summary!$P$7,List!B:C,2,0))&gt;=0,1,"")</f>
        <v>1</v>
      </c>
      <c r="Z26" s="198">
        <f>+IF((VLOOKUP(A26,List!B:C,2,0)-VLOOKUP(Summary!$P$7,List!B:C,2,0))&gt;0,1,"")</f>
        <v>1</v>
      </c>
      <c r="AA26" s="141">
        <f t="shared" si="6"/>
        <v>1</v>
      </c>
      <c r="AB26" s="199" t="str">
        <f>+IF(AA26="","",IF(Summary!$J$7="Fixed Price","",IF(M26="",IF(I26="","",1),"")))</f>
        <v/>
      </c>
      <c r="AC26" s="198">
        <f t="shared" si="14"/>
        <v>0</v>
      </c>
      <c r="AD26" s="198">
        <f>+IF(AA26="",+IF(N26&gt;#REF!,#REF!,IF(N26&gt;#REF!,#REF!,IF(N26&gt;#REF!,#REF!,IF(N26&gt;#REF!,#REF!,IF(N26&gt;#REF!,#REF!,IF(N26&gt;#REF!,#REF!,IF(N26&gt;#REF!,#REF!,IF(N26&gt;#REF!,#REF!,#REF!)))))))),0)</f>
        <v>0</v>
      </c>
    </row>
    <row r="27" spans="1:30" x14ac:dyDescent="0.2">
      <c r="A27" s="155" t="str">
        <f t="shared" si="0"/>
        <v>2027-8</v>
      </c>
      <c r="B27" s="154">
        <f t="shared" si="7"/>
        <v>8</v>
      </c>
      <c r="C27" s="153">
        <f t="shared" si="8"/>
        <v>2027</v>
      </c>
      <c r="D27" s="152" t="str">
        <f t="shared" si="1"/>
        <v>2027-8</v>
      </c>
      <c r="E27" s="151">
        <f>+IF($B27="","",Summary!$P$4)</f>
        <v>45929</v>
      </c>
      <c r="F27" s="151">
        <f>+IF($B27="","",Summary!$P$5)</f>
        <v>46657</v>
      </c>
      <c r="G27" s="151">
        <f>+IF($B27="","",Summary!$P$6)</f>
        <v>46657</v>
      </c>
      <c r="H27" s="150" t="str">
        <f t="shared" si="2"/>
        <v>Green</v>
      </c>
      <c r="I27" s="148"/>
      <c r="J27" s="148"/>
      <c r="K27" s="148"/>
      <c r="L27" s="148"/>
      <c r="M27" s="148"/>
      <c r="N27" s="148" t="e">
        <f t="shared" si="3"/>
        <v>#REF!</v>
      </c>
      <c r="O27" s="148" t="e">
        <f>COUNTIFS(#REF!,"&gt;="&amp;DATE($C27,$B27,1),#REF!,"&lt;="&amp;EOMONTH(DATE($C27,$B27,1),0),#REF!,"Incident")+
COUNTIFS(#REF!,"&gt;="&amp;DATE($C27,$B27,1),#REF!,"&lt;="&amp;EOMONTH(DATE($C27,$B27,1),0),#REF!,"user_request")</f>
        <v>#REF!</v>
      </c>
      <c r="P27" s="147">
        <f t="shared" si="9"/>
        <v>0</v>
      </c>
      <c r="Q27" s="147">
        <f t="shared" si="10"/>
        <v>0</v>
      </c>
      <c r="R27" s="147">
        <f t="shared" si="11"/>
        <v>0</v>
      </c>
      <c r="S27" s="146" t="e">
        <f t="shared" si="12"/>
        <v>#REF!</v>
      </c>
      <c r="T27" s="146" t="e">
        <f t="shared" si="13"/>
        <v>#REF!</v>
      </c>
      <c r="U27" s="145">
        <f t="shared" si="4"/>
        <v>0</v>
      </c>
      <c r="V27" s="145" t="e">
        <f t="shared" si="5"/>
        <v>#REF!</v>
      </c>
      <c r="W27" s="142">
        <v>24</v>
      </c>
      <c r="X27" s="142" t="str">
        <f>+IF((VLOOKUP(A27,List!B:C,2,0)-VLOOKUP(Summary!$P$7,List!B:C,2,0))=0,1,"")</f>
        <v/>
      </c>
      <c r="Y27" s="198">
        <f>+IF((VLOOKUP(A27,List!B:C,2,0)-VLOOKUP(Summary!$P$7,List!B:C,2,0))&gt;=0,1,"")</f>
        <v>1</v>
      </c>
      <c r="Z27" s="198">
        <f>+IF((VLOOKUP(A27,List!B:C,2,0)-VLOOKUP(Summary!$P$7,List!B:C,2,0))&gt;0,1,"")</f>
        <v>1</v>
      </c>
      <c r="AA27" s="141">
        <f t="shared" si="6"/>
        <v>1</v>
      </c>
      <c r="AB27" s="199" t="str">
        <f>+IF(AA27="","",IF(Summary!$J$7="Fixed Price","",IF(M27="",IF(I27="","",1),"")))</f>
        <v/>
      </c>
      <c r="AC27" s="198">
        <f t="shared" si="14"/>
        <v>0</v>
      </c>
      <c r="AD27" s="198">
        <f>+IF(AA27="",+IF(N27&gt;#REF!,#REF!,IF(N27&gt;#REF!,#REF!,IF(N27&gt;#REF!,#REF!,IF(N27&gt;#REF!,#REF!,IF(N27&gt;#REF!,#REF!,IF(N27&gt;#REF!,#REF!,IF(N27&gt;#REF!,#REF!,IF(N27&gt;#REF!,#REF!,#REF!)))))))),0)</f>
        <v>0</v>
      </c>
    </row>
    <row r="28" spans="1:30" x14ac:dyDescent="0.2">
      <c r="A28" s="155" t="str">
        <f t="shared" si="0"/>
        <v>2027-9</v>
      </c>
      <c r="B28" s="154">
        <f t="shared" si="7"/>
        <v>9</v>
      </c>
      <c r="C28" s="153">
        <f t="shared" si="8"/>
        <v>2027</v>
      </c>
      <c r="D28" s="152" t="str">
        <f t="shared" si="1"/>
        <v>2027-9</v>
      </c>
      <c r="E28" s="159">
        <f>+IF($B28="","",Summary!$P$4)</f>
        <v>45929</v>
      </c>
      <c r="F28" s="159">
        <f>+IF($B28="","",Summary!$P$5)</f>
        <v>46657</v>
      </c>
      <c r="G28" s="159">
        <f>+IF($B28="","",Summary!$P$6)</f>
        <v>46657</v>
      </c>
      <c r="H28" s="158" t="str">
        <f t="shared" si="2"/>
        <v>Green</v>
      </c>
      <c r="I28" s="156"/>
      <c r="J28" s="156"/>
      <c r="K28" s="156"/>
      <c r="L28" s="156"/>
      <c r="M28" s="156"/>
      <c r="N28" s="156" t="e">
        <f t="shared" si="3"/>
        <v>#REF!</v>
      </c>
      <c r="O28" s="156" t="e">
        <f>COUNTIFS(#REF!,"&gt;="&amp;DATE($C28,$B28,1),#REF!,"&lt;="&amp;EOMONTH(DATE($C28,$B28,1),0),#REF!,"Incident")+
COUNTIFS(#REF!,"&gt;="&amp;DATE($C28,$B28,1),#REF!,"&lt;="&amp;EOMONTH(DATE($C28,$B28,1),0),#REF!,"user_request")</f>
        <v>#REF!</v>
      </c>
      <c r="P28" s="147">
        <f t="shared" si="9"/>
        <v>0</v>
      </c>
      <c r="Q28" s="147">
        <f t="shared" si="10"/>
        <v>0</v>
      </c>
      <c r="R28" s="147">
        <f t="shared" si="11"/>
        <v>0</v>
      </c>
      <c r="S28" s="146" t="e">
        <f t="shared" si="12"/>
        <v>#REF!</v>
      </c>
      <c r="T28" s="146" t="e">
        <f t="shared" si="13"/>
        <v>#REF!</v>
      </c>
      <c r="U28" s="145">
        <f t="shared" si="4"/>
        <v>0</v>
      </c>
      <c r="V28" s="145" t="e">
        <f t="shared" si="5"/>
        <v>#REF!</v>
      </c>
      <c r="W28" s="142">
        <v>25</v>
      </c>
      <c r="X28" s="142" t="str">
        <f>+IF((VLOOKUP(A28,List!B:C,2,0)-VLOOKUP(Summary!$P$7,List!B:C,2,0))=0,1,"")</f>
        <v/>
      </c>
      <c r="Y28" s="198">
        <f>+IF((VLOOKUP(A28,List!B:C,2,0)-VLOOKUP(Summary!$P$7,List!B:C,2,0))&gt;=0,1,"")</f>
        <v>1</v>
      </c>
      <c r="Z28" s="198">
        <f>+IF((VLOOKUP(A28,List!B:C,2,0)-VLOOKUP(Summary!$P$7,List!B:C,2,0))&gt;0,1,"")</f>
        <v>1</v>
      </c>
      <c r="AA28" s="141">
        <f t="shared" si="6"/>
        <v>1</v>
      </c>
      <c r="AB28" s="199" t="str">
        <f>+IF(AA28="","",IF(Summary!$J$7="Fixed Price","",IF(M28="",IF(I28="","",1),"")))</f>
        <v/>
      </c>
      <c r="AC28" s="198">
        <f t="shared" si="14"/>
        <v>0</v>
      </c>
      <c r="AD28" s="198">
        <f>+IF(AA28="",+IF(N28&gt;#REF!,#REF!,IF(N28&gt;#REF!,#REF!,IF(N28&gt;#REF!,#REF!,IF(N28&gt;#REF!,#REF!,IF(N28&gt;#REF!,#REF!,IF(N28&gt;#REF!,#REF!,IF(N28&gt;#REF!,#REF!,IF(N28&gt;#REF!,#REF!,#REF!)))))))),0)</f>
        <v>0</v>
      </c>
    </row>
    <row r="29" spans="1:30" x14ac:dyDescent="0.2">
      <c r="A29" s="155" t="str">
        <f t="shared" si="0"/>
        <v>-</v>
      </c>
      <c r="B29" s="154" t="str">
        <f t="shared" si="7"/>
        <v/>
      </c>
      <c r="C29" s="153" t="str">
        <f t="shared" si="8"/>
        <v/>
      </c>
      <c r="D29" s="152" t="str">
        <f t="shared" si="1"/>
        <v>-</v>
      </c>
      <c r="E29" s="151" t="str">
        <f>+IF($B29="","",Summary!$P$4)</f>
        <v/>
      </c>
      <c r="F29" s="151" t="str">
        <f>+IF($B29="","",Summary!$P$5)</f>
        <v/>
      </c>
      <c r="G29" s="151" t="str">
        <f>+IF($B29="","",Summary!$P$6)</f>
        <v/>
      </c>
      <c r="H29" s="150" t="str">
        <f t="shared" si="2"/>
        <v/>
      </c>
      <c r="I29" s="148"/>
      <c r="J29" s="148"/>
      <c r="K29" s="148"/>
      <c r="L29" s="148"/>
      <c r="M29" s="148"/>
      <c r="N29" s="148" t="e">
        <f t="shared" si="3"/>
        <v>#REF!</v>
      </c>
      <c r="O29" s="148" t="e">
        <f>COUNTIFS(#REF!,"&gt;="&amp;DATE($C29,$B29,1),#REF!,"&lt;="&amp;EOMONTH(DATE($C29,$B29,1),0),#REF!,"Incident")+
COUNTIFS(#REF!,"&gt;="&amp;DATE($C29,$B29,1),#REF!,"&lt;="&amp;EOMONTH(DATE($C29,$B29,1),0),#REF!,"user_request")</f>
        <v>#REF!</v>
      </c>
      <c r="P29" s="147">
        <f t="shared" si="9"/>
        <v>0</v>
      </c>
      <c r="Q29" s="147">
        <f t="shared" si="10"/>
        <v>0</v>
      </c>
      <c r="R29" s="147">
        <f t="shared" si="11"/>
        <v>0</v>
      </c>
      <c r="S29" s="146" t="e">
        <f t="shared" si="12"/>
        <v>#REF!</v>
      </c>
      <c r="T29" s="146" t="e">
        <f t="shared" si="13"/>
        <v>#REF!</v>
      </c>
      <c r="U29" s="145">
        <f t="shared" si="4"/>
        <v>0</v>
      </c>
      <c r="V29" s="145" t="e">
        <f t="shared" si="5"/>
        <v>#REF!</v>
      </c>
      <c r="W29" s="142">
        <v>26</v>
      </c>
      <c r="X29" s="142" t="str">
        <f>+IF((VLOOKUP(A29,List!B:C,2,0)-VLOOKUP(Summary!$P$7,List!B:C,2,0))=0,1,"")</f>
        <v/>
      </c>
      <c r="Y29" s="198">
        <f>+IF((VLOOKUP(A29,List!B:C,2,0)-VLOOKUP(Summary!$P$7,List!B:C,2,0))&gt;=0,1,"")</f>
        <v>1</v>
      </c>
      <c r="Z29" s="198">
        <f>+IF((VLOOKUP(A29,List!B:C,2,0)-VLOOKUP(Summary!$P$7,List!B:C,2,0))&gt;0,1,"")</f>
        <v>1</v>
      </c>
      <c r="AA29" s="141">
        <f t="shared" si="6"/>
        <v>2</v>
      </c>
      <c r="AB29" s="199" t="str">
        <f>+IF(AA29="","",IF(Summary!$J$7="Fixed Price","",IF(M29="",IF(I29="","",1),"")))</f>
        <v/>
      </c>
      <c r="AC29" s="198">
        <f t="shared" si="14"/>
        <v>0</v>
      </c>
      <c r="AD29" s="198">
        <f>+IF(AA29="",+IF(N29&gt;#REF!,#REF!,IF(N29&gt;#REF!,#REF!,IF(N29&gt;#REF!,#REF!,IF(N29&gt;#REF!,#REF!,IF(N29&gt;#REF!,#REF!,IF(N29&gt;#REF!,#REF!,IF(N29&gt;#REF!,#REF!,IF(N29&gt;#REF!,#REF!,#REF!)))))))),0)</f>
        <v>0</v>
      </c>
    </row>
    <row r="30" spans="1:30" x14ac:dyDescent="0.2">
      <c r="A30" s="155" t="str">
        <f t="shared" si="0"/>
        <v>-</v>
      </c>
      <c r="B30" s="154" t="str">
        <f t="shared" si="7"/>
        <v/>
      </c>
      <c r="C30" s="153" t="str">
        <f t="shared" si="8"/>
        <v/>
      </c>
      <c r="D30" s="152" t="str">
        <f t="shared" si="1"/>
        <v>-</v>
      </c>
      <c r="E30" s="159" t="str">
        <f>+IF($B30="","",Summary!$P$4)</f>
        <v/>
      </c>
      <c r="F30" s="159" t="str">
        <f>+IF($B30="","",Summary!$P$5)</f>
        <v/>
      </c>
      <c r="G30" s="159" t="str">
        <f>+IF($B30="","",Summary!$P$6)</f>
        <v/>
      </c>
      <c r="H30" s="158" t="str">
        <f t="shared" si="2"/>
        <v/>
      </c>
      <c r="I30" s="156"/>
      <c r="J30" s="156"/>
      <c r="K30" s="156"/>
      <c r="L30" s="156"/>
      <c r="M30" s="156"/>
      <c r="N30" s="156" t="e">
        <f t="shared" si="3"/>
        <v>#REF!</v>
      </c>
      <c r="O30" s="156" t="e">
        <f>COUNTIFS(#REF!,"&gt;="&amp;DATE($C30,$B30,1),#REF!,"&lt;="&amp;EOMONTH(DATE($C30,$B30,1),0),#REF!,"Incident")+
COUNTIFS(#REF!,"&gt;="&amp;DATE($C30,$B30,1),#REF!,"&lt;="&amp;EOMONTH(DATE($C30,$B30,1),0),#REF!,"user_request")</f>
        <v>#REF!</v>
      </c>
      <c r="P30" s="147">
        <f t="shared" si="9"/>
        <v>0</v>
      </c>
      <c r="Q30" s="147">
        <f t="shared" si="10"/>
        <v>0</v>
      </c>
      <c r="R30" s="147">
        <f t="shared" si="11"/>
        <v>0</v>
      </c>
      <c r="S30" s="146" t="e">
        <f t="shared" si="12"/>
        <v>#REF!</v>
      </c>
      <c r="T30" s="146" t="e">
        <f t="shared" si="13"/>
        <v>#REF!</v>
      </c>
      <c r="U30" s="145">
        <f t="shared" si="4"/>
        <v>0</v>
      </c>
      <c r="V30" s="145" t="e">
        <f t="shared" si="5"/>
        <v>#REF!</v>
      </c>
      <c r="W30" s="142">
        <v>27</v>
      </c>
      <c r="X30" s="142" t="str">
        <f>+IF((VLOOKUP(A30,List!B:C,2,0)-VLOOKUP(Summary!$P$7,List!B:C,2,0))=0,1,"")</f>
        <v/>
      </c>
      <c r="Y30" s="198">
        <f>+IF((VLOOKUP(A30,List!B:C,2,0)-VLOOKUP(Summary!$P$7,List!B:C,2,0))&gt;=0,1,"")</f>
        <v>1</v>
      </c>
      <c r="Z30" s="198">
        <f>+IF((VLOOKUP(A30,List!B:C,2,0)-VLOOKUP(Summary!$P$7,List!B:C,2,0))&gt;0,1,"")</f>
        <v>1</v>
      </c>
      <c r="AA30" s="141">
        <f t="shared" si="6"/>
        <v>2</v>
      </c>
      <c r="AB30" s="199" t="str">
        <f>+IF(AA30="","",IF(Summary!$J$7="Fixed Price","",IF(M30="",IF(I30="","",1),"")))</f>
        <v/>
      </c>
      <c r="AC30" s="198">
        <f t="shared" si="14"/>
        <v>0</v>
      </c>
      <c r="AD30" s="198">
        <f>+IF(AA30="",+IF(N30&gt;#REF!,#REF!,IF(N30&gt;#REF!,#REF!,IF(N30&gt;#REF!,#REF!,IF(N30&gt;#REF!,#REF!,IF(N30&gt;#REF!,#REF!,IF(N30&gt;#REF!,#REF!,IF(N30&gt;#REF!,#REF!,IF(N30&gt;#REF!,#REF!,#REF!)))))))),0)</f>
        <v>0</v>
      </c>
    </row>
    <row r="31" spans="1:30" x14ac:dyDescent="0.2">
      <c r="A31" s="155" t="str">
        <f t="shared" si="0"/>
        <v>-</v>
      </c>
      <c r="B31" s="154" t="str">
        <f t="shared" si="7"/>
        <v/>
      </c>
      <c r="C31" s="153" t="str">
        <f t="shared" si="8"/>
        <v/>
      </c>
      <c r="D31" s="152" t="str">
        <f t="shared" si="1"/>
        <v>-</v>
      </c>
      <c r="E31" s="151" t="str">
        <f>+IF($B31="","",Summary!$P$4)</f>
        <v/>
      </c>
      <c r="F31" s="151" t="str">
        <f>+IF($B31="","",Summary!$P$5)</f>
        <v/>
      </c>
      <c r="G31" s="151" t="str">
        <f>+IF($B31="","",Summary!$P$6)</f>
        <v/>
      </c>
      <c r="H31" s="150" t="str">
        <f t="shared" si="2"/>
        <v/>
      </c>
      <c r="I31" s="148"/>
      <c r="J31" s="148"/>
      <c r="K31" s="148"/>
      <c r="L31" s="148"/>
      <c r="M31" s="148"/>
      <c r="N31" s="148" t="e">
        <f t="shared" si="3"/>
        <v>#REF!</v>
      </c>
      <c r="O31" s="148" t="e">
        <f>COUNTIFS(#REF!,"&gt;="&amp;DATE($C31,$B31,1),#REF!,"&lt;="&amp;EOMONTH(DATE($C31,$B31,1),0),#REF!,"Incident")+
COUNTIFS(#REF!,"&gt;="&amp;DATE($C31,$B31,1),#REF!,"&lt;="&amp;EOMONTH(DATE($C31,$B31,1),0),#REF!,"user_request")</f>
        <v>#REF!</v>
      </c>
      <c r="P31" s="147">
        <f t="shared" si="9"/>
        <v>0</v>
      </c>
      <c r="Q31" s="147">
        <f t="shared" si="10"/>
        <v>0</v>
      </c>
      <c r="R31" s="147">
        <f t="shared" si="11"/>
        <v>0</v>
      </c>
      <c r="S31" s="146" t="e">
        <f t="shared" si="12"/>
        <v>#REF!</v>
      </c>
      <c r="T31" s="146" t="e">
        <f t="shared" si="13"/>
        <v>#REF!</v>
      </c>
      <c r="U31" s="145">
        <f t="shared" si="4"/>
        <v>0</v>
      </c>
      <c r="V31" s="145" t="e">
        <f t="shared" si="5"/>
        <v>#REF!</v>
      </c>
      <c r="W31" s="142">
        <v>28</v>
      </c>
      <c r="X31" s="142" t="str">
        <f>+IF((VLOOKUP(A31,List!B:C,2,0)-VLOOKUP(Summary!$P$7,List!B:C,2,0))=0,1,"")</f>
        <v/>
      </c>
      <c r="Y31" s="198">
        <f>+IF((VLOOKUP(A31,List!B:C,2,0)-VLOOKUP(Summary!$P$7,List!B:C,2,0))&gt;=0,1,"")</f>
        <v>1</v>
      </c>
      <c r="Z31" s="198">
        <f>+IF((VLOOKUP(A31,List!B:C,2,0)-VLOOKUP(Summary!$P$7,List!B:C,2,0))&gt;0,1,"")</f>
        <v>1</v>
      </c>
      <c r="AA31" s="141">
        <f t="shared" si="6"/>
        <v>2</v>
      </c>
      <c r="AB31" s="199" t="str">
        <f>+IF(AA31="","",IF(Summary!$J$7="Fixed Price","",IF(M31="",IF(I31="","",1),"")))</f>
        <v/>
      </c>
      <c r="AC31" s="198">
        <f t="shared" si="14"/>
        <v>0</v>
      </c>
      <c r="AD31" s="198">
        <f>+IF(AA31="",+IF(N31&gt;#REF!,#REF!,IF(N31&gt;#REF!,#REF!,IF(N31&gt;#REF!,#REF!,IF(N31&gt;#REF!,#REF!,IF(N31&gt;#REF!,#REF!,IF(N31&gt;#REF!,#REF!,IF(N31&gt;#REF!,#REF!,IF(N31&gt;#REF!,#REF!,#REF!)))))))),0)</f>
        <v>0</v>
      </c>
    </row>
    <row r="32" spans="1:30" x14ac:dyDescent="0.2">
      <c r="A32" s="155" t="str">
        <f t="shared" si="0"/>
        <v>-</v>
      </c>
      <c r="B32" s="154" t="str">
        <f t="shared" si="7"/>
        <v/>
      </c>
      <c r="C32" s="153" t="str">
        <f t="shared" si="8"/>
        <v/>
      </c>
      <c r="D32" s="152" t="str">
        <f t="shared" si="1"/>
        <v>-</v>
      </c>
      <c r="E32" s="159" t="str">
        <f>+IF($B32="","",Summary!$P$4)</f>
        <v/>
      </c>
      <c r="F32" s="159" t="str">
        <f>+IF($B32="","",Summary!$P$5)</f>
        <v/>
      </c>
      <c r="G32" s="159" t="str">
        <f>+IF($B32="","",Summary!$P$6)</f>
        <v/>
      </c>
      <c r="H32" s="158" t="str">
        <f t="shared" si="2"/>
        <v/>
      </c>
      <c r="I32" s="156"/>
      <c r="J32" s="156"/>
      <c r="K32" s="156"/>
      <c r="L32" s="156"/>
      <c r="M32" s="156"/>
      <c r="N32" s="156" t="e">
        <f t="shared" si="3"/>
        <v>#REF!</v>
      </c>
      <c r="O32" s="156" t="e">
        <f>COUNTIFS(#REF!,"&gt;="&amp;DATE($C32,$B32,1),#REF!,"&lt;="&amp;EOMONTH(DATE($C32,$B32,1),0),#REF!,"Incident")+
COUNTIFS(#REF!,"&gt;="&amp;DATE($C32,$B32,1),#REF!,"&lt;="&amp;EOMONTH(DATE($C32,$B32,1),0),#REF!,"user_request")</f>
        <v>#REF!</v>
      </c>
      <c r="P32" s="147">
        <f t="shared" si="9"/>
        <v>0</v>
      </c>
      <c r="Q32" s="147">
        <f t="shared" si="10"/>
        <v>0</v>
      </c>
      <c r="R32" s="147">
        <f t="shared" si="11"/>
        <v>0</v>
      </c>
      <c r="S32" s="146" t="e">
        <f t="shared" si="12"/>
        <v>#REF!</v>
      </c>
      <c r="T32" s="146" t="e">
        <f t="shared" si="13"/>
        <v>#REF!</v>
      </c>
      <c r="U32" s="145">
        <f t="shared" si="4"/>
        <v>0</v>
      </c>
      <c r="V32" s="145" t="e">
        <f t="shared" si="5"/>
        <v>#REF!</v>
      </c>
      <c r="W32" s="142">
        <v>29</v>
      </c>
      <c r="X32" s="142" t="str">
        <f>+IF((VLOOKUP(A32,List!B:C,2,0)-VLOOKUP(Summary!$P$7,List!B:C,2,0))=0,1,"")</f>
        <v/>
      </c>
      <c r="Y32" s="198">
        <f>+IF((VLOOKUP(A32,List!B:C,2,0)-VLOOKUP(Summary!$P$7,List!B:C,2,0))&gt;=0,1,"")</f>
        <v>1</v>
      </c>
      <c r="Z32" s="198">
        <f>+IF((VLOOKUP(A32,List!B:C,2,0)-VLOOKUP(Summary!$P$7,List!B:C,2,0))&gt;0,1,"")</f>
        <v>1</v>
      </c>
      <c r="AA32" s="141">
        <f t="shared" si="6"/>
        <v>2</v>
      </c>
      <c r="AB32" s="199" t="str">
        <f>+IF(AA32="","",IF(Summary!$J$7="Fixed Price","",IF(M32="",IF(I32="","",1),"")))</f>
        <v/>
      </c>
      <c r="AC32" s="198">
        <f t="shared" si="14"/>
        <v>0</v>
      </c>
    </row>
    <row r="33" spans="1:29" x14ac:dyDescent="0.2">
      <c r="A33" s="155" t="str">
        <f t="shared" si="0"/>
        <v>-</v>
      </c>
      <c r="B33" s="154" t="str">
        <f t="shared" si="7"/>
        <v/>
      </c>
      <c r="C33" s="153" t="str">
        <f t="shared" si="8"/>
        <v/>
      </c>
      <c r="D33" s="152" t="str">
        <f t="shared" si="1"/>
        <v>-</v>
      </c>
      <c r="E33" s="151" t="str">
        <f>+IF($B33="","",Summary!$P$4)</f>
        <v/>
      </c>
      <c r="F33" s="151" t="str">
        <f>+IF($B33="","",Summary!$P$5)</f>
        <v/>
      </c>
      <c r="G33" s="151" t="str">
        <f>+IF($B33="","",Summary!$P$6)</f>
        <v/>
      </c>
      <c r="H33" s="150" t="str">
        <f t="shared" si="2"/>
        <v/>
      </c>
      <c r="I33" s="148"/>
      <c r="J33" s="148"/>
      <c r="K33" s="148"/>
      <c r="L33" s="148"/>
      <c r="M33" s="148"/>
      <c r="N33" s="148" t="e">
        <f t="shared" si="3"/>
        <v>#REF!</v>
      </c>
      <c r="O33" s="148" t="e">
        <f>COUNTIFS(#REF!,"&gt;="&amp;DATE($C33,$B33,1),#REF!,"&lt;="&amp;EOMONTH(DATE($C33,$B33,1),0),#REF!,"Incident")+
COUNTIFS(#REF!,"&gt;="&amp;DATE($C33,$B33,1),#REF!,"&lt;="&amp;EOMONTH(DATE($C33,$B33,1),0),#REF!,"user_request")</f>
        <v>#REF!</v>
      </c>
      <c r="P33" s="147">
        <f t="shared" si="9"/>
        <v>0</v>
      </c>
      <c r="Q33" s="147">
        <f t="shared" si="10"/>
        <v>0</v>
      </c>
      <c r="R33" s="147">
        <f t="shared" si="11"/>
        <v>0</v>
      </c>
      <c r="S33" s="146" t="e">
        <f t="shared" si="12"/>
        <v>#REF!</v>
      </c>
      <c r="T33" s="146" t="e">
        <f t="shared" si="13"/>
        <v>#REF!</v>
      </c>
      <c r="U33" s="145">
        <f t="shared" si="4"/>
        <v>0</v>
      </c>
      <c r="V33" s="145" t="e">
        <f t="shared" si="5"/>
        <v>#REF!</v>
      </c>
      <c r="W33" s="142">
        <v>30</v>
      </c>
      <c r="X33" s="142" t="str">
        <f>+IF((VLOOKUP(A33,List!B:C,2,0)-VLOOKUP(Summary!$P$7,List!B:C,2,0))=0,1,"")</f>
        <v/>
      </c>
      <c r="Y33" s="198">
        <f>+IF((VLOOKUP(A33,List!B:C,2,0)-VLOOKUP(Summary!$P$7,List!B:C,2,0))&gt;=0,1,"")</f>
        <v>1</v>
      </c>
      <c r="Z33" s="198">
        <f>+IF((VLOOKUP(A33,List!B:C,2,0)-VLOOKUP(Summary!$P$7,List!B:C,2,0))&gt;0,1,"")</f>
        <v>1</v>
      </c>
      <c r="AA33" s="141">
        <f t="shared" si="6"/>
        <v>2</v>
      </c>
      <c r="AB33" s="199" t="str">
        <f>+IF(AA33="","",IF(Summary!$J$7="Fixed Price","",IF(M33="",IF(I33="","",1),"")))</f>
        <v/>
      </c>
      <c r="AC33" s="198">
        <f t="shared" si="14"/>
        <v>0</v>
      </c>
    </row>
    <row r="34" spans="1:29" x14ac:dyDescent="0.2">
      <c r="A34" s="155" t="str">
        <f t="shared" si="0"/>
        <v>-</v>
      </c>
      <c r="B34" s="154" t="str">
        <f t="shared" si="7"/>
        <v/>
      </c>
      <c r="C34" s="153" t="str">
        <f t="shared" si="8"/>
        <v/>
      </c>
      <c r="D34" s="152" t="str">
        <f t="shared" si="1"/>
        <v>-</v>
      </c>
      <c r="E34" s="159" t="str">
        <f>+IF($B34="","",Summary!$P$4)</f>
        <v/>
      </c>
      <c r="F34" s="159" t="str">
        <f>+IF($B34="","",Summary!$P$5)</f>
        <v/>
      </c>
      <c r="G34" s="159" t="str">
        <f>+IF($B34="","",Summary!$P$6)</f>
        <v/>
      </c>
      <c r="H34" s="158" t="str">
        <f t="shared" si="2"/>
        <v/>
      </c>
      <c r="I34" s="156"/>
      <c r="J34" s="156"/>
      <c r="K34" s="156"/>
      <c r="L34" s="156"/>
      <c r="M34" s="156"/>
      <c r="N34" s="156" t="e">
        <f t="shared" si="3"/>
        <v>#REF!</v>
      </c>
      <c r="O34" s="156" t="e">
        <f>COUNTIFS(#REF!,"&gt;="&amp;DATE($C34,$B34,1),#REF!,"&lt;="&amp;EOMONTH(DATE($C34,$B34,1),0),#REF!,"Incident")+
COUNTIFS(#REF!,"&gt;="&amp;DATE($C34,$B34,1),#REF!,"&lt;="&amp;EOMONTH(DATE($C34,$B34,1),0),#REF!,"user_request")</f>
        <v>#REF!</v>
      </c>
      <c r="P34" s="147">
        <f t="shared" si="9"/>
        <v>0</v>
      </c>
      <c r="Q34" s="147">
        <f t="shared" si="10"/>
        <v>0</v>
      </c>
      <c r="R34" s="147">
        <f t="shared" si="11"/>
        <v>0</v>
      </c>
      <c r="S34" s="146" t="e">
        <f t="shared" si="12"/>
        <v>#REF!</v>
      </c>
      <c r="T34" s="146" t="e">
        <f t="shared" si="13"/>
        <v>#REF!</v>
      </c>
      <c r="U34" s="145">
        <f t="shared" si="4"/>
        <v>0</v>
      </c>
      <c r="V34" s="145" t="e">
        <f t="shared" si="5"/>
        <v>#REF!</v>
      </c>
      <c r="W34" s="142">
        <v>31</v>
      </c>
      <c r="X34" s="142" t="str">
        <f>+IF((VLOOKUP(A34,List!B:C,2,0)-VLOOKUP(Summary!$P$7,List!B:C,2,0))=0,1,"")</f>
        <v/>
      </c>
      <c r="Y34" s="198">
        <f>+IF((VLOOKUP(A34,List!B:C,2,0)-VLOOKUP(Summary!$P$7,List!B:C,2,0))&gt;=0,1,"")</f>
        <v>1</v>
      </c>
      <c r="Z34" s="198">
        <f>+IF((VLOOKUP(A34,List!B:C,2,0)-VLOOKUP(Summary!$P$7,List!B:C,2,0))&gt;0,1,"")</f>
        <v>1</v>
      </c>
      <c r="AA34" s="141">
        <f t="shared" si="6"/>
        <v>2</v>
      </c>
      <c r="AB34" s="199" t="str">
        <f>+IF(AA34="","",IF(Summary!$J$7="Fixed Price","",IF(M34="",IF(I34="","",1),"")))</f>
        <v/>
      </c>
      <c r="AC34" s="198">
        <f t="shared" si="14"/>
        <v>0</v>
      </c>
    </row>
    <row r="35" spans="1:29" x14ac:dyDescent="0.2">
      <c r="A35" s="155" t="str">
        <f t="shared" si="0"/>
        <v>-</v>
      </c>
      <c r="B35" s="154" t="str">
        <f t="shared" si="7"/>
        <v/>
      </c>
      <c r="C35" s="153" t="str">
        <f t="shared" si="8"/>
        <v/>
      </c>
      <c r="D35" s="152" t="str">
        <f t="shared" si="1"/>
        <v>-</v>
      </c>
      <c r="E35" s="151" t="str">
        <f>+IF($B35="","",Summary!$P$4)</f>
        <v/>
      </c>
      <c r="F35" s="151" t="str">
        <f>+IF($B35="","",Summary!$P$5)</f>
        <v/>
      </c>
      <c r="G35" s="151" t="str">
        <f>+IF($B35="","",Summary!$P$6)</f>
        <v/>
      </c>
      <c r="H35" s="150" t="str">
        <f t="shared" si="2"/>
        <v/>
      </c>
      <c r="I35" s="148"/>
      <c r="J35" s="148"/>
      <c r="K35" s="148"/>
      <c r="L35" s="148"/>
      <c r="M35" s="148"/>
      <c r="N35" s="148" t="e">
        <f t="shared" si="3"/>
        <v>#REF!</v>
      </c>
      <c r="O35" s="148" t="e">
        <f>COUNTIFS(#REF!,"&gt;="&amp;DATE($C35,$B35,1),#REF!,"&lt;="&amp;EOMONTH(DATE($C35,$B35,1),0),#REF!,"Incident")+
COUNTIFS(#REF!,"&gt;="&amp;DATE($C35,$B35,1),#REF!,"&lt;="&amp;EOMONTH(DATE($C35,$B35,1),0),#REF!,"user_request")</f>
        <v>#REF!</v>
      </c>
      <c r="P35" s="147">
        <f t="shared" si="9"/>
        <v>0</v>
      </c>
      <c r="Q35" s="147">
        <f t="shared" si="10"/>
        <v>0</v>
      </c>
      <c r="R35" s="147">
        <f t="shared" si="11"/>
        <v>0</v>
      </c>
      <c r="S35" s="146" t="e">
        <f t="shared" si="12"/>
        <v>#REF!</v>
      </c>
      <c r="T35" s="146" t="e">
        <f t="shared" si="13"/>
        <v>#REF!</v>
      </c>
      <c r="U35" s="145">
        <f t="shared" si="4"/>
        <v>0</v>
      </c>
      <c r="V35" s="145" t="e">
        <f t="shared" si="5"/>
        <v>#REF!</v>
      </c>
      <c r="W35" s="142">
        <v>32</v>
      </c>
      <c r="X35" s="142" t="str">
        <f>+IF((VLOOKUP(A35,List!B:C,2,0)-VLOOKUP(Summary!$P$7,List!B:C,2,0))=0,1,"")</f>
        <v/>
      </c>
      <c r="Y35" s="198">
        <f>+IF((VLOOKUP(A35,List!B:C,2,0)-VLOOKUP(Summary!$P$7,List!B:C,2,0))&gt;=0,1,"")</f>
        <v>1</v>
      </c>
      <c r="Z35" s="198">
        <f>+IF((VLOOKUP(A35,List!B:C,2,0)-VLOOKUP(Summary!$P$7,List!B:C,2,0))&gt;0,1,"")</f>
        <v>1</v>
      </c>
      <c r="AA35" s="141">
        <f t="shared" si="6"/>
        <v>2</v>
      </c>
      <c r="AB35" s="199" t="str">
        <f>+IF(AA35="","",IF(Summary!$J$7="Fixed Price","",IF(M35="",IF(I35="","",1),"")))</f>
        <v/>
      </c>
      <c r="AC35" s="198">
        <f t="shared" si="14"/>
        <v>0</v>
      </c>
    </row>
    <row r="36" spans="1:29" x14ac:dyDescent="0.2">
      <c r="A36" s="155" t="str">
        <f t="shared" ref="A36:A63" si="15">CONCATENATE(C36,"-",B36)</f>
        <v>-</v>
      </c>
      <c r="B36" s="154" t="str">
        <f t="shared" si="7"/>
        <v/>
      </c>
      <c r="C36" s="153" t="str">
        <f t="shared" si="8"/>
        <v/>
      </c>
      <c r="D36" s="152" t="str">
        <f t="shared" ref="D36:D63" si="16">CONCATENATE(C36,"-",B36)</f>
        <v>-</v>
      </c>
      <c r="E36" s="159" t="str">
        <f>+IF($B36="","",Summary!$P$4)</f>
        <v/>
      </c>
      <c r="F36" s="159" t="str">
        <f>+IF($B36="","",Summary!$P$5)</f>
        <v/>
      </c>
      <c r="G36" s="159" t="str">
        <f>+IF($B36="","",Summary!$P$6)</f>
        <v/>
      </c>
      <c r="H36" s="158" t="str">
        <f t="shared" ref="H36:H63" si="17">+IF($B36="","",IF(U36&lt;-15%,"Red",IF(U36&lt;0%,"Amber","Green")))</f>
        <v/>
      </c>
      <c r="I36" s="156"/>
      <c r="J36" s="156"/>
      <c r="K36" s="156"/>
      <c r="L36" s="156"/>
      <c r="M36" s="156"/>
      <c r="N36" s="156" t="e">
        <f t="shared" si="3"/>
        <v>#REF!</v>
      </c>
      <c r="O36" s="156" t="e">
        <f>COUNTIFS(#REF!,"&gt;="&amp;DATE($C36,$B36,1),#REF!,"&lt;="&amp;EOMONTH(DATE($C36,$B36,1),0),#REF!,"Incident")+
COUNTIFS(#REF!,"&gt;="&amp;DATE($C36,$B36,1),#REF!,"&lt;="&amp;EOMONTH(DATE($C36,$B36,1),0),#REF!,"user_request")</f>
        <v>#REF!</v>
      </c>
      <c r="P36" s="147">
        <f t="shared" si="9"/>
        <v>0</v>
      </c>
      <c r="Q36" s="147">
        <f t="shared" si="10"/>
        <v>0</v>
      </c>
      <c r="R36" s="147">
        <f t="shared" si="11"/>
        <v>0</v>
      </c>
      <c r="S36" s="146" t="e">
        <f t="shared" si="12"/>
        <v>#REF!</v>
      </c>
      <c r="T36" s="146" t="e">
        <f t="shared" si="13"/>
        <v>#REF!</v>
      </c>
      <c r="U36" s="145">
        <f t="shared" ref="U36:U63" si="18">IF(Q36=0,0,IF(K36&lt;&gt;"",(Q36-(R36+L36))/Q36,U35))</f>
        <v>0</v>
      </c>
      <c r="V36" s="145" t="e">
        <f t="shared" ref="V36:V63" si="19">IF(S36=0,0,IF(O36&lt;&gt;"",(S36-(T36))/S36,V35))</f>
        <v>#REF!</v>
      </c>
      <c r="W36" s="142">
        <v>33</v>
      </c>
      <c r="X36" s="142" t="str">
        <f>+IF((VLOOKUP(A36,List!B:C,2,0)-VLOOKUP(Summary!$P$7,List!B:C,2,0))=0,1,"")</f>
        <v/>
      </c>
      <c r="Y36" s="198">
        <f>+IF((VLOOKUP(A36,List!B:C,2,0)-VLOOKUP(Summary!$P$7,List!B:C,2,0))&gt;=0,1,"")</f>
        <v>1</v>
      </c>
      <c r="Z36" s="198">
        <f>+IF((VLOOKUP(A36,List!B:C,2,0)-VLOOKUP(Summary!$P$7,List!B:C,2,0))&gt;0,1,"")</f>
        <v>1</v>
      </c>
      <c r="AA36" s="141">
        <f t="shared" si="6"/>
        <v>2</v>
      </c>
      <c r="AB36" s="199" t="str">
        <f>+IF(AA36="","",IF(Summary!$J$7="Fixed Price","",IF(M36="",IF(I36="","",1),"")))</f>
        <v/>
      </c>
      <c r="AC36" s="198">
        <f t="shared" si="14"/>
        <v>0</v>
      </c>
    </row>
    <row r="37" spans="1:29" x14ac:dyDescent="0.2">
      <c r="A37" s="155" t="str">
        <f t="shared" si="15"/>
        <v>-</v>
      </c>
      <c r="B37" s="154" t="str">
        <f t="shared" ref="B37:B63" si="20">IF(W37&lt;=$W$2,IF(B36&gt;11,1,B36+1),"")</f>
        <v/>
      </c>
      <c r="C37" s="153" t="str">
        <f t="shared" ref="C37:C63" si="21">IF(W37&lt;=$W$2,IF(B36&gt;11,C36+1,C36),"")</f>
        <v/>
      </c>
      <c r="D37" s="152" t="str">
        <f t="shared" si="16"/>
        <v>-</v>
      </c>
      <c r="E37" s="151" t="str">
        <f>+IF($B37="","",Summary!$P$4)</f>
        <v/>
      </c>
      <c r="F37" s="151" t="str">
        <f>+IF($B37="","",Summary!$P$5)</f>
        <v/>
      </c>
      <c r="G37" s="151" t="str">
        <f>+IF($B37="","",Summary!$P$6)</f>
        <v/>
      </c>
      <c r="H37" s="150" t="str">
        <f t="shared" si="17"/>
        <v/>
      </c>
      <c r="I37" s="148"/>
      <c r="J37" s="148"/>
      <c r="K37" s="148"/>
      <c r="L37" s="148"/>
      <c r="M37" s="148"/>
      <c r="N37" s="148" t="e">
        <f t="shared" si="3"/>
        <v>#REF!</v>
      </c>
      <c r="O37" s="148" t="e">
        <f>COUNTIFS(#REF!,"&gt;="&amp;DATE($C37,$B37,1),#REF!,"&lt;="&amp;EOMONTH(DATE($C37,$B37,1),0),#REF!,"Incident")+
COUNTIFS(#REF!,"&gt;="&amp;DATE($C37,$B37,1),#REF!,"&lt;="&amp;EOMONTH(DATE($C37,$B37,1),0),#REF!,"user_request")</f>
        <v>#REF!</v>
      </c>
      <c r="P37" s="147">
        <f t="shared" ref="P37:P63" si="22">I37+P36</f>
        <v>0</v>
      </c>
      <c r="Q37" s="147">
        <f t="shared" ref="Q37:Q63" si="23">Q36+J37</f>
        <v>0</v>
      </c>
      <c r="R37" s="147">
        <f t="shared" ref="R37:R63" si="24">K37+R36</f>
        <v>0</v>
      </c>
      <c r="S37" s="146" t="e">
        <f t="shared" ref="S37:S63" si="25">N37+S36</f>
        <v>#REF!</v>
      </c>
      <c r="T37" s="146" t="e">
        <f t="shared" ref="T37:T63" si="26">O37+T36</f>
        <v>#REF!</v>
      </c>
      <c r="U37" s="145">
        <f t="shared" si="18"/>
        <v>0</v>
      </c>
      <c r="V37" s="145" t="e">
        <f t="shared" si="19"/>
        <v>#REF!</v>
      </c>
      <c r="W37" s="142">
        <v>34</v>
      </c>
      <c r="X37" s="142" t="str">
        <f>+IF((VLOOKUP(A37,List!B:C,2,0)-VLOOKUP(Summary!$P$7,List!B:C,2,0))=0,1,"")</f>
        <v/>
      </c>
      <c r="Y37" s="198">
        <f>+IF((VLOOKUP(A37,List!B:C,2,0)-VLOOKUP(Summary!$P$7,List!B:C,2,0))&gt;=0,1,"")</f>
        <v>1</v>
      </c>
      <c r="Z37" s="198">
        <f>+IF((VLOOKUP(A37,List!B:C,2,0)-VLOOKUP(Summary!$P$7,List!B:C,2,0))&gt;0,1,"")</f>
        <v>1</v>
      </c>
      <c r="AA37" s="141">
        <f t="shared" si="6"/>
        <v>2</v>
      </c>
      <c r="AB37" s="199" t="str">
        <f>+IF(AA37="","",IF(Summary!$J$7="Fixed Price","",IF(M37="",IF(I37="","",1),"")))</f>
        <v/>
      </c>
      <c r="AC37" s="198">
        <f t="shared" si="14"/>
        <v>0</v>
      </c>
    </row>
    <row r="38" spans="1:29" x14ac:dyDescent="0.2">
      <c r="A38" s="155" t="str">
        <f t="shared" si="15"/>
        <v>-</v>
      </c>
      <c r="B38" s="154" t="str">
        <f t="shared" si="20"/>
        <v/>
      </c>
      <c r="C38" s="153" t="str">
        <f t="shared" si="21"/>
        <v/>
      </c>
      <c r="D38" s="152" t="str">
        <f t="shared" si="16"/>
        <v>-</v>
      </c>
      <c r="E38" s="159" t="str">
        <f>+IF($B38="","",Summary!$P$4)</f>
        <v/>
      </c>
      <c r="F38" s="159" t="str">
        <f>+IF($B38="","",Summary!$P$5)</f>
        <v/>
      </c>
      <c r="G38" s="159" t="str">
        <f>+IF($B38="","",Summary!$P$6)</f>
        <v/>
      </c>
      <c r="H38" s="158" t="str">
        <f t="shared" si="17"/>
        <v/>
      </c>
      <c r="I38" s="156"/>
      <c r="J38" s="156"/>
      <c r="K38" s="156"/>
      <c r="L38" s="156"/>
      <c r="M38" s="156"/>
      <c r="N38" s="156" t="e">
        <f t="shared" si="3"/>
        <v>#REF!</v>
      </c>
      <c r="O38" s="156" t="e">
        <f>COUNTIFS(#REF!,"&gt;="&amp;DATE($C38,$B38,1),#REF!,"&lt;="&amp;EOMONTH(DATE($C38,$B38,1),0),#REF!,"Incident")+
COUNTIFS(#REF!,"&gt;="&amp;DATE($C38,$B38,1),#REF!,"&lt;="&amp;EOMONTH(DATE($C38,$B38,1),0),#REF!,"user_request")</f>
        <v>#REF!</v>
      </c>
      <c r="P38" s="147">
        <f t="shared" si="22"/>
        <v>0</v>
      </c>
      <c r="Q38" s="147">
        <f t="shared" si="23"/>
        <v>0</v>
      </c>
      <c r="R38" s="147">
        <f t="shared" si="24"/>
        <v>0</v>
      </c>
      <c r="S38" s="146" t="e">
        <f t="shared" si="25"/>
        <v>#REF!</v>
      </c>
      <c r="T38" s="146" t="e">
        <f t="shared" si="26"/>
        <v>#REF!</v>
      </c>
      <c r="U38" s="145">
        <f t="shared" si="18"/>
        <v>0</v>
      </c>
      <c r="V38" s="145" t="e">
        <f t="shared" si="19"/>
        <v>#REF!</v>
      </c>
      <c r="W38" s="142">
        <v>35</v>
      </c>
      <c r="X38" s="142" t="str">
        <f>+IF((VLOOKUP(A38,List!B:C,2,0)-VLOOKUP(Summary!$P$7,List!B:C,2,0))=0,1,"")</f>
        <v/>
      </c>
      <c r="Y38" s="198">
        <f>+IF((VLOOKUP(A38,List!B:C,2,0)-VLOOKUP(Summary!$P$7,List!B:C,2,0))&gt;=0,1,"")</f>
        <v>1</v>
      </c>
      <c r="Z38" s="198">
        <f>+IF((VLOOKUP(A38,List!B:C,2,0)-VLOOKUP(Summary!$P$7,List!B:C,2,0))&gt;0,1,"")</f>
        <v>1</v>
      </c>
      <c r="AA38" s="141">
        <f t="shared" si="6"/>
        <v>2</v>
      </c>
      <c r="AB38" s="199" t="str">
        <f>+IF(AA38="","",IF(Summary!$J$7="Fixed Price","",IF(M38="",IF(I38="","",1),"")))</f>
        <v/>
      </c>
      <c r="AC38" s="198">
        <f t="shared" si="14"/>
        <v>0</v>
      </c>
    </row>
    <row r="39" spans="1:29" x14ac:dyDescent="0.2">
      <c r="A39" s="155" t="str">
        <f t="shared" si="15"/>
        <v>-</v>
      </c>
      <c r="B39" s="154" t="str">
        <f t="shared" si="20"/>
        <v/>
      </c>
      <c r="C39" s="153" t="str">
        <f t="shared" si="21"/>
        <v/>
      </c>
      <c r="D39" s="152" t="str">
        <f t="shared" si="16"/>
        <v>-</v>
      </c>
      <c r="E39" s="151" t="str">
        <f>+IF($B39="","",Summary!$P$4)</f>
        <v/>
      </c>
      <c r="F39" s="151" t="str">
        <f>+IF($B39="","",Summary!$P$5)</f>
        <v/>
      </c>
      <c r="G39" s="151" t="str">
        <f>+IF($B39="","",Summary!$P$6)</f>
        <v/>
      </c>
      <c r="H39" s="150" t="str">
        <f t="shared" si="17"/>
        <v/>
      </c>
      <c r="I39" s="148"/>
      <c r="J39" s="148"/>
      <c r="K39" s="148"/>
      <c r="L39" s="148"/>
      <c r="M39" s="148"/>
      <c r="N39" s="148" t="e">
        <f t="shared" si="3"/>
        <v>#REF!</v>
      </c>
      <c r="O39" s="148" t="e">
        <f>COUNTIFS(#REF!,"&gt;="&amp;DATE($C39,$B39,1),#REF!,"&lt;="&amp;EOMONTH(DATE($C39,$B39,1),0),#REF!,"Incident")+
COUNTIFS(#REF!,"&gt;="&amp;DATE($C39,$B39,1),#REF!,"&lt;="&amp;EOMONTH(DATE($C39,$B39,1),0),#REF!,"user_request")</f>
        <v>#REF!</v>
      </c>
      <c r="P39" s="147">
        <f t="shared" si="22"/>
        <v>0</v>
      </c>
      <c r="Q39" s="147">
        <f t="shared" si="23"/>
        <v>0</v>
      </c>
      <c r="R39" s="147">
        <f t="shared" si="24"/>
        <v>0</v>
      </c>
      <c r="S39" s="146" t="e">
        <f t="shared" si="25"/>
        <v>#REF!</v>
      </c>
      <c r="T39" s="146" t="e">
        <f t="shared" si="26"/>
        <v>#REF!</v>
      </c>
      <c r="U39" s="145">
        <f t="shared" si="18"/>
        <v>0</v>
      </c>
      <c r="V39" s="145" t="e">
        <f t="shared" si="19"/>
        <v>#REF!</v>
      </c>
      <c r="W39" s="142">
        <v>36</v>
      </c>
      <c r="X39" s="142" t="str">
        <f>+IF((VLOOKUP(A39,List!B:C,2,0)-VLOOKUP(Summary!$P$7,List!B:C,2,0))=0,1,"")</f>
        <v/>
      </c>
      <c r="Y39" s="198">
        <f>+IF((VLOOKUP(A39,List!B:C,2,0)-VLOOKUP(Summary!$P$7,List!B:C,2,0))&gt;=0,1,"")</f>
        <v>1</v>
      </c>
      <c r="Z39" s="198">
        <f>+IF((VLOOKUP(A39,List!B:C,2,0)-VLOOKUP(Summary!$P$7,List!B:C,2,0))&gt;0,1,"")</f>
        <v>1</v>
      </c>
      <c r="AA39" s="141">
        <f t="shared" si="6"/>
        <v>2</v>
      </c>
      <c r="AB39" s="199" t="str">
        <f>+IF(AA39="","",IF(Summary!$J$7="Fixed Price","",IF(M39="",IF(I39="","",1),"")))</f>
        <v/>
      </c>
      <c r="AC39" s="198">
        <f t="shared" si="14"/>
        <v>0</v>
      </c>
    </row>
    <row r="40" spans="1:29" x14ac:dyDescent="0.2">
      <c r="A40" s="155" t="str">
        <f t="shared" si="15"/>
        <v>-</v>
      </c>
      <c r="B40" s="154" t="str">
        <f t="shared" si="20"/>
        <v/>
      </c>
      <c r="C40" s="153" t="str">
        <f t="shared" si="21"/>
        <v/>
      </c>
      <c r="D40" s="152" t="str">
        <f t="shared" si="16"/>
        <v>-</v>
      </c>
      <c r="E40" s="159" t="str">
        <f>+IF($B40="","",Summary!$P$4)</f>
        <v/>
      </c>
      <c r="F40" s="159" t="str">
        <f>+IF($B40="","",Summary!$P$5)</f>
        <v/>
      </c>
      <c r="G40" s="159" t="str">
        <f>+IF($B40="","",Summary!$P$6)</f>
        <v/>
      </c>
      <c r="H40" s="158" t="str">
        <f t="shared" si="17"/>
        <v/>
      </c>
      <c r="I40" s="156"/>
      <c r="J40" s="157"/>
      <c r="K40" s="156"/>
      <c r="L40" s="156"/>
      <c r="M40" s="156"/>
      <c r="N40" s="157" t="e">
        <f t="shared" si="3"/>
        <v>#REF!</v>
      </c>
      <c r="O40" s="157" t="e">
        <f>COUNTIFS(#REF!,"&gt;="&amp;DATE($C40,$B40,1),#REF!,"&lt;="&amp;EOMONTH(DATE($C40,$B40,1),0),#REF!,"Incident")+
COUNTIFS(#REF!,"&gt;="&amp;DATE($C40,$B40,1),#REF!,"&lt;="&amp;EOMONTH(DATE($C40,$B40,1),0),#REF!,"user_request")</f>
        <v>#REF!</v>
      </c>
      <c r="P40" s="147">
        <f t="shared" si="22"/>
        <v>0</v>
      </c>
      <c r="Q40" s="147">
        <f t="shared" si="23"/>
        <v>0</v>
      </c>
      <c r="R40" s="147">
        <f t="shared" si="24"/>
        <v>0</v>
      </c>
      <c r="S40" s="146" t="e">
        <f t="shared" si="25"/>
        <v>#REF!</v>
      </c>
      <c r="T40" s="146" t="e">
        <f t="shared" si="26"/>
        <v>#REF!</v>
      </c>
      <c r="U40" s="145">
        <f t="shared" si="18"/>
        <v>0</v>
      </c>
      <c r="V40" s="145" t="e">
        <f t="shared" si="19"/>
        <v>#REF!</v>
      </c>
      <c r="W40" s="142">
        <v>37</v>
      </c>
      <c r="X40" s="142" t="str">
        <f>+IF((VLOOKUP(A40,List!B:C,2,0)-VLOOKUP(Summary!$P$7,List!B:C,2,0))=0,1,"")</f>
        <v/>
      </c>
      <c r="Y40" s="198">
        <f>+IF((VLOOKUP(A40,List!B:C,2,0)-VLOOKUP(Summary!$P$7,List!B:C,2,0))&gt;=0,1,"")</f>
        <v>1</v>
      </c>
      <c r="Z40" s="198">
        <f>+IF((VLOOKUP(A40,List!B:C,2,0)-VLOOKUP(Summary!$P$7,List!B:C,2,0))&gt;0,1,"")</f>
        <v>1</v>
      </c>
      <c r="AA40" s="141">
        <f t="shared" si="6"/>
        <v>2</v>
      </c>
      <c r="AB40" s="199" t="str">
        <f>+IF(AA40="","",IF(Summary!$J$7="Fixed Price","",IF(M40="",IF(I40="","",1),"")))</f>
        <v/>
      </c>
      <c r="AC40" s="198">
        <f t="shared" si="14"/>
        <v>0</v>
      </c>
    </row>
    <row r="41" spans="1:29" x14ac:dyDescent="0.2">
      <c r="A41" s="155" t="str">
        <f t="shared" si="15"/>
        <v>-</v>
      </c>
      <c r="B41" s="154" t="str">
        <f t="shared" si="20"/>
        <v/>
      </c>
      <c r="C41" s="153" t="str">
        <f t="shared" si="21"/>
        <v/>
      </c>
      <c r="D41" s="152" t="str">
        <f t="shared" si="16"/>
        <v>-</v>
      </c>
      <c r="E41" s="151" t="str">
        <f>+IF($B41="","",Summary!$P$4)</f>
        <v/>
      </c>
      <c r="F41" s="151" t="str">
        <f>+IF($B41="","",Summary!$P$5)</f>
        <v/>
      </c>
      <c r="G41" s="151" t="str">
        <f>+IF($B41="","",Summary!$P$6)</f>
        <v/>
      </c>
      <c r="H41" s="150" t="str">
        <f t="shared" si="17"/>
        <v/>
      </c>
      <c r="I41" s="148"/>
      <c r="J41" s="149"/>
      <c r="K41" s="148"/>
      <c r="L41" s="148"/>
      <c r="M41" s="148"/>
      <c r="N41" s="149" t="e">
        <f t="shared" si="3"/>
        <v>#REF!</v>
      </c>
      <c r="O41" s="149" t="e">
        <f>COUNTIFS(#REF!,"&gt;="&amp;DATE($C41,$B41,1),#REF!,"&lt;="&amp;EOMONTH(DATE($C41,$B41,1),0),#REF!,"Incident")+
COUNTIFS(#REF!,"&gt;="&amp;DATE($C41,$B41,1),#REF!,"&lt;="&amp;EOMONTH(DATE($C41,$B41,1),0),#REF!,"user_request")</f>
        <v>#REF!</v>
      </c>
      <c r="P41" s="147">
        <f t="shared" si="22"/>
        <v>0</v>
      </c>
      <c r="Q41" s="147">
        <f t="shared" si="23"/>
        <v>0</v>
      </c>
      <c r="R41" s="147">
        <f t="shared" si="24"/>
        <v>0</v>
      </c>
      <c r="S41" s="146" t="e">
        <f t="shared" si="25"/>
        <v>#REF!</v>
      </c>
      <c r="T41" s="146" t="e">
        <f t="shared" si="26"/>
        <v>#REF!</v>
      </c>
      <c r="U41" s="145">
        <f t="shared" si="18"/>
        <v>0</v>
      </c>
      <c r="V41" s="145" t="e">
        <f t="shared" si="19"/>
        <v>#REF!</v>
      </c>
      <c r="W41" s="142">
        <v>38</v>
      </c>
      <c r="X41" s="142" t="str">
        <f>+IF((VLOOKUP(A41,List!B:C,2,0)-VLOOKUP(Summary!$P$7,List!B:C,2,0))=0,1,"")</f>
        <v/>
      </c>
      <c r="Y41" s="198">
        <f>+IF((VLOOKUP(A41,List!B:C,2,0)-VLOOKUP(Summary!$P$7,List!B:C,2,0))&gt;=0,1,"")</f>
        <v>1</v>
      </c>
      <c r="Z41" s="198">
        <f>+IF((VLOOKUP(A41,List!B:C,2,0)-VLOOKUP(Summary!$P$7,List!B:C,2,0))&gt;0,1,"")</f>
        <v>1</v>
      </c>
      <c r="AA41" s="141">
        <f t="shared" si="6"/>
        <v>2</v>
      </c>
      <c r="AB41" s="199" t="str">
        <f>+IF(AA41="","",IF(Summary!$J$7="Fixed Price","",IF(M41="",IF(I41="","",1),"")))</f>
        <v/>
      </c>
      <c r="AC41" s="198">
        <f t="shared" si="14"/>
        <v>0</v>
      </c>
    </row>
    <row r="42" spans="1:29" x14ac:dyDescent="0.2">
      <c r="A42" s="155" t="str">
        <f t="shared" si="15"/>
        <v>-</v>
      </c>
      <c r="B42" s="154" t="str">
        <f t="shared" si="20"/>
        <v/>
      </c>
      <c r="C42" s="153" t="str">
        <f t="shared" si="21"/>
        <v/>
      </c>
      <c r="D42" s="152" t="str">
        <f t="shared" si="16"/>
        <v>-</v>
      </c>
      <c r="E42" s="159" t="str">
        <f>+IF($B42="","",Summary!$P$4)</f>
        <v/>
      </c>
      <c r="F42" s="159" t="str">
        <f>+IF($B42="","",Summary!$P$5)</f>
        <v/>
      </c>
      <c r="G42" s="159" t="str">
        <f>+IF($B42="","",Summary!$P$6)</f>
        <v/>
      </c>
      <c r="H42" s="158" t="str">
        <f t="shared" si="17"/>
        <v/>
      </c>
      <c r="I42" s="156"/>
      <c r="J42" s="157"/>
      <c r="K42" s="156"/>
      <c r="L42" s="156"/>
      <c r="M42" s="156"/>
      <c r="N42" s="157" t="e">
        <f t="shared" si="3"/>
        <v>#REF!</v>
      </c>
      <c r="O42" s="157" t="e">
        <f>COUNTIFS(#REF!,"&gt;="&amp;DATE($C42,$B42,1),#REF!,"&lt;="&amp;EOMONTH(DATE($C42,$B42,1),0),#REF!,"Incident")+
COUNTIFS(#REF!,"&gt;="&amp;DATE($C42,$B42,1),#REF!,"&lt;="&amp;EOMONTH(DATE($C42,$B42,1),0),#REF!,"user_request")</f>
        <v>#REF!</v>
      </c>
      <c r="P42" s="147">
        <f t="shared" si="22"/>
        <v>0</v>
      </c>
      <c r="Q42" s="147">
        <f t="shared" si="23"/>
        <v>0</v>
      </c>
      <c r="R42" s="147">
        <f t="shared" si="24"/>
        <v>0</v>
      </c>
      <c r="S42" s="146" t="e">
        <f t="shared" si="25"/>
        <v>#REF!</v>
      </c>
      <c r="T42" s="146" t="e">
        <f t="shared" si="26"/>
        <v>#REF!</v>
      </c>
      <c r="U42" s="145">
        <f t="shared" si="18"/>
        <v>0</v>
      </c>
      <c r="V42" s="145" t="e">
        <f t="shared" si="19"/>
        <v>#REF!</v>
      </c>
      <c r="W42" s="142">
        <v>39</v>
      </c>
      <c r="X42" s="142" t="str">
        <f>+IF((VLOOKUP(A42,List!B:C,2,0)-VLOOKUP(Summary!$P$7,List!B:C,2,0))=0,1,"")</f>
        <v/>
      </c>
      <c r="Y42" s="198">
        <f>+IF((VLOOKUP(A42,List!B:C,2,0)-VLOOKUP(Summary!$P$7,List!B:C,2,0))&gt;=0,1,"")</f>
        <v>1</v>
      </c>
      <c r="Z42" s="198">
        <f>+IF((VLOOKUP(A42,List!B:C,2,0)-VLOOKUP(Summary!$P$7,List!B:C,2,0))&gt;0,1,"")</f>
        <v>1</v>
      </c>
      <c r="AA42" s="141">
        <f t="shared" si="6"/>
        <v>2</v>
      </c>
      <c r="AB42" s="199" t="str">
        <f>+IF(AA42="","",IF(Summary!$J$7="Fixed Price","",IF(M42="",IF(I42="","",1),"")))</f>
        <v/>
      </c>
      <c r="AC42" s="198">
        <f t="shared" si="14"/>
        <v>0</v>
      </c>
    </row>
    <row r="43" spans="1:29" x14ac:dyDescent="0.2">
      <c r="A43" s="155" t="str">
        <f t="shared" si="15"/>
        <v>-</v>
      </c>
      <c r="B43" s="154" t="str">
        <f t="shared" si="20"/>
        <v/>
      </c>
      <c r="C43" s="153" t="str">
        <f t="shared" si="21"/>
        <v/>
      </c>
      <c r="D43" s="152" t="str">
        <f t="shared" si="16"/>
        <v>-</v>
      </c>
      <c r="E43" s="151" t="str">
        <f>+IF($B43="","",Summary!$P$4)</f>
        <v/>
      </c>
      <c r="F43" s="151" t="str">
        <f>+IF($B43="","",Summary!$P$5)</f>
        <v/>
      </c>
      <c r="G43" s="151" t="str">
        <f>+IF($B43="","",Summary!$P$6)</f>
        <v/>
      </c>
      <c r="H43" s="150" t="str">
        <f t="shared" si="17"/>
        <v/>
      </c>
      <c r="I43" s="148"/>
      <c r="J43" s="149"/>
      <c r="K43" s="148"/>
      <c r="L43" s="148"/>
      <c r="M43" s="148"/>
      <c r="N43" s="149" t="e">
        <f t="shared" si="3"/>
        <v>#REF!</v>
      </c>
      <c r="O43" s="149" t="e">
        <f>COUNTIFS(#REF!,"&gt;="&amp;DATE($C43,$B43,1),#REF!,"&lt;="&amp;EOMONTH(DATE($C43,$B43,1),0),#REF!,"Incident")+
COUNTIFS(#REF!,"&gt;="&amp;DATE($C43,$B43,1),#REF!,"&lt;="&amp;EOMONTH(DATE($C43,$B43,1),0),#REF!,"user_request")</f>
        <v>#REF!</v>
      </c>
      <c r="P43" s="147">
        <f t="shared" si="22"/>
        <v>0</v>
      </c>
      <c r="Q43" s="147">
        <f t="shared" si="23"/>
        <v>0</v>
      </c>
      <c r="R43" s="147">
        <f t="shared" si="24"/>
        <v>0</v>
      </c>
      <c r="S43" s="146" t="e">
        <f t="shared" si="25"/>
        <v>#REF!</v>
      </c>
      <c r="T43" s="146" t="e">
        <f t="shared" si="26"/>
        <v>#REF!</v>
      </c>
      <c r="U43" s="145">
        <f t="shared" si="18"/>
        <v>0</v>
      </c>
      <c r="V43" s="145" t="e">
        <f t="shared" si="19"/>
        <v>#REF!</v>
      </c>
      <c r="W43" s="142">
        <v>40</v>
      </c>
      <c r="X43" s="142" t="str">
        <f>+IF((VLOOKUP(A43,List!B:C,2,0)-VLOOKUP(Summary!$P$7,List!B:C,2,0))=0,1,"")</f>
        <v/>
      </c>
      <c r="Y43" s="198">
        <f>+IF((VLOOKUP(A43,List!B:C,2,0)-VLOOKUP(Summary!$P$7,List!B:C,2,0))&gt;=0,1,"")</f>
        <v>1</v>
      </c>
      <c r="Z43" s="198">
        <f>+IF((VLOOKUP(A43,List!B:C,2,0)-VLOOKUP(Summary!$P$7,List!B:C,2,0))&gt;0,1,"")</f>
        <v>1</v>
      </c>
      <c r="AA43" s="141">
        <f t="shared" si="6"/>
        <v>2</v>
      </c>
      <c r="AB43" s="199" t="str">
        <f>+IF(AA43="","",IF(Summary!$J$7="Fixed Price","",IF(M43="",IF(I43="","",1),"")))</f>
        <v/>
      </c>
      <c r="AC43" s="198">
        <f t="shared" si="14"/>
        <v>0</v>
      </c>
    </row>
    <row r="44" spans="1:29" x14ac:dyDescent="0.2">
      <c r="A44" s="155" t="str">
        <f t="shared" si="15"/>
        <v>-</v>
      </c>
      <c r="B44" s="154" t="str">
        <f t="shared" si="20"/>
        <v/>
      </c>
      <c r="C44" s="153" t="str">
        <f t="shared" si="21"/>
        <v/>
      </c>
      <c r="D44" s="152" t="str">
        <f t="shared" si="16"/>
        <v>-</v>
      </c>
      <c r="E44" s="159" t="str">
        <f>+IF($B44="","",Summary!$P$4)</f>
        <v/>
      </c>
      <c r="F44" s="159" t="str">
        <f>+IF($B44="","",Summary!$P$5)</f>
        <v/>
      </c>
      <c r="G44" s="159" t="str">
        <f>+IF($B44="","",Summary!$P$6)</f>
        <v/>
      </c>
      <c r="H44" s="158" t="str">
        <f t="shared" si="17"/>
        <v/>
      </c>
      <c r="I44" s="156"/>
      <c r="J44" s="157"/>
      <c r="K44" s="156"/>
      <c r="L44" s="156"/>
      <c r="M44" s="156"/>
      <c r="N44" s="157" t="e">
        <f t="shared" si="3"/>
        <v>#REF!</v>
      </c>
      <c r="O44" s="157" t="e">
        <f>COUNTIFS(#REF!,"&gt;="&amp;DATE($C44,$B44,1),#REF!,"&lt;="&amp;EOMONTH(DATE($C44,$B44,1),0),#REF!,"Incident")+
COUNTIFS(#REF!,"&gt;="&amp;DATE($C44,$B44,1),#REF!,"&lt;="&amp;EOMONTH(DATE($C44,$B44,1),0),#REF!,"user_request")</f>
        <v>#REF!</v>
      </c>
      <c r="P44" s="147">
        <f t="shared" si="22"/>
        <v>0</v>
      </c>
      <c r="Q44" s="147">
        <f t="shared" si="23"/>
        <v>0</v>
      </c>
      <c r="R44" s="147">
        <f t="shared" si="24"/>
        <v>0</v>
      </c>
      <c r="S44" s="146" t="e">
        <f t="shared" si="25"/>
        <v>#REF!</v>
      </c>
      <c r="T44" s="146" t="e">
        <f t="shared" si="26"/>
        <v>#REF!</v>
      </c>
      <c r="U44" s="145">
        <f t="shared" si="18"/>
        <v>0</v>
      </c>
      <c r="V44" s="145" t="e">
        <f t="shared" si="19"/>
        <v>#REF!</v>
      </c>
      <c r="W44" s="142">
        <v>41</v>
      </c>
      <c r="X44" s="142" t="str">
        <f>+IF((VLOOKUP(A44,List!B:C,2,0)-VLOOKUP(Summary!$P$7,List!B:C,2,0))=0,1,"")</f>
        <v/>
      </c>
      <c r="Y44" s="198">
        <f>+IF((VLOOKUP(A44,List!B:C,2,0)-VLOOKUP(Summary!$P$7,List!B:C,2,0))&gt;=0,1,"")</f>
        <v>1</v>
      </c>
      <c r="Z44" s="198">
        <f>+IF((VLOOKUP(A44,List!B:C,2,0)-VLOOKUP(Summary!$P$7,List!B:C,2,0))&gt;0,1,"")</f>
        <v>1</v>
      </c>
      <c r="AA44" s="141">
        <f t="shared" si="6"/>
        <v>2</v>
      </c>
      <c r="AB44" s="199" t="str">
        <f>+IF(AA44="","",IF(Summary!$J$7="Fixed Price","",IF(M44="",IF(I44="","",1),"")))</f>
        <v/>
      </c>
      <c r="AC44" s="198">
        <f t="shared" si="14"/>
        <v>0</v>
      </c>
    </row>
    <row r="45" spans="1:29" x14ac:dyDescent="0.2">
      <c r="A45" s="155" t="str">
        <f t="shared" si="15"/>
        <v>-</v>
      </c>
      <c r="B45" s="154" t="str">
        <f t="shared" si="20"/>
        <v/>
      </c>
      <c r="C45" s="153" t="str">
        <f t="shared" si="21"/>
        <v/>
      </c>
      <c r="D45" s="152" t="str">
        <f t="shared" si="16"/>
        <v>-</v>
      </c>
      <c r="E45" s="151" t="str">
        <f>+IF($B45="","",Summary!$P$4)</f>
        <v/>
      </c>
      <c r="F45" s="151" t="str">
        <f>+IF($B45="","",Summary!$P$5)</f>
        <v/>
      </c>
      <c r="G45" s="151" t="str">
        <f>+IF($B45="","",Summary!$P$6)</f>
        <v/>
      </c>
      <c r="H45" s="150" t="str">
        <f t="shared" si="17"/>
        <v/>
      </c>
      <c r="I45" s="148"/>
      <c r="J45" s="149"/>
      <c r="K45" s="148"/>
      <c r="L45" s="148"/>
      <c r="M45" s="148"/>
      <c r="N45" s="149" t="e">
        <f t="shared" si="3"/>
        <v>#REF!</v>
      </c>
      <c r="O45" s="149" t="e">
        <f>COUNTIFS(#REF!,"&gt;="&amp;DATE($C45,$B45,1),#REF!,"&lt;="&amp;EOMONTH(DATE($C45,$B45,1),0),#REF!,"Incident")+
COUNTIFS(#REF!,"&gt;="&amp;DATE($C45,$B45,1),#REF!,"&lt;="&amp;EOMONTH(DATE($C45,$B45,1),0),#REF!,"user_request")</f>
        <v>#REF!</v>
      </c>
      <c r="P45" s="147">
        <f t="shared" si="22"/>
        <v>0</v>
      </c>
      <c r="Q45" s="147">
        <f t="shared" si="23"/>
        <v>0</v>
      </c>
      <c r="R45" s="147">
        <f t="shared" si="24"/>
        <v>0</v>
      </c>
      <c r="S45" s="146" t="e">
        <f t="shared" si="25"/>
        <v>#REF!</v>
      </c>
      <c r="T45" s="146" t="e">
        <f t="shared" si="26"/>
        <v>#REF!</v>
      </c>
      <c r="U45" s="145">
        <f t="shared" si="18"/>
        <v>0</v>
      </c>
      <c r="V45" s="145" t="e">
        <f t="shared" si="19"/>
        <v>#REF!</v>
      </c>
      <c r="W45" s="142">
        <v>42</v>
      </c>
      <c r="X45" s="142" t="str">
        <f>+IF((VLOOKUP(A45,List!B:C,2,0)-VLOOKUP(Summary!$P$7,List!B:C,2,0))=0,1,"")</f>
        <v/>
      </c>
      <c r="Y45" s="198">
        <f>+IF((VLOOKUP(A45,List!B:C,2,0)-VLOOKUP(Summary!$P$7,List!B:C,2,0))&gt;=0,1,"")</f>
        <v>1</v>
      </c>
      <c r="Z45" s="198">
        <f>+IF((VLOOKUP(A45,List!B:C,2,0)-VLOOKUP(Summary!$P$7,List!B:C,2,0))&gt;0,1,"")</f>
        <v>1</v>
      </c>
      <c r="AA45" s="141">
        <f t="shared" si="6"/>
        <v>2</v>
      </c>
      <c r="AB45" s="199" t="str">
        <f>+IF(AA45="","",IF(Summary!$J$7="Fixed Price","",IF(M45="",IF(I45="","",1),"")))</f>
        <v/>
      </c>
      <c r="AC45" s="198">
        <f t="shared" si="14"/>
        <v>0</v>
      </c>
    </row>
    <row r="46" spans="1:29" x14ac:dyDescent="0.2">
      <c r="A46" s="155" t="str">
        <f t="shared" si="15"/>
        <v>-</v>
      </c>
      <c r="B46" s="154" t="str">
        <f t="shared" si="20"/>
        <v/>
      </c>
      <c r="C46" s="153" t="str">
        <f t="shared" si="21"/>
        <v/>
      </c>
      <c r="D46" s="152" t="str">
        <f t="shared" si="16"/>
        <v>-</v>
      </c>
      <c r="E46" s="159" t="str">
        <f>+IF($B46="","",Summary!$P$4)</f>
        <v/>
      </c>
      <c r="F46" s="159" t="str">
        <f>+IF($B46="","",Summary!$P$5)</f>
        <v/>
      </c>
      <c r="G46" s="159" t="str">
        <f>+IF($B46="","",Summary!$P$6)</f>
        <v/>
      </c>
      <c r="H46" s="158" t="str">
        <f t="shared" si="17"/>
        <v/>
      </c>
      <c r="I46" s="156"/>
      <c r="J46" s="157"/>
      <c r="K46" s="156"/>
      <c r="L46" s="156"/>
      <c r="M46" s="156"/>
      <c r="N46" s="157" t="e">
        <f t="shared" si="3"/>
        <v>#REF!</v>
      </c>
      <c r="O46" s="157" t="e">
        <f>COUNTIFS(#REF!,"&gt;="&amp;DATE($C46,$B46,1),#REF!,"&lt;="&amp;EOMONTH(DATE($C46,$B46,1),0),#REF!,"Incident")+
COUNTIFS(#REF!,"&gt;="&amp;DATE($C46,$B46,1),#REF!,"&lt;="&amp;EOMONTH(DATE($C46,$B46,1),0),#REF!,"user_request")</f>
        <v>#REF!</v>
      </c>
      <c r="P46" s="147">
        <f t="shared" si="22"/>
        <v>0</v>
      </c>
      <c r="Q46" s="147">
        <f t="shared" si="23"/>
        <v>0</v>
      </c>
      <c r="R46" s="147">
        <f t="shared" si="24"/>
        <v>0</v>
      </c>
      <c r="S46" s="146" t="e">
        <f t="shared" si="25"/>
        <v>#REF!</v>
      </c>
      <c r="T46" s="146" t="e">
        <f t="shared" si="26"/>
        <v>#REF!</v>
      </c>
      <c r="U46" s="145">
        <f t="shared" si="18"/>
        <v>0</v>
      </c>
      <c r="V46" s="145" t="e">
        <f t="shared" si="19"/>
        <v>#REF!</v>
      </c>
      <c r="W46" s="142">
        <v>43</v>
      </c>
      <c r="X46" s="142" t="str">
        <f>+IF((VLOOKUP(A46,List!B:C,2,0)-VLOOKUP(Summary!$P$7,List!B:C,2,0))=0,1,"")</f>
        <v/>
      </c>
      <c r="Y46" s="198">
        <f>+IF((VLOOKUP(A46,List!B:C,2,0)-VLOOKUP(Summary!$P$7,List!B:C,2,0))&gt;=0,1,"")</f>
        <v>1</v>
      </c>
      <c r="Z46" s="198">
        <f>+IF((VLOOKUP(A46,List!B:C,2,0)-VLOOKUP(Summary!$P$7,List!B:C,2,0))&gt;0,1,"")</f>
        <v>1</v>
      </c>
      <c r="AA46" s="141">
        <f t="shared" si="6"/>
        <v>2</v>
      </c>
      <c r="AB46" s="199" t="str">
        <f>+IF(AA46="","",IF(Summary!$J$7="Fixed Price","",IF(M46="",IF(I46="","",1),"")))</f>
        <v/>
      </c>
      <c r="AC46" s="198">
        <f t="shared" si="14"/>
        <v>0</v>
      </c>
    </row>
    <row r="47" spans="1:29" x14ac:dyDescent="0.2">
      <c r="A47" s="155" t="str">
        <f t="shared" si="15"/>
        <v>-</v>
      </c>
      <c r="B47" s="154" t="str">
        <f t="shared" si="20"/>
        <v/>
      </c>
      <c r="C47" s="153" t="str">
        <f t="shared" si="21"/>
        <v/>
      </c>
      <c r="D47" s="152" t="str">
        <f t="shared" si="16"/>
        <v>-</v>
      </c>
      <c r="E47" s="151" t="str">
        <f>+IF($B47="","",Summary!$P$4)</f>
        <v/>
      </c>
      <c r="F47" s="151" t="str">
        <f>+IF($B47="","",Summary!$P$5)</f>
        <v/>
      </c>
      <c r="G47" s="151" t="str">
        <f>+IF($B47="","",Summary!$P$6)</f>
        <v/>
      </c>
      <c r="H47" s="150" t="str">
        <f t="shared" si="17"/>
        <v/>
      </c>
      <c r="I47" s="148"/>
      <c r="J47" s="149"/>
      <c r="K47" s="148"/>
      <c r="L47" s="148"/>
      <c r="M47" s="148"/>
      <c r="N47" s="149" t="e">
        <f t="shared" si="3"/>
        <v>#REF!</v>
      </c>
      <c r="O47" s="149" t="e">
        <f>COUNTIFS(#REF!,"&gt;="&amp;DATE($C47,$B47,1),#REF!,"&lt;="&amp;EOMONTH(DATE($C47,$B47,1),0),#REF!,"Incident")+
COUNTIFS(#REF!,"&gt;="&amp;DATE($C47,$B47,1),#REF!,"&lt;="&amp;EOMONTH(DATE($C47,$B47,1),0),#REF!,"user_request")</f>
        <v>#REF!</v>
      </c>
      <c r="P47" s="147">
        <f t="shared" si="22"/>
        <v>0</v>
      </c>
      <c r="Q47" s="147">
        <f t="shared" si="23"/>
        <v>0</v>
      </c>
      <c r="R47" s="147">
        <f t="shared" si="24"/>
        <v>0</v>
      </c>
      <c r="S47" s="146" t="e">
        <f t="shared" si="25"/>
        <v>#REF!</v>
      </c>
      <c r="T47" s="146" t="e">
        <f t="shared" si="26"/>
        <v>#REF!</v>
      </c>
      <c r="U47" s="145">
        <f t="shared" si="18"/>
        <v>0</v>
      </c>
      <c r="V47" s="145" t="e">
        <f t="shared" si="19"/>
        <v>#REF!</v>
      </c>
      <c r="W47" s="142">
        <v>44</v>
      </c>
      <c r="X47" s="142" t="str">
        <f>+IF((VLOOKUP(A47,List!B:C,2,0)-VLOOKUP(Summary!$P$7,List!B:C,2,0))=0,1,"")</f>
        <v/>
      </c>
      <c r="Y47" s="198">
        <f>+IF((VLOOKUP(A47,List!B:C,2,0)-VLOOKUP(Summary!$P$7,List!B:C,2,0))&gt;=0,1,"")</f>
        <v>1</v>
      </c>
      <c r="Z47" s="198">
        <f>+IF((VLOOKUP(A47,List!B:C,2,0)-VLOOKUP(Summary!$P$7,List!B:C,2,0))&gt;0,1,"")</f>
        <v>1</v>
      </c>
      <c r="AA47" s="141">
        <f t="shared" si="6"/>
        <v>2</v>
      </c>
      <c r="AB47" s="199" t="str">
        <f>+IF(AA47="","",IF(Summary!$J$7="Fixed Price","",IF(M47="",IF(I47="","",1),"")))</f>
        <v/>
      </c>
      <c r="AC47" s="198">
        <f t="shared" si="14"/>
        <v>0</v>
      </c>
    </row>
    <row r="48" spans="1:29" x14ac:dyDescent="0.2">
      <c r="A48" s="155" t="str">
        <f t="shared" si="15"/>
        <v>-</v>
      </c>
      <c r="B48" s="154" t="str">
        <f t="shared" si="20"/>
        <v/>
      </c>
      <c r="C48" s="153" t="str">
        <f t="shared" si="21"/>
        <v/>
      </c>
      <c r="D48" s="152" t="str">
        <f t="shared" si="16"/>
        <v>-</v>
      </c>
      <c r="E48" s="159" t="str">
        <f>+IF($B48="","",Summary!$P$4)</f>
        <v/>
      </c>
      <c r="F48" s="159" t="str">
        <f>+IF($B48="","",Summary!$P$5)</f>
        <v/>
      </c>
      <c r="G48" s="159" t="str">
        <f>+IF($B48="","",Summary!$P$6)</f>
        <v/>
      </c>
      <c r="H48" s="158" t="str">
        <f t="shared" si="17"/>
        <v/>
      </c>
      <c r="I48" s="156"/>
      <c r="J48" s="157"/>
      <c r="K48" s="156"/>
      <c r="L48" s="156"/>
      <c r="M48" s="156"/>
      <c r="N48" s="157" t="e">
        <f t="shared" si="3"/>
        <v>#REF!</v>
      </c>
      <c r="O48" s="157" t="e">
        <f>COUNTIFS(#REF!,"&gt;="&amp;DATE($C48,$B48,1),#REF!,"&lt;="&amp;EOMONTH(DATE($C48,$B48,1),0),#REF!,"Incident")+
COUNTIFS(#REF!,"&gt;="&amp;DATE($C48,$B48,1),#REF!,"&lt;="&amp;EOMONTH(DATE($C48,$B48,1),0),#REF!,"user_request")</f>
        <v>#REF!</v>
      </c>
      <c r="P48" s="147">
        <f t="shared" si="22"/>
        <v>0</v>
      </c>
      <c r="Q48" s="147">
        <f t="shared" si="23"/>
        <v>0</v>
      </c>
      <c r="R48" s="147">
        <f t="shared" si="24"/>
        <v>0</v>
      </c>
      <c r="S48" s="146" t="e">
        <f t="shared" si="25"/>
        <v>#REF!</v>
      </c>
      <c r="T48" s="146" t="e">
        <f t="shared" si="26"/>
        <v>#REF!</v>
      </c>
      <c r="U48" s="145">
        <f t="shared" si="18"/>
        <v>0</v>
      </c>
      <c r="V48" s="145" t="e">
        <f t="shared" si="19"/>
        <v>#REF!</v>
      </c>
      <c r="W48" s="142">
        <v>45</v>
      </c>
      <c r="X48" s="142" t="str">
        <f>+IF((VLOOKUP(A48,List!B:C,2,0)-VLOOKUP(Summary!$P$7,List!B:C,2,0))=0,1,"")</f>
        <v/>
      </c>
      <c r="Y48" s="198">
        <f>+IF((VLOOKUP(A48,List!B:C,2,0)-VLOOKUP(Summary!$P$7,List!B:C,2,0))&gt;=0,1,"")</f>
        <v>1</v>
      </c>
      <c r="Z48" s="198">
        <f>+IF((VLOOKUP(A48,List!B:C,2,0)-VLOOKUP(Summary!$P$7,List!B:C,2,0))&gt;0,1,"")</f>
        <v>1</v>
      </c>
      <c r="AA48" s="141">
        <f t="shared" si="6"/>
        <v>2</v>
      </c>
      <c r="AB48" s="199" t="str">
        <f>+IF(AA48="","",IF(Summary!$J$7="Fixed Price","",IF(M48="",IF(I48="","",1),"")))</f>
        <v/>
      </c>
      <c r="AC48" s="198">
        <f t="shared" si="14"/>
        <v>0</v>
      </c>
    </row>
    <row r="49" spans="1:29" x14ac:dyDescent="0.2">
      <c r="A49" s="155" t="str">
        <f t="shared" si="15"/>
        <v>-</v>
      </c>
      <c r="B49" s="154" t="str">
        <f t="shared" si="20"/>
        <v/>
      </c>
      <c r="C49" s="153" t="str">
        <f t="shared" si="21"/>
        <v/>
      </c>
      <c r="D49" s="152" t="str">
        <f t="shared" si="16"/>
        <v>-</v>
      </c>
      <c r="E49" s="151" t="str">
        <f>+IF($B49="","",Summary!$P$4)</f>
        <v/>
      </c>
      <c r="F49" s="151" t="str">
        <f>+IF($B49="","",Summary!$P$5)</f>
        <v/>
      </c>
      <c r="G49" s="151" t="str">
        <f>+IF($B49="","",Summary!$P$6)</f>
        <v/>
      </c>
      <c r="H49" s="150" t="str">
        <f t="shared" si="17"/>
        <v/>
      </c>
      <c r="I49" s="148"/>
      <c r="J49" s="149"/>
      <c r="K49" s="148"/>
      <c r="L49" s="148"/>
      <c r="M49" s="148"/>
      <c r="N49" s="149" t="e">
        <f t="shared" si="3"/>
        <v>#REF!</v>
      </c>
      <c r="O49" s="149" t="e">
        <f>COUNTIFS(#REF!,"&gt;="&amp;DATE($C49,$B49,1),#REF!,"&lt;="&amp;EOMONTH(DATE($C49,$B49,1),0),#REF!,"Incident")+
COUNTIFS(#REF!,"&gt;="&amp;DATE($C49,$B49,1),#REF!,"&lt;="&amp;EOMONTH(DATE($C49,$B49,1),0),#REF!,"user_request")</f>
        <v>#REF!</v>
      </c>
      <c r="P49" s="147">
        <f t="shared" si="22"/>
        <v>0</v>
      </c>
      <c r="Q49" s="147">
        <f t="shared" si="23"/>
        <v>0</v>
      </c>
      <c r="R49" s="147">
        <f t="shared" si="24"/>
        <v>0</v>
      </c>
      <c r="S49" s="146" t="e">
        <f t="shared" si="25"/>
        <v>#REF!</v>
      </c>
      <c r="T49" s="146" t="e">
        <f t="shared" si="26"/>
        <v>#REF!</v>
      </c>
      <c r="U49" s="145">
        <f t="shared" si="18"/>
        <v>0</v>
      </c>
      <c r="V49" s="145" t="e">
        <f t="shared" si="19"/>
        <v>#REF!</v>
      </c>
      <c r="W49" s="142">
        <v>46</v>
      </c>
      <c r="X49" s="142" t="str">
        <f>+IF((VLOOKUP(A49,List!B:C,2,0)-VLOOKUP(Summary!$P$7,List!B:C,2,0))=0,1,"")</f>
        <v/>
      </c>
      <c r="Y49" s="198">
        <f>+IF((VLOOKUP(A49,List!B:C,2,0)-VLOOKUP(Summary!$P$7,List!B:C,2,0))&gt;=0,1,"")</f>
        <v>1</v>
      </c>
      <c r="Z49" s="198">
        <f>+IF((VLOOKUP(A49,List!B:C,2,0)-VLOOKUP(Summary!$P$7,List!B:C,2,0))&gt;0,1,"")</f>
        <v>1</v>
      </c>
      <c r="AA49" s="141">
        <f t="shared" si="6"/>
        <v>2</v>
      </c>
      <c r="AB49" s="199" t="str">
        <f>+IF(AA49="","",IF(Summary!$J$7="Fixed Price","",IF(M49="",IF(I49="","",1),"")))</f>
        <v/>
      </c>
      <c r="AC49" s="198">
        <f t="shared" si="14"/>
        <v>0</v>
      </c>
    </row>
    <row r="50" spans="1:29" x14ac:dyDescent="0.2">
      <c r="A50" s="155" t="str">
        <f t="shared" si="15"/>
        <v>-</v>
      </c>
      <c r="B50" s="154" t="str">
        <f t="shared" si="20"/>
        <v/>
      </c>
      <c r="C50" s="153" t="str">
        <f t="shared" si="21"/>
        <v/>
      </c>
      <c r="D50" s="152" t="str">
        <f t="shared" si="16"/>
        <v>-</v>
      </c>
      <c r="E50" s="159" t="str">
        <f>+IF($B50="","",Summary!$P$4)</f>
        <v/>
      </c>
      <c r="F50" s="159" t="str">
        <f>+IF($B50="","",Summary!$P$5)</f>
        <v/>
      </c>
      <c r="G50" s="159" t="str">
        <f>+IF($B50="","",Summary!$P$6)</f>
        <v/>
      </c>
      <c r="H50" s="158" t="str">
        <f t="shared" si="17"/>
        <v/>
      </c>
      <c r="I50" s="156"/>
      <c r="J50" s="157"/>
      <c r="K50" s="156"/>
      <c r="L50" s="156"/>
      <c r="M50" s="156"/>
      <c r="N50" s="157" t="e">
        <f t="shared" si="3"/>
        <v>#REF!</v>
      </c>
      <c r="O50" s="157" t="e">
        <f>COUNTIFS(#REF!,"&gt;="&amp;DATE($C50,$B50,1),#REF!,"&lt;="&amp;EOMONTH(DATE($C50,$B50,1),0),#REF!,"Incident")+
COUNTIFS(#REF!,"&gt;="&amp;DATE($C50,$B50,1),#REF!,"&lt;="&amp;EOMONTH(DATE($C50,$B50,1),0),#REF!,"user_request")</f>
        <v>#REF!</v>
      </c>
      <c r="P50" s="147">
        <f t="shared" si="22"/>
        <v>0</v>
      </c>
      <c r="Q50" s="147">
        <f t="shared" si="23"/>
        <v>0</v>
      </c>
      <c r="R50" s="147">
        <f t="shared" si="24"/>
        <v>0</v>
      </c>
      <c r="S50" s="146" t="e">
        <f t="shared" si="25"/>
        <v>#REF!</v>
      </c>
      <c r="T50" s="146" t="e">
        <f t="shared" si="26"/>
        <v>#REF!</v>
      </c>
      <c r="U50" s="145">
        <f t="shared" si="18"/>
        <v>0</v>
      </c>
      <c r="V50" s="145" t="e">
        <f t="shared" si="19"/>
        <v>#REF!</v>
      </c>
      <c r="W50" s="142">
        <v>47</v>
      </c>
      <c r="X50" s="142" t="str">
        <f>+IF((VLOOKUP(A50,List!B:C,2,0)-VLOOKUP(Summary!$P$7,List!B:C,2,0))=0,1,"")</f>
        <v/>
      </c>
      <c r="Y50" s="198">
        <f>+IF((VLOOKUP(A50,List!B:C,2,0)-VLOOKUP(Summary!$P$7,List!B:C,2,0))&gt;=0,1,"")</f>
        <v>1</v>
      </c>
      <c r="Z50" s="198">
        <f>+IF((VLOOKUP(A50,List!B:C,2,0)-VLOOKUP(Summary!$P$7,List!B:C,2,0))&gt;0,1,"")</f>
        <v>1</v>
      </c>
      <c r="AA50" s="141">
        <f t="shared" si="6"/>
        <v>2</v>
      </c>
      <c r="AB50" s="199" t="str">
        <f>+IF(AA50="","",IF(Summary!$J$7="Fixed Price","",IF(M50="",IF(I50="","",1),"")))</f>
        <v/>
      </c>
      <c r="AC50" s="198">
        <f t="shared" si="14"/>
        <v>0</v>
      </c>
    </row>
    <row r="51" spans="1:29" x14ac:dyDescent="0.2">
      <c r="A51" s="155" t="str">
        <f t="shared" si="15"/>
        <v>-</v>
      </c>
      <c r="B51" s="154" t="str">
        <f t="shared" si="20"/>
        <v/>
      </c>
      <c r="C51" s="153" t="str">
        <f t="shared" si="21"/>
        <v/>
      </c>
      <c r="D51" s="152" t="str">
        <f t="shared" si="16"/>
        <v>-</v>
      </c>
      <c r="E51" s="151" t="str">
        <f>+IF($B51="","",Summary!$P$4)</f>
        <v/>
      </c>
      <c r="F51" s="151" t="str">
        <f>+IF($B51="","",Summary!$P$5)</f>
        <v/>
      </c>
      <c r="G51" s="151" t="str">
        <f>+IF($B51="","",Summary!$P$6)</f>
        <v/>
      </c>
      <c r="H51" s="150" t="str">
        <f t="shared" si="17"/>
        <v/>
      </c>
      <c r="I51" s="148"/>
      <c r="J51" s="149"/>
      <c r="K51" s="148"/>
      <c r="L51" s="148"/>
      <c r="M51" s="148"/>
      <c r="N51" s="149" t="e">
        <f t="shared" si="3"/>
        <v>#REF!</v>
      </c>
      <c r="O51" s="149" t="e">
        <f>COUNTIFS(#REF!,"&gt;="&amp;DATE($C51,$B51,1),#REF!,"&lt;="&amp;EOMONTH(DATE($C51,$B51,1),0),#REF!,"Incident")+
COUNTIFS(#REF!,"&gt;="&amp;DATE($C51,$B51,1),#REF!,"&lt;="&amp;EOMONTH(DATE($C51,$B51,1),0),#REF!,"user_request")</f>
        <v>#REF!</v>
      </c>
      <c r="P51" s="147">
        <f t="shared" si="22"/>
        <v>0</v>
      </c>
      <c r="Q51" s="147">
        <f t="shared" si="23"/>
        <v>0</v>
      </c>
      <c r="R51" s="147">
        <f t="shared" si="24"/>
        <v>0</v>
      </c>
      <c r="S51" s="146" t="e">
        <f t="shared" si="25"/>
        <v>#REF!</v>
      </c>
      <c r="T51" s="146" t="e">
        <f t="shared" si="26"/>
        <v>#REF!</v>
      </c>
      <c r="U51" s="145">
        <f t="shared" si="18"/>
        <v>0</v>
      </c>
      <c r="V51" s="145" t="e">
        <f t="shared" si="19"/>
        <v>#REF!</v>
      </c>
      <c r="W51" s="142">
        <v>48</v>
      </c>
      <c r="X51" s="142" t="str">
        <f>+IF((VLOOKUP(A51,List!B:C,2,0)-VLOOKUP(Summary!$P$7,List!B:C,2,0))=0,1,"")</f>
        <v/>
      </c>
      <c r="Y51" s="198">
        <f>+IF((VLOOKUP(A51,List!B:C,2,0)-VLOOKUP(Summary!$P$7,List!B:C,2,0))&gt;=0,1,"")</f>
        <v>1</v>
      </c>
      <c r="Z51" s="198">
        <f>+IF((VLOOKUP(A51,List!B:C,2,0)-VLOOKUP(Summary!$P$7,List!B:C,2,0))&gt;0,1,"")</f>
        <v>1</v>
      </c>
      <c r="AA51" s="141">
        <f t="shared" si="6"/>
        <v>2</v>
      </c>
      <c r="AB51" s="199" t="str">
        <f>+IF(AA51="","",IF(Summary!$J$7="Fixed Price","",IF(M51="",IF(I51="","",1),"")))</f>
        <v/>
      </c>
      <c r="AC51" s="198">
        <f t="shared" si="14"/>
        <v>0</v>
      </c>
    </row>
    <row r="52" spans="1:29" x14ac:dyDescent="0.2">
      <c r="A52" s="155" t="str">
        <f t="shared" si="15"/>
        <v>-</v>
      </c>
      <c r="B52" s="154" t="str">
        <f t="shared" si="20"/>
        <v/>
      </c>
      <c r="C52" s="153" t="str">
        <f t="shared" si="21"/>
        <v/>
      </c>
      <c r="D52" s="152" t="str">
        <f t="shared" si="16"/>
        <v>-</v>
      </c>
      <c r="E52" s="159" t="str">
        <f>+IF($B52="","",Summary!$P$4)</f>
        <v/>
      </c>
      <c r="F52" s="159" t="str">
        <f>+IF($B52="","",Summary!$P$5)</f>
        <v/>
      </c>
      <c r="G52" s="159" t="str">
        <f>+IF($B52="","",Summary!$P$6)</f>
        <v/>
      </c>
      <c r="H52" s="158" t="str">
        <f t="shared" si="17"/>
        <v/>
      </c>
      <c r="I52" s="156"/>
      <c r="J52" s="157"/>
      <c r="K52" s="156"/>
      <c r="L52" s="156"/>
      <c r="M52" s="156"/>
      <c r="N52" s="157" t="e">
        <f t="shared" si="3"/>
        <v>#REF!</v>
      </c>
      <c r="O52" s="157" t="e">
        <f>COUNTIFS(#REF!,"&gt;="&amp;DATE($C52,$B52,1),#REF!,"&lt;="&amp;EOMONTH(DATE($C52,$B52,1),0),#REF!,"Incident")+
COUNTIFS(#REF!,"&gt;="&amp;DATE($C52,$B52,1),#REF!,"&lt;="&amp;EOMONTH(DATE($C52,$B52,1),0),#REF!,"user_request")</f>
        <v>#REF!</v>
      </c>
      <c r="P52" s="147">
        <f t="shared" si="22"/>
        <v>0</v>
      </c>
      <c r="Q52" s="147">
        <f t="shared" si="23"/>
        <v>0</v>
      </c>
      <c r="R52" s="147">
        <f t="shared" si="24"/>
        <v>0</v>
      </c>
      <c r="S52" s="146" t="e">
        <f t="shared" si="25"/>
        <v>#REF!</v>
      </c>
      <c r="T52" s="146" t="e">
        <f t="shared" si="26"/>
        <v>#REF!</v>
      </c>
      <c r="U52" s="145">
        <f t="shared" si="18"/>
        <v>0</v>
      </c>
      <c r="V52" s="145" t="e">
        <f t="shared" si="19"/>
        <v>#REF!</v>
      </c>
      <c r="W52" s="142">
        <v>45</v>
      </c>
      <c r="X52" s="142" t="str">
        <f>+IF((VLOOKUP(A52,List!B:C,2,0)-VLOOKUP(Summary!$P$7,List!B:C,2,0))=0,1,"")</f>
        <v/>
      </c>
      <c r="Y52" s="198">
        <f>+IF((VLOOKUP(A52,List!B:C,2,0)-VLOOKUP(Summary!$P$7,List!B:C,2,0))&gt;=0,1,"")</f>
        <v>1</v>
      </c>
      <c r="Z52" s="198">
        <f>+IF((VLOOKUP(A52,List!B:C,2,0)-VLOOKUP(Summary!$P$7,List!B:C,2,0))&gt;0,1,"")</f>
        <v>1</v>
      </c>
      <c r="AA52" s="141">
        <f t="shared" si="6"/>
        <v>2</v>
      </c>
      <c r="AB52" s="199" t="str">
        <f>+IF(AA52="","",IF(Summary!$J$7="Fixed Price","",IF(M52="",IF(I52="","",1),"")))</f>
        <v/>
      </c>
      <c r="AC52" s="198">
        <f t="shared" si="14"/>
        <v>0</v>
      </c>
    </row>
    <row r="53" spans="1:29" x14ac:dyDescent="0.2">
      <c r="A53" s="155" t="str">
        <f t="shared" si="15"/>
        <v>-</v>
      </c>
      <c r="B53" s="154" t="str">
        <f t="shared" si="20"/>
        <v/>
      </c>
      <c r="C53" s="153" t="str">
        <f t="shared" si="21"/>
        <v/>
      </c>
      <c r="D53" s="152" t="str">
        <f t="shared" si="16"/>
        <v>-</v>
      </c>
      <c r="E53" s="151" t="str">
        <f>+IF($B53="","",Summary!$P$4)</f>
        <v/>
      </c>
      <c r="F53" s="151" t="str">
        <f>+IF($B53="","",Summary!$P$5)</f>
        <v/>
      </c>
      <c r="G53" s="151" t="str">
        <f>+IF($B53="","",Summary!$P$6)</f>
        <v/>
      </c>
      <c r="H53" s="150" t="str">
        <f t="shared" si="17"/>
        <v/>
      </c>
      <c r="I53" s="148"/>
      <c r="J53" s="149"/>
      <c r="K53" s="148"/>
      <c r="L53" s="148"/>
      <c r="M53" s="148"/>
      <c r="N53" s="149" t="e">
        <f t="shared" si="3"/>
        <v>#REF!</v>
      </c>
      <c r="O53" s="149" t="e">
        <f>COUNTIFS(#REF!,"&gt;="&amp;DATE($C53,$B53,1),#REF!,"&lt;="&amp;EOMONTH(DATE($C53,$B53,1),0),#REF!,"Incident")+
COUNTIFS(#REF!,"&gt;="&amp;DATE($C53,$B53,1),#REF!,"&lt;="&amp;EOMONTH(DATE($C53,$B53,1),0),#REF!,"user_request")</f>
        <v>#REF!</v>
      </c>
      <c r="P53" s="147">
        <f t="shared" si="22"/>
        <v>0</v>
      </c>
      <c r="Q53" s="147">
        <f t="shared" si="23"/>
        <v>0</v>
      </c>
      <c r="R53" s="147">
        <f t="shared" si="24"/>
        <v>0</v>
      </c>
      <c r="S53" s="146" t="e">
        <f t="shared" si="25"/>
        <v>#REF!</v>
      </c>
      <c r="T53" s="146" t="e">
        <f t="shared" si="26"/>
        <v>#REF!</v>
      </c>
      <c r="U53" s="145">
        <f t="shared" si="18"/>
        <v>0</v>
      </c>
      <c r="V53" s="145" t="e">
        <f t="shared" si="19"/>
        <v>#REF!</v>
      </c>
      <c r="W53" s="142">
        <v>46</v>
      </c>
      <c r="X53" s="142" t="str">
        <f>+IF((VLOOKUP(A53,List!B:C,2,0)-VLOOKUP(Summary!$P$7,List!B:C,2,0))=0,1,"")</f>
        <v/>
      </c>
      <c r="Y53" s="198">
        <f>+IF((VLOOKUP(A53,List!B:C,2,0)-VLOOKUP(Summary!$P$7,List!B:C,2,0))&gt;=0,1,"")</f>
        <v>1</v>
      </c>
      <c r="Z53" s="198">
        <f>+IF((VLOOKUP(A53,List!B:C,2,0)-VLOOKUP(Summary!$P$7,List!B:C,2,0))&gt;0,1,"")</f>
        <v>1</v>
      </c>
      <c r="AA53" s="141">
        <f t="shared" si="6"/>
        <v>2</v>
      </c>
      <c r="AB53" s="199" t="str">
        <f>+IF(AA53="","",IF(Summary!$J$7="Fixed Price","",IF(M53="",IF(I53="","",1),"")))</f>
        <v/>
      </c>
      <c r="AC53" s="198">
        <f t="shared" si="14"/>
        <v>0</v>
      </c>
    </row>
    <row r="54" spans="1:29" x14ac:dyDescent="0.2">
      <c r="A54" s="155" t="str">
        <f t="shared" si="15"/>
        <v>-</v>
      </c>
      <c r="B54" s="154" t="str">
        <f t="shared" si="20"/>
        <v/>
      </c>
      <c r="C54" s="153" t="str">
        <f t="shared" si="21"/>
        <v/>
      </c>
      <c r="D54" s="152" t="str">
        <f t="shared" si="16"/>
        <v>-</v>
      </c>
      <c r="E54" s="159" t="str">
        <f>+IF($B54="","",Summary!$P$4)</f>
        <v/>
      </c>
      <c r="F54" s="159" t="str">
        <f>+IF($B54="","",Summary!$P$5)</f>
        <v/>
      </c>
      <c r="G54" s="159" t="str">
        <f>+IF($B54="","",Summary!$P$6)</f>
        <v/>
      </c>
      <c r="H54" s="158" t="str">
        <f t="shared" si="17"/>
        <v/>
      </c>
      <c r="I54" s="156"/>
      <c r="J54" s="157"/>
      <c r="K54" s="156"/>
      <c r="L54" s="156"/>
      <c r="M54" s="156"/>
      <c r="N54" s="157" t="e">
        <f t="shared" si="3"/>
        <v>#REF!</v>
      </c>
      <c r="O54" s="157" t="e">
        <f>COUNTIFS(#REF!,"&gt;="&amp;DATE($C54,$B54,1),#REF!,"&lt;="&amp;EOMONTH(DATE($C54,$B54,1),0),#REF!,"Incident")+
COUNTIFS(#REF!,"&gt;="&amp;DATE($C54,$B54,1),#REF!,"&lt;="&amp;EOMONTH(DATE($C54,$B54,1),0),#REF!,"user_request")</f>
        <v>#REF!</v>
      </c>
      <c r="P54" s="147">
        <f t="shared" si="22"/>
        <v>0</v>
      </c>
      <c r="Q54" s="147">
        <f t="shared" si="23"/>
        <v>0</v>
      </c>
      <c r="R54" s="147">
        <f t="shared" si="24"/>
        <v>0</v>
      </c>
      <c r="S54" s="146" t="e">
        <f t="shared" si="25"/>
        <v>#REF!</v>
      </c>
      <c r="T54" s="146" t="e">
        <f t="shared" si="26"/>
        <v>#REF!</v>
      </c>
      <c r="U54" s="145">
        <f t="shared" si="18"/>
        <v>0</v>
      </c>
      <c r="V54" s="145" t="e">
        <f t="shared" si="19"/>
        <v>#REF!</v>
      </c>
      <c r="W54" s="142">
        <v>47</v>
      </c>
      <c r="X54" s="142" t="str">
        <f>+IF((VLOOKUP(A54,List!B:C,2,0)-VLOOKUP(Summary!$P$7,List!B:C,2,0))=0,1,"")</f>
        <v/>
      </c>
      <c r="Y54" s="198">
        <f>+IF((VLOOKUP(A54,List!B:C,2,0)-VLOOKUP(Summary!$P$7,List!B:C,2,0))&gt;=0,1,"")</f>
        <v>1</v>
      </c>
      <c r="Z54" s="198">
        <f>+IF((VLOOKUP(A54,List!B:C,2,0)-VLOOKUP(Summary!$P$7,List!B:C,2,0))&gt;0,1,"")</f>
        <v>1</v>
      </c>
      <c r="AA54" s="141">
        <f t="shared" si="6"/>
        <v>2</v>
      </c>
      <c r="AB54" s="199" t="str">
        <f>+IF(AA54="","",IF(Summary!$J$7="Fixed Price","",IF(M54="",IF(I54="","",1),"")))</f>
        <v/>
      </c>
      <c r="AC54" s="198">
        <f t="shared" si="14"/>
        <v>0</v>
      </c>
    </row>
    <row r="55" spans="1:29" x14ac:dyDescent="0.2">
      <c r="A55" s="155" t="str">
        <f t="shared" si="15"/>
        <v>-</v>
      </c>
      <c r="B55" s="154" t="str">
        <f t="shared" si="20"/>
        <v/>
      </c>
      <c r="C55" s="153" t="str">
        <f t="shared" si="21"/>
        <v/>
      </c>
      <c r="D55" s="152" t="str">
        <f t="shared" si="16"/>
        <v>-</v>
      </c>
      <c r="E55" s="151" t="str">
        <f>+IF($B55="","",Summary!$P$4)</f>
        <v/>
      </c>
      <c r="F55" s="151" t="str">
        <f>+IF($B55="","",Summary!$P$5)</f>
        <v/>
      </c>
      <c r="G55" s="151" t="str">
        <f>+IF($B55="","",Summary!$P$6)</f>
        <v/>
      </c>
      <c r="H55" s="150" t="str">
        <f t="shared" si="17"/>
        <v/>
      </c>
      <c r="I55" s="148"/>
      <c r="J55" s="149"/>
      <c r="K55" s="148"/>
      <c r="L55" s="148"/>
      <c r="M55" s="148"/>
      <c r="N55" s="149" t="e">
        <f t="shared" si="3"/>
        <v>#REF!</v>
      </c>
      <c r="O55" s="149" t="e">
        <f>COUNTIFS(#REF!,"&gt;="&amp;DATE($C55,$B55,1),#REF!,"&lt;="&amp;EOMONTH(DATE($C55,$B55,1),0),#REF!,"Incident")+
COUNTIFS(#REF!,"&gt;="&amp;DATE($C55,$B55,1),#REF!,"&lt;="&amp;EOMONTH(DATE($C55,$B55,1),0),#REF!,"user_request")</f>
        <v>#REF!</v>
      </c>
      <c r="P55" s="147">
        <f t="shared" si="22"/>
        <v>0</v>
      </c>
      <c r="Q55" s="147">
        <f t="shared" si="23"/>
        <v>0</v>
      </c>
      <c r="R55" s="147">
        <f t="shared" si="24"/>
        <v>0</v>
      </c>
      <c r="S55" s="146" t="e">
        <f t="shared" si="25"/>
        <v>#REF!</v>
      </c>
      <c r="T55" s="146" t="e">
        <f t="shared" si="26"/>
        <v>#REF!</v>
      </c>
      <c r="U55" s="145">
        <f t="shared" si="18"/>
        <v>0</v>
      </c>
      <c r="V55" s="145" t="e">
        <f t="shared" si="19"/>
        <v>#REF!</v>
      </c>
      <c r="W55" s="142">
        <v>48</v>
      </c>
      <c r="X55" s="142" t="str">
        <f>+IF((VLOOKUP(A55,List!B:C,2,0)-VLOOKUP(Summary!$P$7,List!B:C,2,0))=0,1,"")</f>
        <v/>
      </c>
      <c r="Y55" s="198">
        <f>+IF((VLOOKUP(A55,List!B:C,2,0)-VLOOKUP(Summary!$P$7,List!B:C,2,0))&gt;=0,1,"")</f>
        <v>1</v>
      </c>
      <c r="Z55" s="198">
        <f>+IF((VLOOKUP(A55,List!B:C,2,0)-VLOOKUP(Summary!$P$7,List!B:C,2,0))&gt;0,1,"")</f>
        <v>1</v>
      </c>
      <c r="AA55" s="141">
        <f t="shared" si="6"/>
        <v>2</v>
      </c>
      <c r="AB55" s="199" t="str">
        <f>+IF(AA55="","",IF(Summary!$J$7="Fixed Price","",IF(M55="",IF(I55="","",1),"")))</f>
        <v/>
      </c>
      <c r="AC55" s="198">
        <f t="shared" si="14"/>
        <v>0</v>
      </c>
    </row>
    <row r="56" spans="1:29" x14ac:dyDescent="0.2">
      <c r="A56" s="155" t="str">
        <f t="shared" si="15"/>
        <v>-</v>
      </c>
      <c r="B56" s="154" t="str">
        <f t="shared" si="20"/>
        <v/>
      </c>
      <c r="C56" s="153" t="str">
        <f t="shared" si="21"/>
        <v/>
      </c>
      <c r="D56" s="152" t="str">
        <f t="shared" si="16"/>
        <v>-</v>
      </c>
      <c r="E56" s="159" t="str">
        <f>+IF($B56="","",Summary!$P$4)</f>
        <v/>
      </c>
      <c r="F56" s="159" t="str">
        <f>+IF($B56="","",Summary!$P$5)</f>
        <v/>
      </c>
      <c r="G56" s="159" t="str">
        <f>+IF($B56="","",Summary!$P$6)</f>
        <v/>
      </c>
      <c r="H56" s="158" t="str">
        <f t="shared" si="17"/>
        <v/>
      </c>
      <c r="I56" s="156"/>
      <c r="J56" s="157"/>
      <c r="K56" s="156"/>
      <c r="L56" s="156"/>
      <c r="M56" s="156"/>
      <c r="N56" s="157" t="e">
        <f t="shared" si="3"/>
        <v>#REF!</v>
      </c>
      <c r="O56" s="157" t="e">
        <f>COUNTIFS(#REF!,"&gt;="&amp;DATE($C56,$B56,1),#REF!,"&lt;="&amp;EOMONTH(DATE($C56,$B56,1),0),#REF!,"Incident")+
COUNTIFS(#REF!,"&gt;="&amp;DATE($C56,$B56,1),#REF!,"&lt;="&amp;EOMONTH(DATE($C56,$B56,1),0),#REF!,"user_request")</f>
        <v>#REF!</v>
      </c>
      <c r="P56" s="147">
        <f t="shared" si="22"/>
        <v>0</v>
      </c>
      <c r="Q56" s="147">
        <f t="shared" si="23"/>
        <v>0</v>
      </c>
      <c r="R56" s="147">
        <f t="shared" si="24"/>
        <v>0</v>
      </c>
      <c r="S56" s="146" t="e">
        <f t="shared" si="25"/>
        <v>#REF!</v>
      </c>
      <c r="T56" s="146" t="e">
        <f t="shared" si="26"/>
        <v>#REF!</v>
      </c>
      <c r="U56" s="145">
        <f t="shared" si="18"/>
        <v>0</v>
      </c>
      <c r="V56" s="145" t="e">
        <f t="shared" si="19"/>
        <v>#REF!</v>
      </c>
      <c r="W56" s="142">
        <v>45</v>
      </c>
      <c r="X56" s="142" t="str">
        <f>+IF((VLOOKUP(A56,List!B:C,2,0)-VLOOKUP(Summary!$P$7,List!B:C,2,0))=0,1,"")</f>
        <v/>
      </c>
      <c r="Y56" s="198">
        <f>+IF((VLOOKUP(A56,List!B:C,2,0)-VLOOKUP(Summary!$P$7,List!B:C,2,0))&gt;=0,1,"")</f>
        <v>1</v>
      </c>
      <c r="Z56" s="198">
        <f>+IF((VLOOKUP(A56,List!B:C,2,0)-VLOOKUP(Summary!$P$7,List!B:C,2,0))&gt;0,1,"")</f>
        <v>1</v>
      </c>
      <c r="AA56" s="141">
        <f t="shared" si="6"/>
        <v>2</v>
      </c>
      <c r="AB56" s="199" t="str">
        <f>+IF(AA56="","",IF(Summary!$J$7="Fixed Price","",IF(M56="",IF(I56="","",1),"")))</f>
        <v/>
      </c>
      <c r="AC56" s="198">
        <f t="shared" si="14"/>
        <v>0</v>
      </c>
    </row>
    <row r="57" spans="1:29" x14ac:dyDescent="0.2">
      <c r="A57" s="155" t="str">
        <f t="shared" si="15"/>
        <v>-</v>
      </c>
      <c r="B57" s="154" t="str">
        <f t="shared" si="20"/>
        <v/>
      </c>
      <c r="C57" s="153" t="str">
        <f t="shared" si="21"/>
        <v/>
      </c>
      <c r="D57" s="152" t="str">
        <f t="shared" si="16"/>
        <v>-</v>
      </c>
      <c r="E57" s="151" t="str">
        <f>+IF($B57="","",Summary!$P$4)</f>
        <v/>
      </c>
      <c r="F57" s="151" t="str">
        <f>+IF($B57="","",Summary!$P$5)</f>
        <v/>
      </c>
      <c r="G57" s="151" t="str">
        <f>+IF($B57="","",Summary!$P$6)</f>
        <v/>
      </c>
      <c r="H57" s="150" t="str">
        <f t="shared" si="17"/>
        <v/>
      </c>
      <c r="I57" s="148"/>
      <c r="J57" s="149"/>
      <c r="K57" s="148"/>
      <c r="L57" s="148"/>
      <c r="M57" s="148"/>
      <c r="N57" s="149" t="e">
        <f t="shared" si="3"/>
        <v>#REF!</v>
      </c>
      <c r="O57" s="149" t="e">
        <f>COUNTIFS(#REF!,"&gt;="&amp;DATE($C57,$B57,1),#REF!,"&lt;="&amp;EOMONTH(DATE($C57,$B57,1),0),#REF!,"Incident")+
COUNTIFS(#REF!,"&gt;="&amp;DATE($C57,$B57,1),#REF!,"&lt;="&amp;EOMONTH(DATE($C57,$B57,1),0),#REF!,"user_request")</f>
        <v>#REF!</v>
      </c>
      <c r="P57" s="147">
        <f t="shared" si="22"/>
        <v>0</v>
      </c>
      <c r="Q57" s="147">
        <f t="shared" si="23"/>
        <v>0</v>
      </c>
      <c r="R57" s="147">
        <f t="shared" si="24"/>
        <v>0</v>
      </c>
      <c r="S57" s="146" t="e">
        <f t="shared" si="25"/>
        <v>#REF!</v>
      </c>
      <c r="T57" s="146" t="e">
        <f t="shared" si="26"/>
        <v>#REF!</v>
      </c>
      <c r="U57" s="145">
        <f t="shared" si="18"/>
        <v>0</v>
      </c>
      <c r="V57" s="145" t="e">
        <f t="shared" si="19"/>
        <v>#REF!</v>
      </c>
      <c r="W57" s="142">
        <v>46</v>
      </c>
      <c r="X57" s="142" t="str">
        <f>+IF((VLOOKUP(A57,List!B:C,2,0)-VLOOKUP(Summary!$P$7,List!B:C,2,0))=0,1,"")</f>
        <v/>
      </c>
      <c r="Y57" s="198">
        <f>+IF((VLOOKUP(A57,List!B:C,2,0)-VLOOKUP(Summary!$P$7,List!B:C,2,0))&gt;=0,1,"")</f>
        <v>1</v>
      </c>
      <c r="Z57" s="198">
        <f>+IF((VLOOKUP(A57,List!B:C,2,0)-VLOOKUP(Summary!$P$7,List!B:C,2,0))&gt;0,1,"")</f>
        <v>1</v>
      </c>
      <c r="AA57" s="141">
        <f t="shared" si="6"/>
        <v>2</v>
      </c>
      <c r="AB57" s="199" t="str">
        <f>+IF(AA57="","",IF(Summary!$J$7="Fixed Price","",IF(M57="",IF(I57="","",1),"")))</f>
        <v/>
      </c>
      <c r="AC57" s="198">
        <f t="shared" si="14"/>
        <v>0</v>
      </c>
    </row>
    <row r="58" spans="1:29" x14ac:dyDescent="0.2">
      <c r="A58" s="155" t="str">
        <f t="shared" si="15"/>
        <v>-</v>
      </c>
      <c r="B58" s="154" t="str">
        <f t="shared" si="20"/>
        <v/>
      </c>
      <c r="C58" s="153" t="str">
        <f t="shared" si="21"/>
        <v/>
      </c>
      <c r="D58" s="152" t="str">
        <f t="shared" si="16"/>
        <v>-</v>
      </c>
      <c r="E58" s="159" t="str">
        <f>+IF($B58="","",Summary!$P$4)</f>
        <v/>
      </c>
      <c r="F58" s="159" t="str">
        <f>+IF($B58="","",Summary!$P$5)</f>
        <v/>
      </c>
      <c r="G58" s="159" t="str">
        <f>+IF($B58="","",Summary!$P$6)</f>
        <v/>
      </c>
      <c r="H58" s="158" t="str">
        <f t="shared" si="17"/>
        <v/>
      </c>
      <c r="I58" s="156"/>
      <c r="J58" s="157"/>
      <c r="K58" s="156"/>
      <c r="L58" s="156"/>
      <c r="M58" s="156"/>
      <c r="N58" s="157" t="e">
        <f t="shared" si="3"/>
        <v>#REF!</v>
      </c>
      <c r="O58" s="157" t="e">
        <f>COUNTIFS(#REF!,"&gt;="&amp;DATE($C58,$B58,1),#REF!,"&lt;="&amp;EOMONTH(DATE($C58,$B58,1),0),#REF!,"Incident")+
COUNTIFS(#REF!,"&gt;="&amp;DATE($C58,$B58,1),#REF!,"&lt;="&amp;EOMONTH(DATE($C58,$B58,1),0),#REF!,"user_request")</f>
        <v>#REF!</v>
      </c>
      <c r="P58" s="147">
        <f t="shared" si="22"/>
        <v>0</v>
      </c>
      <c r="Q58" s="147">
        <f t="shared" si="23"/>
        <v>0</v>
      </c>
      <c r="R58" s="147">
        <f t="shared" si="24"/>
        <v>0</v>
      </c>
      <c r="S58" s="146" t="e">
        <f t="shared" si="25"/>
        <v>#REF!</v>
      </c>
      <c r="T58" s="146" t="e">
        <f t="shared" si="26"/>
        <v>#REF!</v>
      </c>
      <c r="U58" s="145">
        <f t="shared" si="18"/>
        <v>0</v>
      </c>
      <c r="V58" s="145" t="e">
        <f t="shared" si="19"/>
        <v>#REF!</v>
      </c>
      <c r="W58" s="142">
        <v>47</v>
      </c>
      <c r="X58" s="142" t="str">
        <f>+IF((VLOOKUP(A58,List!B:C,2,0)-VLOOKUP(Summary!$P$7,List!B:C,2,0))=0,1,"")</f>
        <v/>
      </c>
      <c r="Y58" s="198">
        <f>+IF((VLOOKUP(A58,List!B:C,2,0)-VLOOKUP(Summary!$P$7,List!B:C,2,0))&gt;=0,1,"")</f>
        <v>1</v>
      </c>
      <c r="Z58" s="198">
        <f>+IF((VLOOKUP(A58,List!B:C,2,0)-VLOOKUP(Summary!$P$7,List!B:C,2,0))&gt;0,1,"")</f>
        <v>1</v>
      </c>
      <c r="AA58" s="141">
        <f t="shared" si="6"/>
        <v>2</v>
      </c>
      <c r="AB58" s="199" t="str">
        <f>+IF(AA58="","",IF(Summary!$J$7="Fixed Price","",IF(M58="",IF(I58="","",1),"")))</f>
        <v/>
      </c>
      <c r="AC58" s="198">
        <f t="shared" si="14"/>
        <v>0</v>
      </c>
    </row>
    <row r="59" spans="1:29" x14ac:dyDescent="0.2">
      <c r="A59" s="155" t="str">
        <f t="shared" si="15"/>
        <v>-</v>
      </c>
      <c r="B59" s="154" t="str">
        <f t="shared" si="20"/>
        <v/>
      </c>
      <c r="C59" s="153" t="str">
        <f t="shared" si="21"/>
        <v/>
      </c>
      <c r="D59" s="152" t="str">
        <f t="shared" si="16"/>
        <v>-</v>
      </c>
      <c r="E59" s="151" t="str">
        <f>+IF($B59="","",Summary!$P$4)</f>
        <v/>
      </c>
      <c r="F59" s="151" t="str">
        <f>+IF($B59="","",Summary!$P$5)</f>
        <v/>
      </c>
      <c r="G59" s="151" t="str">
        <f>+IF($B59="","",Summary!$P$6)</f>
        <v/>
      </c>
      <c r="H59" s="150" t="str">
        <f t="shared" si="17"/>
        <v/>
      </c>
      <c r="I59" s="148"/>
      <c r="J59" s="149"/>
      <c r="K59" s="148"/>
      <c r="L59" s="148"/>
      <c r="M59" s="148"/>
      <c r="N59" s="149" t="e">
        <f t="shared" si="3"/>
        <v>#REF!</v>
      </c>
      <c r="O59" s="149" t="e">
        <f>COUNTIFS(#REF!,"&gt;="&amp;DATE($C59,$B59,1),#REF!,"&lt;="&amp;EOMONTH(DATE($C59,$B59,1),0),#REF!,"Incident")+
COUNTIFS(#REF!,"&gt;="&amp;DATE($C59,$B59,1),#REF!,"&lt;="&amp;EOMONTH(DATE($C59,$B59,1),0),#REF!,"user_request")</f>
        <v>#REF!</v>
      </c>
      <c r="P59" s="147">
        <f t="shared" si="22"/>
        <v>0</v>
      </c>
      <c r="Q59" s="147">
        <f t="shared" si="23"/>
        <v>0</v>
      </c>
      <c r="R59" s="147">
        <f t="shared" si="24"/>
        <v>0</v>
      </c>
      <c r="S59" s="146" t="e">
        <f t="shared" si="25"/>
        <v>#REF!</v>
      </c>
      <c r="T59" s="146" t="e">
        <f t="shared" si="26"/>
        <v>#REF!</v>
      </c>
      <c r="U59" s="145">
        <f t="shared" si="18"/>
        <v>0</v>
      </c>
      <c r="V59" s="145" t="e">
        <f t="shared" si="19"/>
        <v>#REF!</v>
      </c>
      <c r="W59" s="142">
        <v>48</v>
      </c>
      <c r="X59" s="142" t="str">
        <f>+IF((VLOOKUP(A59,List!B:C,2,0)-VLOOKUP(Summary!$P$7,List!B:C,2,0))=0,1,"")</f>
        <v/>
      </c>
      <c r="Y59" s="198">
        <f>+IF((VLOOKUP(A59,List!B:C,2,0)-VLOOKUP(Summary!$P$7,List!B:C,2,0))&gt;=0,1,"")</f>
        <v>1</v>
      </c>
      <c r="Z59" s="198">
        <f>+IF((VLOOKUP(A59,List!B:C,2,0)-VLOOKUP(Summary!$P$7,List!B:C,2,0))&gt;0,1,"")</f>
        <v>1</v>
      </c>
      <c r="AA59" s="141">
        <f t="shared" si="6"/>
        <v>2</v>
      </c>
      <c r="AB59" s="199" t="str">
        <f>+IF(AA59="","",IF(Summary!$J$7="Fixed Price","",IF(M59="",IF(I59="","",1),"")))</f>
        <v/>
      </c>
      <c r="AC59" s="198">
        <f t="shared" si="14"/>
        <v>0</v>
      </c>
    </row>
    <row r="60" spans="1:29" x14ac:dyDescent="0.2">
      <c r="A60" s="155" t="str">
        <f t="shared" si="15"/>
        <v>-</v>
      </c>
      <c r="B60" s="154" t="str">
        <f t="shared" si="20"/>
        <v/>
      </c>
      <c r="C60" s="153" t="str">
        <f t="shared" si="21"/>
        <v/>
      </c>
      <c r="D60" s="152" t="str">
        <f t="shared" si="16"/>
        <v>-</v>
      </c>
      <c r="E60" s="159" t="str">
        <f>+IF($B60="","",Summary!$P$4)</f>
        <v/>
      </c>
      <c r="F60" s="159" t="str">
        <f>+IF($B60="","",Summary!$P$5)</f>
        <v/>
      </c>
      <c r="G60" s="159" t="str">
        <f>+IF($B60="","",Summary!$P$6)</f>
        <v/>
      </c>
      <c r="H60" s="158" t="str">
        <f t="shared" si="17"/>
        <v/>
      </c>
      <c r="I60" s="156"/>
      <c r="J60" s="157"/>
      <c r="K60" s="156"/>
      <c r="L60" s="156"/>
      <c r="M60" s="156"/>
      <c r="N60" s="157" t="e">
        <f t="shared" si="3"/>
        <v>#REF!</v>
      </c>
      <c r="O60" s="157" t="e">
        <f>COUNTIFS(#REF!,"&gt;="&amp;DATE($C60,$B60,1),#REF!,"&lt;="&amp;EOMONTH(DATE($C60,$B60,1),0),#REF!,"Incident")+
COUNTIFS(#REF!,"&gt;="&amp;DATE($C60,$B60,1),#REF!,"&lt;="&amp;EOMONTH(DATE($C60,$B60,1),0),#REF!,"user_request")</f>
        <v>#REF!</v>
      </c>
      <c r="P60" s="147">
        <f t="shared" si="22"/>
        <v>0</v>
      </c>
      <c r="Q60" s="147">
        <f t="shared" si="23"/>
        <v>0</v>
      </c>
      <c r="R60" s="147">
        <f t="shared" si="24"/>
        <v>0</v>
      </c>
      <c r="S60" s="146" t="e">
        <f t="shared" si="25"/>
        <v>#REF!</v>
      </c>
      <c r="T60" s="146" t="e">
        <f t="shared" si="26"/>
        <v>#REF!</v>
      </c>
      <c r="U60" s="145">
        <f t="shared" si="18"/>
        <v>0</v>
      </c>
      <c r="V60" s="145" t="e">
        <f t="shared" si="19"/>
        <v>#REF!</v>
      </c>
      <c r="W60" s="142">
        <v>45</v>
      </c>
      <c r="X60" s="142" t="str">
        <f>+IF((VLOOKUP(A60,List!B:C,2,0)-VLOOKUP(Summary!$P$7,List!B:C,2,0))=0,1,"")</f>
        <v/>
      </c>
      <c r="Y60" s="198">
        <f>+IF((VLOOKUP(A60,List!B:C,2,0)-VLOOKUP(Summary!$P$7,List!B:C,2,0))&gt;=0,1,"")</f>
        <v>1</v>
      </c>
      <c r="Z60" s="198">
        <f>+IF((VLOOKUP(A60,List!B:C,2,0)-VLOOKUP(Summary!$P$7,List!B:C,2,0))&gt;0,1,"")</f>
        <v>1</v>
      </c>
      <c r="AA60" s="141">
        <f t="shared" si="6"/>
        <v>2</v>
      </c>
      <c r="AB60" s="199" t="str">
        <f>+IF(AA60="","",IF(Summary!$J$7="Fixed Price","",IF(M60="",IF(I60="","",1),"")))</f>
        <v/>
      </c>
      <c r="AC60" s="198">
        <f t="shared" si="14"/>
        <v>0</v>
      </c>
    </row>
    <row r="61" spans="1:29" x14ac:dyDescent="0.2">
      <c r="A61" s="155" t="str">
        <f t="shared" si="15"/>
        <v>-</v>
      </c>
      <c r="B61" s="154" t="str">
        <f t="shared" si="20"/>
        <v/>
      </c>
      <c r="C61" s="153" t="str">
        <f t="shared" si="21"/>
        <v/>
      </c>
      <c r="D61" s="152" t="str">
        <f t="shared" si="16"/>
        <v>-</v>
      </c>
      <c r="E61" s="151" t="str">
        <f>+IF($B61="","",Summary!$P$4)</f>
        <v/>
      </c>
      <c r="F61" s="151" t="str">
        <f>+IF($B61="","",Summary!$P$5)</f>
        <v/>
      </c>
      <c r="G61" s="151" t="str">
        <f>+IF($B61="","",Summary!$P$6)</f>
        <v/>
      </c>
      <c r="H61" s="150" t="str">
        <f t="shared" si="17"/>
        <v/>
      </c>
      <c r="I61" s="148"/>
      <c r="J61" s="149"/>
      <c r="K61" s="148"/>
      <c r="L61" s="148"/>
      <c r="M61" s="148"/>
      <c r="N61" s="149" t="e">
        <f t="shared" si="3"/>
        <v>#REF!</v>
      </c>
      <c r="O61" s="149" t="e">
        <f>COUNTIFS(#REF!,"&gt;="&amp;DATE($C61,$B61,1),#REF!,"&lt;="&amp;EOMONTH(DATE($C61,$B61,1),0),#REF!,"Incident")+
COUNTIFS(#REF!,"&gt;="&amp;DATE($C61,$B61,1),#REF!,"&lt;="&amp;EOMONTH(DATE($C61,$B61,1),0),#REF!,"user_request")</f>
        <v>#REF!</v>
      </c>
      <c r="P61" s="147">
        <f t="shared" si="22"/>
        <v>0</v>
      </c>
      <c r="Q61" s="147">
        <f t="shared" si="23"/>
        <v>0</v>
      </c>
      <c r="R61" s="147">
        <f t="shared" si="24"/>
        <v>0</v>
      </c>
      <c r="S61" s="146" t="e">
        <f t="shared" si="25"/>
        <v>#REF!</v>
      </c>
      <c r="T61" s="146" t="e">
        <f t="shared" si="26"/>
        <v>#REF!</v>
      </c>
      <c r="U61" s="145">
        <f t="shared" si="18"/>
        <v>0</v>
      </c>
      <c r="V61" s="145" t="e">
        <f t="shared" si="19"/>
        <v>#REF!</v>
      </c>
      <c r="W61" s="142">
        <v>46</v>
      </c>
      <c r="X61" s="142" t="str">
        <f>+IF((VLOOKUP(A61,List!B:C,2,0)-VLOOKUP(Summary!$P$7,List!B:C,2,0))=0,1,"")</f>
        <v/>
      </c>
      <c r="Y61" s="198">
        <f>+IF((VLOOKUP(A61,List!B:C,2,0)-VLOOKUP(Summary!$P$7,List!B:C,2,0))&gt;=0,1,"")</f>
        <v>1</v>
      </c>
      <c r="Z61" s="198">
        <f>+IF((VLOOKUP(A61,List!B:C,2,0)-VLOOKUP(Summary!$P$7,List!B:C,2,0))&gt;0,1,"")</f>
        <v>1</v>
      </c>
      <c r="AA61" s="141">
        <f t="shared" si="6"/>
        <v>2</v>
      </c>
      <c r="AB61" s="199" t="str">
        <f>+IF(AA61="","",IF(Summary!$J$7="Fixed Price","",IF(M61="",IF(I61="","",1),"")))</f>
        <v/>
      </c>
      <c r="AC61" s="198">
        <f t="shared" si="14"/>
        <v>0</v>
      </c>
    </row>
    <row r="62" spans="1:29" x14ac:dyDescent="0.2">
      <c r="A62" s="155" t="str">
        <f t="shared" si="15"/>
        <v>-</v>
      </c>
      <c r="B62" s="154" t="str">
        <f t="shared" si="20"/>
        <v/>
      </c>
      <c r="C62" s="153" t="str">
        <f t="shared" si="21"/>
        <v/>
      </c>
      <c r="D62" s="152" t="str">
        <f t="shared" si="16"/>
        <v>-</v>
      </c>
      <c r="E62" s="159" t="str">
        <f>+IF($B62="","",Summary!$P$4)</f>
        <v/>
      </c>
      <c r="F62" s="159" t="str">
        <f>+IF($B62="","",Summary!$P$5)</f>
        <v/>
      </c>
      <c r="G62" s="159" t="str">
        <f>+IF($B62="","",Summary!$P$6)</f>
        <v/>
      </c>
      <c r="H62" s="158" t="str">
        <f t="shared" si="17"/>
        <v/>
      </c>
      <c r="I62" s="156"/>
      <c r="J62" s="157"/>
      <c r="K62" s="156"/>
      <c r="L62" s="156"/>
      <c r="M62" s="156"/>
      <c r="N62" s="157" t="e">
        <f t="shared" si="3"/>
        <v>#REF!</v>
      </c>
      <c r="O62" s="157" t="e">
        <f>COUNTIFS(#REF!,"&gt;="&amp;DATE($C62,$B62,1),#REF!,"&lt;="&amp;EOMONTH(DATE($C62,$B62,1),0),#REF!,"Incident")+
COUNTIFS(#REF!,"&gt;="&amp;DATE($C62,$B62,1),#REF!,"&lt;="&amp;EOMONTH(DATE($C62,$B62,1),0),#REF!,"user_request")</f>
        <v>#REF!</v>
      </c>
      <c r="P62" s="147">
        <f t="shared" si="22"/>
        <v>0</v>
      </c>
      <c r="Q62" s="147">
        <f t="shared" si="23"/>
        <v>0</v>
      </c>
      <c r="R62" s="147">
        <f t="shared" si="24"/>
        <v>0</v>
      </c>
      <c r="S62" s="146" t="e">
        <f t="shared" si="25"/>
        <v>#REF!</v>
      </c>
      <c r="T62" s="146" t="e">
        <f t="shared" si="26"/>
        <v>#REF!</v>
      </c>
      <c r="U62" s="145">
        <f t="shared" si="18"/>
        <v>0</v>
      </c>
      <c r="V62" s="145" t="e">
        <f t="shared" si="19"/>
        <v>#REF!</v>
      </c>
      <c r="W62" s="142">
        <v>47</v>
      </c>
      <c r="X62" s="142" t="str">
        <f>+IF((VLOOKUP(A62,List!B:C,2,0)-VLOOKUP(Summary!$P$7,List!B:C,2,0))=0,1,"")</f>
        <v/>
      </c>
      <c r="Y62" s="198">
        <f>+IF((VLOOKUP(A62,List!B:C,2,0)-VLOOKUP(Summary!$P$7,List!B:C,2,0))&gt;=0,1,"")</f>
        <v>1</v>
      </c>
      <c r="Z62" s="198">
        <f>+IF((VLOOKUP(A62,List!B:C,2,0)-VLOOKUP(Summary!$P$7,List!B:C,2,0))&gt;0,1,"")</f>
        <v>1</v>
      </c>
      <c r="AA62" s="141">
        <f t="shared" si="6"/>
        <v>2</v>
      </c>
      <c r="AB62" s="199" t="str">
        <f>+IF(AA62="","",IF(Summary!$J$7="Fixed Price","",IF(M62="",IF(I62="","",1),"")))</f>
        <v/>
      </c>
      <c r="AC62" s="198">
        <f t="shared" si="14"/>
        <v>0</v>
      </c>
    </row>
    <row r="63" spans="1:29" x14ac:dyDescent="0.2">
      <c r="A63" s="155" t="str">
        <f t="shared" si="15"/>
        <v>-</v>
      </c>
      <c r="B63" s="154" t="str">
        <f t="shared" si="20"/>
        <v/>
      </c>
      <c r="C63" s="153" t="str">
        <f t="shared" si="21"/>
        <v/>
      </c>
      <c r="D63" s="152" t="str">
        <f t="shared" si="16"/>
        <v>-</v>
      </c>
      <c r="E63" s="151" t="str">
        <f>+IF($B63="","",Summary!$P$4)</f>
        <v/>
      </c>
      <c r="F63" s="151" t="str">
        <f>+IF($B63="","",Summary!$P$5)</f>
        <v/>
      </c>
      <c r="G63" s="151" t="str">
        <f>+IF($B63="","",Summary!$P$6)</f>
        <v/>
      </c>
      <c r="H63" s="150" t="str">
        <f t="shared" si="17"/>
        <v/>
      </c>
      <c r="I63" s="148"/>
      <c r="J63" s="149"/>
      <c r="K63" s="148"/>
      <c r="L63" s="148"/>
      <c r="M63" s="148"/>
      <c r="N63" s="149" t="e">
        <f t="shared" si="3"/>
        <v>#REF!</v>
      </c>
      <c r="O63" s="149" t="e">
        <f>COUNTIFS(#REF!,"&gt;="&amp;DATE($C63,$B63,1),#REF!,"&lt;="&amp;EOMONTH(DATE($C63,$B63,1),0),#REF!,"Incident")+
COUNTIFS(#REF!,"&gt;="&amp;DATE($C63,$B63,1),#REF!,"&lt;="&amp;EOMONTH(DATE($C63,$B63,1),0),#REF!,"user_request")</f>
        <v>#REF!</v>
      </c>
      <c r="P63" s="147">
        <f t="shared" si="22"/>
        <v>0</v>
      </c>
      <c r="Q63" s="147">
        <f t="shared" si="23"/>
        <v>0</v>
      </c>
      <c r="R63" s="147">
        <f t="shared" si="24"/>
        <v>0</v>
      </c>
      <c r="S63" s="146" t="e">
        <f t="shared" si="25"/>
        <v>#REF!</v>
      </c>
      <c r="T63" s="146" t="e">
        <f t="shared" si="26"/>
        <v>#REF!</v>
      </c>
      <c r="U63" s="145">
        <f t="shared" si="18"/>
        <v>0</v>
      </c>
      <c r="V63" s="145" t="e">
        <f t="shared" si="19"/>
        <v>#REF!</v>
      </c>
      <c r="W63" s="142">
        <v>48</v>
      </c>
      <c r="X63" s="142" t="str">
        <f>+IF((VLOOKUP(A63,List!B:C,2,0)-VLOOKUP(Summary!$P$7,List!B:C,2,0))=0,1,"")</f>
        <v/>
      </c>
      <c r="Y63" s="198">
        <f>+IF((VLOOKUP(A63,List!B:C,2,0)-VLOOKUP(Summary!$P$7,List!B:C,2,0))&gt;=0,1,"")</f>
        <v>1</v>
      </c>
      <c r="Z63" s="198">
        <f>+IF((VLOOKUP(A63,List!B:C,2,0)-VLOOKUP(Summary!$P$7,List!B:C,2,0))&gt;0,1,"")</f>
        <v>1</v>
      </c>
      <c r="AA63" s="141">
        <f t="shared" si="6"/>
        <v>2</v>
      </c>
      <c r="AB63" s="199" t="str">
        <f>+IF(AA63="","",IF(Summary!$J$7="Fixed Price","",IF(M63="",IF(I63="","",1),"")))</f>
        <v/>
      </c>
      <c r="AC63" s="198">
        <f t="shared" si="14"/>
        <v>0</v>
      </c>
    </row>
  </sheetData>
  <sheetProtection formatColumns="0" formatRows="0" sort="0" autoFilter="0"/>
  <conditionalFormatting sqref="H4:H63">
    <cfRule type="containsText" dxfId="37" priority="4" operator="containsText" text="Green">
      <formula>NOT(ISERROR(SEARCH("Green",H4)))</formula>
    </cfRule>
    <cfRule type="containsText" dxfId="36" priority="5" operator="containsText" text="Amber">
      <formula>NOT(ISERROR(SEARCH("Amber",H4)))</formula>
    </cfRule>
    <cfRule type="containsText" dxfId="35" priority="6" operator="containsText" text="Red">
      <formula>NOT(ISERROR(SEARCH("Red",H4)))</formula>
    </cfRule>
  </conditionalFormatting>
  <conditionalFormatting sqref="I2:O2">
    <cfRule type="cellIs" dxfId="34" priority="1" operator="equal">
      <formula>"Select Report Month"</formula>
    </cfRule>
  </conditionalFormatting>
  <dataValidations count="1">
    <dataValidation type="list" allowBlank="1" showInputMessage="1" showErrorMessage="1" sqref="H4:H63" xr:uid="{00000000-0002-0000-1200-000000000000}">
      <formula1>"Red,Amber,Green"</formula1>
    </dataValidation>
  </dataValidations>
  <pageMargins left="0.7" right="0.7" top="0.75" bottom="0.75" header="0.3" footer="0.3"/>
  <pageSetup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AD63"/>
  <sheetViews>
    <sheetView showGridLines="0" zoomScale="70" zoomScaleNormal="70" workbookViewId="0">
      <selection activeCell="L18" sqref="L18"/>
    </sheetView>
  </sheetViews>
  <sheetFormatPr defaultColWidth="9.28515625" defaultRowHeight="12.75" x14ac:dyDescent="0.2"/>
  <cols>
    <col min="1" max="1" width="10.42578125" style="139" customWidth="1"/>
    <col min="2" max="3" width="7.7109375" style="139" customWidth="1"/>
    <col min="4" max="4" width="11.28515625" style="139" hidden="1" customWidth="1"/>
    <col min="5" max="7" width="14.28515625" style="139" customWidth="1"/>
    <col min="8" max="8" width="12.28515625" style="139" customWidth="1"/>
    <col min="9" max="13" width="11.5703125" style="143" customWidth="1"/>
    <col min="14" max="18" width="13.5703125" style="139" customWidth="1"/>
    <col min="19" max="19" width="9.42578125" style="142" customWidth="1"/>
    <col min="20" max="20" width="9.42578125" style="142" bestFit="1" customWidth="1"/>
    <col min="21" max="21" width="11.7109375" style="142" bestFit="1" customWidth="1"/>
    <col min="22" max="22" width="9.7109375" style="141" bestFit="1" customWidth="1"/>
    <col min="23" max="23" width="9.42578125" style="142" bestFit="1" customWidth="1"/>
    <col min="24" max="24" width="9.42578125" style="142" customWidth="1"/>
    <col min="25" max="30" width="9.28515625" style="141"/>
    <col min="31" max="16384" width="9.28515625" style="139"/>
  </cols>
  <sheetData>
    <row r="1" spans="1:30" ht="60" customHeight="1" x14ac:dyDescent="0.2">
      <c r="A1" s="144"/>
      <c r="B1" s="143"/>
      <c r="C1" s="175" t="s">
        <v>110</v>
      </c>
      <c r="D1" s="175"/>
      <c r="E1" s="175"/>
      <c r="F1" s="175"/>
      <c r="G1" s="175"/>
      <c r="H1" s="175"/>
      <c r="I1" s="176"/>
      <c r="J1" s="176"/>
      <c r="K1" s="176"/>
      <c r="L1" s="176"/>
      <c r="M1" s="176"/>
      <c r="N1" s="176"/>
      <c r="O1" s="176"/>
      <c r="P1" s="175"/>
      <c r="Q1" s="175"/>
      <c r="R1" s="175"/>
      <c r="S1" s="175"/>
      <c r="T1" s="175"/>
      <c r="U1" s="175"/>
      <c r="V1" s="175"/>
      <c r="W1" s="196" t="s">
        <v>135</v>
      </c>
      <c r="X1" s="196" t="s">
        <v>142</v>
      </c>
      <c r="Y1" s="196" t="s">
        <v>137</v>
      </c>
      <c r="Z1" s="196" t="s">
        <v>138</v>
      </c>
      <c r="AA1" s="196" t="s">
        <v>136</v>
      </c>
      <c r="AB1" s="196" t="s">
        <v>139</v>
      </c>
      <c r="AC1" s="196" t="s">
        <v>404</v>
      </c>
      <c r="AD1" s="196" t="s">
        <v>405</v>
      </c>
    </row>
    <row r="2" spans="1:30" ht="32.25" customHeight="1" x14ac:dyDescent="0.2">
      <c r="A2" s="144"/>
      <c r="B2" s="174"/>
      <c r="C2" s="173"/>
      <c r="D2" s="173"/>
      <c r="E2" s="173"/>
      <c r="F2" s="173"/>
      <c r="G2" s="173"/>
      <c r="H2" s="173"/>
      <c r="I2" s="177"/>
      <c r="J2" s="177"/>
      <c r="K2" s="177"/>
      <c r="L2" s="177"/>
      <c r="M2" s="177"/>
      <c r="N2" s="177"/>
      <c r="O2" s="177"/>
      <c r="P2" s="173"/>
      <c r="Q2" s="173"/>
      <c r="R2" s="173"/>
      <c r="S2" s="173"/>
      <c r="T2" s="173"/>
      <c r="U2" s="173"/>
      <c r="V2" s="173"/>
      <c r="W2" s="141">
        <f>(YEAR(Summary!P6)-YEAR(Summary!P4))*12+MONTH(Summary!P6)-MONTH(Summary!P4)+1</f>
        <v>25</v>
      </c>
      <c r="X2" s="141"/>
    </row>
    <row r="3" spans="1:30" s="162" customFormat="1" ht="37.5" customHeight="1" x14ac:dyDescent="0.2">
      <c r="A3" s="172" t="s">
        <v>87</v>
      </c>
      <c r="B3" s="169" t="s">
        <v>25</v>
      </c>
      <c r="C3" s="164" t="s">
        <v>26</v>
      </c>
      <c r="D3" s="164" t="s">
        <v>27</v>
      </c>
      <c r="E3" s="163" t="s">
        <v>101</v>
      </c>
      <c r="F3" s="163" t="s">
        <v>102</v>
      </c>
      <c r="G3" s="163" t="s">
        <v>103</v>
      </c>
      <c r="H3" s="164" t="s">
        <v>28</v>
      </c>
      <c r="I3" s="171" t="s">
        <v>29</v>
      </c>
      <c r="J3" s="171" t="s">
        <v>30</v>
      </c>
      <c r="K3" s="169" t="s">
        <v>31</v>
      </c>
      <c r="L3" s="170" t="s">
        <v>104</v>
      </c>
      <c r="M3" s="169" t="s">
        <v>32</v>
      </c>
      <c r="N3" s="168" t="s">
        <v>374</v>
      </c>
      <c r="O3" s="167" t="s">
        <v>373</v>
      </c>
      <c r="P3" s="163" t="s">
        <v>372</v>
      </c>
      <c r="Q3" s="166" t="s">
        <v>371</v>
      </c>
      <c r="R3" s="163" t="s">
        <v>370</v>
      </c>
      <c r="S3" s="165" t="s">
        <v>369</v>
      </c>
      <c r="T3" s="165" t="s">
        <v>368</v>
      </c>
      <c r="U3" s="164" t="s">
        <v>33</v>
      </c>
      <c r="V3" s="163" t="s">
        <v>367</v>
      </c>
      <c r="W3" s="197" t="s">
        <v>120</v>
      </c>
      <c r="X3" s="197"/>
      <c r="Y3" s="197"/>
      <c r="Z3" s="197"/>
      <c r="AA3" s="197"/>
      <c r="AB3" s="194"/>
      <c r="AC3" s="197"/>
      <c r="AD3" s="197"/>
    </row>
    <row r="4" spans="1:30" x14ac:dyDescent="0.2">
      <c r="A4" s="155" t="str">
        <f t="shared" ref="A4:A35" si="0">CONCATENATE(C4,"-",B4)</f>
        <v>2025-9</v>
      </c>
      <c r="B4" s="154">
        <f>MONTH(Summary!P4)</f>
        <v>9</v>
      </c>
      <c r="C4" s="153">
        <f>YEAR(Summary!P4)</f>
        <v>2025</v>
      </c>
      <c r="D4" s="152" t="str">
        <f t="shared" ref="D4:D35" si="1">CONCATENATE(C4,"-",B4)</f>
        <v>2025-9</v>
      </c>
      <c r="E4" s="159">
        <f>+IF($B4="","",Summary!$P$4)</f>
        <v>45929</v>
      </c>
      <c r="F4" s="159">
        <f>+IF($B4="","",Summary!$P$5)</f>
        <v>46657</v>
      </c>
      <c r="G4" s="159">
        <f>+IF($B4="","",Summary!$P$6)</f>
        <v>46657</v>
      </c>
      <c r="H4" s="158" t="str">
        <f t="shared" ref="H4:H35" si="2">+IF($B4="","",IF(U4&lt;-15%,"Red",IF(U4&lt;0%,"Amber","Green")))</f>
        <v>Green</v>
      </c>
      <c r="I4" s="156"/>
      <c r="J4" s="157"/>
      <c r="K4" s="156"/>
      <c r="L4" s="156"/>
      <c r="M4" s="156"/>
      <c r="N4" s="156" t="e">
        <f t="shared" ref="N4:N63" si="3">O4</f>
        <v>#REF!</v>
      </c>
      <c r="O4" s="156" t="e">
        <f>COUNTIFS(#REF!,"&gt;="&amp;DATE($C4,$B4,1),#REF!,"&lt;="&amp;EOMONTH(DATE($C4,$B4,1),0),#REF!,"Incident")+
COUNTIFS(#REF!,"&gt;="&amp;DATE($C4,$B4,1),#REF!,"&lt;="&amp;EOMONTH(DATE($C4,$B4,1),0),#REF!,"user_request")</f>
        <v>#REF!</v>
      </c>
      <c r="P4" s="147">
        <f>I4</f>
        <v>0</v>
      </c>
      <c r="Q4" s="147">
        <f>J4</f>
        <v>0</v>
      </c>
      <c r="R4" s="147">
        <f>K4</f>
        <v>0</v>
      </c>
      <c r="S4" s="146" t="e">
        <f>N4</f>
        <v>#REF!</v>
      </c>
      <c r="T4" s="146" t="e">
        <f>O4</f>
        <v>#REF!</v>
      </c>
      <c r="U4" s="145">
        <f t="shared" ref="U4:U35" si="4">IF(Q4=0,0,IF(K4&lt;&gt;"",(Q4-(R4+L4))/Q4,U3))</f>
        <v>0</v>
      </c>
      <c r="V4" s="145" t="e">
        <f t="shared" ref="V4:V35" si="5">IF(S4=0,0,IF(O4&lt;&gt;"",(S4-(T4))/S4,V3))</f>
        <v>#REF!</v>
      </c>
      <c r="W4" s="142">
        <v>1</v>
      </c>
      <c r="X4" s="142" t="str">
        <f>+IF((VLOOKUP(A4,List!B:C,2,0)-VLOOKUP(Summary!$P$7,List!B:C,2,0))=0,1,"")</f>
        <v/>
      </c>
      <c r="Y4" s="198" t="str">
        <f>+IF((VLOOKUP(A4,List!B:C,2,0)-VLOOKUP(Summary!$P$7,List!B:C,2,0))&gt;=0,1,"")</f>
        <v/>
      </c>
      <c r="Z4" s="198" t="str">
        <f>+IF((VLOOKUP(A4,List!B:C,2,0)-VLOOKUP(Summary!$P$7,List!B:C,2,0))&gt;0,1,"")</f>
        <v/>
      </c>
      <c r="AA4" s="141" t="str">
        <f t="shared" ref="AA4:AA63" si="6">+IFERROR(IF(Z4="","",IF(YEAR(G4)&gt;C4,1,IF(YEAR(G4)=C4,IF(MONTH(G4)&gt;=B4,1,2)))),2)</f>
        <v/>
      </c>
      <c r="AB4" s="199" t="str">
        <f>+IF(AA4="","",IF(Summary!$J$7="Fixed Price","",IF(M4="",IF(I4="","",1),"")))</f>
        <v/>
      </c>
      <c r="AC4" s="198">
        <f>+IFERROR(I4*AA4,0)</f>
        <v>0</v>
      </c>
      <c r="AD4" s="198" t="e">
        <f>+IF(AA4="",+IF(N4&gt;#REF!,#REF!,IF(N4&gt;#REF!,#REF!,IF(N4&gt;#REF!,#REF!,IF(N4&gt;#REF!,#REF!,IF(N4&gt;#REF!,#REF!,IF(N4&gt;#REF!,#REF!,IF(N4&gt;#REF!,#REF!,IF(N4&gt;#REF!,#REF!,#REF!)))))))),0)</f>
        <v>#REF!</v>
      </c>
    </row>
    <row r="5" spans="1:30" x14ac:dyDescent="0.2">
      <c r="A5" s="155" t="str">
        <f t="shared" si="0"/>
        <v>2025-10</v>
      </c>
      <c r="B5" s="154">
        <f t="shared" ref="B5:B36" si="7">IF(W5&lt;=$W$2,IF(B4&gt;11,1,B4+1),"")</f>
        <v>10</v>
      </c>
      <c r="C5" s="153">
        <f t="shared" ref="C5:C36" si="8">IF(W5&lt;=$W$2,IF(B4&gt;11,C4+1,C4),"")</f>
        <v>2025</v>
      </c>
      <c r="D5" s="152" t="str">
        <f t="shared" si="1"/>
        <v>2025-10</v>
      </c>
      <c r="E5" s="151">
        <f>+IF($B5="","",Summary!$P$4)</f>
        <v>45929</v>
      </c>
      <c r="F5" s="151">
        <f>+IF($B5="","",Summary!$P$5)</f>
        <v>46657</v>
      </c>
      <c r="G5" s="151">
        <f>+IF($B5="","",Summary!$P$6)</f>
        <v>46657</v>
      </c>
      <c r="H5" s="150" t="str">
        <f t="shared" si="2"/>
        <v>Green</v>
      </c>
      <c r="I5" s="148"/>
      <c r="J5" s="149"/>
      <c r="K5" s="148"/>
      <c r="L5" s="148"/>
      <c r="M5" s="148"/>
      <c r="N5" s="148" t="e">
        <f t="shared" si="3"/>
        <v>#REF!</v>
      </c>
      <c r="O5" s="148" t="e">
        <f>COUNTIFS(#REF!,"&gt;="&amp;DATE($C5,$B5,1),#REF!,"&lt;="&amp;EOMONTH(DATE($C5,$B5,1),0),#REF!,"Incident")+
COUNTIFS(#REF!,"&gt;="&amp;DATE($C5,$B5,1),#REF!,"&lt;="&amp;EOMONTH(DATE($C5,$B5,1),0),#REF!,"user_request")</f>
        <v>#REF!</v>
      </c>
      <c r="P5" s="147">
        <f t="shared" ref="P5:P36" si="9">I5+P4</f>
        <v>0</v>
      </c>
      <c r="Q5" s="147">
        <f t="shared" ref="Q5:Q36" si="10">Q4+J5</f>
        <v>0</v>
      </c>
      <c r="R5" s="147">
        <f t="shared" ref="R5:R36" si="11">K5+R4</f>
        <v>0</v>
      </c>
      <c r="S5" s="146" t="e">
        <f t="shared" ref="S5:S36" si="12">N5+S4</f>
        <v>#REF!</v>
      </c>
      <c r="T5" s="146" t="e">
        <f t="shared" ref="T5:T36" si="13">O5+T4</f>
        <v>#REF!</v>
      </c>
      <c r="U5" s="145">
        <f t="shared" si="4"/>
        <v>0</v>
      </c>
      <c r="V5" s="145" t="e">
        <f t="shared" si="5"/>
        <v>#REF!</v>
      </c>
      <c r="W5" s="142">
        <v>2</v>
      </c>
      <c r="X5" s="142" t="str">
        <f>+IF((VLOOKUP(A5,List!B:C,2,0)-VLOOKUP(Summary!$P$7,List!B:C,2,0))=0,1,"")</f>
        <v/>
      </c>
      <c r="Y5" s="198" t="str">
        <f>+IF((VLOOKUP(A5,List!B:C,2,0)-VLOOKUP(Summary!$P$7,List!B:C,2,0))&gt;=0,1,"")</f>
        <v/>
      </c>
      <c r="Z5" s="198" t="str">
        <f>+IF((VLOOKUP(A5,List!B:C,2,0)-VLOOKUP(Summary!$P$7,List!B:C,2,0))&gt;0,1,"")</f>
        <v/>
      </c>
      <c r="AA5" s="141" t="str">
        <f t="shared" si="6"/>
        <v/>
      </c>
      <c r="AB5" s="199" t="str">
        <f>+IF(AA5="","",IF(Summary!$J$7="Fixed Price","",IF(M5="",IF(I5="","",1),"")))</f>
        <v/>
      </c>
      <c r="AC5" s="198">
        <f t="shared" ref="AC5:AC63" si="14">+IFERROR(I5*AA5,0)</f>
        <v>0</v>
      </c>
      <c r="AD5" s="198" t="e">
        <f>+IF(AA5="",+IF(N5&gt;#REF!,#REF!,IF(N5&gt;#REF!,#REF!,IF(N5&gt;#REF!,#REF!,IF(N5&gt;#REF!,#REF!,IF(N5&gt;#REF!,#REF!,IF(N5&gt;#REF!,#REF!,IF(N5&gt;#REF!,#REF!,IF(N5&gt;#REF!,#REF!,#REF!)))))))),0)</f>
        <v>#REF!</v>
      </c>
    </row>
    <row r="6" spans="1:30" x14ac:dyDescent="0.2">
      <c r="A6" s="155" t="str">
        <f t="shared" si="0"/>
        <v>2025-11</v>
      </c>
      <c r="B6" s="154">
        <f t="shared" si="7"/>
        <v>11</v>
      </c>
      <c r="C6" s="153">
        <f t="shared" si="8"/>
        <v>2025</v>
      </c>
      <c r="D6" s="152" t="str">
        <f t="shared" si="1"/>
        <v>2025-11</v>
      </c>
      <c r="E6" s="159">
        <f>+IF($B6="","",Summary!$P$4)</f>
        <v>45929</v>
      </c>
      <c r="F6" s="159">
        <f>+IF($B6="","",Summary!$P$5)</f>
        <v>46657</v>
      </c>
      <c r="G6" s="159">
        <f>+IF($B6="","",Summary!$P$6)</f>
        <v>46657</v>
      </c>
      <c r="H6" s="158" t="str">
        <f t="shared" si="2"/>
        <v>Green</v>
      </c>
      <c r="I6" s="156"/>
      <c r="J6" s="157"/>
      <c r="K6" s="156"/>
      <c r="L6" s="156"/>
      <c r="M6" s="156"/>
      <c r="N6" s="156" t="e">
        <f t="shared" si="3"/>
        <v>#REF!</v>
      </c>
      <c r="O6" s="156" t="e">
        <f>COUNTIFS(#REF!,"&gt;="&amp;DATE($C6,$B6,1),#REF!,"&lt;="&amp;EOMONTH(DATE($C6,$B6,1),0),#REF!,"Incident")+
COUNTIFS(#REF!,"&gt;="&amp;DATE($C6,$B6,1),#REF!,"&lt;="&amp;EOMONTH(DATE($C6,$B6,1),0),#REF!,"user_request")</f>
        <v>#REF!</v>
      </c>
      <c r="P6" s="147">
        <f t="shared" si="9"/>
        <v>0</v>
      </c>
      <c r="Q6" s="147">
        <f t="shared" si="10"/>
        <v>0</v>
      </c>
      <c r="R6" s="147">
        <f t="shared" si="11"/>
        <v>0</v>
      </c>
      <c r="S6" s="146" t="e">
        <f t="shared" si="12"/>
        <v>#REF!</v>
      </c>
      <c r="T6" s="146" t="e">
        <f t="shared" si="13"/>
        <v>#REF!</v>
      </c>
      <c r="U6" s="145">
        <f t="shared" si="4"/>
        <v>0</v>
      </c>
      <c r="V6" s="145" t="e">
        <f t="shared" si="5"/>
        <v>#REF!</v>
      </c>
      <c r="W6" s="142">
        <v>3</v>
      </c>
      <c r="X6" s="142" t="str">
        <f>+IF((VLOOKUP(A6,List!B:C,2,0)-VLOOKUP(Summary!$P$7,List!B:C,2,0))=0,1,"")</f>
        <v/>
      </c>
      <c r="Y6" s="198" t="str">
        <f>+IF((VLOOKUP(A6,List!B:C,2,0)-VLOOKUP(Summary!$P$7,List!B:C,2,0))&gt;=0,1,"")</f>
        <v/>
      </c>
      <c r="Z6" s="198" t="str">
        <f>+IF((VLOOKUP(A6,List!B:C,2,0)-VLOOKUP(Summary!$P$7,List!B:C,2,0))&gt;0,1,"")</f>
        <v/>
      </c>
      <c r="AA6" s="141" t="str">
        <f t="shared" si="6"/>
        <v/>
      </c>
      <c r="AB6" s="199" t="str">
        <f>+IF(AA6="","",IF(Summary!$J$7="Fixed Price","",IF(M6="",IF(I6="","",1),"")))</f>
        <v/>
      </c>
      <c r="AC6" s="198">
        <f t="shared" si="14"/>
        <v>0</v>
      </c>
      <c r="AD6" s="198" t="e">
        <f>+IF(AA6="",+IF(N6&gt;#REF!,#REF!,IF(N6&gt;#REF!,#REF!,IF(N6&gt;#REF!,#REF!,IF(N6&gt;#REF!,#REF!,IF(N6&gt;#REF!,#REF!,IF(N6&gt;#REF!,#REF!,IF(N6&gt;#REF!,#REF!,IF(N6&gt;#REF!,#REF!,#REF!)))))))),0)</f>
        <v>#REF!</v>
      </c>
    </row>
    <row r="7" spans="1:30" x14ac:dyDescent="0.2">
      <c r="A7" s="155" t="str">
        <f t="shared" si="0"/>
        <v>2025-12</v>
      </c>
      <c r="B7" s="154">
        <f t="shared" si="7"/>
        <v>12</v>
      </c>
      <c r="C7" s="153">
        <f t="shared" si="8"/>
        <v>2025</v>
      </c>
      <c r="D7" s="152" t="str">
        <f t="shared" si="1"/>
        <v>2025-12</v>
      </c>
      <c r="E7" s="151">
        <f>+IF($B7="","",Summary!$P$4)</f>
        <v>45929</v>
      </c>
      <c r="F7" s="151">
        <f>+IF($B7="","",Summary!$P$5)</f>
        <v>46657</v>
      </c>
      <c r="G7" s="151">
        <f>+IF($B7="","",Summary!$P$6)</f>
        <v>46657</v>
      </c>
      <c r="H7" s="150" t="str">
        <f t="shared" si="2"/>
        <v>Green</v>
      </c>
      <c r="I7" s="148"/>
      <c r="J7" s="149"/>
      <c r="K7" s="148"/>
      <c r="L7" s="148"/>
      <c r="M7" s="148"/>
      <c r="N7" s="148" t="e">
        <f t="shared" si="3"/>
        <v>#REF!</v>
      </c>
      <c r="O7" s="148" t="e">
        <f>COUNTIFS(#REF!,"&gt;="&amp;DATE($C7,$B7,1),#REF!,"&lt;="&amp;EOMONTH(DATE($C7,$B7,1),0),#REF!,"Incident")+
COUNTIFS(#REF!,"&gt;="&amp;DATE($C7,$B7,1),#REF!,"&lt;="&amp;EOMONTH(DATE($C7,$B7,1),0),#REF!,"user_request")</f>
        <v>#REF!</v>
      </c>
      <c r="P7" s="147">
        <f t="shared" si="9"/>
        <v>0</v>
      </c>
      <c r="Q7" s="147">
        <f t="shared" si="10"/>
        <v>0</v>
      </c>
      <c r="R7" s="147">
        <f t="shared" si="11"/>
        <v>0</v>
      </c>
      <c r="S7" s="146" t="e">
        <f t="shared" si="12"/>
        <v>#REF!</v>
      </c>
      <c r="T7" s="146" t="e">
        <f t="shared" si="13"/>
        <v>#REF!</v>
      </c>
      <c r="U7" s="145">
        <f t="shared" si="4"/>
        <v>0</v>
      </c>
      <c r="V7" s="145" t="e">
        <f t="shared" si="5"/>
        <v>#REF!</v>
      </c>
      <c r="W7" s="142">
        <v>4</v>
      </c>
      <c r="X7" s="142" t="str">
        <f>+IF((VLOOKUP(A7,List!B:C,2,0)-VLOOKUP(Summary!$P$7,List!B:C,2,0))=0,1,"")</f>
        <v/>
      </c>
      <c r="Y7" s="198" t="str">
        <f>+IF((VLOOKUP(A7,List!B:C,2,0)-VLOOKUP(Summary!$P$7,List!B:C,2,0))&gt;=0,1,"")</f>
        <v/>
      </c>
      <c r="Z7" s="198" t="str">
        <f>+IF((VLOOKUP(A7,List!B:C,2,0)-VLOOKUP(Summary!$P$7,List!B:C,2,0))&gt;0,1,"")</f>
        <v/>
      </c>
      <c r="AA7" s="141" t="str">
        <f t="shared" si="6"/>
        <v/>
      </c>
      <c r="AB7" s="199" t="str">
        <f>+IF(AA7="","",IF(Summary!$J$7="Fixed Price","",IF(M7="",IF(I7="","",1),"")))</f>
        <v/>
      </c>
      <c r="AC7" s="198">
        <f t="shared" si="14"/>
        <v>0</v>
      </c>
      <c r="AD7" s="198" t="e">
        <f>+IF(AA7="",+IF(N7&gt;#REF!,#REF!,IF(N7&gt;#REF!,#REF!,IF(N7&gt;#REF!,#REF!,IF(N7&gt;#REF!,#REF!,IF(N7&gt;#REF!,#REF!,IF(N7&gt;#REF!,#REF!,IF(N7&gt;#REF!,#REF!,IF(N7&gt;#REF!,#REF!,#REF!)))))))),0)</f>
        <v>#REF!</v>
      </c>
    </row>
    <row r="8" spans="1:30" x14ac:dyDescent="0.2">
      <c r="A8" s="155" t="str">
        <f t="shared" si="0"/>
        <v>2026-1</v>
      </c>
      <c r="B8" s="154">
        <f t="shared" si="7"/>
        <v>1</v>
      </c>
      <c r="C8" s="153">
        <f t="shared" si="8"/>
        <v>2026</v>
      </c>
      <c r="D8" s="152" t="str">
        <f t="shared" si="1"/>
        <v>2026-1</v>
      </c>
      <c r="E8" s="159">
        <f>+IF($B8="","",Summary!$P$4)</f>
        <v>45929</v>
      </c>
      <c r="F8" s="159">
        <f>+IF($B8="","",Summary!$P$5)</f>
        <v>46657</v>
      </c>
      <c r="G8" s="159">
        <f>+IF($B8="","",Summary!$P$6)</f>
        <v>46657</v>
      </c>
      <c r="H8" s="158" t="str">
        <f t="shared" si="2"/>
        <v>Green</v>
      </c>
      <c r="I8" s="156"/>
      <c r="J8" s="157"/>
      <c r="K8" s="156"/>
      <c r="L8" s="156"/>
      <c r="M8" s="156"/>
      <c r="N8" s="156" t="e">
        <f t="shared" si="3"/>
        <v>#REF!</v>
      </c>
      <c r="O8" s="156" t="e">
        <f>COUNTIFS(#REF!,"&gt;="&amp;DATE($C8,$B8,1),#REF!,"&lt;="&amp;EOMONTH(DATE($C8,$B8,1),0),#REF!,"Incident")+
COUNTIFS(#REF!,"&gt;="&amp;DATE($C8,$B8,1),#REF!,"&lt;="&amp;EOMONTH(DATE($C8,$B8,1),0),#REF!,"user_request")</f>
        <v>#REF!</v>
      </c>
      <c r="P8" s="147">
        <f t="shared" si="9"/>
        <v>0</v>
      </c>
      <c r="Q8" s="147">
        <f t="shared" si="10"/>
        <v>0</v>
      </c>
      <c r="R8" s="147">
        <f t="shared" si="11"/>
        <v>0</v>
      </c>
      <c r="S8" s="146" t="e">
        <f t="shared" si="12"/>
        <v>#REF!</v>
      </c>
      <c r="T8" s="146" t="e">
        <f t="shared" si="13"/>
        <v>#REF!</v>
      </c>
      <c r="U8" s="145">
        <f t="shared" si="4"/>
        <v>0</v>
      </c>
      <c r="V8" s="145" t="e">
        <f t="shared" si="5"/>
        <v>#REF!</v>
      </c>
      <c r="W8" s="142">
        <v>5</v>
      </c>
      <c r="X8" s="142" t="str">
        <f>+IF((VLOOKUP(A8,List!B:C,2,0)-VLOOKUP(Summary!$P$7,List!B:C,2,0))=0,1,"")</f>
        <v/>
      </c>
      <c r="Y8" s="198" t="str">
        <f>+IF((VLOOKUP(A8,List!B:C,2,0)-VLOOKUP(Summary!$P$7,List!B:C,2,0))&gt;=0,1,"")</f>
        <v/>
      </c>
      <c r="Z8" s="198" t="str">
        <f>+IF((VLOOKUP(A8,List!B:C,2,0)-VLOOKUP(Summary!$P$7,List!B:C,2,0))&gt;0,1,"")</f>
        <v/>
      </c>
      <c r="AA8" s="141" t="str">
        <f t="shared" si="6"/>
        <v/>
      </c>
      <c r="AB8" s="199" t="str">
        <f>+IF(AA8="","",IF(Summary!$J$7="Fixed Price","",IF(M8="",IF(I8="","",1),"")))</f>
        <v/>
      </c>
      <c r="AC8" s="198">
        <f t="shared" si="14"/>
        <v>0</v>
      </c>
      <c r="AD8" s="198" t="e">
        <f>+IF(AA8="",+IF(N8&gt;#REF!,#REF!,IF(N8&gt;#REF!,#REF!,IF(N8&gt;#REF!,#REF!,IF(N8&gt;#REF!,#REF!,IF(N8&gt;#REF!,#REF!,IF(N8&gt;#REF!,#REF!,IF(N8&gt;#REF!,#REF!,IF(N8&gt;#REF!,#REF!,#REF!)))))))),0)</f>
        <v>#REF!</v>
      </c>
    </row>
    <row r="9" spans="1:30" x14ac:dyDescent="0.2">
      <c r="A9" s="155" t="str">
        <f t="shared" si="0"/>
        <v>2026-2</v>
      </c>
      <c r="B9" s="154">
        <f t="shared" si="7"/>
        <v>2</v>
      </c>
      <c r="C9" s="153">
        <f t="shared" si="8"/>
        <v>2026</v>
      </c>
      <c r="D9" s="152" t="str">
        <f t="shared" si="1"/>
        <v>2026-2</v>
      </c>
      <c r="E9" s="151">
        <f>+IF($B9="","",Summary!$P$4)</f>
        <v>45929</v>
      </c>
      <c r="F9" s="151">
        <f>+IF($B9="","",Summary!$P$5)</f>
        <v>46657</v>
      </c>
      <c r="G9" s="151">
        <f>+IF($B9="","",Summary!$P$6)</f>
        <v>46657</v>
      </c>
      <c r="H9" s="150" t="str">
        <f t="shared" si="2"/>
        <v>Green</v>
      </c>
      <c r="I9" s="148"/>
      <c r="J9" s="149"/>
      <c r="K9" s="148"/>
      <c r="L9" s="148"/>
      <c r="M9" s="148"/>
      <c r="N9" s="148" t="e">
        <f t="shared" si="3"/>
        <v>#REF!</v>
      </c>
      <c r="O9" s="148" t="e">
        <f>COUNTIFS(#REF!,"&gt;="&amp;DATE($C9,$B9,1),#REF!,"&lt;="&amp;EOMONTH(DATE($C9,$B9,1),0),#REF!,"Incident")+
COUNTIFS(#REF!,"&gt;="&amp;DATE($C9,$B9,1),#REF!,"&lt;="&amp;EOMONTH(DATE($C9,$B9,1),0),#REF!,"user_request")</f>
        <v>#REF!</v>
      </c>
      <c r="P9" s="147">
        <f t="shared" si="9"/>
        <v>0</v>
      </c>
      <c r="Q9" s="147">
        <f t="shared" si="10"/>
        <v>0</v>
      </c>
      <c r="R9" s="147">
        <f t="shared" si="11"/>
        <v>0</v>
      </c>
      <c r="S9" s="146" t="e">
        <f t="shared" si="12"/>
        <v>#REF!</v>
      </c>
      <c r="T9" s="146" t="e">
        <f t="shared" si="13"/>
        <v>#REF!</v>
      </c>
      <c r="U9" s="145">
        <f t="shared" si="4"/>
        <v>0</v>
      </c>
      <c r="V9" s="145" t="e">
        <f t="shared" si="5"/>
        <v>#REF!</v>
      </c>
      <c r="W9" s="142">
        <v>6</v>
      </c>
      <c r="X9" s="142">
        <f>+IF((VLOOKUP(A9,List!B:C,2,0)-VLOOKUP(Summary!$P$7,List!B:C,2,0))=0,1,"")</f>
        <v>1</v>
      </c>
      <c r="Y9" s="198">
        <f>+IF((VLOOKUP(A9,List!B:C,2,0)-VLOOKUP(Summary!$P$7,List!B:C,2,0))&gt;=0,1,"")</f>
        <v>1</v>
      </c>
      <c r="Z9" s="198" t="str">
        <f>+IF((VLOOKUP(A9,List!B:C,2,0)-VLOOKUP(Summary!$P$7,List!B:C,2,0))&gt;0,1,"")</f>
        <v/>
      </c>
      <c r="AA9" s="141" t="str">
        <f t="shared" si="6"/>
        <v/>
      </c>
      <c r="AB9" s="199" t="str">
        <f>+IF(AA9="","",IF(Summary!$J$7="Fixed Price","",IF(M9="",IF(I9="","",1),"")))</f>
        <v/>
      </c>
      <c r="AC9" s="198">
        <f t="shared" si="14"/>
        <v>0</v>
      </c>
      <c r="AD9" s="198" t="e">
        <f>+IF(AA9="",+IF(N9&gt;#REF!,#REF!,IF(N9&gt;#REF!,#REF!,IF(N9&gt;#REF!,#REF!,IF(N9&gt;#REF!,#REF!,IF(N9&gt;#REF!,#REF!,IF(N9&gt;#REF!,#REF!,IF(N9&gt;#REF!,#REF!,IF(N9&gt;#REF!,#REF!,#REF!)))))))),0)</f>
        <v>#REF!</v>
      </c>
    </row>
    <row r="10" spans="1:30" x14ac:dyDescent="0.2">
      <c r="A10" s="155" t="str">
        <f t="shared" si="0"/>
        <v>2026-3</v>
      </c>
      <c r="B10" s="154">
        <f t="shared" si="7"/>
        <v>3</v>
      </c>
      <c r="C10" s="153">
        <f t="shared" si="8"/>
        <v>2026</v>
      </c>
      <c r="D10" s="152" t="str">
        <f t="shared" si="1"/>
        <v>2026-3</v>
      </c>
      <c r="E10" s="159">
        <f>+IF($B10="","",Summary!$P$4)</f>
        <v>45929</v>
      </c>
      <c r="F10" s="159">
        <f>+IF($B10="","",Summary!$P$5)</f>
        <v>46657</v>
      </c>
      <c r="G10" s="159">
        <f>+IF($B10="","",Summary!$P$6)</f>
        <v>46657</v>
      </c>
      <c r="H10" s="158" t="str">
        <f t="shared" si="2"/>
        <v>Green</v>
      </c>
      <c r="I10" s="156"/>
      <c r="J10" s="157"/>
      <c r="K10" s="156"/>
      <c r="L10" s="156"/>
      <c r="M10" s="156"/>
      <c r="N10" s="156" t="e">
        <f t="shared" si="3"/>
        <v>#REF!</v>
      </c>
      <c r="O10" s="156" t="e">
        <f>COUNTIFS(#REF!,"&gt;="&amp;DATE($C10,$B10,1),#REF!,"&lt;="&amp;EOMONTH(DATE($C10,$B10,1),0),#REF!,"Incident")+
COUNTIFS(#REF!,"&gt;="&amp;DATE($C10,$B10,1),#REF!,"&lt;="&amp;EOMONTH(DATE($C10,$B10,1),0),#REF!,"user_request")</f>
        <v>#REF!</v>
      </c>
      <c r="P10" s="147">
        <f t="shared" si="9"/>
        <v>0</v>
      </c>
      <c r="Q10" s="147">
        <f t="shared" si="10"/>
        <v>0</v>
      </c>
      <c r="R10" s="147">
        <f t="shared" si="11"/>
        <v>0</v>
      </c>
      <c r="S10" s="146" t="e">
        <f t="shared" si="12"/>
        <v>#REF!</v>
      </c>
      <c r="T10" s="146" t="e">
        <f t="shared" si="13"/>
        <v>#REF!</v>
      </c>
      <c r="U10" s="145">
        <f t="shared" si="4"/>
        <v>0</v>
      </c>
      <c r="V10" s="145" t="e">
        <f t="shared" si="5"/>
        <v>#REF!</v>
      </c>
      <c r="W10" s="142">
        <v>7</v>
      </c>
      <c r="X10" s="142" t="str">
        <f>+IF((VLOOKUP(A10,List!B:C,2,0)-VLOOKUP(Summary!$P$7,List!B:C,2,0))=0,1,"")</f>
        <v/>
      </c>
      <c r="Y10" s="198">
        <f>+IF((VLOOKUP(A10,List!B:C,2,0)-VLOOKUP(Summary!$P$7,List!B:C,2,0))&gt;=0,1,"")</f>
        <v>1</v>
      </c>
      <c r="Z10" s="198">
        <f>+IF((VLOOKUP(A10,List!B:C,2,0)-VLOOKUP(Summary!$P$7,List!B:C,2,0))&gt;0,1,"")</f>
        <v>1</v>
      </c>
      <c r="AA10" s="141">
        <f t="shared" si="6"/>
        <v>1</v>
      </c>
      <c r="AB10" s="199" t="str">
        <f>+IF(AA10="","",IF(Summary!$J$7="Fixed Price","",IF(M10="",IF(I10="","",1),"")))</f>
        <v/>
      </c>
      <c r="AC10" s="198">
        <f t="shared" si="14"/>
        <v>0</v>
      </c>
      <c r="AD10" s="198">
        <f>+IF(AA10="",+IF(N10&gt;#REF!,#REF!,IF(N10&gt;#REF!,#REF!,IF(N10&gt;#REF!,#REF!,IF(N10&gt;#REF!,#REF!,IF(N10&gt;#REF!,#REF!,IF(N10&gt;#REF!,#REF!,IF(N10&gt;#REF!,#REF!,IF(N10&gt;#REF!,#REF!,#REF!)))))))),0)</f>
        <v>0</v>
      </c>
    </row>
    <row r="11" spans="1:30" x14ac:dyDescent="0.2">
      <c r="A11" s="155" t="str">
        <f t="shared" si="0"/>
        <v>2026-4</v>
      </c>
      <c r="B11" s="154">
        <f t="shared" si="7"/>
        <v>4</v>
      </c>
      <c r="C11" s="153">
        <f t="shared" si="8"/>
        <v>2026</v>
      </c>
      <c r="D11" s="152" t="str">
        <f t="shared" si="1"/>
        <v>2026-4</v>
      </c>
      <c r="E11" s="151">
        <f>+IF($B11="","",Summary!$P$4)</f>
        <v>45929</v>
      </c>
      <c r="F11" s="151">
        <f>+IF($B11="","",Summary!$P$5)</f>
        <v>46657</v>
      </c>
      <c r="G11" s="151">
        <f>+IF($B11="","",Summary!$P$6)</f>
        <v>46657</v>
      </c>
      <c r="H11" s="150" t="str">
        <f t="shared" si="2"/>
        <v>Green</v>
      </c>
      <c r="I11" s="148"/>
      <c r="J11" s="149"/>
      <c r="K11" s="148"/>
      <c r="L11" s="148"/>
      <c r="M11" s="148"/>
      <c r="N11" s="148" t="e">
        <f t="shared" si="3"/>
        <v>#REF!</v>
      </c>
      <c r="O11" s="148" t="e">
        <f>COUNTIFS(#REF!,"&gt;="&amp;DATE($C11,$B11,1),#REF!,"&lt;="&amp;EOMONTH(DATE($C11,$B11,1),0),#REF!,"Incident")+
COUNTIFS(#REF!,"&gt;="&amp;DATE($C11,$B11,1),#REF!,"&lt;="&amp;EOMONTH(DATE($C11,$B11,1),0),#REF!,"user_request")</f>
        <v>#REF!</v>
      </c>
      <c r="P11" s="147">
        <f t="shared" si="9"/>
        <v>0</v>
      </c>
      <c r="Q11" s="147">
        <f t="shared" si="10"/>
        <v>0</v>
      </c>
      <c r="R11" s="147">
        <f t="shared" si="11"/>
        <v>0</v>
      </c>
      <c r="S11" s="146" t="e">
        <f t="shared" si="12"/>
        <v>#REF!</v>
      </c>
      <c r="T11" s="146" t="e">
        <f t="shared" si="13"/>
        <v>#REF!</v>
      </c>
      <c r="U11" s="145">
        <f t="shared" si="4"/>
        <v>0</v>
      </c>
      <c r="V11" s="145" t="e">
        <f t="shared" si="5"/>
        <v>#REF!</v>
      </c>
      <c r="W11" s="142">
        <v>8</v>
      </c>
      <c r="X11" s="142" t="str">
        <f>+IF((VLOOKUP(A11,List!B:C,2,0)-VLOOKUP(Summary!$P$7,List!B:C,2,0))=0,1,"")</f>
        <v/>
      </c>
      <c r="Y11" s="198">
        <f>+IF((VLOOKUP(A11,List!B:C,2,0)-VLOOKUP(Summary!$P$7,List!B:C,2,0))&gt;=0,1,"")</f>
        <v>1</v>
      </c>
      <c r="Z11" s="198">
        <f>+IF((VLOOKUP(A11,List!B:C,2,0)-VLOOKUP(Summary!$P$7,List!B:C,2,0))&gt;0,1,"")</f>
        <v>1</v>
      </c>
      <c r="AA11" s="141">
        <f t="shared" si="6"/>
        <v>1</v>
      </c>
      <c r="AB11" s="199" t="str">
        <f>+IF(AA11="","",IF(Summary!$J$7="Fixed Price","",IF(M11="",IF(I11="","",1),"")))</f>
        <v/>
      </c>
      <c r="AC11" s="198">
        <f t="shared" si="14"/>
        <v>0</v>
      </c>
      <c r="AD11" s="198">
        <f>+IF(AA11="",+IF(N11&gt;#REF!,#REF!,IF(N11&gt;#REF!,#REF!,IF(N11&gt;#REF!,#REF!,IF(N11&gt;#REF!,#REF!,IF(N11&gt;#REF!,#REF!,IF(N11&gt;#REF!,#REF!,IF(N11&gt;#REF!,#REF!,IF(N11&gt;#REF!,#REF!,#REF!)))))))),0)</f>
        <v>0</v>
      </c>
    </row>
    <row r="12" spans="1:30" x14ac:dyDescent="0.2">
      <c r="A12" s="155" t="str">
        <f t="shared" si="0"/>
        <v>2026-5</v>
      </c>
      <c r="B12" s="154">
        <f t="shared" si="7"/>
        <v>5</v>
      </c>
      <c r="C12" s="153">
        <f t="shared" si="8"/>
        <v>2026</v>
      </c>
      <c r="D12" s="152" t="str">
        <f t="shared" si="1"/>
        <v>2026-5</v>
      </c>
      <c r="E12" s="159">
        <f>+IF($B12="","",Summary!$P$4)</f>
        <v>45929</v>
      </c>
      <c r="F12" s="159">
        <f>+IF($B12="","",Summary!$P$5)</f>
        <v>46657</v>
      </c>
      <c r="G12" s="159">
        <f>+IF($B12="","",Summary!$P$6)</f>
        <v>46657</v>
      </c>
      <c r="H12" s="158" t="str">
        <f t="shared" si="2"/>
        <v>Green</v>
      </c>
      <c r="I12" s="156"/>
      <c r="J12" s="157"/>
      <c r="K12" s="156"/>
      <c r="L12" s="156"/>
      <c r="M12" s="156"/>
      <c r="N12" s="156" t="e">
        <f t="shared" si="3"/>
        <v>#REF!</v>
      </c>
      <c r="O12" s="156" t="e">
        <f>COUNTIFS(#REF!,"&gt;="&amp;DATE($C12,$B12,1),#REF!,"&lt;="&amp;EOMONTH(DATE($C12,$B12,1),0),#REF!,"Incident")+
COUNTIFS(#REF!,"&gt;="&amp;DATE($C12,$B12,1),#REF!,"&lt;="&amp;EOMONTH(DATE($C12,$B12,1),0),#REF!,"user_request")</f>
        <v>#REF!</v>
      </c>
      <c r="P12" s="147">
        <f t="shared" si="9"/>
        <v>0</v>
      </c>
      <c r="Q12" s="147">
        <f t="shared" si="10"/>
        <v>0</v>
      </c>
      <c r="R12" s="147">
        <f t="shared" si="11"/>
        <v>0</v>
      </c>
      <c r="S12" s="146" t="e">
        <f t="shared" si="12"/>
        <v>#REF!</v>
      </c>
      <c r="T12" s="146" t="e">
        <f t="shared" si="13"/>
        <v>#REF!</v>
      </c>
      <c r="U12" s="145">
        <f t="shared" si="4"/>
        <v>0</v>
      </c>
      <c r="V12" s="145" t="e">
        <f t="shared" si="5"/>
        <v>#REF!</v>
      </c>
      <c r="W12" s="142">
        <v>9</v>
      </c>
      <c r="X12" s="142" t="str">
        <f>+IF((VLOOKUP(A12,List!B:C,2,0)-VLOOKUP(Summary!$P$7,List!B:C,2,0))=0,1,"")</f>
        <v/>
      </c>
      <c r="Y12" s="198">
        <f>+IF((VLOOKUP(A12,List!B:C,2,0)-VLOOKUP(Summary!$P$7,List!B:C,2,0))&gt;=0,1,"")</f>
        <v>1</v>
      </c>
      <c r="Z12" s="198">
        <f>+IF((VLOOKUP(A12,List!B:C,2,0)-VLOOKUP(Summary!$P$7,List!B:C,2,0))&gt;0,1,"")</f>
        <v>1</v>
      </c>
      <c r="AA12" s="141">
        <f t="shared" si="6"/>
        <v>1</v>
      </c>
      <c r="AB12" s="199" t="str">
        <f>+IF(AA12="","",IF(Summary!$J$7="Fixed Price","",IF(M12="",IF(I12="","",1),"")))</f>
        <v/>
      </c>
      <c r="AC12" s="198">
        <f t="shared" si="14"/>
        <v>0</v>
      </c>
      <c r="AD12" s="198">
        <f>+IF(AA12="",+IF(N12&gt;#REF!,#REF!,IF(N12&gt;#REF!,#REF!,IF(N12&gt;#REF!,#REF!,IF(N12&gt;#REF!,#REF!,IF(N12&gt;#REF!,#REF!,IF(N12&gt;#REF!,#REF!,IF(N12&gt;#REF!,#REF!,IF(N12&gt;#REF!,#REF!,#REF!)))))))),0)</f>
        <v>0</v>
      </c>
    </row>
    <row r="13" spans="1:30" x14ac:dyDescent="0.2">
      <c r="A13" s="155" t="str">
        <f t="shared" si="0"/>
        <v>2026-6</v>
      </c>
      <c r="B13" s="154">
        <f t="shared" si="7"/>
        <v>6</v>
      </c>
      <c r="C13" s="153">
        <f t="shared" si="8"/>
        <v>2026</v>
      </c>
      <c r="D13" s="152" t="str">
        <f t="shared" si="1"/>
        <v>2026-6</v>
      </c>
      <c r="E13" s="151">
        <f>+IF($B13="","",Summary!$P$4)</f>
        <v>45929</v>
      </c>
      <c r="F13" s="151">
        <f>+IF($B13="","",Summary!$P$5)</f>
        <v>46657</v>
      </c>
      <c r="G13" s="151">
        <f>+IF($B13="","",Summary!$P$6)</f>
        <v>46657</v>
      </c>
      <c r="H13" s="150" t="str">
        <f t="shared" si="2"/>
        <v>Green</v>
      </c>
      <c r="I13" s="148"/>
      <c r="J13" s="149"/>
      <c r="K13" s="148"/>
      <c r="L13" s="148"/>
      <c r="M13" s="148"/>
      <c r="N13" s="148" t="e">
        <f t="shared" si="3"/>
        <v>#REF!</v>
      </c>
      <c r="O13" s="148" t="e">
        <f>COUNTIFS(#REF!,"&gt;="&amp;DATE($C13,$B13,1),#REF!,"&lt;="&amp;EOMONTH(DATE($C13,$B13,1),0),#REF!,"Incident")+
COUNTIFS(#REF!,"&gt;="&amp;DATE($C13,$B13,1),#REF!,"&lt;="&amp;EOMONTH(DATE($C13,$B13,1),0),#REF!,"user_request")</f>
        <v>#REF!</v>
      </c>
      <c r="P13" s="147">
        <f t="shared" si="9"/>
        <v>0</v>
      </c>
      <c r="Q13" s="147">
        <f t="shared" si="10"/>
        <v>0</v>
      </c>
      <c r="R13" s="147">
        <f t="shared" si="11"/>
        <v>0</v>
      </c>
      <c r="S13" s="146" t="e">
        <f t="shared" si="12"/>
        <v>#REF!</v>
      </c>
      <c r="T13" s="146" t="e">
        <f t="shared" si="13"/>
        <v>#REF!</v>
      </c>
      <c r="U13" s="145">
        <f t="shared" si="4"/>
        <v>0</v>
      </c>
      <c r="V13" s="145" t="e">
        <f t="shared" si="5"/>
        <v>#REF!</v>
      </c>
      <c r="W13" s="142">
        <v>10</v>
      </c>
      <c r="X13" s="142" t="str">
        <f>+IF((VLOOKUP(A13,List!B:C,2,0)-VLOOKUP(Summary!$P$7,List!B:C,2,0))=0,1,"")</f>
        <v/>
      </c>
      <c r="Y13" s="198">
        <f>+IF((VLOOKUP(A13,List!B:C,2,0)-VLOOKUP(Summary!$P$7,List!B:C,2,0))&gt;=0,1,"")</f>
        <v>1</v>
      </c>
      <c r="Z13" s="198">
        <f>+IF((VLOOKUP(A13,List!B:C,2,0)-VLOOKUP(Summary!$P$7,List!B:C,2,0))&gt;0,1,"")</f>
        <v>1</v>
      </c>
      <c r="AA13" s="141">
        <f t="shared" si="6"/>
        <v>1</v>
      </c>
      <c r="AB13" s="199" t="str">
        <f>+IF(AA13="","",IF(Summary!$J$7="Fixed Price","",IF(M13="",IF(I13="","",1),"")))</f>
        <v/>
      </c>
      <c r="AC13" s="198">
        <f t="shared" si="14"/>
        <v>0</v>
      </c>
      <c r="AD13" s="198">
        <f>+IF(AA13="",+IF(N13&gt;#REF!,#REF!,IF(N13&gt;#REF!,#REF!,IF(N13&gt;#REF!,#REF!,IF(N13&gt;#REF!,#REF!,IF(N13&gt;#REF!,#REF!,IF(N13&gt;#REF!,#REF!,IF(N13&gt;#REF!,#REF!,IF(N13&gt;#REF!,#REF!,#REF!)))))))),0)</f>
        <v>0</v>
      </c>
    </row>
    <row r="14" spans="1:30" x14ac:dyDescent="0.2">
      <c r="A14" s="155" t="str">
        <f t="shared" si="0"/>
        <v>2026-7</v>
      </c>
      <c r="B14" s="154">
        <f t="shared" si="7"/>
        <v>7</v>
      </c>
      <c r="C14" s="153">
        <f t="shared" si="8"/>
        <v>2026</v>
      </c>
      <c r="D14" s="152" t="str">
        <f t="shared" si="1"/>
        <v>2026-7</v>
      </c>
      <c r="E14" s="159">
        <f>+IF($B14="","",Summary!$P$4)</f>
        <v>45929</v>
      </c>
      <c r="F14" s="159">
        <f>+IF($B14="","",Summary!$P$5)</f>
        <v>46657</v>
      </c>
      <c r="G14" s="159">
        <f>+IF($B14="","",Summary!$P$6)</f>
        <v>46657</v>
      </c>
      <c r="H14" s="158" t="str">
        <f t="shared" si="2"/>
        <v>Green</v>
      </c>
      <c r="I14" s="156"/>
      <c r="J14" s="157"/>
      <c r="K14" s="156"/>
      <c r="L14" s="156"/>
      <c r="M14" s="156"/>
      <c r="N14" s="156" t="e">
        <f t="shared" si="3"/>
        <v>#REF!</v>
      </c>
      <c r="O14" s="156" t="e">
        <f>COUNTIFS(#REF!,"&gt;="&amp;DATE($C14,$B14,1),#REF!,"&lt;="&amp;EOMONTH(DATE($C14,$B14,1),0),#REF!,"Incident")+
COUNTIFS(#REF!,"&gt;="&amp;DATE($C14,$B14,1),#REF!,"&lt;="&amp;EOMONTH(DATE($C14,$B14,1),0),#REF!,"user_request")</f>
        <v>#REF!</v>
      </c>
      <c r="P14" s="147">
        <f t="shared" si="9"/>
        <v>0</v>
      </c>
      <c r="Q14" s="147">
        <f t="shared" si="10"/>
        <v>0</v>
      </c>
      <c r="R14" s="147">
        <f t="shared" si="11"/>
        <v>0</v>
      </c>
      <c r="S14" s="146" t="e">
        <f t="shared" si="12"/>
        <v>#REF!</v>
      </c>
      <c r="T14" s="146" t="e">
        <f t="shared" si="13"/>
        <v>#REF!</v>
      </c>
      <c r="U14" s="145">
        <f t="shared" si="4"/>
        <v>0</v>
      </c>
      <c r="V14" s="145" t="e">
        <f t="shared" si="5"/>
        <v>#REF!</v>
      </c>
      <c r="W14" s="142">
        <v>11</v>
      </c>
      <c r="X14" s="142" t="str">
        <f>+IF((VLOOKUP(A14,List!B:C,2,0)-VLOOKUP(Summary!$P$7,List!B:C,2,0))=0,1,"")</f>
        <v/>
      </c>
      <c r="Y14" s="198">
        <f>+IF((VLOOKUP(A14,List!B:C,2,0)-VLOOKUP(Summary!$P$7,List!B:C,2,0))&gt;=0,1,"")</f>
        <v>1</v>
      </c>
      <c r="Z14" s="198">
        <f>+IF((VLOOKUP(A14,List!B:C,2,0)-VLOOKUP(Summary!$P$7,List!B:C,2,0))&gt;0,1,"")</f>
        <v>1</v>
      </c>
      <c r="AA14" s="141">
        <f t="shared" si="6"/>
        <v>1</v>
      </c>
      <c r="AB14" s="199" t="str">
        <f>+IF(AA14="","",IF(Summary!$J$7="Fixed Price","",IF(M14="",IF(I14="","",1),"")))</f>
        <v/>
      </c>
      <c r="AC14" s="198">
        <f t="shared" si="14"/>
        <v>0</v>
      </c>
      <c r="AD14" s="198">
        <f>+IF(AA14="",+IF(N14&gt;#REF!,#REF!,IF(N14&gt;#REF!,#REF!,IF(N14&gt;#REF!,#REF!,IF(N14&gt;#REF!,#REF!,IF(N14&gt;#REF!,#REF!,IF(N14&gt;#REF!,#REF!,IF(N14&gt;#REF!,#REF!,IF(N14&gt;#REF!,#REF!,#REF!)))))))),0)</f>
        <v>0</v>
      </c>
    </row>
    <row r="15" spans="1:30" x14ac:dyDescent="0.2">
      <c r="A15" s="155" t="str">
        <f t="shared" si="0"/>
        <v>2026-8</v>
      </c>
      <c r="B15" s="154">
        <f t="shared" si="7"/>
        <v>8</v>
      </c>
      <c r="C15" s="153">
        <f t="shared" si="8"/>
        <v>2026</v>
      </c>
      <c r="D15" s="152" t="str">
        <f t="shared" si="1"/>
        <v>2026-8</v>
      </c>
      <c r="E15" s="151">
        <f>+IF($B15="","",Summary!$P$4)</f>
        <v>45929</v>
      </c>
      <c r="F15" s="151">
        <f>+IF($B15="","",Summary!$P$5)</f>
        <v>46657</v>
      </c>
      <c r="G15" s="151">
        <f>+IF($B15="","",Summary!$P$6)</f>
        <v>46657</v>
      </c>
      <c r="H15" s="150" t="str">
        <f t="shared" si="2"/>
        <v>Green</v>
      </c>
      <c r="I15" s="148"/>
      <c r="J15" s="149"/>
      <c r="K15" s="148"/>
      <c r="L15" s="148"/>
      <c r="M15" s="148"/>
      <c r="N15" s="148" t="e">
        <f t="shared" si="3"/>
        <v>#REF!</v>
      </c>
      <c r="O15" s="148" t="e">
        <f>COUNTIFS(#REF!,"&gt;="&amp;DATE($C15,$B15,1),#REF!,"&lt;="&amp;EOMONTH(DATE($C15,$B15,1),0),#REF!,"Incident")+
COUNTIFS(#REF!,"&gt;="&amp;DATE($C15,$B15,1),#REF!,"&lt;="&amp;EOMONTH(DATE($C15,$B15,1),0),#REF!,"user_request")</f>
        <v>#REF!</v>
      </c>
      <c r="P15" s="147">
        <f t="shared" si="9"/>
        <v>0</v>
      </c>
      <c r="Q15" s="147">
        <f t="shared" si="10"/>
        <v>0</v>
      </c>
      <c r="R15" s="147">
        <f t="shared" si="11"/>
        <v>0</v>
      </c>
      <c r="S15" s="146" t="e">
        <f t="shared" si="12"/>
        <v>#REF!</v>
      </c>
      <c r="T15" s="146" t="e">
        <f t="shared" si="13"/>
        <v>#REF!</v>
      </c>
      <c r="U15" s="145">
        <f t="shared" si="4"/>
        <v>0</v>
      </c>
      <c r="V15" s="145" t="e">
        <f t="shared" si="5"/>
        <v>#REF!</v>
      </c>
      <c r="W15" s="142">
        <v>12</v>
      </c>
      <c r="X15" s="142" t="str">
        <f>+IF((VLOOKUP(A15,List!B:C,2,0)-VLOOKUP(Summary!$P$7,List!B:C,2,0))=0,1,"")</f>
        <v/>
      </c>
      <c r="Y15" s="198">
        <f>+IF((VLOOKUP(A15,List!B:C,2,0)-VLOOKUP(Summary!$P$7,List!B:C,2,0))&gt;=0,1,"")</f>
        <v>1</v>
      </c>
      <c r="Z15" s="198">
        <f>+IF((VLOOKUP(A15,List!B:C,2,0)-VLOOKUP(Summary!$P$7,List!B:C,2,0))&gt;0,1,"")</f>
        <v>1</v>
      </c>
      <c r="AA15" s="141">
        <f t="shared" si="6"/>
        <v>1</v>
      </c>
      <c r="AB15" s="199" t="str">
        <f>+IF(AA15="","",IF(Summary!$J$7="Fixed Price","",IF(M15="",IF(I15="","",1),"")))</f>
        <v/>
      </c>
      <c r="AC15" s="198">
        <f t="shared" si="14"/>
        <v>0</v>
      </c>
      <c r="AD15" s="198">
        <f>+IF(AA15="",+IF(N15&gt;#REF!,#REF!,IF(N15&gt;#REF!,#REF!,IF(N15&gt;#REF!,#REF!,IF(N15&gt;#REF!,#REF!,IF(N15&gt;#REF!,#REF!,IF(N15&gt;#REF!,#REF!,IF(N15&gt;#REF!,#REF!,IF(N15&gt;#REF!,#REF!,#REF!)))))))),0)</f>
        <v>0</v>
      </c>
    </row>
    <row r="16" spans="1:30" x14ac:dyDescent="0.2">
      <c r="A16" s="155" t="str">
        <f t="shared" si="0"/>
        <v>2026-9</v>
      </c>
      <c r="B16" s="154">
        <f t="shared" si="7"/>
        <v>9</v>
      </c>
      <c r="C16" s="153">
        <f t="shared" si="8"/>
        <v>2026</v>
      </c>
      <c r="D16" s="152" t="str">
        <f t="shared" si="1"/>
        <v>2026-9</v>
      </c>
      <c r="E16" s="159">
        <f>+IF($B16="","",Summary!$P$4)</f>
        <v>45929</v>
      </c>
      <c r="F16" s="159">
        <f>+IF($B16="","",Summary!$P$5)</f>
        <v>46657</v>
      </c>
      <c r="G16" s="159">
        <f>+IF($B16="","",Summary!$P$6)</f>
        <v>46657</v>
      </c>
      <c r="H16" s="158" t="str">
        <f t="shared" si="2"/>
        <v>Green</v>
      </c>
      <c r="I16" s="156"/>
      <c r="J16" s="160"/>
      <c r="K16" s="156"/>
      <c r="L16" s="156"/>
      <c r="M16" s="156"/>
      <c r="N16" s="156" t="e">
        <f t="shared" si="3"/>
        <v>#REF!</v>
      </c>
      <c r="O16" s="156" t="e">
        <f>COUNTIFS(#REF!,"&gt;="&amp;DATE($C16,$B16,1),#REF!,"&lt;="&amp;EOMONTH(DATE($C16,$B16,1),0),#REF!,"Incident")+
COUNTIFS(#REF!,"&gt;="&amp;DATE($C16,$B16,1),#REF!,"&lt;="&amp;EOMONTH(DATE($C16,$B16,1),0),#REF!,"user_request")</f>
        <v>#REF!</v>
      </c>
      <c r="P16" s="147">
        <f t="shared" si="9"/>
        <v>0</v>
      </c>
      <c r="Q16" s="147">
        <f t="shared" si="10"/>
        <v>0</v>
      </c>
      <c r="R16" s="147">
        <f t="shared" si="11"/>
        <v>0</v>
      </c>
      <c r="S16" s="146" t="e">
        <f t="shared" si="12"/>
        <v>#REF!</v>
      </c>
      <c r="T16" s="146" t="e">
        <f t="shared" si="13"/>
        <v>#REF!</v>
      </c>
      <c r="U16" s="145">
        <f t="shared" si="4"/>
        <v>0</v>
      </c>
      <c r="V16" s="145" t="e">
        <f t="shared" si="5"/>
        <v>#REF!</v>
      </c>
      <c r="W16" s="142">
        <v>13</v>
      </c>
      <c r="X16" s="142" t="str">
        <f>+IF((VLOOKUP(A16,List!B:C,2,0)-VLOOKUP(Summary!$P$7,List!B:C,2,0))=0,1,"")</f>
        <v/>
      </c>
      <c r="Y16" s="198">
        <f>+IF((VLOOKUP(A16,List!B:C,2,0)-VLOOKUP(Summary!$P$7,List!B:C,2,0))&gt;=0,1,"")</f>
        <v>1</v>
      </c>
      <c r="Z16" s="198">
        <f>+IF((VLOOKUP(A16,List!B:C,2,0)-VLOOKUP(Summary!$P$7,List!B:C,2,0))&gt;0,1,"")</f>
        <v>1</v>
      </c>
      <c r="AA16" s="141">
        <f t="shared" si="6"/>
        <v>1</v>
      </c>
      <c r="AB16" s="199" t="str">
        <f>+IF(AA16="","",IF(Summary!$J$7="Fixed Price","",IF(M16="",IF(I16="","",1),"")))</f>
        <v/>
      </c>
      <c r="AC16" s="198">
        <f t="shared" si="14"/>
        <v>0</v>
      </c>
      <c r="AD16" s="198">
        <f>+IF(AA16="",+IF(N16&gt;#REF!,#REF!,IF(N16&gt;#REF!,#REF!,IF(N16&gt;#REF!,#REF!,IF(N16&gt;#REF!,#REF!,IF(N16&gt;#REF!,#REF!,IF(N16&gt;#REF!,#REF!,IF(N16&gt;#REF!,#REF!,IF(N16&gt;#REF!,#REF!,#REF!)))))))),0)</f>
        <v>0</v>
      </c>
    </row>
    <row r="17" spans="1:30" x14ac:dyDescent="0.2">
      <c r="A17" s="155" t="str">
        <f t="shared" si="0"/>
        <v>2026-10</v>
      </c>
      <c r="B17" s="154">
        <f t="shared" si="7"/>
        <v>10</v>
      </c>
      <c r="C17" s="153">
        <f t="shared" si="8"/>
        <v>2026</v>
      </c>
      <c r="D17" s="152" t="str">
        <f t="shared" si="1"/>
        <v>2026-10</v>
      </c>
      <c r="E17" s="151">
        <f>+IF($B17="","",Summary!$P$4)</f>
        <v>45929</v>
      </c>
      <c r="F17" s="151">
        <f>+IF($B17="","",Summary!$P$5)</f>
        <v>46657</v>
      </c>
      <c r="G17" s="151">
        <f>+IF($B17="","",Summary!$P$6)</f>
        <v>46657</v>
      </c>
      <c r="H17" s="150" t="str">
        <f t="shared" si="2"/>
        <v>Green</v>
      </c>
      <c r="I17" s="148"/>
      <c r="J17" s="161"/>
      <c r="K17" s="148"/>
      <c r="L17" s="148"/>
      <c r="M17" s="148"/>
      <c r="N17" s="148" t="e">
        <f t="shared" si="3"/>
        <v>#REF!</v>
      </c>
      <c r="O17" s="148" t="e">
        <f>COUNTIFS(#REF!,"&gt;="&amp;DATE($C17,$B17,1),#REF!,"&lt;="&amp;EOMONTH(DATE($C17,$B17,1),0),#REF!,"Incident")+
COUNTIFS(#REF!,"&gt;="&amp;DATE($C17,$B17,1),#REF!,"&lt;="&amp;EOMONTH(DATE($C17,$B17,1),0),#REF!,"user_request")</f>
        <v>#REF!</v>
      </c>
      <c r="P17" s="147">
        <f t="shared" si="9"/>
        <v>0</v>
      </c>
      <c r="Q17" s="147">
        <f t="shared" si="10"/>
        <v>0</v>
      </c>
      <c r="R17" s="147">
        <f t="shared" si="11"/>
        <v>0</v>
      </c>
      <c r="S17" s="146" t="e">
        <f t="shared" si="12"/>
        <v>#REF!</v>
      </c>
      <c r="T17" s="146" t="e">
        <f t="shared" si="13"/>
        <v>#REF!</v>
      </c>
      <c r="U17" s="145">
        <f t="shared" si="4"/>
        <v>0</v>
      </c>
      <c r="V17" s="145" t="e">
        <f t="shared" si="5"/>
        <v>#REF!</v>
      </c>
      <c r="W17" s="142">
        <v>14</v>
      </c>
      <c r="X17" s="142" t="str">
        <f>+IF((VLOOKUP(A17,List!B:C,2,0)-VLOOKUP(Summary!$P$7,List!B:C,2,0))=0,1,"")</f>
        <v/>
      </c>
      <c r="Y17" s="198">
        <f>+IF((VLOOKUP(A17,List!B:C,2,0)-VLOOKUP(Summary!$P$7,List!B:C,2,0))&gt;=0,1,"")</f>
        <v>1</v>
      </c>
      <c r="Z17" s="198">
        <f>+IF((VLOOKUP(A17,List!B:C,2,0)-VLOOKUP(Summary!$P$7,List!B:C,2,0))&gt;0,1,"")</f>
        <v>1</v>
      </c>
      <c r="AA17" s="141">
        <f t="shared" si="6"/>
        <v>1</v>
      </c>
      <c r="AB17" s="199" t="str">
        <f>+IF(AA17="","",IF(Summary!$J$7="Fixed Price","",IF(M17="",IF(I17="","",1),"")))</f>
        <v/>
      </c>
      <c r="AC17" s="198">
        <f t="shared" si="14"/>
        <v>0</v>
      </c>
      <c r="AD17" s="198">
        <f>+IF(AA17="",+IF(N17&gt;#REF!,#REF!,IF(N17&gt;#REF!,#REF!,IF(N17&gt;#REF!,#REF!,IF(N17&gt;#REF!,#REF!,IF(N17&gt;#REF!,#REF!,IF(N17&gt;#REF!,#REF!,IF(N17&gt;#REF!,#REF!,IF(N17&gt;#REF!,#REF!,#REF!)))))))),0)</f>
        <v>0</v>
      </c>
    </row>
    <row r="18" spans="1:30" x14ac:dyDescent="0.2">
      <c r="A18" s="155" t="str">
        <f t="shared" si="0"/>
        <v>2026-11</v>
      </c>
      <c r="B18" s="154">
        <f t="shared" si="7"/>
        <v>11</v>
      </c>
      <c r="C18" s="153">
        <f t="shared" si="8"/>
        <v>2026</v>
      </c>
      <c r="D18" s="152" t="str">
        <f t="shared" si="1"/>
        <v>2026-11</v>
      </c>
      <c r="E18" s="159">
        <f>+IF($B18="","",Summary!$P$4)</f>
        <v>45929</v>
      </c>
      <c r="F18" s="159">
        <f>+IF($B18="","",Summary!$P$5)</f>
        <v>46657</v>
      </c>
      <c r="G18" s="159">
        <f>+IF($B18="","",Summary!$P$6)</f>
        <v>46657</v>
      </c>
      <c r="H18" s="158" t="str">
        <f t="shared" si="2"/>
        <v>Green</v>
      </c>
      <c r="I18" s="156"/>
      <c r="J18" s="160"/>
      <c r="K18" s="156"/>
      <c r="L18" s="156"/>
      <c r="M18" s="156"/>
      <c r="N18" s="156" t="e">
        <f t="shared" si="3"/>
        <v>#REF!</v>
      </c>
      <c r="O18" s="156" t="e">
        <f>COUNTIFS(#REF!,"&gt;="&amp;DATE($C18,$B18,1),#REF!,"&lt;="&amp;EOMONTH(DATE($C18,$B18,1),0),#REF!,"Incident")+
COUNTIFS(#REF!,"&gt;="&amp;DATE($C18,$B18,1),#REF!,"&lt;="&amp;EOMONTH(DATE($C18,$B18,1),0),#REF!,"user_request")</f>
        <v>#REF!</v>
      </c>
      <c r="P18" s="147">
        <f t="shared" si="9"/>
        <v>0</v>
      </c>
      <c r="Q18" s="147">
        <f t="shared" si="10"/>
        <v>0</v>
      </c>
      <c r="R18" s="147">
        <f t="shared" si="11"/>
        <v>0</v>
      </c>
      <c r="S18" s="146" t="e">
        <f t="shared" si="12"/>
        <v>#REF!</v>
      </c>
      <c r="T18" s="146" t="e">
        <f t="shared" si="13"/>
        <v>#REF!</v>
      </c>
      <c r="U18" s="145">
        <f t="shared" si="4"/>
        <v>0</v>
      </c>
      <c r="V18" s="145" t="e">
        <f t="shared" si="5"/>
        <v>#REF!</v>
      </c>
      <c r="W18" s="142">
        <v>15</v>
      </c>
      <c r="X18" s="142" t="str">
        <f>+IF((VLOOKUP(A18,List!B:C,2,0)-VLOOKUP(Summary!$P$7,List!B:C,2,0))=0,1,"")</f>
        <v/>
      </c>
      <c r="Y18" s="198">
        <f>+IF((VLOOKUP(A18,List!B:C,2,0)-VLOOKUP(Summary!$P$7,List!B:C,2,0))&gt;=0,1,"")</f>
        <v>1</v>
      </c>
      <c r="Z18" s="198">
        <f>+IF((VLOOKUP(A18,List!B:C,2,0)-VLOOKUP(Summary!$P$7,List!B:C,2,0))&gt;0,1,"")</f>
        <v>1</v>
      </c>
      <c r="AA18" s="141">
        <f t="shared" si="6"/>
        <v>1</v>
      </c>
      <c r="AB18" s="199" t="str">
        <f>+IF(AA18="","",IF(Summary!$J$7="Fixed Price","",IF(M18="",IF(I18="","",1),"")))</f>
        <v/>
      </c>
      <c r="AC18" s="198">
        <f t="shared" si="14"/>
        <v>0</v>
      </c>
      <c r="AD18" s="198">
        <f>+IF(AA18="",+IF(N18&gt;#REF!,#REF!,IF(N18&gt;#REF!,#REF!,IF(N18&gt;#REF!,#REF!,IF(N18&gt;#REF!,#REF!,IF(N18&gt;#REF!,#REF!,IF(N18&gt;#REF!,#REF!,IF(N18&gt;#REF!,#REF!,IF(N18&gt;#REF!,#REF!,#REF!)))))))),0)</f>
        <v>0</v>
      </c>
    </row>
    <row r="19" spans="1:30" x14ac:dyDescent="0.2">
      <c r="A19" s="155" t="str">
        <f t="shared" si="0"/>
        <v>2026-12</v>
      </c>
      <c r="B19" s="154">
        <f t="shared" si="7"/>
        <v>12</v>
      </c>
      <c r="C19" s="153">
        <f t="shared" si="8"/>
        <v>2026</v>
      </c>
      <c r="D19" s="152" t="str">
        <f t="shared" si="1"/>
        <v>2026-12</v>
      </c>
      <c r="E19" s="151">
        <f>+IF($B19="","",Summary!$P$4)</f>
        <v>45929</v>
      </c>
      <c r="F19" s="151">
        <f>+IF($B19="","",Summary!$P$5)</f>
        <v>46657</v>
      </c>
      <c r="G19" s="151">
        <f>+IF($B19="","",Summary!$P$6)</f>
        <v>46657</v>
      </c>
      <c r="H19" s="150" t="str">
        <f t="shared" si="2"/>
        <v>Green</v>
      </c>
      <c r="I19" s="148"/>
      <c r="J19" s="161"/>
      <c r="K19" s="148"/>
      <c r="L19" s="148"/>
      <c r="M19" s="148"/>
      <c r="N19" s="148" t="e">
        <f t="shared" si="3"/>
        <v>#REF!</v>
      </c>
      <c r="O19" s="148" t="e">
        <f>COUNTIFS(#REF!,"&gt;="&amp;DATE($C19,$B19,1),#REF!,"&lt;="&amp;EOMONTH(DATE($C19,$B19,1),0),#REF!,"Incident")+
COUNTIFS(#REF!,"&gt;="&amp;DATE($C19,$B19,1),#REF!,"&lt;="&amp;EOMONTH(DATE($C19,$B19,1),0),#REF!,"user_request")</f>
        <v>#REF!</v>
      </c>
      <c r="P19" s="147">
        <f t="shared" si="9"/>
        <v>0</v>
      </c>
      <c r="Q19" s="147">
        <f t="shared" si="10"/>
        <v>0</v>
      </c>
      <c r="R19" s="147">
        <f t="shared" si="11"/>
        <v>0</v>
      </c>
      <c r="S19" s="146" t="e">
        <f t="shared" si="12"/>
        <v>#REF!</v>
      </c>
      <c r="T19" s="146" t="e">
        <f t="shared" si="13"/>
        <v>#REF!</v>
      </c>
      <c r="U19" s="145">
        <f t="shared" si="4"/>
        <v>0</v>
      </c>
      <c r="V19" s="145" t="e">
        <f t="shared" si="5"/>
        <v>#REF!</v>
      </c>
      <c r="W19" s="142">
        <v>16</v>
      </c>
      <c r="X19" s="142" t="str">
        <f>+IF((VLOOKUP(A19,List!B:C,2,0)-VLOOKUP(Summary!$P$7,List!B:C,2,0))=0,1,"")</f>
        <v/>
      </c>
      <c r="Y19" s="198">
        <f>+IF((VLOOKUP(A19,List!B:C,2,0)-VLOOKUP(Summary!$P$7,List!B:C,2,0))&gt;=0,1,"")</f>
        <v>1</v>
      </c>
      <c r="Z19" s="198">
        <f>+IF((VLOOKUP(A19,List!B:C,2,0)-VLOOKUP(Summary!$P$7,List!B:C,2,0))&gt;0,1,"")</f>
        <v>1</v>
      </c>
      <c r="AA19" s="141">
        <f t="shared" si="6"/>
        <v>1</v>
      </c>
      <c r="AB19" s="199" t="str">
        <f>+IF(AA19="","",IF(Summary!$J$7="Fixed Price","",IF(M19="",IF(I19="","",1),"")))</f>
        <v/>
      </c>
      <c r="AC19" s="198">
        <f t="shared" si="14"/>
        <v>0</v>
      </c>
      <c r="AD19" s="198">
        <f>+IF(AA19="",+IF(N19&gt;#REF!,#REF!,IF(N19&gt;#REF!,#REF!,IF(N19&gt;#REF!,#REF!,IF(N19&gt;#REF!,#REF!,IF(N19&gt;#REF!,#REF!,IF(N19&gt;#REF!,#REF!,IF(N19&gt;#REF!,#REF!,IF(N19&gt;#REF!,#REF!,#REF!)))))))),0)</f>
        <v>0</v>
      </c>
    </row>
    <row r="20" spans="1:30" x14ac:dyDescent="0.2">
      <c r="A20" s="155" t="str">
        <f t="shared" si="0"/>
        <v>2027-1</v>
      </c>
      <c r="B20" s="154">
        <f t="shared" si="7"/>
        <v>1</v>
      </c>
      <c r="C20" s="153">
        <f t="shared" si="8"/>
        <v>2027</v>
      </c>
      <c r="D20" s="152" t="str">
        <f t="shared" si="1"/>
        <v>2027-1</v>
      </c>
      <c r="E20" s="159">
        <f>+IF($B20="","",Summary!$P$4)</f>
        <v>45929</v>
      </c>
      <c r="F20" s="159">
        <f>+IF($B20="","",Summary!$P$5)</f>
        <v>46657</v>
      </c>
      <c r="G20" s="159">
        <f>+IF($B20="","",Summary!$P$6)</f>
        <v>46657</v>
      </c>
      <c r="H20" s="158" t="str">
        <f t="shared" si="2"/>
        <v>Green</v>
      </c>
      <c r="I20" s="156"/>
      <c r="J20" s="160"/>
      <c r="K20" s="156"/>
      <c r="L20" s="156"/>
      <c r="M20" s="156"/>
      <c r="N20" s="156" t="e">
        <f t="shared" si="3"/>
        <v>#REF!</v>
      </c>
      <c r="O20" s="156" t="e">
        <f>COUNTIFS(#REF!,"&gt;="&amp;DATE($C20,$B20,1),#REF!,"&lt;="&amp;EOMONTH(DATE($C20,$B20,1),0),#REF!,"Incident")+
COUNTIFS(#REF!,"&gt;="&amp;DATE($C20,$B20,1),#REF!,"&lt;="&amp;EOMONTH(DATE($C20,$B20,1),0),#REF!,"user_request")</f>
        <v>#REF!</v>
      </c>
      <c r="P20" s="147">
        <f t="shared" si="9"/>
        <v>0</v>
      </c>
      <c r="Q20" s="147">
        <f t="shared" si="10"/>
        <v>0</v>
      </c>
      <c r="R20" s="147">
        <f t="shared" si="11"/>
        <v>0</v>
      </c>
      <c r="S20" s="146" t="e">
        <f t="shared" si="12"/>
        <v>#REF!</v>
      </c>
      <c r="T20" s="146" t="e">
        <f t="shared" si="13"/>
        <v>#REF!</v>
      </c>
      <c r="U20" s="145">
        <f t="shared" si="4"/>
        <v>0</v>
      </c>
      <c r="V20" s="145" t="e">
        <f t="shared" si="5"/>
        <v>#REF!</v>
      </c>
      <c r="W20" s="142">
        <v>17</v>
      </c>
      <c r="X20" s="142" t="str">
        <f>+IF((VLOOKUP(A20,List!B:C,2,0)-VLOOKUP(Summary!$P$7,List!B:C,2,0))=0,1,"")</f>
        <v/>
      </c>
      <c r="Y20" s="198">
        <f>+IF((VLOOKUP(A20,List!B:C,2,0)-VLOOKUP(Summary!$P$7,List!B:C,2,0))&gt;=0,1,"")</f>
        <v>1</v>
      </c>
      <c r="Z20" s="198">
        <f>+IF((VLOOKUP(A20,List!B:C,2,0)-VLOOKUP(Summary!$P$7,List!B:C,2,0))&gt;0,1,"")</f>
        <v>1</v>
      </c>
      <c r="AA20" s="141">
        <f t="shared" si="6"/>
        <v>1</v>
      </c>
      <c r="AB20" s="199" t="str">
        <f>+IF(AA20="","",IF(Summary!$J$7="Fixed Price","",IF(M20="",IF(I20="","",1),"")))</f>
        <v/>
      </c>
      <c r="AC20" s="198">
        <f t="shared" si="14"/>
        <v>0</v>
      </c>
      <c r="AD20" s="198">
        <f>+IF(AA20="",+IF(N20&gt;#REF!,#REF!,IF(N20&gt;#REF!,#REF!,IF(N20&gt;#REF!,#REF!,IF(N20&gt;#REF!,#REF!,IF(N20&gt;#REF!,#REF!,IF(N20&gt;#REF!,#REF!,IF(N20&gt;#REF!,#REF!,IF(N20&gt;#REF!,#REF!,#REF!)))))))),0)</f>
        <v>0</v>
      </c>
    </row>
    <row r="21" spans="1:30" x14ac:dyDescent="0.2">
      <c r="A21" s="155" t="str">
        <f t="shared" si="0"/>
        <v>2027-2</v>
      </c>
      <c r="B21" s="154">
        <f t="shared" si="7"/>
        <v>2</v>
      </c>
      <c r="C21" s="153">
        <f t="shared" si="8"/>
        <v>2027</v>
      </c>
      <c r="D21" s="152" t="str">
        <f t="shared" si="1"/>
        <v>2027-2</v>
      </c>
      <c r="E21" s="151">
        <f>+IF($B21="","",Summary!$P$4)</f>
        <v>45929</v>
      </c>
      <c r="F21" s="151">
        <f>+IF($B21="","",Summary!$P$5)</f>
        <v>46657</v>
      </c>
      <c r="G21" s="151">
        <f>+IF($B21="","",Summary!$P$6)</f>
        <v>46657</v>
      </c>
      <c r="H21" s="150" t="str">
        <f t="shared" si="2"/>
        <v>Green</v>
      </c>
      <c r="I21" s="148"/>
      <c r="J21" s="161"/>
      <c r="K21" s="148"/>
      <c r="L21" s="148"/>
      <c r="M21" s="148"/>
      <c r="N21" s="148" t="e">
        <f t="shared" si="3"/>
        <v>#REF!</v>
      </c>
      <c r="O21" s="148" t="e">
        <f>COUNTIFS(#REF!,"&gt;="&amp;DATE($C21,$B21,1),#REF!,"&lt;="&amp;EOMONTH(DATE($C21,$B21,1),0),#REF!,"Incident")+
COUNTIFS(#REF!,"&gt;="&amp;DATE($C21,$B21,1),#REF!,"&lt;="&amp;EOMONTH(DATE($C21,$B21,1),0),#REF!,"user_request")</f>
        <v>#REF!</v>
      </c>
      <c r="P21" s="147">
        <f t="shared" si="9"/>
        <v>0</v>
      </c>
      <c r="Q21" s="147">
        <f t="shared" si="10"/>
        <v>0</v>
      </c>
      <c r="R21" s="147">
        <f t="shared" si="11"/>
        <v>0</v>
      </c>
      <c r="S21" s="146" t="e">
        <f t="shared" si="12"/>
        <v>#REF!</v>
      </c>
      <c r="T21" s="146" t="e">
        <f t="shared" si="13"/>
        <v>#REF!</v>
      </c>
      <c r="U21" s="145">
        <f t="shared" si="4"/>
        <v>0</v>
      </c>
      <c r="V21" s="145" t="e">
        <f t="shared" si="5"/>
        <v>#REF!</v>
      </c>
      <c r="W21" s="142">
        <v>18</v>
      </c>
      <c r="X21" s="142" t="str">
        <f>+IF((VLOOKUP(A21,List!B:C,2,0)-VLOOKUP(Summary!$P$7,List!B:C,2,0))=0,1,"")</f>
        <v/>
      </c>
      <c r="Y21" s="198">
        <f>+IF((VLOOKUP(A21,List!B:C,2,0)-VLOOKUP(Summary!$P$7,List!B:C,2,0))&gt;=0,1,"")</f>
        <v>1</v>
      </c>
      <c r="Z21" s="198">
        <f>+IF((VLOOKUP(A21,List!B:C,2,0)-VLOOKUP(Summary!$P$7,List!B:C,2,0))&gt;0,1,"")</f>
        <v>1</v>
      </c>
      <c r="AA21" s="141">
        <f t="shared" si="6"/>
        <v>1</v>
      </c>
      <c r="AB21" s="199" t="str">
        <f>+IF(AA21="","",IF(Summary!$J$7="Fixed Price","",IF(M21="",IF(I21="","",1),"")))</f>
        <v/>
      </c>
      <c r="AC21" s="198">
        <f t="shared" si="14"/>
        <v>0</v>
      </c>
      <c r="AD21" s="198">
        <f>+IF(AA21="",+IF(N21&gt;#REF!,#REF!,IF(N21&gt;#REF!,#REF!,IF(N21&gt;#REF!,#REF!,IF(N21&gt;#REF!,#REF!,IF(N21&gt;#REF!,#REF!,IF(N21&gt;#REF!,#REF!,IF(N21&gt;#REF!,#REF!,IF(N21&gt;#REF!,#REF!,#REF!)))))))),0)</f>
        <v>0</v>
      </c>
    </row>
    <row r="22" spans="1:30" x14ac:dyDescent="0.2">
      <c r="A22" s="155" t="str">
        <f t="shared" si="0"/>
        <v>2027-3</v>
      </c>
      <c r="B22" s="154">
        <f t="shared" si="7"/>
        <v>3</v>
      </c>
      <c r="C22" s="153">
        <f t="shared" si="8"/>
        <v>2027</v>
      </c>
      <c r="D22" s="152" t="str">
        <f t="shared" si="1"/>
        <v>2027-3</v>
      </c>
      <c r="E22" s="159">
        <f>+IF($B22="","",Summary!$P$4)</f>
        <v>45929</v>
      </c>
      <c r="F22" s="159">
        <f>+IF($B22="","",Summary!$P$5)</f>
        <v>46657</v>
      </c>
      <c r="G22" s="159">
        <f>+IF($B22="","",Summary!$P$6)</f>
        <v>46657</v>
      </c>
      <c r="H22" s="158" t="str">
        <f t="shared" si="2"/>
        <v>Green</v>
      </c>
      <c r="I22" s="156"/>
      <c r="J22" s="160"/>
      <c r="K22" s="156"/>
      <c r="L22" s="156"/>
      <c r="M22" s="156"/>
      <c r="N22" s="156" t="e">
        <f t="shared" si="3"/>
        <v>#REF!</v>
      </c>
      <c r="O22" s="156" t="e">
        <f>COUNTIFS(#REF!,"&gt;="&amp;DATE($C22,$B22,1),#REF!,"&lt;="&amp;EOMONTH(DATE($C22,$B22,1),0),#REF!,"Incident")+
COUNTIFS(#REF!,"&gt;="&amp;DATE($C22,$B22,1),#REF!,"&lt;="&amp;EOMONTH(DATE($C22,$B22,1),0),#REF!,"user_request")</f>
        <v>#REF!</v>
      </c>
      <c r="P22" s="147">
        <f t="shared" si="9"/>
        <v>0</v>
      </c>
      <c r="Q22" s="147">
        <f t="shared" si="10"/>
        <v>0</v>
      </c>
      <c r="R22" s="147">
        <f t="shared" si="11"/>
        <v>0</v>
      </c>
      <c r="S22" s="146" t="e">
        <f t="shared" si="12"/>
        <v>#REF!</v>
      </c>
      <c r="T22" s="146" t="e">
        <f t="shared" si="13"/>
        <v>#REF!</v>
      </c>
      <c r="U22" s="145">
        <f t="shared" si="4"/>
        <v>0</v>
      </c>
      <c r="V22" s="145" t="e">
        <f t="shared" si="5"/>
        <v>#REF!</v>
      </c>
      <c r="W22" s="142">
        <v>19</v>
      </c>
      <c r="X22" s="142" t="str">
        <f>+IF((VLOOKUP(A22,List!B:C,2,0)-VLOOKUP(Summary!$P$7,List!B:C,2,0))=0,1,"")</f>
        <v/>
      </c>
      <c r="Y22" s="198">
        <f>+IF((VLOOKUP(A22,List!B:C,2,0)-VLOOKUP(Summary!$P$7,List!B:C,2,0))&gt;=0,1,"")</f>
        <v>1</v>
      </c>
      <c r="Z22" s="198">
        <f>+IF((VLOOKUP(A22,List!B:C,2,0)-VLOOKUP(Summary!$P$7,List!B:C,2,0))&gt;0,1,"")</f>
        <v>1</v>
      </c>
      <c r="AA22" s="141">
        <f t="shared" si="6"/>
        <v>1</v>
      </c>
      <c r="AB22" s="199" t="str">
        <f>+IF(AA22="","",IF(Summary!$J$7="Fixed Price","",IF(M22="",IF(I22="","",1),"")))</f>
        <v/>
      </c>
      <c r="AC22" s="198">
        <f t="shared" si="14"/>
        <v>0</v>
      </c>
      <c r="AD22" s="198">
        <f>+IF(AA22="",+IF(N22&gt;#REF!,#REF!,IF(N22&gt;#REF!,#REF!,IF(N22&gt;#REF!,#REF!,IF(N22&gt;#REF!,#REF!,IF(N22&gt;#REF!,#REF!,IF(N22&gt;#REF!,#REF!,IF(N22&gt;#REF!,#REF!,IF(N22&gt;#REF!,#REF!,#REF!)))))))),0)</f>
        <v>0</v>
      </c>
    </row>
    <row r="23" spans="1:30" x14ac:dyDescent="0.2">
      <c r="A23" s="155" t="str">
        <f t="shared" si="0"/>
        <v>2027-4</v>
      </c>
      <c r="B23" s="154">
        <f t="shared" si="7"/>
        <v>4</v>
      </c>
      <c r="C23" s="153">
        <f t="shared" si="8"/>
        <v>2027</v>
      </c>
      <c r="D23" s="152" t="str">
        <f t="shared" si="1"/>
        <v>2027-4</v>
      </c>
      <c r="E23" s="151">
        <f>+IF($B23="","",Summary!$P$4)</f>
        <v>45929</v>
      </c>
      <c r="F23" s="151">
        <f>+IF($B23="","",Summary!$P$5)</f>
        <v>46657</v>
      </c>
      <c r="G23" s="151">
        <f>+IF($B23="","",Summary!$P$6)</f>
        <v>46657</v>
      </c>
      <c r="H23" s="150" t="str">
        <f t="shared" si="2"/>
        <v>Green</v>
      </c>
      <c r="I23" s="148"/>
      <c r="J23" s="148"/>
      <c r="K23" s="148"/>
      <c r="L23" s="148"/>
      <c r="M23" s="148"/>
      <c r="N23" s="148" t="e">
        <f t="shared" si="3"/>
        <v>#REF!</v>
      </c>
      <c r="O23" s="148" t="e">
        <f>COUNTIFS(#REF!,"&gt;="&amp;DATE($C23,$B23,1),#REF!,"&lt;="&amp;EOMONTH(DATE($C23,$B23,1),0),#REF!,"Incident")+
COUNTIFS(#REF!,"&gt;="&amp;DATE($C23,$B23,1),#REF!,"&lt;="&amp;EOMONTH(DATE($C23,$B23,1),0),#REF!,"user_request")</f>
        <v>#REF!</v>
      </c>
      <c r="P23" s="147">
        <f t="shared" si="9"/>
        <v>0</v>
      </c>
      <c r="Q23" s="147">
        <f t="shared" si="10"/>
        <v>0</v>
      </c>
      <c r="R23" s="147">
        <f t="shared" si="11"/>
        <v>0</v>
      </c>
      <c r="S23" s="146" t="e">
        <f t="shared" si="12"/>
        <v>#REF!</v>
      </c>
      <c r="T23" s="146" t="e">
        <f t="shared" si="13"/>
        <v>#REF!</v>
      </c>
      <c r="U23" s="145">
        <f t="shared" si="4"/>
        <v>0</v>
      </c>
      <c r="V23" s="145" t="e">
        <f t="shared" si="5"/>
        <v>#REF!</v>
      </c>
      <c r="W23" s="142">
        <v>20</v>
      </c>
      <c r="X23" s="142" t="str">
        <f>+IF((VLOOKUP(A23,List!B:C,2,0)-VLOOKUP(Summary!$P$7,List!B:C,2,0))=0,1,"")</f>
        <v/>
      </c>
      <c r="Y23" s="198">
        <f>+IF((VLOOKUP(A23,List!B:C,2,0)-VLOOKUP(Summary!$P$7,List!B:C,2,0))&gt;=0,1,"")</f>
        <v>1</v>
      </c>
      <c r="Z23" s="198">
        <f>+IF((VLOOKUP(A23,List!B:C,2,0)-VLOOKUP(Summary!$P$7,List!B:C,2,0))&gt;0,1,"")</f>
        <v>1</v>
      </c>
      <c r="AA23" s="141">
        <f t="shared" si="6"/>
        <v>1</v>
      </c>
      <c r="AB23" s="199" t="str">
        <f>+IF(AA23="","",IF(Summary!$J$7="Fixed Price","",IF(M23="",IF(I23="","",1),"")))</f>
        <v/>
      </c>
      <c r="AC23" s="198">
        <f t="shared" si="14"/>
        <v>0</v>
      </c>
      <c r="AD23" s="198">
        <f>+IF(AA23="",+IF(N23&gt;#REF!,#REF!,IF(N23&gt;#REF!,#REF!,IF(N23&gt;#REF!,#REF!,IF(N23&gt;#REF!,#REF!,IF(N23&gt;#REF!,#REF!,IF(N23&gt;#REF!,#REF!,IF(N23&gt;#REF!,#REF!,IF(N23&gt;#REF!,#REF!,#REF!)))))))),0)</f>
        <v>0</v>
      </c>
    </row>
    <row r="24" spans="1:30" x14ac:dyDescent="0.2">
      <c r="A24" s="155" t="str">
        <f t="shared" si="0"/>
        <v>2027-5</v>
      </c>
      <c r="B24" s="154">
        <f t="shared" si="7"/>
        <v>5</v>
      </c>
      <c r="C24" s="153">
        <f t="shared" si="8"/>
        <v>2027</v>
      </c>
      <c r="D24" s="152" t="str">
        <f t="shared" si="1"/>
        <v>2027-5</v>
      </c>
      <c r="E24" s="159">
        <f>+IF($B24="","",Summary!$P$4)</f>
        <v>45929</v>
      </c>
      <c r="F24" s="159">
        <f>+IF($B24="","",Summary!$P$5)</f>
        <v>46657</v>
      </c>
      <c r="G24" s="159">
        <f>+IF($B24="","",Summary!$P$6)</f>
        <v>46657</v>
      </c>
      <c r="H24" s="158" t="str">
        <f t="shared" si="2"/>
        <v>Green</v>
      </c>
      <c r="I24" s="156"/>
      <c r="J24" s="156"/>
      <c r="K24" s="156"/>
      <c r="L24" s="156"/>
      <c r="M24" s="156"/>
      <c r="N24" s="156" t="e">
        <f t="shared" si="3"/>
        <v>#REF!</v>
      </c>
      <c r="O24" s="156" t="e">
        <f>COUNTIFS(#REF!,"&gt;="&amp;DATE($C24,$B24,1),#REF!,"&lt;="&amp;EOMONTH(DATE($C24,$B24,1),0),#REF!,"Incident")+
COUNTIFS(#REF!,"&gt;="&amp;DATE($C24,$B24,1),#REF!,"&lt;="&amp;EOMONTH(DATE($C24,$B24,1),0),#REF!,"user_request")</f>
        <v>#REF!</v>
      </c>
      <c r="P24" s="147">
        <f t="shared" si="9"/>
        <v>0</v>
      </c>
      <c r="Q24" s="147">
        <f t="shared" si="10"/>
        <v>0</v>
      </c>
      <c r="R24" s="147">
        <f t="shared" si="11"/>
        <v>0</v>
      </c>
      <c r="S24" s="146" t="e">
        <f t="shared" si="12"/>
        <v>#REF!</v>
      </c>
      <c r="T24" s="146" t="e">
        <f t="shared" si="13"/>
        <v>#REF!</v>
      </c>
      <c r="U24" s="145">
        <f t="shared" si="4"/>
        <v>0</v>
      </c>
      <c r="V24" s="145" t="e">
        <f t="shared" si="5"/>
        <v>#REF!</v>
      </c>
      <c r="W24" s="142">
        <v>21</v>
      </c>
      <c r="X24" s="142" t="str">
        <f>+IF((VLOOKUP(A24,List!B:C,2,0)-VLOOKUP(Summary!$P$7,List!B:C,2,0))=0,1,"")</f>
        <v/>
      </c>
      <c r="Y24" s="198">
        <f>+IF((VLOOKUP(A24,List!B:C,2,0)-VLOOKUP(Summary!$P$7,List!B:C,2,0))&gt;=0,1,"")</f>
        <v>1</v>
      </c>
      <c r="Z24" s="198">
        <f>+IF((VLOOKUP(A24,List!B:C,2,0)-VLOOKUP(Summary!$P$7,List!B:C,2,0))&gt;0,1,"")</f>
        <v>1</v>
      </c>
      <c r="AA24" s="141">
        <f t="shared" si="6"/>
        <v>1</v>
      </c>
      <c r="AB24" s="199" t="str">
        <f>+IF(AA24="","",IF(Summary!$J$7="Fixed Price","",IF(M24="",IF(I24="","",1),"")))</f>
        <v/>
      </c>
      <c r="AC24" s="198">
        <f t="shared" si="14"/>
        <v>0</v>
      </c>
      <c r="AD24" s="198">
        <f>+IF(AA24="",+IF(N24&gt;#REF!,#REF!,IF(N24&gt;#REF!,#REF!,IF(N24&gt;#REF!,#REF!,IF(N24&gt;#REF!,#REF!,IF(N24&gt;#REF!,#REF!,IF(N24&gt;#REF!,#REF!,IF(N24&gt;#REF!,#REF!,IF(N24&gt;#REF!,#REF!,#REF!)))))))),0)</f>
        <v>0</v>
      </c>
    </row>
    <row r="25" spans="1:30" x14ac:dyDescent="0.2">
      <c r="A25" s="155" t="str">
        <f t="shared" si="0"/>
        <v>2027-6</v>
      </c>
      <c r="B25" s="154">
        <f t="shared" si="7"/>
        <v>6</v>
      </c>
      <c r="C25" s="153">
        <f t="shared" si="8"/>
        <v>2027</v>
      </c>
      <c r="D25" s="152" t="str">
        <f t="shared" si="1"/>
        <v>2027-6</v>
      </c>
      <c r="E25" s="151">
        <f>+IF($B25="","",Summary!$P$4)</f>
        <v>45929</v>
      </c>
      <c r="F25" s="151">
        <f>+IF($B25="","",Summary!$P$5)</f>
        <v>46657</v>
      </c>
      <c r="G25" s="151">
        <f>+IF($B25="","",Summary!$P$6)</f>
        <v>46657</v>
      </c>
      <c r="H25" s="150" t="str">
        <f t="shared" si="2"/>
        <v>Green</v>
      </c>
      <c r="I25" s="148"/>
      <c r="J25" s="148"/>
      <c r="K25" s="148"/>
      <c r="L25" s="148"/>
      <c r="M25" s="148"/>
      <c r="N25" s="148" t="e">
        <f t="shared" si="3"/>
        <v>#REF!</v>
      </c>
      <c r="O25" s="148" t="e">
        <f>COUNTIFS(#REF!,"&gt;="&amp;DATE($C25,$B25,1),#REF!,"&lt;="&amp;EOMONTH(DATE($C25,$B25,1),0),#REF!,"Incident")+
COUNTIFS(#REF!,"&gt;="&amp;DATE($C25,$B25,1),#REF!,"&lt;="&amp;EOMONTH(DATE($C25,$B25,1),0),#REF!,"user_request")</f>
        <v>#REF!</v>
      </c>
      <c r="P25" s="147">
        <f t="shared" si="9"/>
        <v>0</v>
      </c>
      <c r="Q25" s="147">
        <f t="shared" si="10"/>
        <v>0</v>
      </c>
      <c r="R25" s="147">
        <f t="shared" si="11"/>
        <v>0</v>
      </c>
      <c r="S25" s="146" t="e">
        <f t="shared" si="12"/>
        <v>#REF!</v>
      </c>
      <c r="T25" s="146" t="e">
        <f t="shared" si="13"/>
        <v>#REF!</v>
      </c>
      <c r="U25" s="145">
        <f t="shared" si="4"/>
        <v>0</v>
      </c>
      <c r="V25" s="145" t="e">
        <f t="shared" si="5"/>
        <v>#REF!</v>
      </c>
      <c r="W25" s="142">
        <v>22</v>
      </c>
      <c r="X25" s="142" t="str">
        <f>+IF((VLOOKUP(A25,List!B:C,2,0)-VLOOKUP(Summary!$P$7,List!B:C,2,0))=0,1,"")</f>
        <v/>
      </c>
      <c r="Y25" s="198">
        <f>+IF((VLOOKUP(A25,List!B:C,2,0)-VLOOKUP(Summary!$P$7,List!B:C,2,0))&gt;=0,1,"")</f>
        <v>1</v>
      </c>
      <c r="Z25" s="198">
        <f>+IF((VLOOKUP(A25,List!B:C,2,0)-VLOOKUP(Summary!$P$7,List!B:C,2,0))&gt;0,1,"")</f>
        <v>1</v>
      </c>
      <c r="AA25" s="141">
        <f t="shared" si="6"/>
        <v>1</v>
      </c>
      <c r="AB25" s="199" t="str">
        <f>+IF(AA25="","",IF(Summary!$J$7="Fixed Price","",IF(M25="",IF(I25="","",1),"")))</f>
        <v/>
      </c>
      <c r="AC25" s="198">
        <f t="shared" si="14"/>
        <v>0</v>
      </c>
      <c r="AD25" s="198">
        <f>+IF(AA25="",+IF(N25&gt;#REF!,#REF!,IF(N25&gt;#REF!,#REF!,IF(N25&gt;#REF!,#REF!,IF(N25&gt;#REF!,#REF!,IF(N25&gt;#REF!,#REF!,IF(N25&gt;#REF!,#REF!,IF(N25&gt;#REF!,#REF!,IF(N25&gt;#REF!,#REF!,#REF!)))))))),0)</f>
        <v>0</v>
      </c>
    </row>
    <row r="26" spans="1:30" x14ac:dyDescent="0.2">
      <c r="A26" s="155" t="str">
        <f t="shared" si="0"/>
        <v>2027-7</v>
      </c>
      <c r="B26" s="154">
        <f t="shared" si="7"/>
        <v>7</v>
      </c>
      <c r="C26" s="153">
        <f t="shared" si="8"/>
        <v>2027</v>
      </c>
      <c r="D26" s="152" t="str">
        <f t="shared" si="1"/>
        <v>2027-7</v>
      </c>
      <c r="E26" s="159">
        <f>+IF($B26="","",Summary!$P$4)</f>
        <v>45929</v>
      </c>
      <c r="F26" s="159">
        <f>+IF($B26="","",Summary!$P$5)</f>
        <v>46657</v>
      </c>
      <c r="G26" s="159">
        <f>+IF($B26="","",Summary!$P$6)</f>
        <v>46657</v>
      </c>
      <c r="H26" s="158" t="str">
        <f t="shared" si="2"/>
        <v>Green</v>
      </c>
      <c r="I26" s="156"/>
      <c r="J26" s="156"/>
      <c r="K26" s="156"/>
      <c r="L26" s="156"/>
      <c r="M26" s="156"/>
      <c r="N26" s="156" t="e">
        <f t="shared" si="3"/>
        <v>#REF!</v>
      </c>
      <c r="O26" s="156" t="e">
        <f>COUNTIFS(#REF!,"&gt;="&amp;DATE($C26,$B26,1),#REF!,"&lt;="&amp;EOMONTH(DATE($C26,$B26,1),0),#REF!,"Incident")+
COUNTIFS(#REF!,"&gt;="&amp;DATE($C26,$B26,1),#REF!,"&lt;="&amp;EOMONTH(DATE($C26,$B26,1),0),#REF!,"user_request")</f>
        <v>#REF!</v>
      </c>
      <c r="P26" s="147">
        <f t="shared" si="9"/>
        <v>0</v>
      </c>
      <c r="Q26" s="147">
        <f t="shared" si="10"/>
        <v>0</v>
      </c>
      <c r="R26" s="147">
        <f t="shared" si="11"/>
        <v>0</v>
      </c>
      <c r="S26" s="146" t="e">
        <f t="shared" si="12"/>
        <v>#REF!</v>
      </c>
      <c r="T26" s="146" t="e">
        <f t="shared" si="13"/>
        <v>#REF!</v>
      </c>
      <c r="U26" s="145">
        <f t="shared" si="4"/>
        <v>0</v>
      </c>
      <c r="V26" s="145" t="e">
        <f t="shared" si="5"/>
        <v>#REF!</v>
      </c>
      <c r="W26" s="142">
        <v>23</v>
      </c>
      <c r="X26" s="142" t="str">
        <f>+IF((VLOOKUP(A26,List!B:C,2,0)-VLOOKUP(Summary!$P$7,List!B:C,2,0))=0,1,"")</f>
        <v/>
      </c>
      <c r="Y26" s="198">
        <f>+IF((VLOOKUP(A26,List!B:C,2,0)-VLOOKUP(Summary!$P$7,List!B:C,2,0))&gt;=0,1,"")</f>
        <v>1</v>
      </c>
      <c r="Z26" s="198">
        <f>+IF((VLOOKUP(A26,List!B:C,2,0)-VLOOKUP(Summary!$P$7,List!B:C,2,0))&gt;0,1,"")</f>
        <v>1</v>
      </c>
      <c r="AA26" s="141">
        <f t="shared" si="6"/>
        <v>1</v>
      </c>
      <c r="AB26" s="199" t="str">
        <f>+IF(AA26="","",IF(Summary!$J$7="Fixed Price","",IF(M26="",IF(I26="","",1),"")))</f>
        <v/>
      </c>
      <c r="AC26" s="198">
        <f t="shared" si="14"/>
        <v>0</v>
      </c>
      <c r="AD26" s="198">
        <f>+IF(AA26="",+IF(N26&gt;#REF!,#REF!,IF(N26&gt;#REF!,#REF!,IF(N26&gt;#REF!,#REF!,IF(N26&gt;#REF!,#REF!,IF(N26&gt;#REF!,#REF!,IF(N26&gt;#REF!,#REF!,IF(N26&gt;#REF!,#REF!,IF(N26&gt;#REF!,#REF!,#REF!)))))))),0)</f>
        <v>0</v>
      </c>
    </row>
    <row r="27" spans="1:30" x14ac:dyDescent="0.2">
      <c r="A27" s="155" t="str">
        <f t="shared" si="0"/>
        <v>2027-8</v>
      </c>
      <c r="B27" s="154">
        <f t="shared" si="7"/>
        <v>8</v>
      </c>
      <c r="C27" s="153">
        <f t="shared" si="8"/>
        <v>2027</v>
      </c>
      <c r="D27" s="152" t="str">
        <f t="shared" si="1"/>
        <v>2027-8</v>
      </c>
      <c r="E27" s="151">
        <f>+IF($B27="","",Summary!$P$4)</f>
        <v>45929</v>
      </c>
      <c r="F27" s="151">
        <f>+IF($B27="","",Summary!$P$5)</f>
        <v>46657</v>
      </c>
      <c r="G27" s="151">
        <f>+IF($B27="","",Summary!$P$6)</f>
        <v>46657</v>
      </c>
      <c r="H27" s="150" t="str">
        <f t="shared" si="2"/>
        <v>Green</v>
      </c>
      <c r="I27" s="148"/>
      <c r="J27" s="148"/>
      <c r="K27" s="148"/>
      <c r="L27" s="148"/>
      <c r="M27" s="148"/>
      <c r="N27" s="148" t="e">
        <f t="shared" si="3"/>
        <v>#REF!</v>
      </c>
      <c r="O27" s="148" t="e">
        <f>COUNTIFS(#REF!,"&gt;="&amp;DATE($C27,$B27,1),#REF!,"&lt;="&amp;EOMONTH(DATE($C27,$B27,1),0),#REF!,"Incident")+
COUNTIFS(#REF!,"&gt;="&amp;DATE($C27,$B27,1),#REF!,"&lt;="&amp;EOMONTH(DATE($C27,$B27,1),0),#REF!,"user_request")</f>
        <v>#REF!</v>
      </c>
      <c r="P27" s="147">
        <f t="shared" si="9"/>
        <v>0</v>
      </c>
      <c r="Q27" s="147">
        <f t="shared" si="10"/>
        <v>0</v>
      </c>
      <c r="R27" s="147">
        <f t="shared" si="11"/>
        <v>0</v>
      </c>
      <c r="S27" s="146" t="e">
        <f t="shared" si="12"/>
        <v>#REF!</v>
      </c>
      <c r="T27" s="146" t="e">
        <f t="shared" si="13"/>
        <v>#REF!</v>
      </c>
      <c r="U27" s="145">
        <f t="shared" si="4"/>
        <v>0</v>
      </c>
      <c r="V27" s="145" t="e">
        <f t="shared" si="5"/>
        <v>#REF!</v>
      </c>
      <c r="W27" s="142">
        <v>24</v>
      </c>
      <c r="X27" s="142" t="str">
        <f>+IF((VLOOKUP(A27,List!B:C,2,0)-VLOOKUP(Summary!$P$7,List!B:C,2,0))=0,1,"")</f>
        <v/>
      </c>
      <c r="Y27" s="198">
        <f>+IF((VLOOKUP(A27,List!B:C,2,0)-VLOOKUP(Summary!$P$7,List!B:C,2,0))&gt;=0,1,"")</f>
        <v>1</v>
      </c>
      <c r="Z27" s="198">
        <f>+IF((VLOOKUP(A27,List!B:C,2,0)-VLOOKUP(Summary!$P$7,List!B:C,2,0))&gt;0,1,"")</f>
        <v>1</v>
      </c>
      <c r="AA27" s="141">
        <f t="shared" si="6"/>
        <v>1</v>
      </c>
      <c r="AB27" s="199" t="str">
        <f>+IF(AA27="","",IF(Summary!$J$7="Fixed Price","",IF(M27="",IF(I27="","",1),"")))</f>
        <v/>
      </c>
      <c r="AC27" s="198">
        <f t="shared" si="14"/>
        <v>0</v>
      </c>
      <c r="AD27" s="198">
        <f>+IF(AA27="",+IF(N27&gt;#REF!,#REF!,IF(N27&gt;#REF!,#REF!,IF(N27&gt;#REF!,#REF!,IF(N27&gt;#REF!,#REF!,IF(N27&gt;#REF!,#REF!,IF(N27&gt;#REF!,#REF!,IF(N27&gt;#REF!,#REF!,IF(N27&gt;#REF!,#REF!,#REF!)))))))),0)</f>
        <v>0</v>
      </c>
    </row>
    <row r="28" spans="1:30" x14ac:dyDescent="0.2">
      <c r="A28" s="155" t="str">
        <f t="shared" si="0"/>
        <v>2027-9</v>
      </c>
      <c r="B28" s="154">
        <f t="shared" si="7"/>
        <v>9</v>
      </c>
      <c r="C28" s="153">
        <f t="shared" si="8"/>
        <v>2027</v>
      </c>
      <c r="D28" s="152" t="str">
        <f t="shared" si="1"/>
        <v>2027-9</v>
      </c>
      <c r="E28" s="159">
        <f>+IF($B28="","",Summary!$P$4)</f>
        <v>45929</v>
      </c>
      <c r="F28" s="159">
        <f>+IF($B28="","",Summary!$P$5)</f>
        <v>46657</v>
      </c>
      <c r="G28" s="159">
        <f>+IF($B28="","",Summary!$P$6)</f>
        <v>46657</v>
      </c>
      <c r="H28" s="158" t="str">
        <f t="shared" si="2"/>
        <v>Green</v>
      </c>
      <c r="I28" s="156"/>
      <c r="J28" s="156"/>
      <c r="K28" s="156"/>
      <c r="L28" s="156"/>
      <c r="M28" s="156"/>
      <c r="N28" s="156" t="e">
        <f t="shared" si="3"/>
        <v>#REF!</v>
      </c>
      <c r="O28" s="156" t="e">
        <f>COUNTIFS(#REF!,"&gt;="&amp;DATE($C28,$B28,1),#REF!,"&lt;="&amp;EOMONTH(DATE($C28,$B28,1),0),#REF!,"Incident")+
COUNTIFS(#REF!,"&gt;="&amp;DATE($C28,$B28,1),#REF!,"&lt;="&amp;EOMONTH(DATE($C28,$B28,1),0),#REF!,"user_request")</f>
        <v>#REF!</v>
      </c>
      <c r="P28" s="147">
        <f t="shared" si="9"/>
        <v>0</v>
      </c>
      <c r="Q28" s="147">
        <f t="shared" si="10"/>
        <v>0</v>
      </c>
      <c r="R28" s="147">
        <f t="shared" si="11"/>
        <v>0</v>
      </c>
      <c r="S28" s="146" t="e">
        <f t="shared" si="12"/>
        <v>#REF!</v>
      </c>
      <c r="T28" s="146" t="e">
        <f t="shared" si="13"/>
        <v>#REF!</v>
      </c>
      <c r="U28" s="145">
        <f t="shared" si="4"/>
        <v>0</v>
      </c>
      <c r="V28" s="145" t="e">
        <f t="shared" si="5"/>
        <v>#REF!</v>
      </c>
      <c r="W28" s="142">
        <v>25</v>
      </c>
      <c r="X28" s="142" t="str">
        <f>+IF((VLOOKUP(A28,List!B:C,2,0)-VLOOKUP(Summary!$P$7,List!B:C,2,0))=0,1,"")</f>
        <v/>
      </c>
      <c r="Y28" s="198">
        <f>+IF((VLOOKUP(A28,List!B:C,2,0)-VLOOKUP(Summary!$P$7,List!B:C,2,0))&gt;=0,1,"")</f>
        <v>1</v>
      </c>
      <c r="Z28" s="198">
        <f>+IF((VLOOKUP(A28,List!B:C,2,0)-VLOOKUP(Summary!$P$7,List!B:C,2,0))&gt;0,1,"")</f>
        <v>1</v>
      </c>
      <c r="AA28" s="141">
        <f t="shared" si="6"/>
        <v>1</v>
      </c>
      <c r="AB28" s="199" t="str">
        <f>+IF(AA28="","",IF(Summary!$J$7="Fixed Price","",IF(M28="",IF(I28="","",1),"")))</f>
        <v/>
      </c>
      <c r="AC28" s="198">
        <f t="shared" si="14"/>
        <v>0</v>
      </c>
      <c r="AD28" s="198">
        <f>+IF(AA28="",+IF(N28&gt;#REF!,#REF!,IF(N28&gt;#REF!,#REF!,IF(N28&gt;#REF!,#REF!,IF(N28&gt;#REF!,#REF!,IF(N28&gt;#REF!,#REF!,IF(N28&gt;#REF!,#REF!,IF(N28&gt;#REF!,#REF!,IF(N28&gt;#REF!,#REF!,#REF!)))))))),0)</f>
        <v>0</v>
      </c>
    </row>
    <row r="29" spans="1:30" x14ac:dyDescent="0.2">
      <c r="A29" s="155" t="str">
        <f t="shared" si="0"/>
        <v>-</v>
      </c>
      <c r="B29" s="154" t="str">
        <f t="shared" si="7"/>
        <v/>
      </c>
      <c r="C29" s="153" t="str">
        <f t="shared" si="8"/>
        <v/>
      </c>
      <c r="D29" s="152" t="str">
        <f t="shared" si="1"/>
        <v>-</v>
      </c>
      <c r="E29" s="151" t="str">
        <f>+IF($B29="","",Summary!$P$4)</f>
        <v/>
      </c>
      <c r="F29" s="151" t="str">
        <f>+IF($B29="","",Summary!$P$5)</f>
        <v/>
      </c>
      <c r="G29" s="151" t="str">
        <f>+IF($B29="","",Summary!$P$6)</f>
        <v/>
      </c>
      <c r="H29" s="150" t="str">
        <f t="shared" si="2"/>
        <v/>
      </c>
      <c r="I29" s="148"/>
      <c r="J29" s="148"/>
      <c r="K29" s="148"/>
      <c r="L29" s="148"/>
      <c r="M29" s="148"/>
      <c r="N29" s="148" t="e">
        <f t="shared" si="3"/>
        <v>#REF!</v>
      </c>
      <c r="O29" s="148" t="e">
        <f>COUNTIFS(#REF!,"&gt;="&amp;DATE($C29,$B29,1),#REF!,"&lt;="&amp;EOMONTH(DATE($C29,$B29,1),0),#REF!,"Incident")+
COUNTIFS(#REF!,"&gt;="&amp;DATE($C29,$B29,1),#REF!,"&lt;="&amp;EOMONTH(DATE($C29,$B29,1),0),#REF!,"user_request")</f>
        <v>#REF!</v>
      </c>
      <c r="P29" s="147">
        <f t="shared" si="9"/>
        <v>0</v>
      </c>
      <c r="Q29" s="147">
        <f t="shared" si="10"/>
        <v>0</v>
      </c>
      <c r="R29" s="147">
        <f t="shared" si="11"/>
        <v>0</v>
      </c>
      <c r="S29" s="146" t="e">
        <f t="shared" si="12"/>
        <v>#REF!</v>
      </c>
      <c r="T29" s="146" t="e">
        <f t="shared" si="13"/>
        <v>#REF!</v>
      </c>
      <c r="U29" s="145">
        <f t="shared" si="4"/>
        <v>0</v>
      </c>
      <c r="V29" s="145" t="e">
        <f t="shared" si="5"/>
        <v>#REF!</v>
      </c>
      <c r="W29" s="142">
        <v>26</v>
      </c>
      <c r="X29" s="142" t="str">
        <f>+IF((VLOOKUP(A29,List!B:C,2,0)-VLOOKUP(Summary!$P$7,List!B:C,2,0))=0,1,"")</f>
        <v/>
      </c>
      <c r="Y29" s="198">
        <f>+IF((VLOOKUP(A29,List!B:C,2,0)-VLOOKUP(Summary!$P$7,List!B:C,2,0))&gt;=0,1,"")</f>
        <v>1</v>
      </c>
      <c r="Z29" s="198">
        <f>+IF((VLOOKUP(A29,List!B:C,2,0)-VLOOKUP(Summary!$P$7,List!B:C,2,0))&gt;0,1,"")</f>
        <v>1</v>
      </c>
      <c r="AA29" s="141">
        <f t="shared" si="6"/>
        <v>2</v>
      </c>
      <c r="AB29" s="199" t="str">
        <f>+IF(AA29="","",IF(Summary!$J$7="Fixed Price","",IF(M29="",IF(I29="","",1),"")))</f>
        <v/>
      </c>
      <c r="AC29" s="198">
        <f t="shared" si="14"/>
        <v>0</v>
      </c>
      <c r="AD29" s="198">
        <f>+IF(AA29="",+IF(N29&gt;#REF!,#REF!,IF(N29&gt;#REF!,#REF!,IF(N29&gt;#REF!,#REF!,IF(N29&gt;#REF!,#REF!,IF(N29&gt;#REF!,#REF!,IF(N29&gt;#REF!,#REF!,IF(N29&gt;#REF!,#REF!,IF(N29&gt;#REF!,#REF!,#REF!)))))))),0)</f>
        <v>0</v>
      </c>
    </row>
    <row r="30" spans="1:30" x14ac:dyDescent="0.2">
      <c r="A30" s="155" t="str">
        <f t="shared" si="0"/>
        <v>-</v>
      </c>
      <c r="B30" s="154" t="str">
        <f t="shared" si="7"/>
        <v/>
      </c>
      <c r="C30" s="153" t="str">
        <f t="shared" si="8"/>
        <v/>
      </c>
      <c r="D30" s="152" t="str">
        <f t="shared" si="1"/>
        <v>-</v>
      </c>
      <c r="E30" s="159" t="str">
        <f>+IF($B30="","",Summary!$P$4)</f>
        <v/>
      </c>
      <c r="F30" s="159" t="str">
        <f>+IF($B30="","",Summary!$P$5)</f>
        <v/>
      </c>
      <c r="G30" s="159" t="str">
        <f>+IF($B30="","",Summary!$P$6)</f>
        <v/>
      </c>
      <c r="H30" s="158" t="str">
        <f t="shared" si="2"/>
        <v/>
      </c>
      <c r="I30" s="156"/>
      <c r="J30" s="156"/>
      <c r="K30" s="156"/>
      <c r="L30" s="156"/>
      <c r="M30" s="156"/>
      <c r="N30" s="156" t="e">
        <f t="shared" si="3"/>
        <v>#REF!</v>
      </c>
      <c r="O30" s="156" t="e">
        <f>COUNTIFS(#REF!,"&gt;="&amp;DATE($C30,$B30,1),#REF!,"&lt;="&amp;EOMONTH(DATE($C30,$B30,1),0),#REF!,"Incident")+
COUNTIFS(#REF!,"&gt;="&amp;DATE($C30,$B30,1),#REF!,"&lt;="&amp;EOMONTH(DATE($C30,$B30,1),0),#REF!,"user_request")</f>
        <v>#REF!</v>
      </c>
      <c r="P30" s="147">
        <f t="shared" si="9"/>
        <v>0</v>
      </c>
      <c r="Q30" s="147">
        <f t="shared" si="10"/>
        <v>0</v>
      </c>
      <c r="R30" s="147">
        <f t="shared" si="11"/>
        <v>0</v>
      </c>
      <c r="S30" s="146" t="e">
        <f t="shared" si="12"/>
        <v>#REF!</v>
      </c>
      <c r="T30" s="146" t="e">
        <f t="shared" si="13"/>
        <v>#REF!</v>
      </c>
      <c r="U30" s="145">
        <f t="shared" si="4"/>
        <v>0</v>
      </c>
      <c r="V30" s="145" t="e">
        <f t="shared" si="5"/>
        <v>#REF!</v>
      </c>
      <c r="W30" s="142">
        <v>27</v>
      </c>
      <c r="X30" s="142" t="str">
        <f>+IF((VLOOKUP(A30,List!B:C,2,0)-VLOOKUP(Summary!$P$7,List!B:C,2,0))=0,1,"")</f>
        <v/>
      </c>
      <c r="Y30" s="198">
        <f>+IF((VLOOKUP(A30,List!B:C,2,0)-VLOOKUP(Summary!$P$7,List!B:C,2,0))&gt;=0,1,"")</f>
        <v>1</v>
      </c>
      <c r="Z30" s="198">
        <f>+IF((VLOOKUP(A30,List!B:C,2,0)-VLOOKUP(Summary!$P$7,List!B:C,2,0))&gt;0,1,"")</f>
        <v>1</v>
      </c>
      <c r="AA30" s="141">
        <f t="shared" si="6"/>
        <v>2</v>
      </c>
      <c r="AB30" s="199" t="str">
        <f>+IF(AA30="","",IF(Summary!$J$7="Fixed Price","",IF(M30="",IF(I30="","",1),"")))</f>
        <v/>
      </c>
      <c r="AC30" s="198">
        <f t="shared" si="14"/>
        <v>0</v>
      </c>
      <c r="AD30" s="198">
        <f>+IF(AA30="",+IF(N30&gt;#REF!,#REF!,IF(N30&gt;#REF!,#REF!,IF(N30&gt;#REF!,#REF!,IF(N30&gt;#REF!,#REF!,IF(N30&gt;#REF!,#REF!,IF(N30&gt;#REF!,#REF!,IF(N30&gt;#REF!,#REF!,IF(N30&gt;#REF!,#REF!,#REF!)))))))),0)</f>
        <v>0</v>
      </c>
    </row>
    <row r="31" spans="1:30" x14ac:dyDescent="0.2">
      <c r="A31" s="155" t="str">
        <f t="shared" si="0"/>
        <v>-</v>
      </c>
      <c r="B31" s="154" t="str">
        <f t="shared" si="7"/>
        <v/>
      </c>
      <c r="C31" s="153" t="str">
        <f t="shared" si="8"/>
        <v/>
      </c>
      <c r="D31" s="152" t="str">
        <f t="shared" si="1"/>
        <v>-</v>
      </c>
      <c r="E31" s="151" t="str">
        <f>+IF($B31="","",Summary!$P$4)</f>
        <v/>
      </c>
      <c r="F31" s="151" t="str">
        <f>+IF($B31="","",Summary!$P$5)</f>
        <v/>
      </c>
      <c r="G31" s="151" t="str">
        <f>+IF($B31="","",Summary!$P$6)</f>
        <v/>
      </c>
      <c r="H31" s="150" t="str">
        <f t="shared" si="2"/>
        <v/>
      </c>
      <c r="I31" s="148"/>
      <c r="J31" s="148"/>
      <c r="K31" s="148"/>
      <c r="L31" s="148"/>
      <c r="M31" s="148"/>
      <c r="N31" s="148" t="e">
        <f t="shared" si="3"/>
        <v>#REF!</v>
      </c>
      <c r="O31" s="148" t="e">
        <f>COUNTIFS(#REF!,"&gt;="&amp;DATE($C31,$B31,1),#REF!,"&lt;="&amp;EOMONTH(DATE($C31,$B31,1),0),#REF!,"Incident")+
COUNTIFS(#REF!,"&gt;="&amp;DATE($C31,$B31,1),#REF!,"&lt;="&amp;EOMONTH(DATE($C31,$B31,1),0),#REF!,"user_request")</f>
        <v>#REF!</v>
      </c>
      <c r="P31" s="147">
        <f t="shared" si="9"/>
        <v>0</v>
      </c>
      <c r="Q31" s="147">
        <f t="shared" si="10"/>
        <v>0</v>
      </c>
      <c r="R31" s="147">
        <f t="shared" si="11"/>
        <v>0</v>
      </c>
      <c r="S31" s="146" t="e">
        <f t="shared" si="12"/>
        <v>#REF!</v>
      </c>
      <c r="T31" s="146" t="e">
        <f t="shared" si="13"/>
        <v>#REF!</v>
      </c>
      <c r="U31" s="145">
        <f t="shared" si="4"/>
        <v>0</v>
      </c>
      <c r="V31" s="145" t="e">
        <f t="shared" si="5"/>
        <v>#REF!</v>
      </c>
      <c r="W31" s="142">
        <v>28</v>
      </c>
      <c r="X31" s="142" t="str">
        <f>+IF((VLOOKUP(A31,List!B:C,2,0)-VLOOKUP(Summary!$P$7,List!B:C,2,0))=0,1,"")</f>
        <v/>
      </c>
      <c r="Y31" s="198">
        <f>+IF((VLOOKUP(A31,List!B:C,2,0)-VLOOKUP(Summary!$P$7,List!B:C,2,0))&gt;=0,1,"")</f>
        <v>1</v>
      </c>
      <c r="Z31" s="198">
        <f>+IF((VLOOKUP(A31,List!B:C,2,0)-VLOOKUP(Summary!$P$7,List!B:C,2,0))&gt;0,1,"")</f>
        <v>1</v>
      </c>
      <c r="AA31" s="141">
        <f t="shared" si="6"/>
        <v>2</v>
      </c>
      <c r="AB31" s="199" t="str">
        <f>+IF(AA31="","",IF(Summary!$J$7="Fixed Price","",IF(M31="",IF(I31="","",1),"")))</f>
        <v/>
      </c>
      <c r="AC31" s="198">
        <f t="shared" si="14"/>
        <v>0</v>
      </c>
      <c r="AD31" s="198">
        <f>+IF(AA31="",+IF(N31&gt;#REF!,#REF!,IF(N31&gt;#REF!,#REF!,IF(N31&gt;#REF!,#REF!,IF(N31&gt;#REF!,#REF!,IF(N31&gt;#REF!,#REF!,IF(N31&gt;#REF!,#REF!,IF(N31&gt;#REF!,#REF!,IF(N31&gt;#REF!,#REF!,#REF!)))))))),0)</f>
        <v>0</v>
      </c>
    </row>
    <row r="32" spans="1:30" x14ac:dyDescent="0.2">
      <c r="A32" s="155" t="str">
        <f t="shared" si="0"/>
        <v>-</v>
      </c>
      <c r="B32" s="154" t="str">
        <f t="shared" si="7"/>
        <v/>
      </c>
      <c r="C32" s="153" t="str">
        <f t="shared" si="8"/>
        <v/>
      </c>
      <c r="D32" s="152" t="str">
        <f t="shared" si="1"/>
        <v>-</v>
      </c>
      <c r="E32" s="159" t="str">
        <f>+IF($B32="","",Summary!$P$4)</f>
        <v/>
      </c>
      <c r="F32" s="159" t="str">
        <f>+IF($B32="","",Summary!$P$5)</f>
        <v/>
      </c>
      <c r="G32" s="159" t="str">
        <f>+IF($B32="","",Summary!$P$6)</f>
        <v/>
      </c>
      <c r="H32" s="158" t="str">
        <f t="shared" si="2"/>
        <v/>
      </c>
      <c r="I32" s="156"/>
      <c r="J32" s="156"/>
      <c r="K32" s="156"/>
      <c r="L32" s="156"/>
      <c r="M32" s="156"/>
      <c r="N32" s="156" t="e">
        <f t="shared" si="3"/>
        <v>#REF!</v>
      </c>
      <c r="O32" s="156" t="e">
        <f>COUNTIFS(#REF!,"&gt;="&amp;DATE($C32,$B32,1),#REF!,"&lt;="&amp;EOMONTH(DATE($C32,$B32,1),0),#REF!,"Incident")+
COUNTIFS(#REF!,"&gt;="&amp;DATE($C32,$B32,1),#REF!,"&lt;="&amp;EOMONTH(DATE($C32,$B32,1),0),#REF!,"user_request")</f>
        <v>#REF!</v>
      </c>
      <c r="P32" s="147">
        <f t="shared" si="9"/>
        <v>0</v>
      </c>
      <c r="Q32" s="147">
        <f t="shared" si="10"/>
        <v>0</v>
      </c>
      <c r="R32" s="147">
        <f t="shared" si="11"/>
        <v>0</v>
      </c>
      <c r="S32" s="146" t="e">
        <f t="shared" si="12"/>
        <v>#REF!</v>
      </c>
      <c r="T32" s="146" t="e">
        <f t="shared" si="13"/>
        <v>#REF!</v>
      </c>
      <c r="U32" s="145">
        <f t="shared" si="4"/>
        <v>0</v>
      </c>
      <c r="V32" s="145" t="e">
        <f t="shared" si="5"/>
        <v>#REF!</v>
      </c>
      <c r="W32" s="142">
        <v>29</v>
      </c>
      <c r="X32" s="142" t="str">
        <f>+IF((VLOOKUP(A32,List!B:C,2,0)-VLOOKUP(Summary!$P$7,List!B:C,2,0))=0,1,"")</f>
        <v/>
      </c>
      <c r="Y32" s="198">
        <f>+IF((VLOOKUP(A32,List!B:C,2,0)-VLOOKUP(Summary!$P$7,List!B:C,2,0))&gt;=0,1,"")</f>
        <v>1</v>
      </c>
      <c r="Z32" s="198">
        <f>+IF((VLOOKUP(A32,List!B:C,2,0)-VLOOKUP(Summary!$P$7,List!B:C,2,0))&gt;0,1,"")</f>
        <v>1</v>
      </c>
      <c r="AA32" s="141">
        <f t="shared" si="6"/>
        <v>2</v>
      </c>
      <c r="AB32" s="199" t="str">
        <f>+IF(AA32="","",IF(Summary!$J$7="Fixed Price","",IF(M32="",IF(I32="","",1),"")))</f>
        <v/>
      </c>
      <c r="AC32" s="198">
        <f t="shared" si="14"/>
        <v>0</v>
      </c>
    </row>
    <row r="33" spans="1:29" x14ac:dyDescent="0.2">
      <c r="A33" s="155" t="str">
        <f t="shared" si="0"/>
        <v>-</v>
      </c>
      <c r="B33" s="154" t="str">
        <f t="shared" si="7"/>
        <v/>
      </c>
      <c r="C33" s="153" t="str">
        <f t="shared" si="8"/>
        <v/>
      </c>
      <c r="D33" s="152" t="str">
        <f t="shared" si="1"/>
        <v>-</v>
      </c>
      <c r="E33" s="151" t="str">
        <f>+IF($B33="","",Summary!$P$4)</f>
        <v/>
      </c>
      <c r="F33" s="151" t="str">
        <f>+IF($B33="","",Summary!$P$5)</f>
        <v/>
      </c>
      <c r="G33" s="151" t="str">
        <f>+IF($B33="","",Summary!$P$6)</f>
        <v/>
      </c>
      <c r="H33" s="150" t="str">
        <f t="shared" si="2"/>
        <v/>
      </c>
      <c r="I33" s="148"/>
      <c r="J33" s="148"/>
      <c r="K33" s="148"/>
      <c r="L33" s="148"/>
      <c r="M33" s="148"/>
      <c r="N33" s="148" t="e">
        <f t="shared" si="3"/>
        <v>#REF!</v>
      </c>
      <c r="O33" s="148" t="e">
        <f>COUNTIFS(#REF!,"&gt;="&amp;DATE($C33,$B33,1),#REF!,"&lt;="&amp;EOMONTH(DATE($C33,$B33,1),0),#REF!,"Incident")+
COUNTIFS(#REF!,"&gt;="&amp;DATE($C33,$B33,1),#REF!,"&lt;="&amp;EOMONTH(DATE($C33,$B33,1),0),#REF!,"user_request")</f>
        <v>#REF!</v>
      </c>
      <c r="P33" s="147">
        <f t="shared" si="9"/>
        <v>0</v>
      </c>
      <c r="Q33" s="147">
        <f t="shared" si="10"/>
        <v>0</v>
      </c>
      <c r="R33" s="147">
        <f t="shared" si="11"/>
        <v>0</v>
      </c>
      <c r="S33" s="146" t="e">
        <f t="shared" si="12"/>
        <v>#REF!</v>
      </c>
      <c r="T33" s="146" t="e">
        <f t="shared" si="13"/>
        <v>#REF!</v>
      </c>
      <c r="U33" s="145">
        <f t="shared" si="4"/>
        <v>0</v>
      </c>
      <c r="V33" s="145" t="e">
        <f t="shared" si="5"/>
        <v>#REF!</v>
      </c>
      <c r="W33" s="142">
        <v>30</v>
      </c>
      <c r="X33" s="142" t="str">
        <f>+IF((VLOOKUP(A33,List!B:C,2,0)-VLOOKUP(Summary!$P$7,List!B:C,2,0))=0,1,"")</f>
        <v/>
      </c>
      <c r="Y33" s="198">
        <f>+IF((VLOOKUP(A33,List!B:C,2,0)-VLOOKUP(Summary!$P$7,List!B:C,2,0))&gt;=0,1,"")</f>
        <v>1</v>
      </c>
      <c r="Z33" s="198">
        <f>+IF((VLOOKUP(A33,List!B:C,2,0)-VLOOKUP(Summary!$P$7,List!B:C,2,0))&gt;0,1,"")</f>
        <v>1</v>
      </c>
      <c r="AA33" s="141">
        <f t="shared" si="6"/>
        <v>2</v>
      </c>
      <c r="AB33" s="199" t="str">
        <f>+IF(AA33="","",IF(Summary!$J$7="Fixed Price","",IF(M33="",IF(I33="","",1),"")))</f>
        <v/>
      </c>
      <c r="AC33" s="198">
        <f t="shared" si="14"/>
        <v>0</v>
      </c>
    </row>
    <row r="34" spans="1:29" x14ac:dyDescent="0.2">
      <c r="A34" s="155" t="str">
        <f t="shared" si="0"/>
        <v>-</v>
      </c>
      <c r="B34" s="154" t="str">
        <f t="shared" si="7"/>
        <v/>
      </c>
      <c r="C34" s="153" t="str">
        <f t="shared" si="8"/>
        <v/>
      </c>
      <c r="D34" s="152" t="str">
        <f t="shared" si="1"/>
        <v>-</v>
      </c>
      <c r="E34" s="159" t="str">
        <f>+IF($B34="","",Summary!$P$4)</f>
        <v/>
      </c>
      <c r="F34" s="159" t="str">
        <f>+IF($B34="","",Summary!$P$5)</f>
        <v/>
      </c>
      <c r="G34" s="159" t="str">
        <f>+IF($B34="","",Summary!$P$6)</f>
        <v/>
      </c>
      <c r="H34" s="158" t="str">
        <f t="shared" si="2"/>
        <v/>
      </c>
      <c r="I34" s="156"/>
      <c r="J34" s="156"/>
      <c r="K34" s="156"/>
      <c r="L34" s="156"/>
      <c r="M34" s="156"/>
      <c r="N34" s="156" t="e">
        <f t="shared" si="3"/>
        <v>#REF!</v>
      </c>
      <c r="O34" s="156" t="e">
        <f>COUNTIFS(#REF!,"&gt;="&amp;DATE($C34,$B34,1),#REF!,"&lt;="&amp;EOMONTH(DATE($C34,$B34,1),0),#REF!,"Incident")+
COUNTIFS(#REF!,"&gt;="&amp;DATE($C34,$B34,1),#REF!,"&lt;="&amp;EOMONTH(DATE($C34,$B34,1),0),#REF!,"user_request")</f>
        <v>#REF!</v>
      </c>
      <c r="P34" s="147">
        <f t="shared" si="9"/>
        <v>0</v>
      </c>
      <c r="Q34" s="147">
        <f t="shared" si="10"/>
        <v>0</v>
      </c>
      <c r="R34" s="147">
        <f t="shared" si="11"/>
        <v>0</v>
      </c>
      <c r="S34" s="146" t="e">
        <f t="shared" si="12"/>
        <v>#REF!</v>
      </c>
      <c r="T34" s="146" t="e">
        <f t="shared" si="13"/>
        <v>#REF!</v>
      </c>
      <c r="U34" s="145">
        <f t="shared" si="4"/>
        <v>0</v>
      </c>
      <c r="V34" s="145" t="e">
        <f t="shared" si="5"/>
        <v>#REF!</v>
      </c>
      <c r="W34" s="142">
        <v>31</v>
      </c>
      <c r="X34" s="142" t="str">
        <f>+IF((VLOOKUP(A34,List!B:C,2,0)-VLOOKUP(Summary!$P$7,List!B:C,2,0))=0,1,"")</f>
        <v/>
      </c>
      <c r="Y34" s="198">
        <f>+IF((VLOOKUP(A34,List!B:C,2,0)-VLOOKUP(Summary!$P$7,List!B:C,2,0))&gt;=0,1,"")</f>
        <v>1</v>
      </c>
      <c r="Z34" s="198">
        <f>+IF((VLOOKUP(A34,List!B:C,2,0)-VLOOKUP(Summary!$P$7,List!B:C,2,0))&gt;0,1,"")</f>
        <v>1</v>
      </c>
      <c r="AA34" s="141">
        <f t="shared" si="6"/>
        <v>2</v>
      </c>
      <c r="AB34" s="199" t="str">
        <f>+IF(AA34="","",IF(Summary!$J$7="Fixed Price","",IF(M34="",IF(I34="","",1),"")))</f>
        <v/>
      </c>
      <c r="AC34" s="198">
        <f t="shared" si="14"/>
        <v>0</v>
      </c>
    </row>
    <row r="35" spans="1:29" x14ac:dyDescent="0.2">
      <c r="A35" s="155" t="str">
        <f t="shared" si="0"/>
        <v>-</v>
      </c>
      <c r="B35" s="154" t="str">
        <f t="shared" si="7"/>
        <v/>
      </c>
      <c r="C35" s="153" t="str">
        <f t="shared" si="8"/>
        <v/>
      </c>
      <c r="D35" s="152" t="str">
        <f t="shared" si="1"/>
        <v>-</v>
      </c>
      <c r="E35" s="151" t="str">
        <f>+IF($B35="","",Summary!$P$4)</f>
        <v/>
      </c>
      <c r="F35" s="151" t="str">
        <f>+IF($B35="","",Summary!$P$5)</f>
        <v/>
      </c>
      <c r="G35" s="151" t="str">
        <f>+IF($B35="","",Summary!$P$6)</f>
        <v/>
      </c>
      <c r="H35" s="150" t="str">
        <f t="shared" si="2"/>
        <v/>
      </c>
      <c r="I35" s="148"/>
      <c r="J35" s="148"/>
      <c r="K35" s="148"/>
      <c r="L35" s="148"/>
      <c r="M35" s="148"/>
      <c r="N35" s="148" t="e">
        <f t="shared" si="3"/>
        <v>#REF!</v>
      </c>
      <c r="O35" s="148" t="e">
        <f>COUNTIFS(#REF!,"&gt;="&amp;DATE($C35,$B35,1),#REF!,"&lt;="&amp;EOMONTH(DATE($C35,$B35,1),0),#REF!,"Incident")+
COUNTIFS(#REF!,"&gt;="&amp;DATE($C35,$B35,1),#REF!,"&lt;="&amp;EOMONTH(DATE($C35,$B35,1),0),#REF!,"user_request")</f>
        <v>#REF!</v>
      </c>
      <c r="P35" s="147">
        <f t="shared" si="9"/>
        <v>0</v>
      </c>
      <c r="Q35" s="147">
        <f t="shared" si="10"/>
        <v>0</v>
      </c>
      <c r="R35" s="147">
        <f t="shared" si="11"/>
        <v>0</v>
      </c>
      <c r="S35" s="146" t="e">
        <f t="shared" si="12"/>
        <v>#REF!</v>
      </c>
      <c r="T35" s="146" t="e">
        <f t="shared" si="13"/>
        <v>#REF!</v>
      </c>
      <c r="U35" s="145">
        <f t="shared" si="4"/>
        <v>0</v>
      </c>
      <c r="V35" s="145" t="e">
        <f t="shared" si="5"/>
        <v>#REF!</v>
      </c>
      <c r="W35" s="142">
        <v>32</v>
      </c>
      <c r="X35" s="142" t="str">
        <f>+IF((VLOOKUP(A35,List!B:C,2,0)-VLOOKUP(Summary!$P$7,List!B:C,2,0))=0,1,"")</f>
        <v/>
      </c>
      <c r="Y35" s="198">
        <f>+IF((VLOOKUP(A35,List!B:C,2,0)-VLOOKUP(Summary!$P$7,List!B:C,2,0))&gt;=0,1,"")</f>
        <v>1</v>
      </c>
      <c r="Z35" s="198">
        <f>+IF((VLOOKUP(A35,List!B:C,2,0)-VLOOKUP(Summary!$P$7,List!B:C,2,0))&gt;0,1,"")</f>
        <v>1</v>
      </c>
      <c r="AA35" s="141">
        <f t="shared" si="6"/>
        <v>2</v>
      </c>
      <c r="AB35" s="199" t="str">
        <f>+IF(AA35="","",IF(Summary!$J$7="Fixed Price","",IF(M35="",IF(I35="","",1),"")))</f>
        <v/>
      </c>
      <c r="AC35" s="198">
        <f t="shared" si="14"/>
        <v>0</v>
      </c>
    </row>
    <row r="36" spans="1:29" x14ac:dyDescent="0.2">
      <c r="A36" s="155" t="str">
        <f t="shared" ref="A36:A63" si="15">CONCATENATE(C36,"-",B36)</f>
        <v>-</v>
      </c>
      <c r="B36" s="154" t="str">
        <f t="shared" si="7"/>
        <v/>
      </c>
      <c r="C36" s="153" t="str">
        <f t="shared" si="8"/>
        <v/>
      </c>
      <c r="D36" s="152" t="str">
        <f t="shared" ref="D36:D63" si="16">CONCATENATE(C36,"-",B36)</f>
        <v>-</v>
      </c>
      <c r="E36" s="159" t="str">
        <f>+IF($B36="","",Summary!$P$4)</f>
        <v/>
      </c>
      <c r="F36" s="159" t="str">
        <f>+IF($B36="","",Summary!$P$5)</f>
        <v/>
      </c>
      <c r="G36" s="159" t="str">
        <f>+IF($B36="","",Summary!$P$6)</f>
        <v/>
      </c>
      <c r="H36" s="158" t="str">
        <f t="shared" ref="H36:H63" si="17">+IF($B36="","",IF(U36&lt;-15%,"Red",IF(U36&lt;0%,"Amber","Green")))</f>
        <v/>
      </c>
      <c r="I36" s="156"/>
      <c r="J36" s="156"/>
      <c r="K36" s="156"/>
      <c r="L36" s="156"/>
      <c r="M36" s="156"/>
      <c r="N36" s="156" t="e">
        <f t="shared" si="3"/>
        <v>#REF!</v>
      </c>
      <c r="O36" s="156" t="e">
        <f>COUNTIFS(#REF!,"&gt;="&amp;DATE($C36,$B36,1),#REF!,"&lt;="&amp;EOMONTH(DATE($C36,$B36,1),0),#REF!,"Incident")+
COUNTIFS(#REF!,"&gt;="&amp;DATE($C36,$B36,1),#REF!,"&lt;="&amp;EOMONTH(DATE($C36,$B36,1),0),#REF!,"user_request")</f>
        <v>#REF!</v>
      </c>
      <c r="P36" s="147">
        <f t="shared" si="9"/>
        <v>0</v>
      </c>
      <c r="Q36" s="147">
        <f t="shared" si="10"/>
        <v>0</v>
      </c>
      <c r="R36" s="147">
        <f t="shared" si="11"/>
        <v>0</v>
      </c>
      <c r="S36" s="146" t="e">
        <f t="shared" si="12"/>
        <v>#REF!</v>
      </c>
      <c r="T36" s="146" t="e">
        <f t="shared" si="13"/>
        <v>#REF!</v>
      </c>
      <c r="U36" s="145">
        <f t="shared" ref="U36:U63" si="18">IF(Q36=0,0,IF(K36&lt;&gt;"",(Q36-(R36+L36))/Q36,U35))</f>
        <v>0</v>
      </c>
      <c r="V36" s="145" t="e">
        <f t="shared" ref="V36:V63" si="19">IF(S36=0,0,IF(O36&lt;&gt;"",(S36-(T36))/S36,V35))</f>
        <v>#REF!</v>
      </c>
      <c r="W36" s="142">
        <v>33</v>
      </c>
      <c r="X36" s="142" t="str">
        <f>+IF((VLOOKUP(A36,List!B:C,2,0)-VLOOKUP(Summary!$P$7,List!B:C,2,0))=0,1,"")</f>
        <v/>
      </c>
      <c r="Y36" s="198">
        <f>+IF((VLOOKUP(A36,List!B:C,2,0)-VLOOKUP(Summary!$P$7,List!B:C,2,0))&gt;=0,1,"")</f>
        <v>1</v>
      </c>
      <c r="Z36" s="198">
        <f>+IF((VLOOKUP(A36,List!B:C,2,0)-VLOOKUP(Summary!$P$7,List!B:C,2,0))&gt;0,1,"")</f>
        <v>1</v>
      </c>
      <c r="AA36" s="141">
        <f t="shared" si="6"/>
        <v>2</v>
      </c>
      <c r="AB36" s="199" t="str">
        <f>+IF(AA36="","",IF(Summary!$J$7="Fixed Price","",IF(M36="",IF(I36="","",1),"")))</f>
        <v/>
      </c>
      <c r="AC36" s="198">
        <f t="shared" si="14"/>
        <v>0</v>
      </c>
    </row>
    <row r="37" spans="1:29" x14ac:dyDescent="0.2">
      <c r="A37" s="155" t="str">
        <f t="shared" si="15"/>
        <v>-</v>
      </c>
      <c r="B37" s="154" t="str">
        <f t="shared" ref="B37:B63" si="20">IF(W37&lt;=$W$2,IF(B36&gt;11,1,B36+1),"")</f>
        <v/>
      </c>
      <c r="C37" s="153" t="str">
        <f t="shared" ref="C37:C63" si="21">IF(W37&lt;=$W$2,IF(B36&gt;11,C36+1,C36),"")</f>
        <v/>
      </c>
      <c r="D37" s="152" t="str">
        <f t="shared" si="16"/>
        <v>-</v>
      </c>
      <c r="E37" s="151" t="str">
        <f>+IF($B37="","",Summary!$P$4)</f>
        <v/>
      </c>
      <c r="F37" s="151" t="str">
        <f>+IF($B37="","",Summary!$P$5)</f>
        <v/>
      </c>
      <c r="G37" s="151" t="str">
        <f>+IF($B37="","",Summary!$P$6)</f>
        <v/>
      </c>
      <c r="H37" s="150" t="str">
        <f t="shared" si="17"/>
        <v/>
      </c>
      <c r="I37" s="148"/>
      <c r="J37" s="148"/>
      <c r="K37" s="148"/>
      <c r="L37" s="148"/>
      <c r="M37" s="148"/>
      <c r="N37" s="148" t="e">
        <f t="shared" si="3"/>
        <v>#REF!</v>
      </c>
      <c r="O37" s="148" t="e">
        <f>COUNTIFS(#REF!,"&gt;="&amp;DATE($C37,$B37,1),#REF!,"&lt;="&amp;EOMONTH(DATE($C37,$B37,1),0),#REF!,"Incident")+
COUNTIFS(#REF!,"&gt;="&amp;DATE($C37,$B37,1),#REF!,"&lt;="&amp;EOMONTH(DATE($C37,$B37,1),0),#REF!,"user_request")</f>
        <v>#REF!</v>
      </c>
      <c r="P37" s="147">
        <f t="shared" ref="P37:P63" si="22">I37+P36</f>
        <v>0</v>
      </c>
      <c r="Q37" s="147">
        <f t="shared" ref="Q37:Q63" si="23">Q36+J37</f>
        <v>0</v>
      </c>
      <c r="R37" s="147">
        <f t="shared" ref="R37:R63" si="24">K37+R36</f>
        <v>0</v>
      </c>
      <c r="S37" s="146" t="e">
        <f t="shared" ref="S37:S63" si="25">N37+S36</f>
        <v>#REF!</v>
      </c>
      <c r="T37" s="146" t="e">
        <f t="shared" ref="T37:T63" si="26">O37+T36</f>
        <v>#REF!</v>
      </c>
      <c r="U37" s="145">
        <f t="shared" si="18"/>
        <v>0</v>
      </c>
      <c r="V37" s="145" t="e">
        <f t="shared" si="19"/>
        <v>#REF!</v>
      </c>
      <c r="W37" s="142">
        <v>34</v>
      </c>
      <c r="X37" s="142" t="str">
        <f>+IF((VLOOKUP(A37,List!B:C,2,0)-VLOOKUP(Summary!$P$7,List!B:C,2,0))=0,1,"")</f>
        <v/>
      </c>
      <c r="Y37" s="198">
        <f>+IF((VLOOKUP(A37,List!B:C,2,0)-VLOOKUP(Summary!$P$7,List!B:C,2,0))&gt;=0,1,"")</f>
        <v>1</v>
      </c>
      <c r="Z37" s="198">
        <f>+IF((VLOOKUP(A37,List!B:C,2,0)-VLOOKUP(Summary!$P$7,List!B:C,2,0))&gt;0,1,"")</f>
        <v>1</v>
      </c>
      <c r="AA37" s="141">
        <f t="shared" si="6"/>
        <v>2</v>
      </c>
      <c r="AB37" s="199" t="str">
        <f>+IF(AA37="","",IF(Summary!$J$7="Fixed Price","",IF(M37="",IF(I37="","",1),"")))</f>
        <v/>
      </c>
      <c r="AC37" s="198">
        <f t="shared" si="14"/>
        <v>0</v>
      </c>
    </row>
    <row r="38" spans="1:29" x14ac:dyDescent="0.2">
      <c r="A38" s="155" t="str">
        <f t="shared" si="15"/>
        <v>-</v>
      </c>
      <c r="B38" s="154" t="str">
        <f t="shared" si="20"/>
        <v/>
      </c>
      <c r="C38" s="153" t="str">
        <f t="shared" si="21"/>
        <v/>
      </c>
      <c r="D38" s="152" t="str">
        <f t="shared" si="16"/>
        <v>-</v>
      </c>
      <c r="E38" s="159" t="str">
        <f>+IF($B38="","",Summary!$P$4)</f>
        <v/>
      </c>
      <c r="F38" s="159" t="str">
        <f>+IF($B38="","",Summary!$P$5)</f>
        <v/>
      </c>
      <c r="G38" s="159" t="str">
        <f>+IF($B38="","",Summary!$P$6)</f>
        <v/>
      </c>
      <c r="H38" s="158" t="str">
        <f t="shared" si="17"/>
        <v/>
      </c>
      <c r="I38" s="156"/>
      <c r="J38" s="156"/>
      <c r="K38" s="156"/>
      <c r="L38" s="156"/>
      <c r="M38" s="156"/>
      <c r="N38" s="156" t="e">
        <f t="shared" si="3"/>
        <v>#REF!</v>
      </c>
      <c r="O38" s="156" t="e">
        <f>COUNTIFS(#REF!,"&gt;="&amp;DATE($C38,$B38,1),#REF!,"&lt;="&amp;EOMONTH(DATE($C38,$B38,1),0),#REF!,"Incident")+
COUNTIFS(#REF!,"&gt;="&amp;DATE($C38,$B38,1),#REF!,"&lt;="&amp;EOMONTH(DATE($C38,$B38,1),0),#REF!,"user_request")</f>
        <v>#REF!</v>
      </c>
      <c r="P38" s="147">
        <f t="shared" si="22"/>
        <v>0</v>
      </c>
      <c r="Q38" s="147">
        <f t="shared" si="23"/>
        <v>0</v>
      </c>
      <c r="R38" s="147">
        <f t="shared" si="24"/>
        <v>0</v>
      </c>
      <c r="S38" s="146" t="e">
        <f t="shared" si="25"/>
        <v>#REF!</v>
      </c>
      <c r="T38" s="146" t="e">
        <f t="shared" si="26"/>
        <v>#REF!</v>
      </c>
      <c r="U38" s="145">
        <f t="shared" si="18"/>
        <v>0</v>
      </c>
      <c r="V38" s="145" t="e">
        <f t="shared" si="19"/>
        <v>#REF!</v>
      </c>
      <c r="W38" s="142">
        <v>35</v>
      </c>
      <c r="X38" s="142" t="str">
        <f>+IF((VLOOKUP(A38,List!B:C,2,0)-VLOOKUP(Summary!$P$7,List!B:C,2,0))=0,1,"")</f>
        <v/>
      </c>
      <c r="Y38" s="198">
        <f>+IF((VLOOKUP(A38,List!B:C,2,0)-VLOOKUP(Summary!$P$7,List!B:C,2,0))&gt;=0,1,"")</f>
        <v>1</v>
      </c>
      <c r="Z38" s="198">
        <f>+IF((VLOOKUP(A38,List!B:C,2,0)-VLOOKUP(Summary!$P$7,List!B:C,2,0))&gt;0,1,"")</f>
        <v>1</v>
      </c>
      <c r="AA38" s="141">
        <f t="shared" si="6"/>
        <v>2</v>
      </c>
      <c r="AB38" s="199" t="str">
        <f>+IF(AA38="","",IF(Summary!$J$7="Fixed Price","",IF(M38="",IF(I38="","",1),"")))</f>
        <v/>
      </c>
      <c r="AC38" s="198">
        <f t="shared" si="14"/>
        <v>0</v>
      </c>
    </row>
    <row r="39" spans="1:29" x14ac:dyDescent="0.2">
      <c r="A39" s="155" t="str">
        <f t="shared" si="15"/>
        <v>-</v>
      </c>
      <c r="B39" s="154" t="str">
        <f t="shared" si="20"/>
        <v/>
      </c>
      <c r="C39" s="153" t="str">
        <f t="shared" si="21"/>
        <v/>
      </c>
      <c r="D39" s="152" t="str">
        <f t="shared" si="16"/>
        <v>-</v>
      </c>
      <c r="E39" s="151" t="str">
        <f>+IF($B39="","",Summary!$P$4)</f>
        <v/>
      </c>
      <c r="F39" s="151" t="str">
        <f>+IF($B39="","",Summary!$P$5)</f>
        <v/>
      </c>
      <c r="G39" s="151" t="str">
        <f>+IF($B39="","",Summary!$P$6)</f>
        <v/>
      </c>
      <c r="H39" s="150" t="str">
        <f t="shared" si="17"/>
        <v/>
      </c>
      <c r="I39" s="148"/>
      <c r="J39" s="148"/>
      <c r="K39" s="148"/>
      <c r="L39" s="148"/>
      <c r="M39" s="148"/>
      <c r="N39" s="148" t="e">
        <f t="shared" si="3"/>
        <v>#REF!</v>
      </c>
      <c r="O39" s="148" t="e">
        <f>COUNTIFS(#REF!,"&gt;="&amp;DATE($C39,$B39,1),#REF!,"&lt;="&amp;EOMONTH(DATE($C39,$B39,1),0),#REF!,"Incident")+
COUNTIFS(#REF!,"&gt;="&amp;DATE($C39,$B39,1),#REF!,"&lt;="&amp;EOMONTH(DATE($C39,$B39,1),0),#REF!,"user_request")</f>
        <v>#REF!</v>
      </c>
      <c r="P39" s="147">
        <f t="shared" si="22"/>
        <v>0</v>
      </c>
      <c r="Q39" s="147">
        <f t="shared" si="23"/>
        <v>0</v>
      </c>
      <c r="R39" s="147">
        <f t="shared" si="24"/>
        <v>0</v>
      </c>
      <c r="S39" s="146" t="e">
        <f t="shared" si="25"/>
        <v>#REF!</v>
      </c>
      <c r="T39" s="146" t="e">
        <f t="shared" si="26"/>
        <v>#REF!</v>
      </c>
      <c r="U39" s="145">
        <f t="shared" si="18"/>
        <v>0</v>
      </c>
      <c r="V39" s="145" t="e">
        <f t="shared" si="19"/>
        <v>#REF!</v>
      </c>
      <c r="W39" s="142">
        <v>36</v>
      </c>
      <c r="X39" s="142" t="str">
        <f>+IF((VLOOKUP(A39,List!B:C,2,0)-VLOOKUP(Summary!$P$7,List!B:C,2,0))=0,1,"")</f>
        <v/>
      </c>
      <c r="Y39" s="198">
        <f>+IF((VLOOKUP(A39,List!B:C,2,0)-VLOOKUP(Summary!$P$7,List!B:C,2,0))&gt;=0,1,"")</f>
        <v>1</v>
      </c>
      <c r="Z39" s="198">
        <f>+IF((VLOOKUP(A39,List!B:C,2,0)-VLOOKUP(Summary!$P$7,List!B:C,2,0))&gt;0,1,"")</f>
        <v>1</v>
      </c>
      <c r="AA39" s="141">
        <f t="shared" si="6"/>
        <v>2</v>
      </c>
      <c r="AB39" s="199" t="str">
        <f>+IF(AA39="","",IF(Summary!$J$7="Fixed Price","",IF(M39="",IF(I39="","",1),"")))</f>
        <v/>
      </c>
      <c r="AC39" s="198">
        <f t="shared" si="14"/>
        <v>0</v>
      </c>
    </row>
    <row r="40" spans="1:29" x14ac:dyDescent="0.2">
      <c r="A40" s="155" t="str">
        <f t="shared" si="15"/>
        <v>-</v>
      </c>
      <c r="B40" s="154" t="str">
        <f t="shared" si="20"/>
        <v/>
      </c>
      <c r="C40" s="153" t="str">
        <f t="shared" si="21"/>
        <v/>
      </c>
      <c r="D40" s="152" t="str">
        <f t="shared" si="16"/>
        <v>-</v>
      </c>
      <c r="E40" s="159" t="str">
        <f>+IF($B40="","",Summary!$P$4)</f>
        <v/>
      </c>
      <c r="F40" s="159" t="str">
        <f>+IF($B40="","",Summary!$P$5)</f>
        <v/>
      </c>
      <c r="G40" s="159" t="str">
        <f>+IF($B40="","",Summary!$P$6)</f>
        <v/>
      </c>
      <c r="H40" s="158" t="str">
        <f t="shared" si="17"/>
        <v/>
      </c>
      <c r="I40" s="156"/>
      <c r="J40" s="157"/>
      <c r="K40" s="156"/>
      <c r="L40" s="156"/>
      <c r="M40" s="156"/>
      <c r="N40" s="157" t="e">
        <f t="shared" si="3"/>
        <v>#REF!</v>
      </c>
      <c r="O40" s="157" t="e">
        <f>COUNTIFS(#REF!,"&gt;="&amp;DATE($C40,$B40,1),#REF!,"&lt;="&amp;EOMONTH(DATE($C40,$B40,1),0),#REF!,"Incident")+
COUNTIFS(#REF!,"&gt;="&amp;DATE($C40,$B40,1),#REF!,"&lt;="&amp;EOMONTH(DATE($C40,$B40,1),0),#REF!,"user_request")</f>
        <v>#REF!</v>
      </c>
      <c r="P40" s="147">
        <f t="shared" si="22"/>
        <v>0</v>
      </c>
      <c r="Q40" s="147">
        <f t="shared" si="23"/>
        <v>0</v>
      </c>
      <c r="R40" s="147">
        <f t="shared" si="24"/>
        <v>0</v>
      </c>
      <c r="S40" s="146" t="e">
        <f t="shared" si="25"/>
        <v>#REF!</v>
      </c>
      <c r="T40" s="146" t="e">
        <f t="shared" si="26"/>
        <v>#REF!</v>
      </c>
      <c r="U40" s="145">
        <f t="shared" si="18"/>
        <v>0</v>
      </c>
      <c r="V40" s="145" t="e">
        <f t="shared" si="19"/>
        <v>#REF!</v>
      </c>
      <c r="W40" s="142">
        <v>37</v>
      </c>
      <c r="X40" s="142" t="str">
        <f>+IF((VLOOKUP(A40,List!B:C,2,0)-VLOOKUP(Summary!$P$7,List!B:C,2,0))=0,1,"")</f>
        <v/>
      </c>
      <c r="Y40" s="198">
        <f>+IF((VLOOKUP(A40,List!B:C,2,0)-VLOOKUP(Summary!$P$7,List!B:C,2,0))&gt;=0,1,"")</f>
        <v>1</v>
      </c>
      <c r="Z40" s="198">
        <f>+IF((VLOOKUP(A40,List!B:C,2,0)-VLOOKUP(Summary!$P$7,List!B:C,2,0))&gt;0,1,"")</f>
        <v>1</v>
      </c>
      <c r="AA40" s="141">
        <f t="shared" si="6"/>
        <v>2</v>
      </c>
      <c r="AB40" s="199" t="str">
        <f>+IF(AA40="","",IF(Summary!$J$7="Fixed Price","",IF(M40="",IF(I40="","",1),"")))</f>
        <v/>
      </c>
      <c r="AC40" s="198">
        <f t="shared" si="14"/>
        <v>0</v>
      </c>
    </row>
    <row r="41" spans="1:29" x14ac:dyDescent="0.2">
      <c r="A41" s="155" t="str">
        <f t="shared" si="15"/>
        <v>-</v>
      </c>
      <c r="B41" s="154" t="str">
        <f t="shared" si="20"/>
        <v/>
      </c>
      <c r="C41" s="153" t="str">
        <f t="shared" si="21"/>
        <v/>
      </c>
      <c r="D41" s="152" t="str">
        <f t="shared" si="16"/>
        <v>-</v>
      </c>
      <c r="E41" s="151" t="str">
        <f>+IF($B41="","",Summary!$P$4)</f>
        <v/>
      </c>
      <c r="F41" s="151" t="str">
        <f>+IF($B41="","",Summary!$P$5)</f>
        <v/>
      </c>
      <c r="G41" s="151" t="str">
        <f>+IF($B41="","",Summary!$P$6)</f>
        <v/>
      </c>
      <c r="H41" s="150" t="str">
        <f t="shared" si="17"/>
        <v/>
      </c>
      <c r="I41" s="148"/>
      <c r="J41" s="149"/>
      <c r="K41" s="148"/>
      <c r="L41" s="148"/>
      <c r="M41" s="148"/>
      <c r="N41" s="149" t="e">
        <f t="shared" si="3"/>
        <v>#REF!</v>
      </c>
      <c r="O41" s="149" t="e">
        <f>COUNTIFS(#REF!,"&gt;="&amp;DATE($C41,$B41,1),#REF!,"&lt;="&amp;EOMONTH(DATE($C41,$B41,1),0),#REF!,"Incident")+
COUNTIFS(#REF!,"&gt;="&amp;DATE($C41,$B41,1),#REF!,"&lt;="&amp;EOMONTH(DATE($C41,$B41,1),0),#REF!,"user_request")</f>
        <v>#REF!</v>
      </c>
      <c r="P41" s="147">
        <f t="shared" si="22"/>
        <v>0</v>
      </c>
      <c r="Q41" s="147">
        <f t="shared" si="23"/>
        <v>0</v>
      </c>
      <c r="R41" s="147">
        <f t="shared" si="24"/>
        <v>0</v>
      </c>
      <c r="S41" s="146" t="e">
        <f t="shared" si="25"/>
        <v>#REF!</v>
      </c>
      <c r="T41" s="146" t="e">
        <f t="shared" si="26"/>
        <v>#REF!</v>
      </c>
      <c r="U41" s="145">
        <f t="shared" si="18"/>
        <v>0</v>
      </c>
      <c r="V41" s="145" t="e">
        <f t="shared" si="19"/>
        <v>#REF!</v>
      </c>
      <c r="W41" s="142">
        <v>38</v>
      </c>
      <c r="X41" s="142" t="str">
        <f>+IF((VLOOKUP(A41,List!B:C,2,0)-VLOOKUP(Summary!$P$7,List!B:C,2,0))=0,1,"")</f>
        <v/>
      </c>
      <c r="Y41" s="198">
        <f>+IF((VLOOKUP(A41,List!B:C,2,0)-VLOOKUP(Summary!$P$7,List!B:C,2,0))&gt;=0,1,"")</f>
        <v>1</v>
      </c>
      <c r="Z41" s="198">
        <f>+IF((VLOOKUP(A41,List!B:C,2,0)-VLOOKUP(Summary!$P$7,List!B:C,2,0))&gt;0,1,"")</f>
        <v>1</v>
      </c>
      <c r="AA41" s="141">
        <f t="shared" si="6"/>
        <v>2</v>
      </c>
      <c r="AB41" s="199" t="str">
        <f>+IF(AA41="","",IF(Summary!$J$7="Fixed Price","",IF(M41="",IF(I41="","",1),"")))</f>
        <v/>
      </c>
      <c r="AC41" s="198">
        <f t="shared" si="14"/>
        <v>0</v>
      </c>
    </row>
    <row r="42" spans="1:29" x14ac:dyDescent="0.2">
      <c r="A42" s="155" t="str">
        <f t="shared" si="15"/>
        <v>-</v>
      </c>
      <c r="B42" s="154" t="str">
        <f t="shared" si="20"/>
        <v/>
      </c>
      <c r="C42" s="153" t="str">
        <f t="shared" si="21"/>
        <v/>
      </c>
      <c r="D42" s="152" t="str">
        <f t="shared" si="16"/>
        <v>-</v>
      </c>
      <c r="E42" s="159" t="str">
        <f>+IF($B42="","",Summary!$P$4)</f>
        <v/>
      </c>
      <c r="F42" s="159" t="str">
        <f>+IF($B42="","",Summary!$P$5)</f>
        <v/>
      </c>
      <c r="G42" s="159" t="str">
        <f>+IF($B42="","",Summary!$P$6)</f>
        <v/>
      </c>
      <c r="H42" s="158" t="str">
        <f t="shared" si="17"/>
        <v/>
      </c>
      <c r="I42" s="156"/>
      <c r="J42" s="157"/>
      <c r="K42" s="156"/>
      <c r="L42" s="156"/>
      <c r="M42" s="156"/>
      <c r="N42" s="157" t="e">
        <f t="shared" si="3"/>
        <v>#REF!</v>
      </c>
      <c r="O42" s="157" t="e">
        <f>COUNTIFS(#REF!,"&gt;="&amp;DATE($C42,$B42,1),#REF!,"&lt;="&amp;EOMONTH(DATE($C42,$B42,1),0),#REF!,"Incident")+
COUNTIFS(#REF!,"&gt;="&amp;DATE($C42,$B42,1),#REF!,"&lt;="&amp;EOMONTH(DATE($C42,$B42,1),0),#REF!,"user_request")</f>
        <v>#REF!</v>
      </c>
      <c r="P42" s="147">
        <f t="shared" si="22"/>
        <v>0</v>
      </c>
      <c r="Q42" s="147">
        <f t="shared" si="23"/>
        <v>0</v>
      </c>
      <c r="R42" s="147">
        <f t="shared" si="24"/>
        <v>0</v>
      </c>
      <c r="S42" s="146" t="e">
        <f t="shared" si="25"/>
        <v>#REF!</v>
      </c>
      <c r="T42" s="146" t="e">
        <f t="shared" si="26"/>
        <v>#REF!</v>
      </c>
      <c r="U42" s="145">
        <f t="shared" si="18"/>
        <v>0</v>
      </c>
      <c r="V42" s="145" t="e">
        <f t="shared" si="19"/>
        <v>#REF!</v>
      </c>
      <c r="W42" s="142">
        <v>39</v>
      </c>
      <c r="X42" s="142" t="str">
        <f>+IF((VLOOKUP(A42,List!B:C,2,0)-VLOOKUP(Summary!$P$7,List!B:C,2,0))=0,1,"")</f>
        <v/>
      </c>
      <c r="Y42" s="198">
        <f>+IF((VLOOKUP(A42,List!B:C,2,0)-VLOOKUP(Summary!$P$7,List!B:C,2,0))&gt;=0,1,"")</f>
        <v>1</v>
      </c>
      <c r="Z42" s="198">
        <f>+IF((VLOOKUP(A42,List!B:C,2,0)-VLOOKUP(Summary!$P$7,List!B:C,2,0))&gt;0,1,"")</f>
        <v>1</v>
      </c>
      <c r="AA42" s="141">
        <f t="shared" si="6"/>
        <v>2</v>
      </c>
      <c r="AB42" s="199" t="str">
        <f>+IF(AA42="","",IF(Summary!$J$7="Fixed Price","",IF(M42="",IF(I42="","",1),"")))</f>
        <v/>
      </c>
      <c r="AC42" s="198">
        <f t="shared" si="14"/>
        <v>0</v>
      </c>
    </row>
    <row r="43" spans="1:29" x14ac:dyDescent="0.2">
      <c r="A43" s="155" t="str">
        <f t="shared" si="15"/>
        <v>-</v>
      </c>
      <c r="B43" s="154" t="str">
        <f t="shared" si="20"/>
        <v/>
      </c>
      <c r="C43" s="153" t="str">
        <f t="shared" si="21"/>
        <v/>
      </c>
      <c r="D43" s="152" t="str">
        <f t="shared" si="16"/>
        <v>-</v>
      </c>
      <c r="E43" s="151" t="str">
        <f>+IF($B43="","",Summary!$P$4)</f>
        <v/>
      </c>
      <c r="F43" s="151" t="str">
        <f>+IF($B43="","",Summary!$P$5)</f>
        <v/>
      </c>
      <c r="G43" s="151" t="str">
        <f>+IF($B43="","",Summary!$P$6)</f>
        <v/>
      </c>
      <c r="H43" s="150" t="str">
        <f t="shared" si="17"/>
        <v/>
      </c>
      <c r="I43" s="148"/>
      <c r="J43" s="149"/>
      <c r="K43" s="148"/>
      <c r="L43" s="148"/>
      <c r="M43" s="148"/>
      <c r="N43" s="149" t="e">
        <f t="shared" si="3"/>
        <v>#REF!</v>
      </c>
      <c r="O43" s="149" t="e">
        <f>COUNTIFS(#REF!,"&gt;="&amp;DATE($C43,$B43,1),#REF!,"&lt;="&amp;EOMONTH(DATE($C43,$B43,1),0),#REF!,"Incident")+
COUNTIFS(#REF!,"&gt;="&amp;DATE($C43,$B43,1),#REF!,"&lt;="&amp;EOMONTH(DATE($C43,$B43,1),0),#REF!,"user_request")</f>
        <v>#REF!</v>
      </c>
      <c r="P43" s="147">
        <f t="shared" si="22"/>
        <v>0</v>
      </c>
      <c r="Q43" s="147">
        <f t="shared" si="23"/>
        <v>0</v>
      </c>
      <c r="R43" s="147">
        <f t="shared" si="24"/>
        <v>0</v>
      </c>
      <c r="S43" s="146" t="e">
        <f t="shared" si="25"/>
        <v>#REF!</v>
      </c>
      <c r="T43" s="146" t="e">
        <f t="shared" si="26"/>
        <v>#REF!</v>
      </c>
      <c r="U43" s="145">
        <f t="shared" si="18"/>
        <v>0</v>
      </c>
      <c r="V43" s="145" t="e">
        <f t="shared" si="19"/>
        <v>#REF!</v>
      </c>
      <c r="W43" s="142">
        <v>40</v>
      </c>
      <c r="X43" s="142" t="str">
        <f>+IF((VLOOKUP(A43,List!B:C,2,0)-VLOOKUP(Summary!$P$7,List!B:C,2,0))=0,1,"")</f>
        <v/>
      </c>
      <c r="Y43" s="198">
        <f>+IF((VLOOKUP(A43,List!B:C,2,0)-VLOOKUP(Summary!$P$7,List!B:C,2,0))&gt;=0,1,"")</f>
        <v>1</v>
      </c>
      <c r="Z43" s="198">
        <f>+IF((VLOOKUP(A43,List!B:C,2,0)-VLOOKUP(Summary!$P$7,List!B:C,2,0))&gt;0,1,"")</f>
        <v>1</v>
      </c>
      <c r="AA43" s="141">
        <f t="shared" si="6"/>
        <v>2</v>
      </c>
      <c r="AB43" s="199" t="str">
        <f>+IF(AA43="","",IF(Summary!$J$7="Fixed Price","",IF(M43="",IF(I43="","",1),"")))</f>
        <v/>
      </c>
      <c r="AC43" s="198">
        <f t="shared" si="14"/>
        <v>0</v>
      </c>
    </row>
    <row r="44" spans="1:29" x14ac:dyDescent="0.2">
      <c r="A44" s="155" t="str">
        <f t="shared" si="15"/>
        <v>-</v>
      </c>
      <c r="B44" s="154" t="str">
        <f t="shared" si="20"/>
        <v/>
      </c>
      <c r="C44" s="153" t="str">
        <f t="shared" si="21"/>
        <v/>
      </c>
      <c r="D44" s="152" t="str">
        <f t="shared" si="16"/>
        <v>-</v>
      </c>
      <c r="E44" s="159" t="str">
        <f>+IF($B44="","",Summary!$P$4)</f>
        <v/>
      </c>
      <c r="F44" s="159" t="str">
        <f>+IF($B44="","",Summary!$P$5)</f>
        <v/>
      </c>
      <c r="G44" s="159" t="str">
        <f>+IF($B44="","",Summary!$P$6)</f>
        <v/>
      </c>
      <c r="H44" s="158" t="str">
        <f t="shared" si="17"/>
        <v/>
      </c>
      <c r="I44" s="156"/>
      <c r="J44" s="157"/>
      <c r="K44" s="156"/>
      <c r="L44" s="156"/>
      <c r="M44" s="156"/>
      <c r="N44" s="157" t="e">
        <f t="shared" si="3"/>
        <v>#REF!</v>
      </c>
      <c r="O44" s="157" t="e">
        <f>COUNTIFS(#REF!,"&gt;="&amp;DATE($C44,$B44,1),#REF!,"&lt;="&amp;EOMONTH(DATE($C44,$B44,1),0),#REF!,"Incident")+
COUNTIFS(#REF!,"&gt;="&amp;DATE($C44,$B44,1),#REF!,"&lt;="&amp;EOMONTH(DATE($C44,$B44,1),0),#REF!,"user_request")</f>
        <v>#REF!</v>
      </c>
      <c r="P44" s="147">
        <f t="shared" si="22"/>
        <v>0</v>
      </c>
      <c r="Q44" s="147">
        <f t="shared" si="23"/>
        <v>0</v>
      </c>
      <c r="R44" s="147">
        <f t="shared" si="24"/>
        <v>0</v>
      </c>
      <c r="S44" s="146" t="e">
        <f t="shared" si="25"/>
        <v>#REF!</v>
      </c>
      <c r="T44" s="146" t="e">
        <f t="shared" si="26"/>
        <v>#REF!</v>
      </c>
      <c r="U44" s="145">
        <f t="shared" si="18"/>
        <v>0</v>
      </c>
      <c r="V44" s="145" t="e">
        <f t="shared" si="19"/>
        <v>#REF!</v>
      </c>
      <c r="W44" s="142">
        <v>41</v>
      </c>
      <c r="X44" s="142" t="str">
        <f>+IF((VLOOKUP(A44,List!B:C,2,0)-VLOOKUP(Summary!$P$7,List!B:C,2,0))=0,1,"")</f>
        <v/>
      </c>
      <c r="Y44" s="198">
        <f>+IF((VLOOKUP(A44,List!B:C,2,0)-VLOOKUP(Summary!$P$7,List!B:C,2,0))&gt;=0,1,"")</f>
        <v>1</v>
      </c>
      <c r="Z44" s="198">
        <f>+IF((VLOOKUP(A44,List!B:C,2,0)-VLOOKUP(Summary!$P$7,List!B:C,2,0))&gt;0,1,"")</f>
        <v>1</v>
      </c>
      <c r="AA44" s="141">
        <f t="shared" si="6"/>
        <v>2</v>
      </c>
      <c r="AB44" s="199" t="str">
        <f>+IF(AA44="","",IF(Summary!$J$7="Fixed Price","",IF(M44="",IF(I44="","",1),"")))</f>
        <v/>
      </c>
      <c r="AC44" s="198">
        <f t="shared" si="14"/>
        <v>0</v>
      </c>
    </row>
    <row r="45" spans="1:29" x14ac:dyDescent="0.2">
      <c r="A45" s="155" t="str">
        <f t="shared" si="15"/>
        <v>-</v>
      </c>
      <c r="B45" s="154" t="str">
        <f t="shared" si="20"/>
        <v/>
      </c>
      <c r="C45" s="153" t="str">
        <f t="shared" si="21"/>
        <v/>
      </c>
      <c r="D45" s="152" t="str">
        <f t="shared" si="16"/>
        <v>-</v>
      </c>
      <c r="E45" s="151" t="str">
        <f>+IF($B45="","",Summary!$P$4)</f>
        <v/>
      </c>
      <c r="F45" s="151" t="str">
        <f>+IF($B45="","",Summary!$P$5)</f>
        <v/>
      </c>
      <c r="G45" s="151" t="str">
        <f>+IF($B45="","",Summary!$P$6)</f>
        <v/>
      </c>
      <c r="H45" s="150" t="str">
        <f t="shared" si="17"/>
        <v/>
      </c>
      <c r="I45" s="148"/>
      <c r="J45" s="149"/>
      <c r="K45" s="148"/>
      <c r="L45" s="148"/>
      <c r="M45" s="148"/>
      <c r="N45" s="149" t="e">
        <f t="shared" si="3"/>
        <v>#REF!</v>
      </c>
      <c r="O45" s="149" t="e">
        <f>COUNTIFS(#REF!,"&gt;="&amp;DATE($C45,$B45,1),#REF!,"&lt;="&amp;EOMONTH(DATE($C45,$B45,1),0),#REF!,"Incident")+
COUNTIFS(#REF!,"&gt;="&amp;DATE($C45,$B45,1),#REF!,"&lt;="&amp;EOMONTH(DATE($C45,$B45,1),0),#REF!,"user_request")</f>
        <v>#REF!</v>
      </c>
      <c r="P45" s="147">
        <f t="shared" si="22"/>
        <v>0</v>
      </c>
      <c r="Q45" s="147">
        <f t="shared" si="23"/>
        <v>0</v>
      </c>
      <c r="R45" s="147">
        <f t="shared" si="24"/>
        <v>0</v>
      </c>
      <c r="S45" s="146" t="e">
        <f t="shared" si="25"/>
        <v>#REF!</v>
      </c>
      <c r="T45" s="146" t="e">
        <f t="shared" si="26"/>
        <v>#REF!</v>
      </c>
      <c r="U45" s="145">
        <f t="shared" si="18"/>
        <v>0</v>
      </c>
      <c r="V45" s="145" t="e">
        <f t="shared" si="19"/>
        <v>#REF!</v>
      </c>
      <c r="W45" s="142">
        <v>42</v>
      </c>
      <c r="X45" s="142" t="str">
        <f>+IF((VLOOKUP(A45,List!B:C,2,0)-VLOOKUP(Summary!$P$7,List!B:C,2,0))=0,1,"")</f>
        <v/>
      </c>
      <c r="Y45" s="198">
        <f>+IF((VLOOKUP(A45,List!B:C,2,0)-VLOOKUP(Summary!$P$7,List!B:C,2,0))&gt;=0,1,"")</f>
        <v>1</v>
      </c>
      <c r="Z45" s="198">
        <f>+IF((VLOOKUP(A45,List!B:C,2,0)-VLOOKUP(Summary!$P$7,List!B:C,2,0))&gt;0,1,"")</f>
        <v>1</v>
      </c>
      <c r="AA45" s="141">
        <f t="shared" si="6"/>
        <v>2</v>
      </c>
      <c r="AB45" s="199" t="str">
        <f>+IF(AA45="","",IF(Summary!$J$7="Fixed Price","",IF(M45="",IF(I45="","",1),"")))</f>
        <v/>
      </c>
      <c r="AC45" s="198">
        <f t="shared" si="14"/>
        <v>0</v>
      </c>
    </row>
    <row r="46" spans="1:29" x14ac:dyDescent="0.2">
      <c r="A46" s="155" t="str">
        <f t="shared" si="15"/>
        <v>-</v>
      </c>
      <c r="B46" s="154" t="str">
        <f t="shared" si="20"/>
        <v/>
      </c>
      <c r="C46" s="153" t="str">
        <f t="shared" si="21"/>
        <v/>
      </c>
      <c r="D46" s="152" t="str">
        <f t="shared" si="16"/>
        <v>-</v>
      </c>
      <c r="E46" s="159" t="str">
        <f>+IF($B46="","",Summary!$P$4)</f>
        <v/>
      </c>
      <c r="F46" s="159" t="str">
        <f>+IF($B46="","",Summary!$P$5)</f>
        <v/>
      </c>
      <c r="G46" s="159" t="str">
        <f>+IF($B46="","",Summary!$P$6)</f>
        <v/>
      </c>
      <c r="H46" s="158" t="str">
        <f t="shared" si="17"/>
        <v/>
      </c>
      <c r="I46" s="156"/>
      <c r="J46" s="157"/>
      <c r="K46" s="156"/>
      <c r="L46" s="156"/>
      <c r="M46" s="156"/>
      <c r="N46" s="157" t="e">
        <f t="shared" si="3"/>
        <v>#REF!</v>
      </c>
      <c r="O46" s="157" t="e">
        <f>COUNTIFS(#REF!,"&gt;="&amp;DATE($C46,$B46,1),#REF!,"&lt;="&amp;EOMONTH(DATE($C46,$B46,1),0),#REF!,"Incident")+
COUNTIFS(#REF!,"&gt;="&amp;DATE($C46,$B46,1),#REF!,"&lt;="&amp;EOMONTH(DATE($C46,$B46,1),0),#REF!,"user_request")</f>
        <v>#REF!</v>
      </c>
      <c r="P46" s="147">
        <f t="shared" si="22"/>
        <v>0</v>
      </c>
      <c r="Q46" s="147">
        <f t="shared" si="23"/>
        <v>0</v>
      </c>
      <c r="R46" s="147">
        <f t="shared" si="24"/>
        <v>0</v>
      </c>
      <c r="S46" s="146" t="e">
        <f t="shared" si="25"/>
        <v>#REF!</v>
      </c>
      <c r="T46" s="146" t="e">
        <f t="shared" si="26"/>
        <v>#REF!</v>
      </c>
      <c r="U46" s="145">
        <f t="shared" si="18"/>
        <v>0</v>
      </c>
      <c r="V46" s="145" t="e">
        <f t="shared" si="19"/>
        <v>#REF!</v>
      </c>
      <c r="W46" s="142">
        <v>43</v>
      </c>
      <c r="X46" s="142" t="str">
        <f>+IF((VLOOKUP(A46,List!B:C,2,0)-VLOOKUP(Summary!$P$7,List!B:C,2,0))=0,1,"")</f>
        <v/>
      </c>
      <c r="Y46" s="198">
        <f>+IF((VLOOKUP(A46,List!B:C,2,0)-VLOOKUP(Summary!$P$7,List!B:C,2,0))&gt;=0,1,"")</f>
        <v>1</v>
      </c>
      <c r="Z46" s="198">
        <f>+IF((VLOOKUP(A46,List!B:C,2,0)-VLOOKUP(Summary!$P$7,List!B:C,2,0))&gt;0,1,"")</f>
        <v>1</v>
      </c>
      <c r="AA46" s="141">
        <f t="shared" si="6"/>
        <v>2</v>
      </c>
      <c r="AB46" s="199" t="str">
        <f>+IF(AA46="","",IF(Summary!$J$7="Fixed Price","",IF(M46="",IF(I46="","",1),"")))</f>
        <v/>
      </c>
      <c r="AC46" s="198">
        <f t="shared" si="14"/>
        <v>0</v>
      </c>
    </row>
    <row r="47" spans="1:29" x14ac:dyDescent="0.2">
      <c r="A47" s="155" t="str">
        <f t="shared" si="15"/>
        <v>-</v>
      </c>
      <c r="B47" s="154" t="str">
        <f t="shared" si="20"/>
        <v/>
      </c>
      <c r="C47" s="153" t="str">
        <f t="shared" si="21"/>
        <v/>
      </c>
      <c r="D47" s="152" t="str">
        <f t="shared" si="16"/>
        <v>-</v>
      </c>
      <c r="E47" s="151" t="str">
        <f>+IF($B47="","",Summary!$P$4)</f>
        <v/>
      </c>
      <c r="F47" s="151" t="str">
        <f>+IF($B47="","",Summary!$P$5)</f>
        <v/>
      </c>
      <c r="G47" s="151" t="str">
        <f>+IF($B47="","",Summary!$P$6)</f>
        <v/>
      </c>
      <c r="H47" s="150" t="str">
        <f t="shared" si="17"/>
        <v/>
      </c>
      <c r="I47" s="148"/>
      <c r="J47" s="149"/>
      <c r="K47" s="148"/>
      <c r="L47" s="148"/>
      <c r="M47" s="148"/>
      <c r="N47" s="149" t="e">
        <f t="shared" si="3"/>
        <v>#REF!</v>
      </c>
      <c r="O47" s="149" t="e">
        <f>COUNTIFS(#REF!,"&gt;="&amp;DATE($C47,$B47,1),#REF!,"&lt;="&amp;EOMONTH(DATE($C47,$B47,1),0),#REF!,"Incident")+
COUNTIFS(#REF!,"&gt;="&amp;DATE($C47,$B47,1),#REF!,"&lt;="&amp;EOMONTH(DATE($C47,$B47,1),0),#REF!,"user_request")</f>
        <v>#REF!</v>
      </c>
      <c r="P47" s="147">
        <f t="shared" si="22"/>
        <v>0</v>
      </c>
      <c r="Q47" s="147">
        <f t="shared" si="23"/>
        <v>0</v>
      </c>
      <c r="R47" s="147">
        <f t="shared" si="24"/>
        <v>0</v>
      </c>
      <c r="S47" s="146" t="e">
        <f t="shared" si="25"/>
        <v>#REF!</v>
      </c>
      <c r="T47" s="146" t="e">
        <f t="shared" si="26"/>
        <v>#REF!</v>
      </c>
      <c r="U47" s="145">
        <f t="shared" si="18"/>
        <v>0</v>
      </c>
      <c r="V47" s="145" t="e">
        <f t="shared" si="19"/>
        <v>#REF!</v>
      </c>
      <c r="W47" s="142">
        <v>44</v>
      </c>
      <c r="X47" s="142" t="str">
        <f>+IF((VLOOKUP(A47,List!B:C,2,0)-VLOOKUP(Summary!$P$7,List!B:C,2,0))=0,1,"")</f>
        <v/>
      </c>
      <c r="Y47" s="198">
        <f>+IF((VLOOKUP(A47,List!B:C,2,0)-VLOOKUP(Summary!$P$7,List!B:C,2,0))&gt;=0,1,"")</f>
        <v>1</v>
      </c>
      <c r="Z47" s="198">
        <f>+IF((VLOOKUP(A47,List!B:C,2,0)-VLOOKUP(Summary!$P$7,List!B:C,2,0))&gt;0,1,"")</f>
        <v>1</v>
      </c>
      <c r="AA47" s="141">
        <f t="shared" si="6"/>
        <v>2</v>
      </c>
      <c r="AB47" s="199" t="str">
        <f>+IF(AA47="","",IF(Summary!$J$7="Fixed Price","",IF(M47="",IF(I47="","",1),"")))</f>
        <v/>
      </c>
      <c r="AC47" s="198">
        <f t="shared" si="14"/>
        <v>0</v>
      </c>
    </row>
    <row r="48" spans="1:29" x14ac:dyDescent="0.2">
      <c r="A48" s="155" t="str">
        <f t="shared" si="15"/>
        <v>-</v>
      </c>
      <c r="B48" s="154" t="str">
        <f t="shared" si="20"/>
        <v/>
      </c>
      <c r="C48" s="153" t="str">
        <f t="shared" si="21"/>
        <v/>
      </c>
      <c r="D48" s="152" t="str">
        <f t="shared" si="16"/>
        <v>-</v>
      </c>
      <c r="E48" s="159" t="str">
        <f>+IF($B48="","",Summary!$P$4)</f>
        <v/>
      </c>
      <c r="F48" s="159" t="str">
        <f>+IF($B48="","",Summary!$P$5)</f>
        <v/>
      </c>
      <c r="G48" s="159" t="str">
        <f>+IF($B48="","",Summary!$P$6)</f>
        <v/>
      </c>
      <c r="H48" s="158" t="str">
        <f t="shared" si="17"/>
        <v/>
      </c>
      <c r="I48" s="156"/>
      <c r="J48" s="157"/>
      <c r="K48" s="156"/>
      <c r="L48" s="156"/>
      <c r="M48" s="156"/>
      <c r="N48" s="157" t="e">
        <f t="shared" si="3"/>
        <v>#REF!</v>
      </c>
      <c r="O48" s="157" t="e">
        <f>COUNTIFS(#REF!,"&gt;="&amp;DATE($C48,$B48,1),#REF!,"&lt;="&amp;EOMONTH(DATE($C48,$B48,1),0),#REF!,"Incident")+
COUNTIFS(#REF!,"&gt;="&amp;DATE($C48,$B48,1),#REF!,"&lt;="&amp;EOMONTH(DATE($C48,$B48,1),0),#REF!,"user_request")</f>
        <v>#REF!</v>
      </c>
      <c r="P48" s="147">
        <f t="shared" si="22"/>
        <v>0</v>
      </c>
      <c r="Q48" s="147">
        <f t="shared" si="23"/>
        <v>0</v>
      </c>
      <c r="R48" s="147">
        <f t="shared" si="24"/>
        <v>0</v>
      </c>
      <c r="S48" s="146" t="e">
        <f t="shared" si="25"/>
        <v>#REF!</v>
      </c>
      <c r="T48" s="146" t="e">
        <f t="shared" si="26"/>
        <v>#REF!</v>
      </c>
      <c r="U48" s="145">
        <f t="shared" si="18"/>
        <v>0</v>
      </c>
      <c r="V48" s="145" t="e">
        <f t="shared" si="19"/>
        <v>#REF!</v>
      </c>
      <c r="W48" s="142">
        <v>45</v>
      </c>
      <c r="X48" s="142" t="str">
        <f>+IF((VLOOKUP(A48,List!B:C,2,0)-VLOOKUP(Summary!$P$7,List!B:C,2,0))=0,1,"")</f>
        <v/>
      </c>
      <c r="Y48" s="198">
        <f>+IF((VLOOKUP(A48,List!B:C,2,0)-VLOOKUP(Summary!$P$7,List!B:C,2,0))&gt;=0,1,"")</f>
        <v>1</v>
      </c>
      <c r="Z48" s="198">
        <f>+IF((VLOOKUP(A48,List!B:C,2,0)-VLOOKUP(Summary!$P$7,List!B:C,2,0))&gt;0,1,"")</f>
        <v>1</v>
      </c>
      <c r="AA48" s="141">
        <f t="shared" si="6"/>
        <v>2</v>
      </c>
      <c r="AB48" s="199" t="str">
        <f>+IF(AA48="","",IF(Summary!$J$7="Fixed Price","",IF(M48="",IF(I48="","",1),"")))</f>
        <v/>
      </c>
      <c r="AC48" s="198">
        <f t="shared" si="14"/>
        <v>0</v>
      </c>
    </row>
    <row r="49" spans="1:29" x14ac:dyDescent="0.2">
      <c r="A49" s="155" t="str">
        <f t="shared" si="15"/>
        <v>-</v>
      </c>
      <c r="B49" s="154" t="str">
        <f t="shared" si="20"/>
        <v/>
      </c>
      <c r="C49" s="153" t="str">
        <f t="shared" si="21"/>
        <v/>
      </c>
      <c r="D49" s="152" t="str">
        <f t="shared" si="16"/>
        <v>-</v>
      </c>
      <c r="E49" s="151" t="str">
        <f>+IF($B49="","",Summary!$P$4)</f>
        <v/>
      </c>
      <c r="F49" s="151" t="str">
        <f>+IF($B49="","",Summary!$P$5)</f>
        <v/>
      </c>
      <c r="G49" s="151" t="str">
        <f>+IF($B49="","",Summary!$P$6)</f>
        <v/>
      </c>
      <c r="H49" s="150" t="str">
        <f t="shared" si="17"/>
        <v/>
      </c>
      <c r="I49" s="148"/>
      <c r="J49" s="149"/>
      <c r="K49" s="148"/>
      <c r="L49" s="148"/>
      <c r="M49" s="148"/>
      <c r="N49" s="149" t="e">
        <f t="shared" si="3"/>
        <v>#REF!</v>
      </c>
      <c r="O49" s="149" t="e">
        <f>COUNTIFS(#REF!,"&gt;="&amp;DATE($C49,$B49,1),#REF!,"&lt;="&amp;EOMONTH(DATE($C49,$B49,1),0),#REF!,"Incident")+
COUNTIFS(#REF!,"&gt;="&amp;DATE($C49,$B49,1),#REF!,"&lt;="&amp;EOMONTH(DATE($C49,$B49,1),0),#REF!,"user_request")</f>
        <v>#REF!</v>
      </c>
      <c r="P49" s="147">
        <f t="shared" si="22"/>
        <v>0</v>
      </c>
      <c r="Q49" s="147">
        <f t="shared" si="23"/>
        <v>0</v>
      </c>
      <c r="R49" s="147">
        <f t="shared" si="24"/>
        <v>0</v>
      </c>
      <c r="S49" s="146" t="e">
        <f t="shared" si="25"/>
        <v>#REF!</v>
      </c>
      <c r="T49" s="146" t="e">
        <f t="shared" si="26"/>
        <v>#REF!</v>
      </c>
      <c r="U49" s="145">
        <f t="shared" si="18"/>
        <v>0</v>
      </c>
      <c r="V49" s="145" t="e">
        <f t="shared" si="19"/>
        <v>#REF!</v>
      </c>
      <c r="W49" s="142">
        <v>46</v>
      </c>
      <c r="X49" s="142" t="str">
        <f>+IF((VLOOKUP(A49,List!B:C,2,0)-VLOOKUP(Summary!$P$7,List!B:C,2,0))=0,1,"")</f>
        <v/>
      </c>
      <c r="Y49" s="198">
        <f>+IF((VLOOKUP(A49,List!B:C,2,0)-VLOOKUP(Summary!$P$7,List!B:C,2,0))&gt;=0,1,"")</f>
        <v>1</v>
      </c>
      <c r="Z49" s="198">
        <f>+IF((VLOOKUP(A49,List!B:C,2,0)-VLOOKUP(Summary!$P$7,List!B:C,2,0))&gt;0,1,"")</f>
        <v>1</v>
      </c>
      <c r="AA49" s="141">
        <f t="shared" si="6"/>
        <v>2</v>
      </c>
      <c r="AB49" s="199" t="str">
        <f>+IF(AA49="","",IF(Summary!$J$7="Fixed Price","",IF(M49="",IF(I49="","",1),"")))</f>
        <v/>
      </c>
      <c r="AC49" s="198">
        <f t="shared" si="14"/>
        <v>0</v>
      </c>
    </row>
    <row r="50" spans="1:29" x14ac:dyDescent="0.2">
      <c r="A50" s="155" t="str">
        <f t="shared" si="15"/>
        <v>-</v>
      </c>
      <c r="B50" s="154" t="str">
        <f t="shared" si="20"/>
        <v/>
      </c>
      <c r="C50" s="153" t="str">
        <f t="shared" si="21"/>
        <v/>
      </c>
      <c r="D50" s="152" t="str">
        <f t="shared" si="16"/>
        <v>-</v>
      </c>
      <c r="E50" s="159" t="str">
        <f>+IF($B50="","",Summary!$P$4)</f>
        <v/>
      </c>
      <c r="F50" s="159" t="str">
        <f>+IF($B50="","",Summary!$P$5)</f>
        <v/>
      </c>
      <c r="G50" s="159" t="str">
        <f>+IF($B50="","",Summary!$P$6)</f>
        <v/>
      </c>
      <c r="H50" s="158" t="str">
        <f t="shared" si="17"/>
        <v/>
      </c>
      <c r="I50" s="156"/>
      <c r="J50" s="157"/>
      <c r="K50" s="156"/>
      <c r="L50" s="156"/>
      <c r="M50" s="156"/>
      <c r="N50" s="157" t="e">
        <f t="shared" si="3"/>
        <v>#REF!</v>
      </c>
      <c r="O50" s="157" t="e">
        <f>COUNTIFS(#REF!,"&gt;="&amp;DATE($C50,$B50,1),#REF!,"&lt;="&amp;EOMONTH(DATE($C50,$B50,1),0),#REF!,"Incident")+
COUNTIFS(#REF!,"&gt;="&amp;DATE($C50,$B50,1),#REF!,"&lt;="&amp;EOMONTH(DATE($C50,$B50,1),0),#REF!,"user_request")</f>
        <v>#REF!</v>
      </c>
      <c r="P50" s="147">
        <f t="shared" si="22"/>
        <v>0</v>
      </c>
      <c r="Q50" s="147">
        <f t="shared" si="23"/>
        <v>0</v>
      </c>
      <c r="R50" s="147">
        <f t="shared" si="24"/>
        <v>0</v>
      </c>
      <c r="S50" s="146" t="e">
        <f t="shared" si="25"/>
        <v>#REF!</v>
      </c>
      <c r="T50" s="146" t="e">
        <f t="shared" si="26"/>
        <v>#REF!</v>
      </c>
      <c r="U50" s="145">
        <f t="shared" si="18"/>
        <v>0</v>
      </c>
      <c r="V50" s="145" t="e">
        <f t="shared" si="19"/>
        <v>#REF!</v>
      </c>
      <c r="W50" s="142">
        <v>47</v>
      </c>
      <c r="X50" s="142" t="str">
        <f>+IF((VLOOKUP(A50,List!B:C,2,0)-VLOOKUP(Summary!$P$7,List!B:C,2,0))=0,1,"")</f>
        <v/>
      </c>
      <c r="Y50" s="198">
        <f>+IF((VLOOKUP(A50,List!B:C,2,0)-VLOOKUP(Summary!$P$7,List!B:C,2,0))&gt;=0,1,"")</f>
        <v>1</v>
      </c>
      <c r="Z50" s="198">
        <f>+IF((VLOOKUP(A50,List!B:C,2,0)-VLOOKUP(Summary!$P$7,List!B:C,2,0))&gt;0,1,"")</f>
        <v>1</v>
      </c>
      <c r="AA50" s="141">
        <f t="shared" si="6"/>
        <v>2</v>
      </c>
      <c r="AB50" s="199" t="str">
        <f>+IF(AA50="","",IF(Summary!$J$7="Fixed Price","",IF(M50="",IF(I50="","",1),"")))</f>
        <v/>
      </c>
      <c r="AC50" s="198">
        <f t="shared" si="14"/>
        <v>0</v>
      </c>
    </row>
    <row r="51" spans="1:29" x14ac:dyDescent="0.2">
      <c r="A51" s="155" t="str">
        <f t="shared" si="15"/>
        <v>-</v>
      </c>
      <c r="B51" s="154" t="str">
        <f t="shared" si="20"/>
        <v/>
      </c>
      <c r="C51" s="153" t="str">
        <f t="shared" si="21"/>
        <v/>
      </c>
      <c r="D51" s="152" t="str">
        <f t="shared" si="16"/>
        <v>-</v>
      </c>
      <c r="E51" s="151" t="str">
        <f>+IF($B51="","",Summary!$P$4)</f>
        <v/>
      </c>
      <c r="F51" s="151" t="str">
        <f>+IF($B51="","",Summary!$P$5)</f>
        <v/>
      </c>
      <c r="G51" s="151" t="str">
        <f>+IF($B51="","",Summary!$P$6)</f>
        <v/>
      </c>
      <c r="H51" s="150" t="str">
        <f t="shared" si="17"/>
        <v/>
      </c>
      <c r="I51" s="148"/>
      <c r="J51" s="149"/>
      <c r="K51" s="148"/>
      <c r="L51" s="148"/>
      <c r="M51" s="148"/>
      <c r="N51" s="149" t="e">
        <f t="shared" si="3"/>
        <v>#REF!</v>
      </c>
      <c r="O51" s="149" t="e">
        <f>COUNTIFS(#REF!,"&gt;="&amp;DATE($C51,$B51,1),#REF!,"&lt;="&amp;EOMONTH(DATE($C51,$B51,1),0),#REF!,"Incident")+
COUNTIFS(#REF!,"&gt;="&amp;DATE($C51,$B51,1),#REF!,"&lt;="&amp;EOMONTH(DATE($C51,$B51,1),0),#REF!,"user_request")</f>
        <v>#REF!</v>
      </c>
      <c r="P51" s="147">
        <f t="shared" si="22"/>
        <v>0</v>
      </c>
      <c r="Q51" s="147">
        <f t="shared" si="23"/>
        <v>0</v>
      </c>
      <c r="R51" s="147">
        <f t="shared" si="24"/>
        <v>0</v>
      </c>
      <c r="S51" s="146" t="e">
        <f t="shared" si="25"/>
        <v>#REF!</v>
      </c>
      <c r="T51" s="146" t="e">
        <f t="shared" si="26"/>
        <v>#REF!</v>
      </c>
      <c r="U51" s="145">
        <f t="shared" si="18"/>
        <v>0</v>
      </c>
      <c r="V51" s="145" t="e">
        <f t="shared" si="19"/>
        <v>#REF!</v>
      </c>
      <c r="W51" s="142">
        <v>48</v>
      </c>
      <c r="X51" s="142" t="str">
        <f>+IF((VLOOKUP(A51,List!B:C,2,0)-VLOOKUP(Summary!$P$7,List!B:C,2,0))=0,1,"")</f>
        <v/>
      </c>
      <c r="Y51" s="198">
        <f>+IF((VLOOKUP(A51,List!B:C,2,0)-VLOOKUP(Summary!$P$7,List!B:C,2,0))&gt;=0,1,"")</f>
        <v>1</v>
      </c>
      <c r="Z51" s="198">
        <f>+IF((VLOOKUP(A51,List!B:C,2,0)-VLOOKUP(Summary!$P$7,List!B:C,2,0))&gt;0,1,"")</f>
        <v>1</v>
      </c>
      <c r="AA51" s="141">
        <f t="shared" si="6"/>
        <v>2</v>
      </c>
      <c r="AB51" s="199" t="str">
        <f>+IF(AA51="","",IF(Summary!$J$7="Fixed Price","",IF(M51="",IF(I51="","",1),"")))</f>
        <v/>
      </c>
      <c r="AC51" s="198">
        <f t="shared" si="14"/>
        <v>0</v>
      </c>
    </row>
    <row r="52" spans="1:29" x14ac:dyDescent="0.2">
      <c r="A52" s="155" t="str">
        <f t="shared" si="15"/>
        <v>-</v>
      </c>
      <c r="B52" s="154" t="str">
        <f t="shared" si="20"/>
        <v/>
      </c>
      <c r="C52" s="153" t="str">
        <f t="shared" si="21"/>
        <v/>
      </c>
      <c r="D52" s="152" t="str">
        <f t="shared" si="16"/>
        <v>-</v>
      </c>
      <c r="E52" s="159" t="str">
        <f>+IF($B52="","",Summary!$P$4)</f>
        <v/>
      </c>
      <c r="F52" s="159" t="str">
        <f>+IF($B52="","",Summary!$P$5)</f>
        <v/>
      </c>
      <c r="G52" s="159" t="str">
        <f>+IF($B52="","",Summary!$P$6)</f>
        <v/>
      </c>
      <c r="H52" s="158" t="str">
        <f t="shared" si="17"/>
        <v/>
      </c>
      <c r="I52" s="156"/>
      <c r="J52" s="157"/>
      <c r="K52" s="156"/>
      <c r="L52" s="156"/>
      <c r="M52" s="156"/>
      <c r="N52" s="157" t="e">
        <f t="shared" si="3"/>
        <v>#REF!</v>
      </c>
      <c r="O52" s="157" t="e">
        <f>COUNTIFS(#REF!,"&gt;="&amp;DATE($C52,$B52,1),#REF!,"&lt;="&amp;EOMONTH(DATE($C52,$B52,1),0),#REF!,"Incident")+
COUNTIFS(#REF!,"&gt;="&amp;DATE($C52,$B52,1),#REF!,"&lt;="&amp;EOMONTH(DATE($C52,$B52,1),0),#REF!,"user_request")</f>
        <v>#REF!</v>
      </c>
      <c r="P52" s="147">
        <f t="shared" si="22"/>
        <v>0</v>
      </c>
      <c r="Q52" s="147">
        <f t="shared" si="23"/>
        <v>0</v>
      </c>
      <c r="R52" s="147">
        <f t="shared" si="24"/>
        <v>0</v>
      </c>
      <c r="S52" s="146" t="e">
        <f t="shared" si="25"/>
        <v>#REF!</v>
      </c>
      <c r="T52" s="146" t="e">
        <f t="shared" si="26"/>
        <v>#REF!</v>
      </c>
      <c r="U52" s="145">
        <f t="shared" si="18"/>
        <v>0</v>
      </c>
      <c r="V52" s="145" t="e">
        <f t="shared" si="19"/>
        <v>#REF!</v>
      </c>
      <c r="W52" s="142">
        <v>45</v>
      </c>
      <c r="X52" s="142" t="str">
        <f>+IF((VLOOKUP(A52,List!B:C,2,0)-VLOOKUP(Summary!$P$7,List!B:C,2,0))=0,1,"")</f>
        <v/>
      </c>
      <c r="Y52" s="198">
        <f>+IF((VLOOKUP(A52,List!B:C,2,0)-VLOOKUP(Summary!$P$7,List!B:C,2,0))&gt;=0,1,"")</f>
        <v>1</v>
      </c>
      <c r="Z52" s="198">
        <f>+IF((VLOOKUP(A52,List!B:C,2,0)-VLOOKUP(Summary!$P$7,List!B:C,2,0))&gt;0,1,"")</f>
        <v>1</v>
      </c>
      <c r="AA52" s="141">
        <f t="shared" si="6"/>
        <v>2</v>
      </c>
      <c r="AB52" s="199" t="str">
        <f>+IF(AA52="","",IF(Summary!$J$7="Fixed Price","",IF(M52="",IF(I52="","",1),"")))</f>
        <v/>
      </c>
      <c r="AC52" s="198">
        <f t="shared" si="14"/>
        <v>0</v>
      </c>
    </row>
    <row r="53" spans="1:29" x14ac:dyDescent="0.2">
      <c r="A53" s="155" t="str">
        <f t="shared" si="15"/>
        <v>-</v>
      </c>
      <c r="B53" s="154" t="str">
        <f t="shared" si="20"/>
        <v/>
      </c>
      <c r="C53" s="153" t="str">
        <f t="shared" si="21"/>
        <v/>
      </c>
      <c r="D53" s="152" t="str">
        <f t="shared" si="16"/>
        <v>-</v>
      </c>
      <c r="E53" s="151" t="str">
        <f>+IF($B53="","",Summary!$P$4)</f>
        <v/>
      </c>
      <c r="F53" s="151" t="str">
        <f>+IF($B53="","",Summary!$P$5)</f>
        <v/>
      </c>
      <c r="G53" s="151" t="str">
        <f>+IF($B53="","",Summary!$P$6)</f>
        <v/>
      </c>
      <c r="H53" s="150" t="str">
        <f t="shared" si="17"/>
        <v/>
      </c>
      <c r="I53" s="148"/>
      <c r="J53" s="149"/>
      <c r="K53" s="148"/>
      <c r="L53" s="148"/>
      <c r="M53" s="148"/>
      <c r="N53" s="149" t="e">
        <f t="shared" si="3"/>
        <v>#REF!</v>
      </c>
      <c r="O53" s="149" t="e">
        <f>COUNTIFS(#REF!,"&gt;="&amp;DATE($C53,$B53,1),#REF!,"&lt;="&amp;EOMONTH(DATE($C53,$B53,1),0),#REF!,"Incident")+
COUNTIFS(#REF!,"&gt;="&amp;DATE($C53,$B53,1),#REF!,"&lt;="&amp;EOMONTH(DATE($C53,$B53,1),0),#REF!,"user_request")</f>
        <v>#REF!</v>
      </c>
      <c r="P53" s="147">
        <f t="shared" si="22"/>
        <v>0</v>
      </c>
      <c r="Q53" s="147">
        <f t="shared" si="23"/>
        <v>0</v>
      </c>
      <c r="R53" s="147">
        <f t="shared" si="24"/>
        <v>0</v>
      </c>
      <c r="S53" s="146" t="e">
        <f t="shared" si="25"/>
        <v>#REF!</v>
      </c>
      <c r="T53" s="146" t="e">
        <f t="shared" si="26"/>
        <v>#REF!</v>
      </c>
      <c r="U53" s="145">
        <f t="shared" si="18"/>
        <v>0</v>
      </c>
      <c r="V53" s="145" t="e">
        <f t="shared" si="19"/>
        <v>#REF!</v>
      </c>
      <c r="W53" s="142">
        <v>46</v>
      </c>
      <c r="X53" s="142" t="str">
        <f>+IF((VLOOKUP(A53,List!B:C,2,0)-VLOOKUP(Summary!$P$7,List!B:C,2,0))=0,1,"")</f>
        <v/>
      </c>
      <c r="Y53" s="198">
        <f>+IF((VLOOKUP(A53,List!B:C,2,0)-VLOOKUP(Summary!$P$7,List!B:C,2,0))&gt;=0,1,"")</f>
        <v>1</v>
      </c>
      <c r="Z53" s="198">
        <f>+IF((VLOOKUP(A53,List!B:C,2,0)-VLOOKUP(Summary!$P$7,List!B:C,2,0))&gt;0,1,"")</f>
        <v>1</v>
      </c>
      <c r="AA53" s="141">
        <f t="shared" si="6"/>
        <v>2</v>
      </c>
      <c r="AB53" s="199" t="str">
        <f>+IF(AA53="","",IF(Summary!$J$7="Fixed Price","",IF(M53="",IF(I53="","",1),"")))</f>
        <v/>
      </c>
      <c r="AC53" s="198">
        <f t="shared" si="14"/>
        <v>0</v>
      </c>
    </row>
    <row r="54" spans="1:29" x14ac:dyDescent="0.2">
      <c r="A54" s="155" t="str">
        <f t="shared" si="15"/>
        <v>-</v>
      </c>
      <c r="B54" s="154" t="str">
        <f t="shared" si="20"/>
        <v/>
      </c>
      <c r="C54" s="153" t="str">
        <f t="shared" si="21"/>
        <v/>
      </c>
      <c r="D54" s="152" t="str">
        <f t="shared" si="16"/>
        <v>-</v>
      </c>
      <c r="E54" s="159" t="str">
        <f>+IF($B54="","",Summary!$P$4)</f>
        <v/>
      </c>
      <c r="F54" s="159" t="str">
        <f>+IF($B54="","",Summary!$P$5)</f>
        <v/>
      </c>
      <c r="G54" s="159" t="str">
        <f>+IF($B54="","",Summary!$P$6)</f>
        <v/>
      </c>
      <c r="H54" s="158" t="str">
        <f t="shared" si="17"/>
        <v/>
      </c>
      <c r="I54" s="156"/>
      <c r="J54" s="157"/>
      <c r="K54" s="156"/>
      <c r="L54" s="156"/>
      <c r="M54" s="156"/>
      <c r="N54" s="157" t="e">
        <f t="shared" si="3"/>
        <v>#REF!</v>
      </c>
      <c r="O54" s="157" t="e">
        <f>COUNTIFS(#REF!,"&gt;="&amp;DATE($C54,$B54,1),#REF!,"&lt;="&amp;EOMONTH(DATE($C54,$B54,1),0),#REF!,"Incident")+
COUNTIFS(#REF!,"&gt;="&amp;DATE($C54,$B54,1),#REF!,"&lt;="&amp;EOMONTH(DATE($C54,$B54,1),0),#REF!,"user_request")</f>
        <v>#REF!</v>
      </c>
      <c r="P54" s="147">
        <f t="shared" si="22"/>
        <v>0</v>
      </c>
      <c r="Q54" s="147">
        <f t="shared" si="23"/>
        <v>0</v>
      </c>
      <c r="R54" s="147">
        <f t="shared" si="24"/>
        <v>0</v>
      </c>
      <c r="S54" s="146" t="e">
        <f t="shared" si="25"/>
        <v>#REF!</v>
      </c>
      <c r="T54" s="146" t="e">
        <f t="shared" si="26"/>
        <v>#REF!</v>
      </c>
      <c r="U54" s="145">
        <f t="shared" si="18"/>
        <v>0</v>
      </c>
      <c r="V54" s="145" t="e">
        <f t="shared" si="19"/>
        <v>#REF!</v>
      </c>
      <c r="W54" s="142">
        <v>47</v>
      </c>
      <c r="X54" s="142" t="str">
        <f>+IF((VLOOKUP(A54,List!B:C,2,0)-VLOOKUP(Summary!$P$7,List!B:C,2,0))=0,1,"")</f>
        <v/>
      </c>
      <c r="Y54" s="198">
        <f>+IF((VLOOKUP(A54,List!B:C,2,0)-VLOOKUP(Summary!$P$7,List!B:C,2,0))&gt;=0,1,"")</f>
        <v>1</v>
      </c>
      <c r="Z54" s="198">
        <f>+IF((VLOOKUP(A54,List!B:C,2,0)-VLOOKUP(Summary!$P$7,List!B:C,2,0))&gt;0,1,"")</f>
        <v>1</v>
      </c>
      <c r="AA54" s="141">
        <f t="shared" si="6"/>
        <v>2</v>
      </c>
      <c r="AB54" s="199" t="str">
        <f>+IF(AA54="","",IF(Summary!$J$7="Fixed Price","",IF(M54="",IF(I54="","",1),"")))</f>
        <v/>
      </c>
      <c r="AC54" s="198">
        <f t="shared" si="14"/>
        <v>0</v>
      </c>
    </row>
    <row r="55" spans="1:29" x14ac:dyDescent="0.2">
      <c r="A55" s="155" t="str">
        <f t="shared" si="15"/>
        <v>-</v>
      </c>
      <c r="B55" s="154" t="str">
        <f t="shared" si="20"/>
        <v/>
      </c>
      <c r="C55" s="153" t="str">
        <f t="shared" si="21"/>
        <v/>
      </c>
      <c r="D55" s="152" t="str">
        <f t="shared" si="16"/>
        <v>-</v>
      </c>
      <c r="E55" s="151" t="str">
        <f>+IF($B55="","",Summary!$P$4)</f>
        <v/>
      </c>
      <c r="F55" s="151" t="str">
        <f>+IF($B55="","",Summary!$P$5)</f>
        <v/>
      </c>
      <c r="G55" s="151" t="str">
        <f>+IF($B55="","",Summary!$P$6)</f>
        <v/>
      </c>
      <c r="H55" s="150" t="str">
        <f t="shared" si="17"/>
        <v/>
      </c>
      <c r="I55" s="148"/>
      <c r="J55" s="149"/>
      <c r="K55" s="148"/>
      <c r="L55" s="148"/>
      <c r="M55" s="148"/>
      <c r="N55" s="149" t="e">
        <f t="shared" si="3"/>
        <v>#REF!</v>
      </c>
      <c r="O55" s="149" t="e">
        <f>COUNTIFS(#REF!,"&gt;="&amp;DATE($C55,$B55,1),#REF!,"&lt;="&amp;EOMONTH(DATE($C55,$B55,1),0),#REF!,"Incident")+
COUNTIFS(#REF!,"&gt;="&amp;DATE($C55,$B55,1),#REF!,"&lt;="&amp;EOMONTH(DATE($C55,$B55,1),0),#REF!,"user_request")</f>
        <v>#REF!</v>
      </c>
      <c r="P55" s="147">
        <f t="shared" si="22"/>
        <v>0</v>
      </c>
      <c r="Q55" s="147">
        <f t="shared" si="23"/>
        <v>0</v>
      </c>
      <c r="R55" s="147">
        <f t="shared" si="24"/>
        <v>0</v>
      </c>
      <c r="S55" s="146" t="e">
        <f t="shared" si="25"/>
        <v>#REF!</v>
      </c>
      <c r="T55" s="146" t="e">
        <f t="shared" si="26"/>
        <v>#REF!</v>
      </c>
      <c r="U55" s="145">
        <f t="shared" si="18"/>
        <v>0</v>
      </c>
      <c r="V55" s="145" t="e">
        <f t="shared" si="19"/>
        <v>#REF!</v>
      </c>
      <c r="W55" s="142">
        <v>48</v>
      </c>
      <c r="X55" s="142" t="str">
        <f>+IF((VLOOKUP(A55,List!B:C,2,0)-VLOOKUP(Summary!$P$7,List!B:C,2,0))=0,1,"")</f>
        <v/>
      </c>
      <c r="Y55" s="198">
        <f>+IF((VLOOKUP(A55,List!B:C,2,0)-VLOOKUP(Summary!$P$7,List!B:C,2,0))&gt;=0,1,"")</f>
        <v>1</v>
      </c>
      <c r="Z55" s="198">
        <f>+IF((VLOOKUP(A55,List!B:C,2,0)-VLOOKUP(Summary!$P$7,List!B:C,2,0))&gt;0,1,"")</f>
        <v>1</v>
      </c>
      <c r="AA55" s="141">
        <f t="shared" si="6"/>
        <v>2</v>
      </c>
      <c r="AB55" s="199" t="str">
        <f>+IF(AA55="","",IF(Summary!$J$7="Fixed Price","",IF(M55="",IF(I55="","",1),"")))</f>
        <v/>
      </c>
      <c r="AC55" s="198">
        <f t="shared" si="14"/>
        <v>0</v>
      </c>
    </row>
    <row r="56" spans="1:29" x14ac:dyDescent="0.2">
      <c r="A56" s="155" t="str">
        <f t="shared" si="15"/>
        <v>-</v>
      </c>
      <c r="B56" s="154" t="str">
        <f t="shared" si="20"/>
        <v/>
      </c>
      <c r="C56" s="153" t="str">
        <f t="shared" si="21"/>
        <v/>
      </c>
      <c r="D56" s="152" t="str">
        <f t="shared" si="16"/>
        <v>-</v>
      </c>
      <c r="E56" s="159" t="str">
        <f>+IF($B56="","",Summary!$P$4)</f>
        <v/>
      </c>
      <c r="F56" s="159" t="str">
        <f>+IF($B56="","",Summary!$P$5)</f>
        <v/>
      </c>
      <c r="G56" s="159" t="str">
        <f>+IF($B56="","",Summary!$P$6)</f>
        <v/>
      </c>
      <c r="H56" s="158" t="str">
        <f t="shared" si="17"/>
        <v/>
      </c>
      <c r="I56" s="156"/>
      <c r="J56" s="157"/>
      <c r="K56" s="156"/>
      <c r="L56" s="156"/>
      <c r="M56" s="156"/>
      <c r="N56" s="157" t="e">
        <f t="shared" si="3"/>
        <v>#REF!</v>
      </c>
      <c r="O56" s="157" t="e">
        <f>COUNTIFS(#REF!,"&gt;="&amp;DATE($C56,$B56,1),#REF!,"&lt;="&amp;EOMONTH(DATE($C56,$B56,1),0),#REF!,"Incident")+
COUNTIFS(#REF!,"&gt;="&amp;DATE($C56,$B56,1),#REF!,"&lt;="&amp;EOMONTH(DATE($C56,$B56,1),0),#REF!,"user_request")</f>
        <v>#REF!</v>
      </c>
      <c r="P56" s="147">
        <f t="shared" si="22"/>
        <v>0</v>
      </c>
      <c r="Q56" s="147">
        <f t="shared" si="23"/>
        <v>0</v>
      </c>
      <c r="R56" s="147">
        <f t="shared" si="24"/>
        <v>0</v>
      </c>
      <c r="S56" s="146" t="e">
        <f t="shared" si="25"/>
        <v>#REF!</v>
      </c>
      <c r="T56" s="146" t="e">
        <f t="shared" si="26"/>
        <v>#REF!</v>
      </c>
      <c r="U56" s="145">
        <f t="shared" si="18"/>
        <v>0</v>
      </c>
      <c r="V56" s="145" t="e">
        <f t="shared" si="19"/>
        <v>#REF!</v>
      </c>
      <c r="W56" s="142">
        <v>45</v>
      </c>
      <c r="X56" s="142" t="str">
        <f>+IF((VLOOKUP(A56,List!B:C,2,0)-VLOOKUP(Summary!$P$7,List!B:C,2,0))=0,1,"")</f>
        <v/>
      </c>
      <c r="Y56" s="198">
        <f>+IF((VLOOKUP(A56,List!B:C,2,0)-VLOOKUP(Summary!$P$7,List!B:C,2,0))&gt;=0,1,"")</f>
        <v>1</v>
      </c>
      <c r="Z56" s="198">
        <f>+IF((VLOOKUP(A56,List!B:C,2,0)-VLOOKUP(Summary!$P$7,List!B:C,2,0))&gt;0,1,"")</f>
        <v>1</v>
      </c>
      <c r="AA56" s="141">
        <f t="shared" si="6"/>
        <v>2</v>
      </c>
      <c r="AB56" s="199" t="str">
        <f>+IF(AA56="","",IF(Summary!$J$7="Fixed Price","",IF(M56="",IF(I56="","",1),"")))</f>
        <v/>
      </c>
      <c r="AC56" s="198">
        <f t="shared" si="14"/>
        <v>0</v>
      </c>
    </row>
    <row r="57" spans="1:29" x14ac:dyDescent="0.2">
      <c r="A57" s="155" t="str">
        <f t="shared" si="15"/>
        <v>-</v>
      </c>
      <c r="B57" s="154" t="str">
        <f t="shared" si="20"/>
        <v/>
      </c>
      <c r="C57" s="153" t="str">
        <f t="shared" si="21"/>
        <v/>
      </c>
      <c r="D57" s="152" t="str">
        <f t="shared" si="16"/>
        <v>-</v>
      </c>
      <c r="E57" s="151" t="str">
        <f>+IF($B57="","",Summary!$P$4)</f>
        <v/>
      </c>
      <c r="F57" s="151" t="str">
        <f>+IF($B57="","",Summary!$P$5)</f>
        <v/>
      </c>
      <c r="G57" s="151" t="str">
        <f>+IF($B57="","",Summary!$P$6)</f>
        <v/>
      </c>
      <c r="H57" s="150" t="str">
        <f t="shared" si="17"/>
        <v/>
      </c>
      <c r="I57" s="148"/>
      <c r="J57" s="149"/>
      <c r="K57" s="148"/>
      <c r="L57" s="148"/>
      <c r="M57" s="148"/>
      <c r="N57" s="149" t="e">
        <f t="shared" si="3"/>
        <v>#REF!</v>
      </c>
      <c r="O57" s="149" t="e">
        <f>COUNTIFS(#REF!,"&gt;="&amp;DATE($C57,$B57,1),#REF!,"&lt;="&amp;EOMONTH(DATE($C57,$B57,1),0),#REF!,"Incident")+
COUNTIFS(#REF!,"&gt;="&amp;DATE($C57,$B57,1),#REF!,"&lt;="&amp;EOMONTH(DATE($C57,$B57,1),0),#REF!,"user_request")</f>
        <v>#REF!</v>
      </c>
      <c r="P57" s="147">
        <f t="shared" si="22"/>
        <v>0</v>
      </c>
      <c r="Q57" s="147">
        <f t="shared" si="23"/>
        <v>0</v>
      </c>
      <c r="R57" s="147">
        <f t="shared" si="24"/>
        <v>0</v>
      </c>
      <c r="S57" s="146" t="e">
        <f t="shared" si="25"/>
        <v>#REF!</v>
      </c>
      <c r="T57" s="146" t="e">
        <f t="shared" si="26"/>
        <v>#REF!</v>
      </c>
      <c r="U57" s="145">
        <f t="shared" si="18"/>
        <v>0</v>
      </c>
      <c r="V57" s="145" t="e">
        <f t="shared" si="19"/>
        <v>#REF!</v>
      </c>
      <c r="W57" s="142">
        <v>46</v>
      </c>
      <c r="X57" s="142" t="str">
        <f>+IF((VLOOKUP(A57,List!B:C,2,0)-VLOOKUP(Summary!$P$7,List!B:C,2,0))=0,1,"")</f>
        <v/>
      </c>
      <c r="Y57" s="198">
        <f>+IF((VLOOKUP(A57,List!B:C,2,0)-VLOOKUP(Summary!$P$7,List!B:C,2,0))&gt;=0,1,"")</f>
        <v>1</v>
      </c>
      <c r="Z57" s="198">
        <f>+IF((VLOOKUP(A57,List!B:C,2,0)-VLOOKUP(Summary!$P$7,List!B:C,2,0))&gt;0,1,"")</f>
        <v>1</v>
      </c>
      <c r="AA57" s="141">
        <f t="shared" si="6"/>
        <v>2</v>
      </c>
      <c r="AB57" s="199" t="str">
        <f>+IF(AA57="","",IF(Summary!$J$7="Fixed Price","",IF(M57="",IF(I57="","",1),"")))</f>
        <v/>
      </c>
      <c r="AC57" s="198">
        <f t="shared" si="14"/>
        <v>0</v>
      </c>
    </row>
    <row r="58" spans="1:29" x14ac:dyDescent="0.2">
      <c r="A58" s="155" t="str">
        <f t="shared" si="15"/>
        <v>-</v>
      </c>
      <c r="B58" s="154" t="str">
        <f t="shared" si="20"/>
        <v/>
      </c>
      <c r="C58" s="153" t="str">
        <f t="shared" si="21"/>
        <v/>
      </c>
      <c r="D58" s="152" t="str">
        <f t="shared" si="16"/>
        <v>-</v>
      </c>
      <c r="E58" s="159" t="str">
        <f>+IF($B58="","",Summary!$P$4)</f>
        <v/>
      </c>
      <c r="F58" s="159" t="str">
        <f>+IF($B58="","",Summary!$P$5)</f>
        <v/>
      </c>
      <c r="G58" s="159" t="str">
        <f>+IF($B58="","",Summary!$P$6)</f>
        <v/>
      </c>
      <c r="H58" s="158" t="str">
        <f t="shared" si="17"/>
        <v/>
      </c>
      <c r="I58" s="156"/>
      <c r="J58" s="157"/>
      <c r="K58" s="156"/>
      <c r="L58" s="156"/>
      <c r="M58" s="156"/>
      <c r="N58" s="157" t="e">
        <f t="shared" si="3"/>
        <v>#REF!</v>
      </c>
      <c r="O58" s="157" t="e">
        <f>COUNTIFS(#REF!,"&gt;="&amp;DATE($C58,$B58,1),#REF!,"&lt;="&amp;EOMONTH(DATE($C58,$B58,1),0),#REF!,"Incident")+
COUNTIFS(#REF!,"&gt;="&amp;DATE($C58,$B58,1),#REF!,"&lt;="&amp;EOMONTH(DATE($C58,$B58,1),0),#REF!,"user_request")</f>
        <v>#REF!</v>
      </c>
      <c r="P58" s="147">
        <f t="shared" si="22"/>
        <v>0</v>
      </c>
      <c r="Q58" s="147">
        <f t="shared" si="23"/>
        <v>0</v>
      </c>
      <c r="R58" s="147">
        <f t="shared" si="24"/>
        <v>0</v>
      </c>
      <c r="S58" s="146" t="e">
        <f t="shared" si="25"/>
        <v>#REF!</v>
      </c>
      <c r="T58" s="146" t="e">
        <f t="shared" si="26"/>
        <v>#REF!</v>
      </c>
      <c r="U58" s="145">
        <f t="shared" si="18"/>
        <v>0</v>
      </c>
      <c r="V58" s="145" t="e">
        <f t="shared" si="19"/>
        <v>#REF!</v>
      </c>
      <c r="W58" s="142">
        <v>47</v>
      </c>
      <c r="X58" s="142" t="str">
        <f>+IF((VLOOKUP(A58,List!B:C,2,0)-VLOOKUP(Summary!$P$7,List!B:C,2,0))=0,1,"")</f>
        <v/>
      </c>
      <c r="Y58" s="198">
        <f>+IF((VLOOKUP(A58,List!B:C,2,0)-VLOOKUP(Summary!$P$7,List!B:C,2,0))&gt;=0,1,"")</f>
        <v>1</v>
      </c>
      <c r="Z58" s="198">
        <f>+IF((VLOOKUP(A58,List!B:C,2,0)-VLOOKUP(Summary!$P$7,List!B:C,2,0))&gt;0,1,"")</f>
        <v>1</v>
      </c>
      <c r="AA58" s="141">
        <f t="shared" si="6"/>
        <v>2</v>
      </c>
      <c r="AB58" s="199" t="str">
        <f>+IF(AA58="","",IF(Summary!$J$7="Fixed Price","",IF(M58="",IF(I58="","",1),"")))</f>
        <v/>
      </c>
      <c r="AC58" s="198">
        <f t="shared" si="14"/>
        <v>0</v>
      </c>
    </row>
    <row r="59" spans="1:29" x14ac:dyDescent="0.2">
      <c r="A59" s="155" t="str">
        <f t="shared" si="15"/>
        <v>-</v>
      </c>
      <c r="B59" s="154" t="str">
        <f t="shared" si="20"/>
        <v/>
      </c>
      <c r="C59" s="153" t="str">
        <f t="shared" si="21"/>
        <v/>
      </c>
      <c r="D59" s="152" t="str">
        <f t="shared" si="16"/>
        <v>-</v>
      </c>
      <c r="E59" s="151" t="str">
        <f>+IF($B59="","",Summary!$P$4)</f>
        <v/>
      </c>
      <c r="F59" s="151" t="str">
        <f>+IF($B59="","",Summary!$P$5)</f>
        <v/>
      </c>
      <c r="G59" s="151" t="str">
        <f>+IF($B59="","",Summary!$P$6)</f>
        <v/>
      </c>
      <c r="H59" s="150" t="str">
        <f t="shared" si="17"/>
        <v/>
      </c>
      <c r="I59" s="148"/>
      <c r="J59" s="149"/>
      <c r="K59" s="148"/>
      <c r="L59" s="148"/>
      <c r="M59" s="148"/>
      <c r="N59" s="149" t="e">
        <f t="shared" si="3"/>
        <v>#REF!</v>
      </c>
      <c r="O59" s="149" t="e">
        <f>COUNTIFS(#REF!,"&gt;="&amp;DATE($C59,$B59,1),#REF!,"&lt;="&amp;EOMONTH(DATE($C59,$B59,1),0),#REF!,"Incident")+
COUNTIFS(#REF!,"&gt;="&amp;DATE($C59,$B59,1),#REF!,"&lt;="&amp;EOMONTH(DATE($C59,$B59,1),0),#REF!,"user_request")</f>
        <v>#REF!</v>
      </c>
      <c r="P59" s="147">
        <f t="shared" si="22"/>
        <v>0</v>
      </c>
      <c r="Q59" s="147">
        <f t="shared" si="23"/>
        <v>0</v>
      </c>
      <c r="R59" s="147">
        <f t="shared" si="24"/>
        <v>0</v>
      </c>
      <c r="S59" s="146" t="e">
        <f t="shared" si="25"/>
        <v>#REF!</v>
      </c>
      <c r="T59" s="146" t="e">
        <f t="shared" si="26"/>
        <v>#REF!</v>
      </c>
      <c r="U59" s="145">
        <f t="shared" si="18"/>
        <v>0</v>
      </c>
      <c r="V59" s="145" t="e">
        <f t="shared" si="19"/>
        <v>#REF!</v>
      </c>
      <c r="W59" s="142">
        <v>48</v>
      </c>
      <c r="X59" s="142" t="str">
        <f>+IF((VLOOKUP(A59,List!B:C,2,0)-VLOOKUP(Summary!$P$7,List!B:C,2,0))=0,1,"")</f>
        <v/>
      </c>
      <c r="Y59" s="198">
        <f>+IF((VLOOKUP(A59,List!B:C,2,0)-VLOOKUP(Summary!$P$7,List!B:C,2,0))&gt;=0,1,"")</f>
        <v>1</v>
      </c>
      <c r="Z59" s="198">
        <f>+IF((VLOOKUP(A59,List!B:C,2,0)-VLOOKUP(Summary!$P$7,List!B:C,2,0))&gt;0,1,"")</f>
        <v>1</v>
      </c>
      <c r="AA59" s="141">
        <f t="shared" si="6"/>
        <v>2</v>
      </c>
      <c r="AB59" s="199" t="str">
        <f>+IF(AA59="","",IF(Summary!$J$7="Fixed Price","",IF(M59="",IF(I59="","",1),"")))</f>
        <v/>
      </c>
      <c r="AC59" s="198">
        <f t="shared" si="14"/>
        <v>0</v>
      </c>
    </row>
    <row r="60" spans="1:29" x14ac:dyDescent="0.2">
      <c r="A60" s="155" t="str">
        <f t="shared" si="15"/>
        <v>-</v>
      </c>
      <c r="B60" s="154" t="str">
        <f t="shared" si="20"/>
        <v/>
      </c>
      <c r="C60" s="153" t="str">
        <f t="shared" si="21"/>
        <v/>
      </c>
      <c r="D60" s="152" t="str">
        <f t="shared" si="16"/>
        <v>-</v>
      </c>
      <c r="E60" s="159" t="str">
        <f>+IF($B60="","",Summary!$P$4)</f>
        <v/>
      </c>
      <c r="F60" s="159" t="str">
        <f>+IF($B60="","",Summary!$P$5)</f>
        <v/>
      </c>
      <c r="G60" s="159" t="str">
        <f>+IF($B60="","",Summary!$P$6)</f>
        <v/>
      </c>
      <c r="H60" s="158" t="str">
        <f t="shared" si="17"/>
        <v/>
      </c>
      <c r="I60" s="156"/>
      <c r="J60" s="157"/>
      <c r="K60" s="156"/>
      <c r="L60" s="156"/>
      <c r="M60" s="156"/>
      <c r="N60" s="157" t="e">
        <f t="shared" si="3"/>
        <v>#REF!</v>
      </c>
      <c r="O60" s="157" t="e">
        <f>COUNTIFS(#REF!,"&gt;="&amp;DATE($C60,$B60,1),#REF!,"&lt;="&amp;EOMONTH(DATE($C60,$B60,1),0),#REF!,"Incident")+
COUNTIFS(#REF!,"&gt;="&amp;DATE($C60,$B60,1),#REF!,"&lt;="&amp;EOMONTH(DATE($C60,$B60,1),0),#REF!,"user_request")</f>
        <v>#REF!</v>
      </c>
      <c r="P60" s="147">
        <f t="shared" si="22"/>
        <v>0</v>
      </c>
      <c r="Q60" s="147">
        <f t="shared" si="23"/>
        <v>0</v>
      </c>
      <c r="R60" s="147">
        <f t="shared" si="24"/>
        <v>0</v>
      </c>
      <c r="S60" s="146" t="e">
        <f t="shared" si="25"/>
        <v>#REF!</v>
      </c>
      <c r="T60" s="146" t="e">
        <f t="shared" si="26"/>
        <v>#REF!</v>
      </c>
      <c r="U60" s="145">
        <f t="shared" si="18"/>
        <v>0</v>
      </c>
      <c r="V60" s="145" t="e">
        <f t="shared" si="19"/>
        <v>#REF!</v>
      </c>
      <c r="W60" s="142">
        <v>45</v>
      </c>
      <c r="X60" s="142" t="str">
        <f>+IF((VLOOKUP(A60,List!B:C,2,0)-VLOOKUP(Summary!$P$7,List!B:C,2,0))=0,1,"")</f>
        <v/>
      </c>
      <c r="Y60" s="198">
        <f>+IF((VLOOKUP(A60,List!B:C,2,0)-VLOOKUP(Summary!$P$7,List!B:C,2,0))&gt;=0,1,"")</f>
        <v>1</v>
      </c>
      <c r="Z60" s="198">
        <f>+IF((VLOOKUP(A60,List!B:C,2,0)-VLOOKUP(Summary!$P$7,List!B:C,2,0))&gt;0,1,"")</f>
        <v>1</v>
      </c>
      <c r="AA60" s="141">
        <f t="shared" si="6"/>
        <v>2</v>
      </c>
      <c r="AB60" s="199" t="str">
        <f>+IF(AA60="","",IF(Summary!$J$7="Fixed Price","",IF(M60="",IF(I60="","",1),"")))</f>
        <v/>
      </c>
      <c r="AC60" s="198">
        <f t="shared" si="14"/>
        <v>0</v>
      </c>
    </row>
    <row r="61" spans="1:29" x14ac:dyDescent="0.2">
      <c r="A61" s="155" t="str">
        <f t="shared" si="15"/>
        <v>-</v>
      </c>
      <c r="B61" s="154" t="str">
        <f t="shared" si="20"/>
        <v/>
      </c>
      <c r="C61" s="153" t="str">
        <f t="shared" si="21"/>
        <v/>
      </c>
      <c r="D61" s="152" t="str">
        <f t="shared" si="16"/>
        <v>-</v>
      </c>
      <c r="E61" s="151" t="str">
        <f>+IF($B61="","",Summary!$P$4)</f>
        <v/>
      </c>
      <c r="F61" s="151" t="str">
        <f>+IF($B61="","",Summary!$P$5)</f>
        <v/>
      </c>
      <c r="G61" s="151" t="str">
        <f>+IF($B61="","",Summary!$P$6)</f>
        <v/>
      </c>
      <c r="H61" s="150" t="str">
        <f t="shared" si="17"/>
        <v/>
      </c>
      <c r="I61" s="148"/>
      <c r="J61" s="149"/>
      <c r="K61" s="148"/>
      <c r="L61" s="148"/>
      <c r="M61" s="148"/>
      <c r="N61" s="149" t="e">
        <f t="shared" si="3"/>
        <v>#REF!</v>
      </c>
      <c r="O61" s="149" t="e">
        <f>COUNTIFS(#REF!,"&gt;="&amp;DATE($C61,$B61,1),#REF!,"&lt;="&amp;EOMONTH(DATE($C61,$B61,1),0),#REF!,"Incident")+
COUNTIFS(#REF!,"&gt;="&amp;DATE($C61,$B61,1),#REF!,"&lt;="&amp;EOMONTH(DATE($C61,$B61,1),0),#REF!,"user_request")</f>
        <v>#REF!</v>
      </c>
      <c r="P61" s="147">
        <f t="shared" si="22"/>
        <v>0</v>
      </c>
      <c r="Q61" s="147">
        <f t="shared" si="23"/>
        <v>0</v>
      </c>
      <c r="R61" s="147">
        <f t="shared" si="24"/>
        <v>0</v>
      </c>
      <c r="S61" s="146" t="e">
        <f t="shared" si="25"/>
        <v>#REF!</v>
      </c>
      <c r="T61" s="146" t="e">
        <f t="shared" si="26"/>
        <v>#REF!</v>
      </c>
      <c r="U61" s="145">
        <f t="shared" si="18"/>
        <v>0</v>
      </c>
      <c r="V61" s="145" t="e">
        <f t="shared" si="19"/>
        <v>#REF!</v>
      </c>
      <c r="W61" s="142">
        <v>46</v>
      </c>
      <c r="X61" s="142" t="str">
        <f>+IF((VLOOKUP(A61,List!B:C,2,0)-VLOOKUP(Summary!$P$7,List!B:C,2,0))=0,1,"")</f>
        <v/>
      </c>
      <c r="Y61" s="198">
        <f>+IF((VLOOKUP(A61,List!B:C,2,0)-VLOOKUP(Summary!$P$7,List!B:C,2,0))&gt;=0,1,"")</f>
        <v>1</v>
      </c>
      <c r="Z61" s="198">
        <f>+IF((VLOOKUP(A61,List!B:C,2,0)-VLOOKUP(Summary!$P$7,List!B:C,2,0))&gt;0,1,"")</f>
        <v>1</v>
      </c>
      <c r="AA61" s="141">
        <f t="shared" si="6"/>
        <v>2</v>
      </c>
      <c r="AB61" s="199" t="str">
        <f>+IF(AA61="","",IF(Summary!$J$7="Fixed Price","",IF(M61="",IF(I61="","",1),"")))</f>
        <v/>
      </c>
      <c r="AC61" s="198">
        <f t="shared" si="14"/>
        <v>0</v>
      </c>
    </row>
    <row r="62" spans="1:29" x14ac:dyDescent="0.2">
      <c r="A62" s="155" t="str">
        <f t="shared" si="15"/>
        <v>-</v>
      </c>
      <c r="B62" s="154" t="str">
        <f t="shared" si="20"/>
        <v/>
      </c>
      <c r="C62" s="153" t="str">
        <f t="shared" si="21"/>
        <v/>
      </c>
      <c r="D62" s="152" t="str">
        <f t="shared" si="16"/>
        <v>-</v>
      </c>
      <c r="E62" s="159" t="str">
        <f>+IF($B62="","",Summary!$P$4)</f>
        <v/>
      </c>
      <c r="F62" s="159" t="str">
        <f>+IF($B62="","",Summary!$P$5)</f>
        <v/>
      </c>
      <c r="G62" s="159" t="str">
        <f>+IF($B62="","",Summary!$P$6)</f>
        <v/>
      </c>
      <c r="H62" s="158" t="str">
        <f t="shared" si="17"/>
        <v/>
      </c>
      <c r="I62" s="156"/>
      <c r="J62" s="157"/>
      <c r="K62" s="156"/>
      <c r="L62" s="156"/>
      <c r="M62" s="156"/>
      <c r="N62" s="157" t="e">
        <f t="shared" si="3"/>
        <v>#REF!</v>
      </c>
      <c r="O62" s="157" t="e">
        <f>COUNTIFS(#REF!,"&gt;="&amp;DATE($C62,$B62,1),#REF!,"&lt;="&amp;EOMONTH(DATE($C62,$B62,1),0),#REF!,"Incident")+
COUNTIFS(#REF!,"&gt;="&amp;DATE($C62,$B62,1),#REF!,"&lt;="&amp;EOMONTH(DATE($C62,$B62,1),0),#REF!,"user_request")</f>
        <v>#REF!</v>
      </c>
      <c r="P62" s="147">
        <f t="shared" si="22"/>
        <v>0</v>
      </c>
      <c r="Q62" s="147">
        <f t="shared" si="23"/>
        <v>0</v>
      </c>
      <c r="R62" s="147">
        <f t="shared" si="24"/>
        <v>0</v>
      </c>
      <c r="S62" s="146" t="e">
        <f t="shared" si="25"/>
        <v>#REF!</v>
      </c>
      <c r="T62" s="146" t="e">
        <f t="shared" si="26"/>
        <v>#REF!</v>
      </c>
      <c r="U62" s="145">
        <f t="shared" si="18"/>
        <v>0</v>
      </c>
      <c r="V62" s="145" t="e">
        <f t="shared" si="19"/>
        <v>#REF!</v>
      </c>
      <c r="W62" s="142">
        <v>47</v>
      </c>
      <c r="X62" s="142" t="str">
        <f>+IF((VLOOKUP(A62,List!B:C,2,0)-VLOOKUP(Summary!$P$7,List!B:C,2,0))=0,1,"")</f>
        <v/>
      </c>
      <c r="Y62" s="198">
        <f>+IF((VLOOKUP(A62,List!B:C,2,0)-VLOOKUP(Summary!$P$7,List!B:C,2,0))&gt;=0,1,"")</f>
        <v>1</v>
      </c>
      <c r="Z62" s="198">
        <f>+IF((VLOOKUP(A62,List!B:C,2,0)-VLOOKUP(Summary!$P$7,List!B:C,2,0))&gt;0,1,"")</f>
        <v>1</v>
      </c>
      <c r="AA62" s="141">
        <f t="shared" si="6"/>
        <v>2</v>
      </c>
      <c r="AB62" s="199" t="str">
        <f>+IF(AA62="","",IF(Summary!$J$7="Fixed Price","",IF(M62="",IF(I62="","",1),"")))</f>
        <v/>
      </c>
      <c r="AC62" s="198">
        <f t="shared" si="14"/>
        <v>0</v>
      </c>
    </row>
    <row r="63" spans="1:29" x14ac:dyDescent="0.2">
      <c r="A63" s="155" t="str">
        <f t="shared" si="15"/>
        <v>-</v>
      </c>
      <c r="B63" s="154" t="str">
        <f t="shared" si="20"/>
        <v/>
      </c>
      <c r="C63" s="153" t="str">
        <f t="shared" si="21"/>
        <v/>
      </c>
      <c r="D63" s="152" t="str">
        <f t="shared" si="16"/>
        <v>-</v>
      </c>
      <c r="E63" s="151" t="str">
        <f>+IF($B63="","",Summary!$P$4)</f>
        <v/>
      </c>
      <c r="F63" s="151" t="str">
        <f>+IF($B63="","",Summary!$P$5)</f>
        <v/>
      </c>
      <c r="G63" s="151" t="str">
        <f>+IF($B63="","",Summary!$P$6)</f>
        <v/>
      </c>
      <c r="H63" s="150" t="str">
        <f t="shared" si="17"/>
        <v/>
      </c>
      <c r="I63" s="148"/>
      <c r="J63" s="149"/>
      <c r="K63" s="148"/>
      <c r="L63" s="148"/>
      <c r="M63" s="148"/>
      <c r="N63" s="149" t="e">
        <f t="shared" si="3"/>
        <v>#REF!</v>
      </c>
      <c r="O63" s="149" t="e">
        <f>COUNTIFS(#REF!,"&gt;="&amp;DATE($C63,$B63,1),#REF!,"&lt;="&amp;EOMONTH(DATE($C63,$B63,1),0),#REF!,"Incident")+
COUNTIFS(#REF!,"&gt;="&amp;DATE($C63,$B63,1),#REF!,"&lt;="&amp;EOMONTH(DATE($C63,$B63,1),0),#REF!,"user_request")</f>
        <v>#REF!</v>
      </c>
      <c r="P63" s="147">
        <f t="shared" si="22"/>
        <v>0</v>
      </c>
      <c r="Q63" s="147">
        <f t="shared" si="23"/>
        <v>0</v>
      </c>
      <c r="R63" s="147">
        <f t="shared" si="24"/>
        <v>0</v>
      </c>
      <c r="S63" s="146" t="e">
        <f t="shared" si="25"/>
        <v>#REF!</v>
      </c>
      <c r="T63" s="146" t="e">
        <f t="shared" si="26"/>
        <v>#REF!</v>
      </c>
      <c r="U63" s="145">
        <f t="shared" si="18"/>
        <v>0</v>
      </c>
      <c r="V63" s="145" t="e">
        <f t="shared" si="19"/>
        <v>#REF!</v>
      </c>
      <c r="W63" s="142">
        <v>48</v>
      </c>
      <c r="X63" s="142" t="str">
        <f>+IF((VLOOKUP(A63,List!B:C,2,0)-VLOOKUP(Summary!$P$7,List!B:C,2,0))=0,1,"")</f>
        <v/>
      </c>
      <c r="Y63" s="198">
        <f>+IF((VLOOKUP(A63,List!B:C,2,0)-VLOOKUP(Summary!$P$7,List!B:C,2,0))&gt;=0,1,"")</f>
        <v>1</v>
      </c>
      <c r="Z63" s="198">
        <f>+IF((VLOOKUP(A63,List!B:C,2,0)-VLOOKUP(Summary!$P$7,List!B:C,2,0))&gt;0,1,"")</f>
        <v>1</v>
      </c>
      <c r="AA63" s="141">
        <f t="shared" si="6"/>
        <v>2</v>
      </c>
      <c r="AB63" s="199" t="str">
        <f>+IF(AA63="","",IF(Summary!$J$7="Fixed Price","",IF(M63="",IF(I63="","",1),"")))</f>
        <v/>
      </c>
      <c r="AC63" s="198">
        <f t="shared" si="14"/>
        <v>0</v>
      </c>
    </row>
  </sheetData>
  <sheetProtection formatColumns="0" formatRows="0" sort="0" autoFilter="0"/>
  <conditionalFormatting sqref="H4:H63">
    <cfRule type="containsText" dxfId="33" priority="4" operator="containsText" text="Green">
      <formula>NOT(ISERROR(SEARCH("Green",H4)))</formula>
    </cfRule>
    <cfRule type="containsText" dxfId="32" priority="5" operator="containsText" text="Amber">
      <formula>NOT(ISERROR(SEARCH("Amber",H4)))</formula>
    </cfRule>
    <cfRule type="containsText" dxfId="31" priority="6" operator="containsText" text="Red">
      <formula>NOT(ISERROR(SEARCH("Red",H4)))</formula>
    </cfRule>
  </conditionalFormatting>
  <conditionalFormatting sqref="I2:O2">
    <cfRule type="cellIs" dxfId="30" priority="1" operator="equal">
      <formula>"Select Report Month"</formula>
    </cfRule>
  </conditionalFormatting>
  <dataValidations disablePrompts="1" count="1">
    <dataValidation type="list" allowBlank="1" showInputMessage="1" showErrorMessage="1" sqref="H4:H63" xr:uid="{00000000-0002-0000-1400-000000000000}">
      <formula1>"Red,Amber,Green"</formula1>
    </dataValidation>
  </dataValidations>
  <pageMargins left="0.7" right="0.7" top="0.75" bottom="0.75" header="0.3" footer="0.3"/>
  <pageSetup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AD63"/>
  <sheetViews>
    <sheetView showGridLines="0" zoomScale="70" zoomScaleNormal="70" workbookViewId="0">
      <selection activeCell="L18" sqref="L18"/>
    </sheetView>
  </sheetViews>
  <sheetFormatPr defaultColWidth="9.28515625" defaultRowHeight="12.75" x14ac:dyDescent="0.2"/>
  <cols>
    <col min="1" max="1" width="10.42578125" style="139" customWidth="1"/>
    <col min="2" max="3" width="7.7109375" style="139" customWidth="1"/>
    <col min="4" max="4" width="11.28515625" style="139" hidden="1" customWidth="1"/>
    <col min="5" max="7" width="14.28515625" style="139" customWidth="1"/>
    <col min="8" max="8" width="12.28515625" style="139" customWidth="1"/>
    <col min="9" max="13" width="11.5703125" style="143" customWidth="1"/>
    <col min="14" max="18" width="13.5703125" style="139" customWidth="1"/>
    <col min="19" max="19" width="9.42578125" style="142" customWidth="1"/>
    <col min="20" max="20" width="9.42578125" style="142" bestFit="1" customWidth="1"/>
    <col min="21" max="21" width="11.7109375" style="142" bestFit="1" customWidth="1"/>
    <col min="22" max="22" width="9.7109375" style="141" bestFit="1" customWidth="1"/>
    <col min="23" max="23" width="9.42578125" style="142" bestFit="1" customWidth="1"/>
    <col min="24" max="24" width="9.42578125" style="142" customWidth="1"/>
    <col min="25" max="30" width="9.28515625" style="141"/>
    <col min="31" max="16384" width="9.28515625" style="139"/>
  </cols>
  <sheetData>
    <row r="1" spans="1:30" ht="60" customHeight="1" x14ac:dyDescent="0.2">
      <c r="A1" s="144"/>
      <c r="B1" s="143"/>
      <c r="C1" s="175" t="s">
        <v>111</v>
      </c>
      <c r="D1" s="175"/>
      <c r="E1" s="175"/>
      <c r="F1" s="175"/>
      <c r="G1" s="175"/>
      <c r="H1" s="175"/>
      <c r="I1" s="176"/>
      <c r="J1" s="176"/>
      <c r="K1" s="176"/>
      <c r="L1" s="176"/>
      <c r="M1" s="176"/>
      <c r="N1" s="176"/>
      <c r="O1" s="176"/>
      <c r="P1" s="175"/>
      <c r="Q1" s="175"/>
      <c r="R1" s="175"/>
      <c r="S1" s="175"/>
      <c r="T1" s="175"/>
      <c r="U1" s="175"/>
      <c r="V1" s="175"/>
      <c r="W1" s="196" t="s">
        <v>135</v>
      </c>
      <c r="X1" s="196" t="s">
        <v>142</v>
      </c>
      <c r="Y1" s="196" t="s">
        <v>137</v>
      </c>
      <c r="Z1" s="196" t="s">
        <v>138</v>
      </c>
      <c r="AA1" s="196" t="s">
        <v>136</v>
      </c>
      <c r="AB1" s="196" t="s">
        <v>139</v>
      </c>
      <c r="AC1" s="196" t="s">
        <v>404</v>
      </c>
      <c r="AD1" s="196" t="s">
        <v>405</v>
      </c>
    </row>
    <row r="2" spans="1:30" ht="32.25" customHeight="1" x14ac:dyDescent="0.2">
      <c r="A2" s="144"/>
      <c r="B2" s="174"/>
      <c r="C2" s="173"/>
      <c r="D2" s="173"/>
      <c r="E2" s="173"/>
      <c r="F2" s="173"/>
      <c r="G2" s="173"/>
      <c r="H2" s="173"/>
      <c r="I2" s="177"/>
      <c r="J2" s="177"/>
      <c r="K2" s="177"/>
      <c r="L2" s="177"/>
      <c r="M2" s="177"/>
      <c r="N2" s="177"/>
      <c r="O2" s="177"/>
      <c r="P2" s="173"/>
      <c r="Q2" s="173"/>
      <c r="R2" s="173"/>
      <c r="S2" s="173"/>
      <c r="T2" s="173"/>
      <c r="U2" s="173"/>
      <c r="V2" s="173"/>
      <c r="W2" s="141">
        <f>(YEAR(Summary!P6)-YEAR(Summary!P4))*12+MONTH(Summary!P6)-MONTH(Summary!P4)+1</f>
        <v>25</v>
      </c>
      <c r="X2" s="141"/>
    </row>
    <row r="3" spans="1:30" s="162" customFormat="1" ht="37.5" customHeight="1" x14ac:dyDescent="0.2">
      <c r="A3" s="172" t="s">
        <v>87</v>
      </c>
      <c r="B3" s="169" t="s">
        <v>25</v>
      </c>
      <c r="C3" s="164" t="s">
        <v>26</v>
      </c>
      <c r="D3" s="164" t="s">
        <v>27</v>
      </c>
      <c r="E3" s="163" t="s">
        <v>101</v>
      </c>
      <c r="F3" s="163" t="s">
        <v>102</v>
      </c>
      <c r="G3" s="163" t="s">
        <v>103</v>
      </c>
      <c r="H3" s="164" t="s">
        <v>28</v>
      </c>
      <c r="I3" s="171" t="s">
        <v>29</v>
      </c>
      <c r="J3" s="171" t="s">
        <v>30</v>
      </c>
      <c r="K3" s="169" t="s">
        <v>31</v>
      </c>
      <c r="L3" s="170" t="s">
        <v>104</v>
      </c>
      <c r="M3" s="169" t="s">
        <v>32</v>
      </c>
      <c r="N3" s="168" t="s">
        <v>374</v>
      </c>
      <c r="O3" s="167" t="s">
        <v>373</v>
      </c>
      <c r="P3" s="163" t="s">
        <v>372</v>
      </c>
      <c r="Q3" s="166" t="s">
        <v>371</v>
      </c>
      <c r="R3" s="163" t="s">
        <v>370</v>
      </c>
      <c r="S3" s="165" t="s">
        <v>369</v>
      </c>
      <c r="T3" s="165" t="s">
        <v>368</v>
      </c>
      <c r="U3" s="164" t="s">
        <v>33</v>
      </c>
      <c r="V3" s="163" t="s">
        <v>367</v>
      </c>
      <c r="W3" s="197" t="s">
        <v>120</v>
      </c>
      <c r="X3" s="197"/>
      <c r="Y3" s="197"/>
      <c r="Z3" s="197"/>
      <c r="AA3" s="197"/>
      <c r="AB3" s="194"/>
      <c r="AC3" s="197"/>
      <c r="AD3" s="197"/>
    </row>
    <row r="4" spans="1:30" x14ac:dyDescent="0.2">
      <c r="A4" s="155" t="str">
        <f t="shared" ref="A4:A35" si="0">CONCATENATE(C4,"-",B4)</f>
        <v>2025-9</v>
      </c>
      <c r="B4" s="154">
        <f>MONTH(Summary!P4)</f>
        <v>9</v>
      </c>
      <c r="C4" s="153">
        <f>YEAR(Summary!P4)</f>
        <v>2025</v>
      </c>
      <c r="D4" s="152" t="str">
        <f t="shared" ref="D4:D35" si="1">CONCATENATE(C4,"-",B4)</f>
        <v>2025-9</v>
      </c>
      <c r="E4" s="159">
        <f>+IF($B4="","",Summary!$P$4)</f>
        <v>45929</v>
      </c>
      <c r="F4" s="159">
        <f>+IF($B4="","",Summary!$P$5)</f>
        <v>46657</v>
      </c>
      <c r="G4" s="159">
        <f>+IF($B4="","",Summary!$P$6)</f>
        <v>46657</v>
      </c>
      <c r="H4" s="158" t="str">
        <f t="shared" ref="H4:H35" si="2">+IF($B4="","",IF(U4&lt;-15%,"Red",IF(U4&lt;0%,"Amber","Green")))</f>
        <v>Green</v>
      </c>
      <c r="I4" s="156"/>
      <c r="J4" s="157"/>
      <c r="K4" s="156"/>
      <c r="L4" s="156"/>
      <c r="M4" s="156"/>
      <c r="N4" s="156" t="e">
        <f t="shared" ref="N4:N63" si="3">O4</f>
        <v>#REF!</v>
      </c>
      <c r="O4" s="156" t="e">
        <f>COUNTIFS(#REF!,"&gt;="&amp;DATE($C4,$B4,1),#REF!,"&lt;="&amp;EOMONTH(DATE($C4,$B4,1),0),#REF!,"Incident")+
COUNTIFS(#REF!,"&gt;="&amp;DATE($C4,$B4,1),#REF!,"&lt;="&amp;EOMONTH(DATE($C4,$B4,1),0),#REF!,"user_request")</f>
        <v>#REF!</v>
      </c>
      <c r="P4" s="147">
        <f>I4</f>
        <v>0</v>
      </c>
      <c r="Q4" s="147">
        <f>J4</f>
        <v>0</v>
      </c>
      <c r="R4" s="147">
        <f>K4</f>
        <v>0</v>
      </c>
      <c r="S4" s="146" t="e">
        <f>N4</f>
        <v>#REF!</v>
      </c>
      <c r="T4" s="146" t="e">
        <f>O4</f>
        <v>#REF!</v>
      </c>
      <c r="U4" s="145">
        <f t="shared" ref="U4:U35" si="4">IF(Q4=0,0,IF(K4&lt;&gt;"",(Q4-(R4+L4))/Q4,U3))</f>
        <v>0</v>
      </c>
      <c r="V4" s="145" t="e">
        <f t="shared" ref="V4:V35" si="5">IF(S4=0,0,IF(O4&lt;&gt;"",(S4-(T4))/S4,V3))</f>
        <v>#REF!</v>
      </c>
      <c r="W4" s="142">
        <v>1</v>
      </c>
      <c r="X4" s="142" t="str">
        <f>+IF((VLOOKUP(A4,List!B:C,2,0)-VLOOKUP(Summary!$P$7,List!B:C,2,0))=0,1,"")</f>
        <v/>
      </c>
      <c r="Y4" s="198" t="str">
        <f>+IF((VLOOKUP(A4,List!B:C,2,0)-VLOOKUP(Summary!$P$7,List!B:C,2,0))&gt;=0,1,"")</f>
        <v/>
      </c>
      <c r="Z4" s="198" t="str">
        <f>+IF((VLOOKUP(A4,List!B:C,2,0)-VLOOKUP(Summary!$P$7,List!B:C,2,0))&gt;0,1,"")</f>
        <v/>
      </c>
      <c r="AA4" s="141" t="str">
        <f t="shared" ref="AA4:AA63" si="6">+IFERROR(IF(Z4="","",IF(YEAR(G4)&gt;C4,1,IF(YEAR(G4)=C4,IF(MONTH(G4)&gt;=B4,1,2)))),2)</f>
        <v/>
      </c>
      <c r="AB4" s="199" t="str">
        <f>+IF(AA4="","",IF(Summary!$J$7="Fixed Price","",IF(M4="",IF(I4="","",1),"")))</f>
        <v/>
      </c>
      <c r="AC4" s="198">
        <f>+IFERROR(I4*AA4,0)</f>
        <v>0</v>
      </c>
      <c r="AD4" s="198" t="e">
        <f>+IF(AA4="",+IF(N4&gt;#REF!,#REF!,IF(N4&gt;#REF!,#REF!,IF(N4&gt;#REF!,#REF!,IF(N4&gt;#REF!,#REF!,IF(N4&gt;#REF!,#REF!,IF(N4&gt;#REF!,#REF!,IF(N4&gt;#REF!,#REF!,IF(N4&gt;#REF!,#REF!,#REF!)))))))),0)</f>
        <v>#REF!</v>
      </c>
    </row>
    <row r="5" spans="1:30" x14ac:dyDescent="0.2">
      <c r="A5" s="155" t="str">
        <f t="shared" si="0"/>
        <v>2025-10</v>
      </c>
      <c r="B5" s="154">
        <f t="shared" ref="B5:B36" si="7">IF(W5&lt;=$W$2,IF(B4&gt;11,1,B4+1),"")</f>
        <v>10</v>
      </c>
      <c r="C5" s="153">
        <f t="shared" ref="C5:C36" si="8">IF(W5&lt;=$W$2,IF(B4&gt;11,C4+1,C4),"")</f>
        <v>2025</v>
      </c>
      <c r="D5" s="152" t="str">
        <f t="shared" si="1"/>
        <v>2025-10</v>
      </c>
      <c r="E5" s="151">
        <f>+IF($B5="","",Summary!$P$4)</f>
        <v>45929</v>
      </c>
      <c r="F5" s="151">
        <f>+IF($B5="","",Summary!$P$5)</f>
        <v>46657</v>
      </c>
      <c r="G5" s="151">
        <f>+IF($B5="","",Summary!$P$6)</f>
        <v>46657</v>
      </c>
      <c r="H5" s="150" t="str">
        <f t="shared" si="2"/>
        <v>Green</v>
      </c>
      <c r="I5" s="148"/>
      <c r="J5" s="149"/>
      <c r="K5" s="148"/>
      <c r="L5" s="148"/>
      <c r="M5" s="148"/>
      <c r="N5" s="148" t="e">
        <f t="shared" si="3"/>
        <v>#REF!</v>
      </c>
      <c r="O5" s="148" t="e">
        <f>COUNTIFS(#REF!,"&gt;="&amp;DATE($C5,$B5,1),#REF!,"&lt;="&amp;EOMONTH(DATE($C5,$B5,1),0),#REF!,"Incident")+
COUNTIFS(#REF!,"&gt;="&amp;DATE($C5,$B5,1),#REF!,"&lt;="&amp;EOMONTH(DATE($C5,$B5,1),0),#REF!,"user_request")</f>
        <v>#REF!</v>
      </c>
      <c r="P5" s="147">
        <f t="shared" ref="P5:P36" si="9">I5+P4</f>
        <v>0</v>
      </c>
      <c r="Q5" s="147">
        <f t="shared" ref="Q5:Q36" si="10">Q4+J5</f>
        <v>0</v>
      </c>
      <c r="R5" s="147">
        <f t="shared" ref="R5:R36" si="11">K5+R4</f>
        <v>0</v>
      </c>
      <c r="S5" s="146" t="e">
        <f t="shared" ref="S5:S36" si="12">N5+S4</f>
        <v>#REF!</v>
      </c>
      <c r="T5" s="146" t="e">
        <f t="shared" ref="T5:T36" si="13">O5+T4</f>
        <v>#REF!</v>
      </c>
      <c r="U5" s="145">
        <f t="shared" si="4"/>
        <v>0</v>
      </c>
      <c r="V5" s="145" t="e">
        <f t="shared" si="5"/>
        <v>#REF!</v>
      </c>
      <c r="W5" s="142">
        <v>2</v>
      </c>
      <c r="X5" s="142" t="str">
        <f>+IF((VLOOKUP(A5,List!B:C,2,0)-VLOOKUP(Summary!$P$7,List!B:C,2,0))=0,1,"")</f>
        <v/>
      </c>
      <c r="Y5" s="198" t="str">
        <f>+IF((VLOOKUP(A5,List!B:C,2,0)-VLOOKUP(Summary!$P$7,List!B:C,2,0))&gt;=0,1,"")</f>
        <v/>
      </c>
      <c r="Z5" s="198" t="str">
        <f>+IF((VLOOKUP(A5,List!B:C,2,0)-VLOOKUP(Summary!$P$7,List!B:C,2,0))&gt;0,1,"")</f>
        <v/>
      </c>
      <c r="AA5" s="141" t="str">
        <f t="shared" si="6"/>
        <v/>
      </c>
      <c r="AB5" s="199" t="str">
        <f>+IF(AA5="","",IF(Summary!$J$7="Fixed Price","",IF(M5="",IF(I5="","",1),"")))</f>
        <v/>
      </c>
      <c r="AC5" s="198">
        <f t="shared" ref="AC5:AC63" si="14">+IFERROR(I5*AA5,0)</f>
        <v>0</v>
      </c>
      <c r="AD5" s="198" t="e">
        <f>+IF(AA5="",+IF(N5&gt;#REF!,#REF!,IF(N5&gt;#REF!,#REF!,IF(N5&gt;#REF!,#REF!,IF(N5&gt;#REF!,#REF!,IF(N5&gt;#REF!,#REF!,IF(N5&gt;#REF!,#REF!,IF(N5&gt;#REF!,#REF!,IF(N5&gt;#REF!,#REF!,#REF!)))))))),0)</f>
        <v>#REF!</v>
      </c>
    </row>
    <row r="6" spans="1:30" x14ac:dyDescent="0.2">
      <c r="A6" s="155" t="str">
        <f t="shared" si="0"/>
        <v>2025-11</v>
      </c>
      <c r="B6" s="154">
        <f t="shared" si="7"/>
        <v>11</v>
      </c>
      <c r="C6" s="153">
        <f t="shared" si="8"/>
        <v>2025</v>
      </c>
      <c r="D6" s="152" t="str">
        <f t="shared" si="1"/>
        <v>2025-11</v>
      </c>
      <c r="E6" s="159">
        <f>+IF($B6="","",Summary!$P$4)</f>
        <v>45929</v>
      </c>
      <c r="F6" s="159">
        <f>+IF($B6="","",Summary!$P$5)</f>
        <v>46657</v>
      </c>
      <c r="G6" s="159">
        <f>+IF($B6="","",Summary!$P$6)</f>
        <v>46657</v>
      </c>
      <c r="H6" s="158" t="str">
        <f t="shared" si="2"/>
        <v>Green</v>
      </c>
      <c r="I6" s="156"/>
      <c r="J6" s="157"/>
      <c r="K6" s="156"/>
      <c r="L6" s="156"/>
      <c r="M6" s="156"/>
      <c r="N6" s="156" t="e">
        <f t="shared" si="3"/>
        <v>#REF!</v>
      </c>
      <c r="O6" s="156" t="e">
        <f>COUNTIFS(#REF!,"&gt;="&amp;DATE($C6,$B6,1),#REF!,"&lt;="&amp;EOMONTH(DATE($C6,$B6,1),0),#REF!,"Incident")+
COUNTIFS(#REF!,"&gt;="&amp;DATE($C6,$B6,1),#REF!,"&lt;="&amp;EOMONTH(DATE($C6,$B6,1),0),#REF!,"user_request")</f>
        <v>#REF!</v>
      </c>
      <c r="P6" s="147">
        <f t="shared" si="9"/>
        <v>0</v>
      </c>
      <c r="Q6" s="147">
        <f t="shared" si="10"/>
        <v>0</v>
      </c>
      <c r="R6" s="147">
        <f t="shared" si="11"/>
        <v>0</v>
      </c>
      <c r="S6" s="146" t="e">
        <f t="shared" si="12"/>
        <v>#REF!</v>
      </c>
      <c r="T6" s="146" t="e">
        <f t="shared" si="13"/>
        <v>#REF!</v>
      </c>
      <c r="U6" s="145">
        <f t="shared" si="4"/>
        <v>0</v>
      </c>
      <c r="V6" s="145" t="e">
        <f t="shared" si="5"/>
        <v>#REF!</v>
      </c>
      <c r="W6" s="142">
        <v>3</v>
      </c>
      <c r="X6" s="142" t="str">
        <f>+IF((VLOOKUP(A6,List!B:C,2,0)-VLOOKUP(Summary!$P$7,List!B:C,2,0))=0,1,"")</f>
        <v/>
      </c>
      <c r="Y6" s="198" t="str">
        <f>+IF((VLOOKUP(A6,List!B:C,2,0)-VLOOKUP(Summary!$P$7,List!B:C,2,0))&gt;=0,1,"")</f>
        <v/>
      </c>
      <c r="Z6" s="198" t="str">
        <f>+IF((VLOOKUP(A6,List!B:C,2,0)-VLOOKUP(Summary!$P$7,List!B:C,2,0))&gt;0,1,"")</f>
        <v/>
      </c>
      <c r="AA6" s="141" t="str">
        <f t="shared" si="6"/>
        <v/>
      </c>
      <c r="AB6" s="199" t="str">
        <f>+IF(AA6="","",IF(Summary!$J$7="Fixed Price","",IF(M6="",IF(I6="","",1),"")))</f>
        <v/>
      </c>
      <c r="AC6" s="198">
        <f t="shared" si="14"/>
        <v>0</v>
      </c>
      <c r="AD6" s="198" t="e">
        <f>+IF(AA6="",+IF(N6&gt;#REF!,#REF!,IF(N6&gt;#REF!,#REF!,IF(N6&gt;#REF!,#REF!,IF(N6&gt;#REF!,#REF!,IF(N6&gt;#REF!,#REF!,IF(N6&gt;#REF!,#REF!,IF(N6&gt;#REF!,#REF!,IF(N6&gt;#REF!,#REF!,#REF!)))))))),0)</f>
        <v>#REF!</v>
      </c>
    </row>
    <row r="7" spans="1:30" x14ac:dyDescent="0.2">
      <c r="A7" s="155" t="str">
        <f t="shared" si="0"/>
        <v>2025-12</v>
      </c>
      <c r="B7" s="154">
        <f t="shared" si="7"/>
        <v>12</v>
      </c>
      <c r="C7" s="153">
        <f t="shared" si="8"/>
        <v>2025</v>
      </c>
      <c r="D7" s="152" t="str">
        <f t="shared" si="1"/>
        <v>2025-12</v>
      </c>
      <c r="E7" s="151">
        <f>+IF($B7="","",Summary!$P$4)</f>
        <v>45929</v>
      </c>
      <c r="F7" s="151">
        <f>+IF($B7="","",Summary!$P$5)</f>
        <v>46657</v>
      </c>
      <c r="G7" s="151">
        <f>+IF($B7="","",Summary!$P$6)</f>
        <v>46657</v>
      </c>
      <c r="H7" s="150" t="str">
        <f t="shared" si="2"/>
        <v>Green</v>
      </c>
      <c r="I7" s="148"/>
      <c r="J7" s="149"/>
      <c r="K7" s="148"/>
      <c r="L7" s="148"/>
      <c r="M7" s="148"/>
      <c r="N7" s="148" t="e">
        <f t="shared" si="3"/>
        <v>#REF!</v>
      </c>
      <c r="O7" s="148" t="e">
        <f>COUNTIFS(#REF!,"&gt;="&amp;DATE($C7,$B7,1),#REF!,"&lt;="&amp;EOMONTH(DATE($C7,$B7,1),0),#REF!,"Incident")+
COUNTIFS(#REF!,"&gt;="&amp;DATE($C7,$B7,1),#REF!,"&lt;="&amp;EOMONTH(DATE($C7,$B7,1),0),#REF!,"user_request")</f>
        <v>#REF!</v>
      </c>
      <c r="P7" s="147">
        <f t="shared" si="9"/>
        <v>0</v>
      </c>
      <c r="Q7" s="147">
        <f t="shared" si="10"/>
        <v>0</v>
      </c>
      <c r="R7" s="147">
        <f t="shared" si="11"/>
        <v>0</v>
      </c>
      <c r="S7" s="146" t="e">
        <f t="shared" si="12"/>
        <v>#REF!</v>
      </c>
      <c r="T7" s="146" t="e">
        <f t="shared" si="13"/>
        <v>#REF!</v>
      </c>
      <c r="U7" s="145">
        <f t="shared" si="4"/>
        <v>0</v>
      </c>
      <c r="V7" s="145" t="e">
        <f t="shared" si="5"/>
        <v>#REF!</v>
      </c>
      <c r="W7" s="142">
        <v>4</v>
      </c>
      <c r="X7" s="142" t="str">
        <f>+IF((VLOOKUP(A7,List!B:C,2,0)-VLOOKUP(Summary!$P$7,List!B:C,2,0))=0,1,"")</f>
        <v/>
      </c>
      <c r="Y7" s="198" t="str">
        <f>+IF((VLOOKUP(A7,List!B:C,2,0)-VLOOKUP(Summary!$P$7,List!B:C,2,0))&gt;=0,1,"")</f>
        <v/>
      </c>
      <c r="Z7" s="198" t="str">
        <f>+IF((VLOOKUP(A7,List!B:C,2,0)-VLOOKUP(Summary!$P$7,List!B:C,2,0))&gt;0,1,"")</f>
        <v/>
      </c>
      <c r="AA7" s="141" t="str">
        <f t="shared" si="6"/>
        <v/>
      </c>
      <c r="AB7" s="199" t="str">
        <f>+IF(AA7="","",IF(Summary!$J$7="Fixed Price","",IF(M7="",IF(I7="","",1),"")))</f>
        <v/>
      </c>
      <c r="AC7" s="198">
        <f t="shared" si="14"/>
        <v>0</v>
      </c>
      <c r="AD7" s="198" t="e">
        <f>+IF(AA7="",+IF(N7&gt;#REF!,#REF!,IF(N7&gt;#REF!,#REF!,IF(N7&gt;#REF!,#REF!,IF(N7&gt;#REF!,#REF!,IF(N7&gt;#REF!,#REF!,IF(N7&gt;#REF!,#REF!,IF(N7&gt;#REF!,#REF!,IF(N7&gt;#REF!,#REF!,#REF!)))))))),0)</f>
        <v>#REF!</v>
      </c>
    </row>
    <row r="8" spans="1:30" x14ac:dyDescent="0.2">
      <c r="A8" s="155" t="str">
        <f t="shared" si="0"/>
        <v>2026-1</v>
      </c>
      <c r="B8" s="154">
        <f t="shared" si="7"/>
        <v>1</v>
      </c>
      <c r="C8" s="153">
        <f t="shared" si="8"/>
        <v>2026</v>
      </c>
      <c r="D8" s="152" t="str">
        <f t="shared" si="1"/>
        <v>2026-1</v>
      </c>
      <c r="E8" s="159">
        <f>+IF($B8="","",Summary!$P$4)</f>
        <v>45929</v>
      </c>
      <c r="F8" s="159">
        <f>+IF($B8="","",Summary!$P$5)</f>
        <v>46657</v>
      </c>
      <c r="G8" s="159">
        <f>+IF($B8="","",Summary!$P$6)</f>
        <v>46657</v>
      </c>
      <c r="H8" s="158" t="str">
        <f t="shared" si="2"/>
        <v>Green</v>
      </c>
      <c r="I8" s="156"/>
      <c r="J8" s="157"/>
      <c r="K8" s="156"/>
      <c r="L8" s="156"/>
      <c r="M8" s="156"/>
      <c r="N8" s="156" t="e">
        <f t="shared" si="3"/>
        <v>#REF!</v>
      </c>
      <c r="O8" s="156" t="e">
        <f>COUNTIFS(#REF!,"&gt;="&amp;DATE($C8,$B8,1),#REF!,"&lt;="&amp;EOMONTH(DATE($C8,$B8,1),0),#REF!,"Incident")+
COUNTIFS(#REF!,"&gt;="&amp;DATE($C8,$B8,1),#REF!,"&lt;="&amp;EOMONTH(DATE($C8,$B8,1),0),#REF!,"user_request")</f>
        <v>#REF!</v>
      </c>
      <c r="P8" s="147">
        <f t="shared" si="9"/>
        <v>0</v>
      </c>
      <c r="Q8" s="147">
        <f t="shared" si="10"/>
        <v>0</v>
      </c>
      <c r="R8" s="147">
        <f t="shared" si="11"/>
        <v>0</v>
      </c>
      <c r="S8" s="146" t="e">
        <f t="shared" si="12"/>
        <v>#REF!</v>
      </c>
      <c r="T8" s="146" t="e">
        <f t="shared" si="13"/>
        <v>#REF!</v>
      </c>
      <c r="U8" s="145">
        <f t="shared" si="4"/>
        <v>0</v>
      </c>
      <c r="V8" s="145" t="e">
        <f t="shared" si="5"/>
        <v>#REF!</v>
      </c>
      <c r="W8" s="142">
        <v>5</v>
      </c>
      <c r="X8" s="142" t="str">
        <f>+IF((VLOOKUP(A8,List!B:C,2,0)-VLOOKUP(Summary!$P$7,List!B:C,2,0))=0,1,"")</f>
        <v/>
      </c>
      <c r="Y8" s="198" t="str">
        <f>+IF((VLOOKUP(A8,List!B:C,2,0)-VLOOKUP(Summary!$P$7,List!B:C,2,0))&gt;=0,1,"")</f>
        <v/>
      </c>
      <c r="Z8" s="198" t="str">
        <f>+IF((VLOOKUP(A8,List!B:C,2,0)-VLOOKUP(Summary!$P$7,List!B:C,2,0))&gt;0,1,"")</f>
        <v/>
      </c>
      <c r="AA8" s="141" t="str">
        <f t="shared" si="6"/>
        <v/>
      </c>
      <c r="AB8" s="199" t="str">
        <f>+IF(AA8="","",IF(Summary!$J$7="Fixed Price","",IF(M8="",IF(I8="","",1),"")))</f>
        <v/>
      </c>
      <c r="AC8" s="198">
        <f t="shared" si="14"/>
        <v>0</v>
      </c>
      <c r="AD8" s="198" t="e">
        <f>+IF(AA8="",+IF(N8&gt;#REF!,#REF!,IF(N8&gt;#REF!,#REF!,IF(N8&gt;#REF!,#REF!,IF(N8&gt;#REF!,#REF!,IF(N8&gt;#REF!,#REF!,IF(N8&gt;#REF!,#REF!,IF(N8&gt;#REF!,#REF!,IF(N8&gt;#REF!,#REF!,#REF!)))))))),0)</f>
        <v>#REF!</v>
      </c>
    </row>
    <row r="9" spans="1:30" x14ac:dyDescent="0.2">
      <c r="A9" s="155" t="str">
        <f t="shared" si="0"/>
        <v>2026-2</v>
      </c>
      <c r="B9" s="154">
        <f t="shared" si="7"/>
        <v>2</v>
      </c>
      <c r="C9" s="153">
        <f t="shared" si="8"/>
        <v>2026</v>
      </c>
      <c r="D9" s="152" t="str">
        <f t="shared" si="1"/>
        <v>2026-2</v>
      </c>
      <c r="E9" s="151">
        <f>+IF($B9="","",Summary!$P$4)</f>
        <v>45929</v>
      </c>
      <c r="F9" s="151">
        <f>+IF($B9="","",Summary!$P$5)</f>
        <v>46657</v>
      </c>
      <c r="G9" s="151">
        <f>+IF($B9="","",Summary!$P$6)</f>
        <v>46657</v>
      </c>
      <c r="H9" s="150" t="str">
        <f t="shared" si="2"/>
        <v>Green</v>
      </c>
      <c r="I9" s="148"/>
      <c r="J9" s="149"/>
      <c r="K9" s="148"/>
      <c r="L9" s="148"/>
      <c r="M9" s="148"/>
      <c r="N9" s="148" t="e">
        <f t="shared" si="3"/>
        <v>#REF!</v>
      </c>
      <c r="O9" s="148" t="e">
        <f>COUNTIFS(#REF!,"&gt;="&amp;DATE($C9,$B9,1),#REF!,"&lt;="&amp;EOMONTH(DATE($C9,$B9,1),0),#REF!,"Incident")+
COUNTIFS(#REF!,"&gt;="&amp;DATE($C9,$B9,1),#REF!,"&lt;="&amp;EOMONTH(DATE($C9,$B9,1),0),#REF!,"user_request")</f>
        <v>#REF!</v>
      </c>
      <c r="P9" s="147">
        <f t="shared" si="9"/>
        <v>0</v>
      </c>
      <c r="Q9" s="147">
        <f t="shared" si="10"/>
        <v>0</v>
      </c>
      <c r="R9" s="147">
        <f t="shared" si="11"/>
        <v>0</v>
      </c>
      <c r="S9" s="146" t="e">
        <f t="shared" si="12"/>
        <v>#REF!</v>
      </c>
      <c r="T9" s="146" t="e">
        <f t="shared" si="13"/>
        <v>#REF!</v>
      </c>
      <c r="U9" s="145">
        <f t="shared" si="4"/>
        <v>0</v>
      </c>
      <c r="V9" s="145" t="e">
        <f t="shared" si="5"/>
        <v>#REF!</v>
      </c>
      <c r="W9" s="142">
        <v>6</v>
      </c>
      <c r="X9" s="142">
        <f>+IF((VLOOKUP(A9,List!B:C,2,0)-VLOOKUP(Summary!$P$7,List!B:C,2,0))=0,1,"")</f>
        <v>1</v>
      </c>
      <c r="Y9" s="198">
        <f>+IF((VLOOKUP(A9,List!B:C,2,0)-VLOOKUP(Summary!$P$7,List!B:C,2,0))&gt;=0,1,"")</f>
        <v>1</v>
      </c>
      <c r="Z9" s="198" t="str">
        <f>+IF((VLOOKUP(A9,List!B:C,2,0)-VLOOKUP(Summary!$P$7,List!B:C,2,0))&gt;0,1,"")</f>
        <v/>
      </c>
      <c r="AA9" s="141" t="str">
        <f t="shared" si="6"/>
        <v/>
      </c>
      <c r="AB9" s="199" t="str">
        <f>+IF(AA9="","",IF(Summary!$J$7="Fixed Price","",IF(M9="",IF(I9="","",1),"")))</f>
        <v/>
      </c>
      <c r="AC9" s="198">
        <f t="shared" si="14"/>
        <v>0</v>
      </c>
      <c r="AD9" s="198" t="e">
        <f>+IF(AA9="",+IF(N9&gt;#REF!,#REF!,IF(N9&gt;#REF!,#REF!,IF(N9&gt;#REF!,#REF!,IF(N9&gt;#REF!,#REF!,IF(N9&gt;#REF!,#REF!,IF(N9&gt;#REF!,#REF!,IF(N9&gt;#REF!,#REF!,IF(N9&gt;#REF!,#REF!,#REF!)))))))),0)</f>
        <v>#REF!</v>
      </c>
    </row>
    <row r="10" spans="1:30" x14ac:dyDescent="0.2">
      <c r="A10" s="155" t="str">
        <f t="shared" si="0"/>
        <v>2026-3</v>
      </c>
      <c r="B10" s="154">
        <f t="shared" si="7"/>
        <v>3</v>
      </c>
      <c r="C10" s="153">
        <f t="shared" si="8"/>
        <v>2026</v>
      </c>
      <c r="D10" s="152" t="str">
        <f t="shared" si="1"/>
        <v>2026-3</v>
      </c>
      <c r="E10" s="159">
        <f>+IF($B10="","",Summary!$P$4)</f>
        <v>45929</v>
      </c>
      <c r="F10" s="159">
        <f>+IF($B10="","",Summary!$P$5)</f>
        <v>46657</v>
      </c>
      <c r="G10" s="159">
        <f>+IF($B10="","",Summary!$P$6)</f>
        <v>46657</v>
      </c>
      <c r="H10" s="158" t="str">
        <f t="shared" si="2"/>
        <v>Green</v>
      </c>
      <c r="I10" s="156"/>
      <c r="J10" s="157"/>
      <c r="K10" s="156"/>
      <c r="L10" s="156"/>
      <c r="M10" s="156"/>
      <c r="N10" s="156" t="e">
        <f t="shared" si="3"/>
        <v>#REF!</v>
      </c>
      <c r="O10" s="156" t="e">
        <f>COUNTIFS(#REF!,"&gt;="&amp;DATE($C10,$B10,1),#REF!,"&lt;="&amp;EOMONTH(DATE($C10,$B10,1),0),#REF!,"Incident")+
COUNTIFS(#REF!,"&gt;="&amp;DATE($C10,$B10,1),#REF!,"&lt;="&amp;EOMONTH(DATE($C10,$B10,1),0),#REF!,"user_request")</f>
        <v>#REF!</v>
      </c>
      <c r="P10" s="147">
        <f t="shared" si="9"/>
        <v>0</v>
      </c>
      <c r="Q10" s="147">
        <f t="shared" si="10"/>
        <v>0</v>
      </c>
      <c r="R10" s="147">
        <f t="shared" si="11"/>
        <v>0</v>
      </c>
      <c r="S10" s="146" t="e">
        <f t="shared" si="12"/>
        <v>#REF!</v>
      </c>
      <c r="T10" s="146" t="e">
        <f t="shared" si="13"/>
        <v>#REF!</v>
      </c>
      <c r="U10" s="145">
        <f t="shared" si="4"/>
        <v>0</v>
      </c>
      <c r="V10" s="145" t="e">
        <f t="shared" si="5"/>
        <v>#REF!</v>
      </c>
      <c r="W10" s="142">
        <v>7</v>
      </c>
      <c r="X10" s="142" t="str">
        <f>+IF((VLOOKUP(A10,List!B:C,2,0)-VLOOKUP(Summary!$P$7,List!B:C,2,0))=0,1,"")</f>
        <v/>
      </c>
      <c r="Y10" s="198">
        <f>+IF((VLOOKUP(A10,List!B:C,2,0)-VLOOKUP(Summary!$P$7,List!B:C,2,0))&gt;=0,1,"")</f>
        <v>1</v>
      </c>
      <c r="Z10" s="198">
        <f>+IF((VLOOKUP(A10,List!B:C,2,0)-VLOOKUP(Summary!$P$7,List!B:C,2,0))&gt;0,1,"")</f>
        <v>1</v>
      </c>
      <c r="AA10" s="141">
        <f t="shared" si="6"/>
        <v>1</v>
      </c>
      <c r="AB10" s="199" t="str">
        <f>+IF(AA10="","",IF(Summary!$J$7="Fixed Price","",IF(M10="",IF(I10="","",1),"")))</f>
        <v/>
      </c>
      <c r="AC10" s="198">
        <f t="shared" si="14"/>
        <v>0</v>
      </c>
      <c r="AD10" s="198">
        <f>+IF(AA10="",+IF(N10&gt;#REF!,#REF!,IF(N10&gt;#REF!,#REF!,IF(N10&gt;#REF!,#REF!,IF(N10&gt;#REF!,#REF!,IF(N10&gt;#REF!,#REF!,IF(N10&gt;#REF!,#REF!,IF(N10&gt;#REF!,#REF!,IF(N10&gt;#REF!,#REF!,#REF!)))))))),0)</f>
        <v>0</v>
      </c>
    </row>
    <row r="11" spans="1:30" x14ac:dyDescent="0.2">
      <c r="A11" s="155" t="str">
        <f t="shared" si="0"/>
        <v>2026-4</v>
      </c>
      <c r="B11" s="154">
        <f t="shared" si="7"/>
        <v>4</v>
      </c>
      <c r="C11" s="153">
        <f t="shared" si="8"/>
        <v>2026</v>
      </c>
      <c r="D11" s="152" t="str">
        <f t="shared" si="1"/>
        <v>2026-4</v>
      </c>
      <c r="E11" s="151">
        <f>+IF($B11="","",Summary!$P$4)</f>
        <v>45929</v>
      </c>
      <c r="F11" s="151">
        <f>+IF($B11="","",Summary!$P$5)</f>
        <v>46657</v>
      </c>
      <c r="G11" s="151">
        <f>+IF($B11="","",Summary!$P$6)</f>
        <v>46657</v>
      </c>
      <c r="H11" s="150" t="str">
        <f t="shared" si="2"/>
        <v>Green</v>
      </c>
      <c r="I11" s="148"/>
      <c r="J11" s="149"/>
      <c r="K11" s="148"/>
      <c r="L11" s="148"/>
      <c r="M11" s="148"/>
      <c r="N11" s="148" t="e">
        <f t="shared" si="3"/>
        <v>#REF!</v>
      </c>
      <c r="O11" s="148" t="e">
        <f>COUNTIFS(#REF!,"&gt;="&amp;DATE($C11,$B11,1),#REF!,"&lt;="&amp;EOMONTH(DATE($C11,$B11,1),0),#REF!,"Incident")+
COUNTIFS(#REF!,"&gt;="&amp;DATE($C11,$B11,1),#REF!,"&lt;="&amp;EOMONTH(DATE($C11,$B11,1),0),#REF!,"user_request")</f>
        <v>#REF!</v>
      </c>
      <c r="P11" s="147">
        <f t="shared" si="9"/>
        <v>0</v>
      </c>
      <c r="Q11" s="147">
        <f t="shared" si="10"/>
        <v>0</v>
      </c>
      <c r="R11" s="147">
        <f t="shared" si="11"/>
        <v>0</v>
      </c>
      <c r="S11" s="146" t="e">
        <f t="shared" si="12"/>
        <v>#REF!</v>
      </c>
      <c r="T11" s="146" t="e">
        <f t="shared" si="13"/>
        <v>#REF!</v>
      </c>
      <c r="U11" s="145">
        <f t="shared" si="4"/>
        <v>0</v>
      </c>
      <c r="V11" s="145" t="e">
        <f t="shared" si="5"/>
        <v>#REF!</v>
      </c>
      <c r="W11" s="142">
        <v>8</v>
      </c>
      <c r="X11" s="142" t="str">
        <f>+IF((VLOOKUP(A11,List!B:C,2,0)-VLOOKUP(Summary!$P$7,List!B:C,2,0))=0,1,"")</f>
        <v/>
      </c>
      <c r="Y11" s="198">
        <f>+IF((VLOOKUP(A11,List!B:C,2,0)-VLOOKUP(Summary!$P$7,List!B:C,2,0))&gt;=0,1,"")</f>
        <v>1</v>
      </c>
      <c r="Z11" s="198">
        <f>+IF((VLOOKUP(A11,List!B:C,2,0)-VLOOKUP(Summary!$P$7,List!B:C,2,0))&gt;0,1,"")</f>
        <v>1</v>
      </c>
      <c r="AA11" s="141">
        <f t="shared" si="6"/>
        <v>1</v>
      </c>
      <c r="AB11" s="199" t="str">
        <f>+IF(AA11="","",IF(Summary!$J$7="Fixed Price","",IF(M11="",IF(I11="","",1),"")))</f>
        <v/>
      </c>
      <c r="AC11" s="198">
        <f t="shared" si="14"/>
        <v>0</v>
      </c>
      <c r="AD11" s="198">
        <f>+IF(AA11="",+IF(N11&gt;#REF!,#REF!,IF(N11&gt;#REF!,#REF!,IF(N11&gt;#REF!,#REF!,IF(N11&gt;#REF!,#REF!,IF(N11&gt;#REF!,#REF!,IF(N11&gt;#REF!,#REF!,IF(N11&gt;#REF!,#REF!,IF(N11&gt;#REF!,#REF!,#REF!)))))))),0)</f>
        <v>0</v>
      </c>
    </row>
    <row r="12" spans="1:30" x14ac:dyDescent="0.2">
      <c r="A12" s="155" t="str">
        <f t="shared" si="0"/>
        <v>2026-5</v>
      </c>
      <c r="B12" s="154">
        <f t="shared" si="7"/>
        <v>5</v>
      </c>
      <c r="C12" s="153">
        <f t="shared" si="8"/>
        <v>2026</v>
      </c>
      <c r="D12" s="152" t="str">
        <f t="shared" si="1"/>
        <v>2026-5</v>
      </c>
      <c r="E12" s="159">
        <f>+IF($B12="","",Summary!$P$4)</f>
        <v>45929</v>
      </c>
      <c r="F12" s="159">
        <f>+IF($B12="","",Summary!$P$5)</f>
        <v>46657</v>
      </c>
      <c r="G12" s="159">
        <f>+IF($B12="","",Summary!$P$6)</f>
        <v>46657</v>
      </c>
      <c r="H12" s="158" t="str">
        <f t="shared" si="2"/>
        <v>Green</v>
      </c>
      <c r="I12" s="156"/>
      <c r="J12" s="157"/>
      <c r="K12" s="156"/>
      <c r="L12" s="156"/>
      <c r="M12" s="156"/>
      <c r="N12" s="156" t="e">
        <f t="shared" si="3"/>
        <v>#REF!</v>
      </c>
      <c r="O12" s="156" t="e">
        <f>COUNTIFS(#REF!,"&gt;="&amp;DATE($C12,$B12,1),#REF!,"&lt;="&amp;EOMONTH(DATE($C12,$B12,1),0),#REF!,"Incident")+
COUNTIFS(#REF!,"&gt;="&amp;DATE($C12,$B12,1),#REF!,"&lt;="&amp;EOMONTH(DATE($C12,$B12,1),0),#REF!,"user_request")</f>
        <v>#REF!</v>
      </c>
      <c r="P12" s="147">
        <f t="shared" si="9"/>
        <v>0</v>
      </c>
      <c r="Q12" s="147">
        <f t="shared" si="10"/>
        <v>0</v>
      </c>
      <c r="R12" s="147">
        <f t="shared" si="11"/>
        <v>0</v>
      </c>
      <c r="S12" s="146" t="e">
        <f t="shared" si="12"/>
        <v>#REF!</v>
      </c>
      <c r="T12" s="146" t="e">
        <f t="shared" si="13"/>
        <v>#REF!</v>
      </c>
      <c r="U12" s="145">
        <f t="shared" si="4"/>
        <v>0</v>
      </c>
      <c r="V12" s="145" t="e">
        <f t="shared" si="5"/>
        <v>#REF!</v>
      </c>
      <c r="W12" s="142">
        <v>9</v>
      </c>
      <c r="X12" s="142" t="str">
        <f>+IF((VLOOKUP(A12,List!B:C,2,0)-VLOOKUP(Summary!$P$7,List!B:C,2,0))=0,1,"")</f>
        <v/>
      </c>
      <c r="Y12" s="198">
        <f>+IF((VLOOKUP(A12,List!B:C,2,0)-VLOOKUP(Summary!$P$7,List!B:C,2,0))&gt;=0,1,"")</f>
        <v>1</v>
      </c>
      <c r="Z12" s="198">
        <f>+IF((VLOOKUP(A12,List!B:C,2,0)-VLOOKUP(Summary!$P$7,List!B:C,2,0))&gt;0,1,"")</f>
        <v>1</v>
      </c>
      <c r="AA12" s="141">
        <f t="shared" si="6"/>
        <v>1</v>
      </c>
      <c r="AB12" s="199" t="str">
        <f>+IF(AA12="","",IF(Summary!$J$7="Fixed Price","",IF(M12="",IF(I12="","",1),"")))</f>
        <v/>
      </c>
      <c r="AC12" s="198">
        <f t="shared" si="14"/>
        <v>0</v>
      </c>
      <c r="AD12" s="198">
        <f>+IF(AA12="",+IF(N12&gt;#REF!,#REF!,IF(N12&gt;#REF!,#REF!,IF(N12&gt;#REF!,#REF!,IF(N12&gt;#REF!,#REF!,IF(N12&gt;#REF!,#REF!,IF(N12&gt;#REF!,#REF!,IF(N12&gt;#REF!,#REF!,IF(N12&gt;#REF!,#REF!,#REF!)))))))),0)</f>
        <v>0</v>
      </c>
    </row>
    <row r="13" spans="1:30" x14ac:dyDescent="0.2">
      <c r="A13" s="155" t="str">
        <f t="shared" si="0"/>
        <v>2026-6</v>
      </c>
      <c r="B13" s="154">
        <f t="shared" si="7"/>
        <v>6</v>
      </c>
      <c r="C13" s="153">
        <f t="shared" si="8"/>
        <v>2026</v>
      </c>
      <c r="D13" s="152" t="str">
        <f t="shared" si="1"/>
        <v>2026-6</v>
      </c>
      <c r="E13" s="151">
        <f>+IF($B13="","",Summary!$P$4)</f>
        <v>45929</v>
      </c>
      <c r="F13" s="151">
        <f>+IF($B13="","",Summary!$P$5)</f>
        <v>46657</v>
      </c>
      <c r="G13" s="151">
        <f>+IF($B13="","",Summary!$P$6)</f>
        <v>46657</v>
      </c>
      <c r="H13" s="150" t="str">
        <f t="shared" si="2"/>
        <v>Green</v>
      </c>
      <c r="I13" s="148"/>
      <c r="J13" s="149"/>
      <c r="K13" s="148"/>
      <c r="L13" s="148"/>
      <c r="M13" s="148"/>
      <c r="N13" s="148" t="e">
        <f t="shared" si="3"/>
        <v>#REF!</v>
      </c>
      <c r="O13" s="148" t="e">
        <f>COUNTIFS(#REF!,"&gt;="&amp;DATE($C13,$B13,1),#REF!,"&lt;="&amp;EOMONTH(DATE($C13,$B13,1),0),#REF!,"Incident")+
COUNTIFS(#REF!,"&gt;="&amp;DATE($C13,$B13,1),#REF!,"&lt;="&amp;EOMONTH(DATE($C13,$B13,1),0),#REF!,"user_request")</f>
        <v>#REF!</v>
      </c>
      <c r="P13" s="147">
        <f t="shared" si="9"/>
        <v>0</v>
      </c>
      <c r="Q13" s="147">
        <f t="shared" si="10"/>
        <v>0</v>
      </c>
      <c r="R13" s="147">
        <f t="shared" si="11"/>
        <v>0</v>
      </c>
      <c r="S13" s="146" t="e">
        <f t="shared" si="12"/>
        <v>#REF!</v>
      </c>
      <c r="T13" s="146" t="e">
        <f t="shared" si="13"/>
        <v>#REF!</v>
      </c>
      <c r="U13" s="145">
        <f t="shared" si="4"/>
        <v>0</v>
      </c>
      <c r="V13" s="145" t="e">
        <f t="shared" si="5"/>
        <v>#REF!</v>
      </c>
      <c r="W13" s="142">
        <v>10</v>
      </c>
      <c r="X13" s="142" t="str">
        <f>+IF((VLOOKUP(A13,List!B:C,2,0)-VLOOKUP(Summary!$P$7,List!B:C,2,0))=0,1,"")</f>
        <v/>
      </c>
      <c r="Y13" s="198">
        <f>+IF((VLOOKUP(A13,List!B:C,2,0)-VLOOKUP(Summary!$P$7,List!B:C,2,0))&gt;=0,1,"")</f>
        <v>1</v>
      </c>
      <c r="Z13" s="198">
        <f>+IF((VLOOKUP(A13,List!B:C,2,0)-VLOOKUP(Summary!$P$7,List!B:C,2,0))&gt;0,1,"")</f>
        <v>1</v>
      </c>
      <c r="AA13" s="141">
        <f t="shared" si="6"/>
        <v>1</v>
      </c>
      <c r="AB13" s="199" t="str">
        <f>+IF(AA13="","",IF(Summary!$J$7="Fixed Price","",IF(M13="",IF(I13="","",1),"")))</f>
        <v/>
      </c>
      <c r="AC13" s="198">
        <f t="shared" si="14"/>
        <v>0</v>
      </c>
      <c r="AD13" s="198">
        <f>+IF(AA13="",+IF(N13&gt;#REF!,#REF!,IF(N13&gt;#REF!,#REF!,IF(N13&gt;#REF!,#REF!,IF(N13&gt;#REF!,#REF!,IF(N13&gt;#REF!,#REF!,IF(N13&gt;#REF!,#REF!,IF(N13&gt;#REF!,#REF!,IF(N13&gt;#REF!,#REF!,#REF!)))))))),0)</f>
        <v>0</v>
      </c>
    </row>
    <row r="14" spans="1:30" x14ac:dyDescent="0.2">
      <c r="A14" s="155" t="str">
        <f t="shared" si="0"/>
        <v>2026-7</v>
      </c>
      <c r="B14" s="154">
        <f t="shared" si="7"/>
        <v>7</v>
      </c>
      <c r="C14" s="153">
        <f t="shared" si="8"/>
        <v>2026</v>
      </c>
      <c r="D14" s="152" t="str">
        <f t="shared" si="1"/>
        <v>2026-7</v>
      </c>
      <c r="E14" s="159">
        <f>+IF($B14="","",Summary!$P$4)</f>
        <v>45929</v>
      </c>
      <c r="F14" s="159">
        <f>+IF($B14="","",Summary!$P$5)</f>
        <v>46657</v>
      </c>
      <c r="G14" s="159">
        <f>+IF($B14="","",Summary!$P$6)</f>
        <v>46657</v>
      </c>
      <c r="H14" s="158" t="str">
        <f t="shared" si="2"/>
        <v>Green</v>
      </c>
      <c r="I14" s="156"/>
      <c r="J14" s="157"/>
      <c r="K14" s="156"/>
      <c r="L14" s="156"/>
      <c r="M14" s="156"/>
      <c r="N14" s="156" t="e">
        <f t="shared" si="3"/>
        <v>#REF!</v>
      </c>
      <c r="O14" s="156" t="e">
        <f>COUNTIFS(#REF!,"&gt;="&amp;DATE($C14,$B14,1),#REF!,"&lt;="&amp;EOMONTH(DATE($C14,$B14,1),0),#REF!,"Incident")+
COUNTIFS(#REF!,"&gt;="&amp;DATE($C14,$B14,1),#REF!,"&lt;="&amp;EOMONTH(DATE($C14,$B14,1),0),#REF!,"user_request")</f>
        <v>#REF!</v>
      </c>
      <c r="P14" s="147">
        <f t="shared" si="9"/>
        <v>0</v>
      </c>
      <c r="Q14" s="147">
        <f t="shared" si="10"/>
        <v>0</v>
      </c>
      <c r="R14" s="147">
        <f t="shared" si="11"/>
        <v>0</v>
      </c>
      <c r="S14" s="146" t="e">
        <f t="shared" si="12"/>
        <v>#REF!</v>
      </c>
      <c r="T14" s="146" t="e">
        <f t="shared" si="13"/>
        <v>#REF!</v>
      </c>
      <c r="U14" s="145">
        <f t="shared" si="4"/>
        <v>0</v>
      </c>
      <c r="V14" s="145" t="e">
        <f t="shared" si="5"/>
        <v>#REF!</v>
      </c>
      <c r="W14" s="142">
        <v>11</v>
      </c>
      <c r="X14" s="142" t="str">
        <f>+IF((VLOOKUP(A14,List!B:C,2,0)-VLOOKUP(Summary!$P$7,List!B:C,2,0))=0,1,"")</f>
        <v/>
      </c>
      <c r="Y14" s="198">
        <f>+IF((VLOOKUP(A14,List!B:C,2,0)-VLOOKUP(Summary!$P$7,List!B:C,2,0))&gt;=0,1,"")</f>
        <v>1</v>
      </c>
      <c r="Z14" s="198">
        <f>+IF((VLOOKUP(A14,List!B:C,2,0)-VLOOKUP(Summary!$P$7,List!B:C,2,0))&gt;0,1,"")</f>
        <v>1</v>
      </c>
      <c r="AA14" s="141">
        <f t="shared" si="6"/>
        <v>1</v>
      </c>
      <c r="AB14" s="199" t="str">
        <f>+IF(AA14="","",IF(Summary!$J$7="Fixed Price","",IF(M14="",IF(I14="","",1),"")))</f>
        <v/>
      </c>
      <c r="AC14" s="198">
        <f t="shared" si="14"/>
        <v>0</v>
      </c>
      <c r="AD14" s="198">
        <f>+IF(AA14="",+IF(N14&gt;#REF!,#REF!,IF(N14&gt;#REF!,#REF!,IF(N14&gt;#REF!,#REF!,IF(N14&gt;#REF!,#REF!,IF(N14&gt;#REF!,#REF!,IF(N14&gt;#REF!,#REF!,IF(N14&gt;#REF!,#REF!,IF(N14&gt;#REF!,#REF!,#REF!)))))))),0)</f>
        <v>0</v>
      </c>
    </row>
    <row r="15" spans="1:30" x14ac:dyDescent="0.2">
      <c r="A15" s="155" t="str">
        <f t="shared" si="0"/>
        <v>2026-8</v>
      </c>
      <c r="B15" s="154">
        <f t="shared" si="7"/>
        <v>8</v>
      </c>
      <c r="C15" s="153">
        <f t="shared" si="8"/>
        <v>2026</v>
      </c>
      <c r="D15" s="152" t="str">
        <f t="shared" si="1"/>
        <v>2026-8</v>
      </c>
      <c r="E15" s="151">
        <f>+IF($B15="","",Summary!$P$4)</f>
        <v>45929</v>
      </c>
      <c r="F15" s="151">
        <f>+IF($B15="","",Summary!$P$5)</f>
        <v>46657</v>
      </c>
      <c r="G15" s="151">
        <f>+IF($B15="","",Summary!$P$6)</f>
        <v>46657</v>
      </c>
      <c r="H15" s="150" t="str">
        <f t="shared" si="2"/>
        <v>Green</v>
      </c>
      <c r="I15" s="148"/>
      <c r="J15" s="149"/>
      <c r="K15" s="148"/>
      <c r="L15" s="148"/>
      <c r="M15" s="148"/>
      <c r="N15" s="148" t="e">
        <f t="shared" si="3"/>
        <v>#REF!</v>
      </c>
      <c r="O15" s="148" t="e">
        <f>COUNTIFS(#REF!,"&gt;="&amp;DATE($C15,$B15,1),#REF!,"&lt;="&amp;EOMONTH(DATE($C15,$B15,1),0),#REF!,"Incident")+
COUNTIFS(#REF!,"&gt;="&amp;DATE($C15,$B15,1),#REF!,"&lt;="&amp;EOMONTH(DATE($C15,$B15,1),0),#REF!,"user_request")</f>
        <v>#REF!</v>
      </c>
      <c r="P15" s="147">
        <f t="shared" si="9"/>
        <v>0</v>
      </c>
      <c r="Q15" s="147">
        <f t="shared" si="10"/>
        <v>0</v>
      </c>
      <c r="R15" s="147">
        <f t="shared" si="11"/>
        <v>0</v>
      </c>
      <c r="S15" s="146" t="e">
        <f t="shared" si="12"/>
        <v>#REF!</v>
      </c>
      <c r="T15" s="146" t="e">
        <f t="shared" si="13"/>
        <v>#REF!</v>
      </c>
      <c r="U15" s="145">
        <f t="shared" si="4"/>
        <v>0</v>
      </c>
      <c r="V15" s="145" t="e">
        <f t="shared" si="5"/>
        <v>#REF!</v>
      </c>
      <c r="W15" s="142">
        <v>12</v>
      </c>
      <c r="X15" s="142" t="str">
        <f>+IF((VLOOKUP(A15,List!B:C,2,0)-VLOOKUP(Summary!$P$7,List!B:C,2,0))=0,1,"")</f>
        <v/>
      </c>
      <c r="Y15" s="198">
        <f>+IF((VLOOKUP(A15,List!B:C,2,0)-VLOOKUP(Summary!$P$7,List!B:C,2,0))&gt;=0,1,"")</f>
        <v>1</v>
      </c>
      <c r="Z15" s="198">
        <f>+IF((VLOOKUP(A15,List!B:C,2,0)-VLOOKUP(Summary!$P$7,List!B:C,2,0))&gt;0,1,"")</f>
        <v>1</v>
      </c>
      <c r="AA15" s="141">
        <f t="shared" si="6"/>
        <v>1</v>
      </c>
      <c r="AB15" s="199" t="str">
        <f>+IF(AA15="","",IF(Summary!$J$7="Fixed Price","",IF(M15="",IF(I15="","",1),"")))</f>
        <v/>
      </c>
      <c r="AC15" s="198">
        <f t="shared" si="14"/>
        <v>0</v>
      </c>
      <c r="AD15" s="198">
        <f>+IF(AA15="",+IF(N15&gt;#REF!,#REF!,IF(N15&gt;#REF!,#REF!,IF(N15&gt;#REF!,#REF!,IF(N15&gt;#REF!,#REF!,IF(N15&gt;#REF!,#REF!,IF(N15&gt;#REF!,#REF!,IF(N15&gt;#REF!,#REF!,IF(N15&gt;#REF!,#REF!,#REF!)))))))),0)</f>
        <v>0</v>
      </c>
    </row>
    <row r="16" spans="1:30" x14ac:dyDescent="0.2">
      <c r="A16" s="155" t="str">
        <f t="shared" si="0"/>
        <v>2026-9</v>
      </c>
      <c r="B16" s="154">
        <f t="shared" si="7"/>
        <v>9</v>
      </c>
      <c r="C16" s="153">
        <f t="shared" si="8"/>
        <v>2026</v>
      </c>
      <c r="D16" s="152" t="str">
        <f t="shared" si="1"/>
        <v>2026-9</v>
      </c>
      <c r="E16" s="159">
        <f>+IF($B16="","",Summary!$P$4)</f>
        <v>45929</v>
      </c>
      <c r="F16" s="159">
        <f>+IF($B16="","",Summary!$P$5)</f>
        <v>46657</v>
      </c>
      <c r="G16" s="159">
        <f>+IF($B16="","",Summary!$P$6)</f>
        <v>46657</v>
      </c>
      <c r="H16" s="158" t="str">
        <f t="shared" si="2"/>
        <v>Green</v>
      </c>
      <c r="I16" s="156"/>
      <c r="J16" s="160"/>
      <c r="K16" s="156"/>
      <c r="L16" s="156"/>
      <c r="M16" s="156"/>
      <c r="N16" s="156" t="e">
        <f t="shared" si="3"/>
        <v>#REF!</v>
      </c>
      <c r="O16" s="156" t="e">
        <f>COUNTIFS(#REF!,"&gt;="&amp;DATE($C16,$B16,1),#REF!,"&lt;="&amp;EOMONTH(DATE($C16,$B16,1),0),#REF!,"Incident")+
COUNTIFS(#REF!,"&gt;="&amp;DATE($C16,$B16,1),#REF!,"&lt;="&amp;EOMONTH(DATE($C16,$B16,1),0),#REF!,"user_request")</f>
        <v>#REF!</v>
      </c>
      <c r="P16" s="147">
        <f t="shared" si="9"/>
        <v>0</v>
      </c>
      <c r="Q16" s="147">
        <f t="shared" si="10"/>
        <v>0</v>
      </c>
      <c r="R16" s="147">
        <f t="shared" si="11"/>
        <v>0</v>
      </c>
      <c r="S16" s="146" t="e">
        <f t="shared" si="12"/>
        <v>#REF!</v>
      </c>
      <c r="T16" s="146" t="e">
        <f t="shared" si="13"/>
        <v>#REF!</v>
      </c>
      <c r="U16" s="145">
        <f t="shared" si="4"/>
        <v>0</v>
      </c>
      <c r="V16" s="145" t="e">
        <f t="shared" si="5"/>
        <v>#REF!</v>
      </c>
      <c r="W16" s="142">
        <v>13</v>
      </c>
      <c r="X16" s="142" t="str">
        <f>+IF((VLOOKUP(A16,List!B:C,2,0)-VLOOKUP(Summary!$P$7,List!B:C,2,0))=0,1,"")</f>
        <v/>
      </c>
      <c r="Y16" s="198">
        <f>+IF((VLOOKUP(A16,List!B:C,2,0)-VLOOKUP(Summary!$P$7,List!B:C,2,0))&gt;=0,1,"")</f>
        <v>1</v>
      </c>
      <c r="Z16" s="198">
        <f>+IF((VLOOKUP(A16,List!B:C,2,0)-VLOOKUP(Summary!$P$7,List!B:C,2,0))&gt;0,1,"")</f>
        <v>1</v>
      </c>
      <c r="AA16" s="141">
        <f t="shared" si="6"/>
        <v>1</v>
      </c>
      <c r="AB16" s="199" t="str">
        <f>+IF(AA16="","",IF(Summary!$J$7="Fixed Price","",IF(M16="",IF(I16="","",1),"")))</f>
        <v/>
      </c>
      <c r="AC16" s="198">
        <f t="shared" si="14"/>
        <v>0</v>
      </c>
      <c r="AD16" s="198">
        <f>+IF(AA16="",+IF(N16&gt;#REF!,#REF!,IF(N16&gt;#REF!,#REF!,IF(N16&gt;#REF!,#REF!,IF(N16&gt;#REF!,#REF!,IF(N16&gt;#REF!,#REF!,IF(N16&gt;#REF!,#REF!,IF(N16&gt;#REF!,#REF!,IF(N16&gt;#REF!,#REF!,#REF!)))))))),0)</f>
        <v>0</v>
      </c>
    </row>
    <row r="17" spans="1:30" x14ac:dyDescent="0.2">
      <c r="A17" s="155" t="str">
        <f t="shared" si="0"/>
        <v>2026-10</v>
      </c>
      <c r="B17" s="154">
        <f t="shared" si="7"/>
        <v>10</v>
      </c>
      <c r="C17" s="153">
        <f t="shared" si="8"/>
        <v>2026</v>
      </c>
      <c r="D17" s="152" t="str">
        <f t="shared" si="1"/>
        <v>2026-10</v>
      </c>
      <c r="E17" s="151">
        <f>+IF($B17="","",Summary!$P$4)</f>
        <v>45929</v>
      </c>
      <c r="F17" s="151">
        <f>+IF($B17="","",Summary!$P$5)</f>
        <v>46657</v>
      </c>
      <c r="G17" s="151">
        <f>+IF($B17="","",Summary!$P$6)</f>
        <v>46657</v>
      </c>
      <c r="H17" s="150" t="str">
        <f t="shared" si="2"/>
        <v>Green</v>
      </c>
      <c r="I17" s="148"/>
      <c r="J17" s="161"/>
      <c r="K17" s="148"/>
      <c r="L17" s="148"/>
      <c r="M17" s="148"/>
      <c r="N17" s="148" t="e">
        <f t="shared" si="3"/>
        <v>#REF!</v>
      </c>
      <c r="O17" s="148" t="e">
        <f>COUNTIFS(#REF!,"&gt;="&amp;DATE($C17,$B17,1),#REF!,"&lt;="&amp;EOMONTH(DATE($C17,$B17,1),0),#REF!,"Incident")+
COUNTIFS(#REF!,"&gt;="&amp;DATE($C17,$B17,1),#REF!,"&lt;="&amp;EOMONTH(DATE($C17,$B17,1),0),#REF!,"user_request")</f>
        <v>#REF!</v>
      </c>
      <c r="P17" s="147">
        <f t="shared" si="9"/>
        <v>0</v>
      </c>
      <c r="Q17" s="147">
        <f t="shared" si="10"/>
        <v>0</v>
      </c>
      <c r="R17" s="147">
        <f t="shared" si="11"/>
        <v>0</v>
      </c>
      <c r="S17" s="146" t="e">
        <f t="shared" si="12"/>
        <v>#REF!</v>
      </c>
      <c r="T17" s="146" t="e">
        <f t="shared" si="13"/>
        <v>#REF!</v>
      </c>
      <c r="U17" s="145">
        <f t="shared" si="4"/>
        <v>0</v>
      </c>
      <c r="V17" s="145" t="e">
        <f t="shared" si="5"/>
        <v>#REF!</v>
      </c>
      <c r="W17" s="142">
        <v>14</v>
      </c>
      <c r="X17" s="142" t="str">
        <f>+IF((VLOOKUP(A17,List!B:C,2,0)-VLOOKUP(Summary!$P$7,List!B:C,2,0))=0,1,"")</f>
        <v/>
      </c>
      <c r="Y17" s="198">
        <f>+IF((VLOOKUP(A17,List!B:C,2,0)-VLOOKUP(Summary!$P$7,List!B:C,2,0))&gt;=0,1,"")</f>
        <v>1</v>
      </c>
      <c r="Z17" s="198">
        <f>+IF((VLOOKUP(A17,List!B:C,2,0)-VLOOKUP(Summary!$P$7,List!B:C,2,0))&gt;0,1,"")</f>
        <v>1</v>
      </c>
      <c r="AA17" s="141">
        <f t="shared" si="6"/>
        <v>1</v>
      </c>
      <c r="AB17" s="199" t="str">
        <f>+IF(AA17="","",IF(Summary!$J$7="Fixed Price","",IF(M17="",IF(I17="","",1),"")))</f>
        <v/>
      </c>
      <c r="AC17" s="198">
        <f t="shared" si="14"/>
        <v>0</v>
      </c>
      <c r="AD17" s="198">
        <f>+IF(AA17="",+IF(N17&gt;#REF!,#REF!,IF(N17&gt;#REF!,#REF!,IF(N17&gt;#REF!,#REF!,IF(N17&gt;#REF!,#REF!,IF(N17&gt;#REF!,#REF!,IF(N17&gt;#REF!,#REF!,IF(N17&gt;#REF!,#REF!,IF(N17&gt;#REF!,#REF!,#REF!)))))))),0)</f>
        <v>0</v>
      </c>
    </row>
    <row r="18" spans="1:30" x14ac:dyDescent="0.2">
      <c r="A18" s="155" t="str">
        <f t="shared" si="0"/>
        <v>2026-11</v>
      </c>
      <c r="B18" s="154">
        <f t="shared" si="7"/>
        <v>11</v>
      </c>
      <c r="C18" s="153">
        <f t="shared" si="8"/>
        <v>2026</v>
      </c>
      <c r="D18" s="152" t="str">
        <f t="shared" si="1"/>
        <v>2026-11</v>
      </c>
      <c r="E18" s="159">
        <f>+IF($B18="","",Summary!$P$4)</f>
        <v>45929</v>
      </c>
      <c r="F18" s="159">
        <f>+IF($B18="","",Summary!$P$5)</f>
        <v>46657</v>
      </c>
      <c r="G18" s="159">
        <f>+IF($B18="","",Summary!$P$6)</f>
        <v>46657</v>
      </c>
      <c r="H18" s="158" t="str">
        <f t="shared" si="2"/>
        <v>Green</v>
      </c>
      <c r="I18" s="156"/>
      <c r="J18" s="160"/>
      <c r="K18" s="156"/>
      <c r="L18" s="156"/>
      <c r="M18" s="156"/>
      <c r="N18" s="156" t="e">
        <f t="shared" si="3"/>
        <v>#REF!</v>
      </c>
      <c r="O18" s="156" t="e">
        <f>COUNTIFS(#REF!,"&gt;="&amp;DATE($C18,$B18,1),#REF!,"&lt;="&amp;EOMONTH(DATE($C18,$B18,1),0),#REF!,"Incident")+
COUNTIFS(#REF!,"&gt;="&amp;DATE($C18,$B18,1),#REF!,"&lt;="&amp;EOMONTH(DATE($C18,$B18,1),0),#REF!,"user_request")</f>
        <v>#REF!</v>
      </c>
      <c r="P18" s="147">
        <f t="shared" si="9"/>
        <v>0</v>
      </c>
      <c r="Q18" s="147">
        <f t="shared" si="10"/>
        <v>0</v>
      </c>
      <c r="R18" s="147">
        <f t="shared" si="11"/>
        <v>0</v>
      </c>
      <c r="S18" s="146" t="e">
        <f t="shared" si="12"/>
        <v>#REF!</v>
      </c>
      <c r="T18" s="146" t="e">
        <f t="shared" si="13"/>
        <v>#REF!</v>
      </c>
      <c r="U18" s="145">
        <f t="shared" si="4"/>
        <v>0</v>
      </c>
      <c r="V18" s="145" t="e">
        <f t="shared" si="5"/>
        <v>#REF!</v>
      </c>
      <c r="W18" s="142">
        <v>15</v>
      </c>
      <c r="X18" s="142" t="str">
        <f>+IF((VLOOKUP(A18,List!B:C,2,0)-VLOOKUP(Summary!$P$7,List!B:C,2,0))=0,1,"")</f>
        <v/>
      </c>
      <c r="Y18" s="198">
        <f>+IF((VLOOKUP(A18,List!B:C,2,0)-VLOOKUP(Summary!$P$7,List!B:C,2,0))&gt;=0,1,"")</f>
        <v>1</v>
      </c>
      <c r="Z18" s="198">
        <f>+IF((VLOOKUP(A18,List!B:C,2,0)-VLOOKUP(Summary!$P$7,List!B:C,2,0))&gt;0,1,"")</f>
        <v>1</v>
      </c>
      <c r="AA18" s="141">
        <f t="shared" si="6"/>
        <v>1</v>
      </c>
      <c r="AB18" s="199" t="str">
        <f>+IF(AA18="","",IF(Summary!$J$7="Fixed Price","",IF(M18="",IF(I18="","",1),"")))</f>
        <v/>
      </c>
      <c r="AC18" s="198">
        <f t="shared" si="14"/>
        <v>0</v>
      </c>
      <c r="AD18" s="198">
        <f>+IF(AA18="",+IF(N18&gt;#REF!,#REF!,IF(N18&gt;#REF!,#REF!,IF(N18&gt;#REF!,#REF!,IF(N18&gt;#REF!,#REF!,IF(N18&gt;#REF!,#REF!,IF(N18&gt;#REF!,#REF!,IF(N18&gt;#REF!,#REF!,IF(N18&gt;#REF!,#REF!,#REF!)))))))),0)</f>
        <v>0</v>
      </c>
    </row>
    <row r="19" spans="1:30" x14ac:dyDescent="0.2">
      <c r="A19" s="155" t="str">
        <f t="shared" si="0"/>
        <v>2026-12</v>
      </c>
      <c r="B19" s="154">
        <f t="shared" si="7"/>
        <v>12</v>
      </c>
      <c r="C19" s="153">
        <f t="shared" si="8"/>
        <v>2026</v>
      </c>
      <c r="D19" s="152" t="str">
        <f t="shared" si="1"/>
        <v>2026-12</v>
      </c>
      <c r="E19" s="151">
        <f>+IF($B19="","",Summary!$P$4)</f>
        <v>45929</v>
      </c>
      <c r="F19" s="151">
        <f>+IF($B19="","",Summary!$P$5)</f>
        <v>46657</v>
      </c>
      <c r="G19" s="151">
        <f>+IF($B19="","",Summary!$P$6)</f>
        <v>46657</v>
      </c>
      <c r="H19" s="150" t="str">
        <f t="shared" si="2"/>
        <v>Green</v>
      </c>
      <c r="I19" s="148"/>
      <c r="J19" s="161"/>
      <c r="K19" s="148"/>
      <c r="L19" s="148"/>
      <c r="M19" s="148"/>
      <c r="N19" s="148" t="e">
        <f t="shared" si="3"/>
        <v>#REF!</v>
      </c>
      <c r="O19" s="148" t="e">
        <f>COUNTIFS(#REF!,"&gt;="&amp;DATE($C19,$B19,1),#REF!,"&lt;="&amp;EOMONTH(DATE($C19,$B19,1),0),#REF!,"Incident")+
COUNTIFS(#REF!,"&gt;="&amp;DATE($C19,$B19,1),#REF!,"&lt;="&amp;EOMONTH(DATE($C19,$B19,1),0),#REF!,"user_request")</f>
        <v>#REF!</v>
      </c>
      <c r="P19" s="147">
        <f t="shared" si="9"/>
        <v>0</v>
      </c>
      <c r="Q19" s="147">
        <f t="shared" si="10"/>
        <v>0</v>
      </c>
      <c r="R19" s="147">
        <f t="shared" si="11"/>
        <v>0</v>
      </c>
      <c r="S19" s="146" t="e">
        <f t="shared" si="12"/>
        <v>#REF!</v>
      </c>
      <c r="T19" s="146" t="e">
        <f t="shared" si="13"/>
        <v>#REF!</v>
      </c>
      <c r="U19" s="145">
        <f t="shared" si="4"/>
        <v>0</v>
      </c>
      <c r="V19" s="145" t="e">
        <f t="shared" si="5"/>
        <v>#REF!</v>
      </c>
      <c r="W19" s="142">
        <v>16</v>
      </c>
      <c r="X19" s="142" t="str">
        <f>+IF((VLOOKUP(A19,List!B:C,2,0)-VLOOKUP(Summary!$P$7,List!B:C,2,0))=0,1,"")</f>
        <v/>
      </c>
      <c r="Y19" s="198">
        <f>+IF((VLOOKUP(A19,List!B:C,2,0)-VLOOKUP(Summary!$P$7,List!B:C,2,0))&gt;=0,1,"")</f>
        <v>1</v>
      </c>
      <c r="Z19" s="198">
        <f>+IF((VLOOKUP(A19,List!B:C,2,0)-VLOOKUP(Summary!$P$7,List!B:C,2,0))&gt;0,1,"")</f>
        <v>1</v>
      </c>
      <c r="AA19" s="141">
        <f t="shared" si="6"/>
        <v>1</v>
      </c>
      <c r="AB19" s="199" t="str">
        <f>+IF(AA19="","",IF(Summary!$J$7="Fixed Price","",IF(M19="",IF(I19="","",1),"")))</f>
        <v/>
      </c>
      <c r="AC19" s="198">
        <f t="shared" si="14"/>
        <v>0</v>
      </c>
      <c r="AD19" s="198">
        <f>+IF(AA19="",+IF(N19&gt;#REF!,#REF!,IF(N19&gt;#REF!,#REF!,IF(N19&gt;#REF!,#REF!,IF(N19&gt;#REF!,#REF!,IF(N19&gt;#REF!,#REF!,IF(N19&gt;#REF!,#REF!,IF(N19&gt;#REF!,#REF!,IF(N19&gt;#REF!,#REF!,#REF!)))))))),0)</f>
        <v>0</v>
      </c>
    </row>
    <row r="20" spans="1:30" x14ac:dyDescent="0.2">
      <c r="A20" s="155" t="str">
        <f t="shared" si="0"/>
        <v>2027-1</v>
      </c>
      <c r="B20" s="154">
        <f t="shared" si="7"/>
        <v>1</v>
      </c>
      <c r="C20" s="153">
        <f t="shared" si="8"/>
        <v>2027</v>
      </c>
      <c r="D20" s="152" t="str">
        <f t="shared" si="1"/>
        <v>2027-1</v>
      </c>
      <c r="E20" s="159">
        <f>+IF($B20="","",Summary!$P$4)</f>
        <v>45929</v>
      </c>
      <c r="F20" s="159">
        <f>+IF($B20="","",Summary!$P$5)</f>
        <v>46657</v>
      </c>
      <c r="G20" s="159">
        <f>+IF($B20="","",Summary!$P$6)</f>
        <v>46657</v>
      </c>
      <c r="H20" s="158" t="str">
        <f t="shared" si="2"/>
        <v>Green</v>
      </c>
      <c r="I20" s="156"/>
      <c r="J20" s="160"/>
      <c r="K20" s="156"/>
      <c r="L20" s="156"/>
      <c r="M20" s="156"/>
      <c r="N20" s="156" t="e">
        <f t="shared" si="3"/>
        <v>#REF!</v>
      </c>
      <c r="O20" s="156" t="e">
        <f>COUNTIFS(#REF!,"&gt;="&amp;DATE($C20,$B20,1),#REF!,"&lt;="&amp;EOMONTH(DATE($C20,$B20,1),0),#REF!,"Incident")+
COUNTIFS(#REF!,"&gt;="&amp;DATE($C20,$B20,1),#REF!,"&lt;="&amp;EOMONTH(DATE($C20,$B20,1),0),#REF!,"user_request")</f>
        <v>#REF!</v>
      </c>
      <c r="P20" s="147">
        <f t="shared" si="9"/>
        <v>0</v>
      </c>
      <c r="Q20" s="147">
        <f t="shared" si="10"/>
        <v>0</v>
      </c>
      <c r="R20" s="147">
        <f t="shared" si="11"/>
        <v>0</v>
      </c>
      <c r="S20" s="146" t="e">
        <f t="shared" si="12"/>
        <v>#REF!</v>
      </c>
      <c r="T20" s="146" t="e">
        <f t="shared" si="13"/>
        <v>#REF!</v>
      </c>
      <c r="U20" s="145">
        <f t="shared" si="4"/>
        <v>0</v>
      </c>
      <c r="V20" s="145" t="e">
        <f t="shared" si="5"/>
        <v>#REF!</v>
      </c>
      <c r="W20" s="142">
        <v>17</v>
      </c>
      <c r="X20" s="142" t="str">
        <f>+IF((VLOOKUP(A20,List!B:C,2,0)-VLOOKUP(Summary!$P$7,List!B:C,2,0))=0,1,"")</f>
        <v/>
      </c>
      <c r="Y20" s="198">
        <f>+IF((VLOOKUP(A20,List!B:C,2,0)-VLOOKUP(Summary!$P$7,List!B:C,2,0))&gt;=0,1,"")</f>
        <v>1</v>
      </c>
      <c r="Z20" s="198">
        <f>+IF((VLOOKUP(A20,List!B:C,2,0)-VLOOKUP(Summary!$P$7,List!B:C,2,0))&gt;0,1,"")</f>
        <v>1</v>
      </c>
      <c r="AA20" s="141">
        <f t="shared" si="6"/>
        <v>1</v>
      </c>
      <c r="AB20" s="199" t="str">
        <f>+IF(AA20="","",IF(Summary!$J$7="Fixed Price","",IF(M20="",IF(I20="","",1),"")))</f>
        <v/>
      </c>
      <c r="AC20" s="198">
        <f t="shared" si="14"/>
        <v>0</v>
      </c>
      <c r="AD20" s="198">
        <f>+IF(AA20="",+IF(N20&gt;#REF!,#REF!,IF(N20&gt;#REF!,#REF!,IF(N20&gt;#REF!,#REF!,IF(N20&gt;#REF!,#REF!,IF(N20&gt;#REF!,#REF!,IF(N20&gt;#REF!,#REF!,IF(N20&gt;#REF!,#REF!,IF(N20&gt;#REF!,#REF!,#REF!)))))))),0)</f>
        <v>0</v>
      </c>
    </row>
    <row r="21" spans="1:30" x14ac:dyDescent="0.2">
      <c r="A21" s="155" t="str">
        <f t="shared" si="0"/>
        <v>2027-2</v>
      </c>
      <c r="B21" s="154">
        <f t="shared" si="7"/>
        <v>2</v>
      </c>
      <c r="C21" s="153">
        <f t="shared" si="8"/>
        <v>2027</v>
      </c>
      <c r="D21" s="152" t="str">
        <f t="shared" si="1"/>
        <v>2027-2</v>
      </c>
      <c r="E21" s="151">
        <f>+IF($B21="","",Summary!$P$4)</f>
        <v>45929</v>
      </c>
      <c r="F21" s="151">
        <f>+IF($B21="","",Summary!$P$5)</f>
        <v>46657</v>
      </c>
      <c r="G21" s="151">
        <f>+IF($B21="","",Summary!$P$6)</f>
        <v>46657</v>
      </c>
      <c r="H21" s="150" t="str">
        <f t="shared" si="2"/>
        <v>Green</v>
      </c>
      <c r="I21" s="148"/>
      <c r="J21" s="161"/>
      <c r="K21" s="148"/>
      <c r="L21" s="148"/>
      <c r="M21" s="148"/>
      <c r="N21" s="148" t="e">
        <f t="shared" si="3"/>
        <v>#REF!</v>
      </c>
      <c r="O21" s="148" t="e">
        <f>COUNTIFS(#REF!,"&gt;="&amp;DATE($C21,$B21,1),#REF!,"&lt;="&amp;EOMONTH(DATE($C21,$B21,1),0),#REF!,"Incident")+
COUNTIFS(#REF!,"&gt;="&amp;DATE($C21,$B21,1),#REF!,"&lt;="&amp;EOMONTH(DATE($C21,$B21,1),0),#REF!,"user_request")</f>
        <v>#REF!</v>
      </c>
      <c r="P21" s="147">
        <f t="shared" si="9"/>
        <v>0</v>
      </c>
      <c r="Q21" s="147">
        <f t="shared" si="10"/>
        <v>0</v>
      </c>
      <c r="R21" s="147">
        <f t="shared" si="11"/>
        <v>0</v>
      </c>
      <c r="S21" s="146" t="e">
        <f t="shared" si="12"/>
        <v>#REF!</v>
      </c>
      <c r="T21" s="146" t="e">
        <f t="shared" si="13"/>
        <v>#REF!</v>
      </c>
      <c r="U21" s="145">
        <f t="shared" si="4"/>
        <v>0</v>
      </c>
      <c r="V21" s="145" t="e">
        <f t="shared" si="5"/>
        <v>#REF!</v>
      </c>
      <c r="W21" s="142">
        <v>18</v>
      </c>
      <c r="X21" s="142" t="str">
        <f>+IF((VLOOKUP(A21,List!B:C,2,0)-VLOOKUP(Summary!$P$7,List!B:C,2,0))=0,1,"")</f>
        <v/>
      </c>
      <c r="Y21" s="198">
        <f>+IF((VLOOKUP(A21,List!B:C,2,0)-VLOOKUP(Summary!$P$7,List!B:C,2,0))&gt;=0,1,"")</f>
        <v>1</v>
      </c>
      <c r="Z21" s="198">
        <f>+IF((VLOOKUP(A21,List!B:C,2,0)-VLOOKUP(Summary!$P$7,List!B:C,2,0))&gt;0,1,"")</f>
        <v>1</v>
      </c>
      <c r="AA21" s="141">
        <f t="shared" si="6"/>
        <v>1</v>
      </c>
      <c r="AB21" s="199" t="str">
        <f>+IF(AA21="","",IF(Summary!$J$7="Fixed Price","",IF(M21="",IF(I21="","",1),"")))</f>
        <v/>
      </c>
      <c r="AC21" s="198">
        <f t="shared" si="14"/>
        <v>0</v>
      </c>
      <c r="AD21" s="198">
        <f>+IF(AA21="",+IF(N21&gt;#REF!,#REF!,IF(N21&gt;#REF!,#REF!,IF(N21&gt;#REF!,#REF!,IF(N21&gt;#REF!,#REF!,IF(N21&gt;#REF!,#REF!,IF(N21&gt;#REF!,#REF!,IF(N21&gt;#REF!,#REF!,IF(N21&gt;#REF!,#REF!,#REF!)))))))),0)</f>
        <v>0</v>
      </c>
    </row>
    <row r="22" spans="1:30" x14ac:dyDescent="0.2">
      <c r="A22" s="155" t="str">
        <f t="shared" si="0"/>
        <v>2027-3</v>
      </c>
      <c r="B22" s="154">
        <f t="shared" si="7"/>
        <v>3</v>
      </c>
      <c r="C22" s="153">
        <f t="shared" si="8"/>
        <v>2027</v>
      </c>
      <c r="D22" s="152" t="str">
        <f t="shared" si="1"/>
        <v>2027-3</v>
      </c>
      <c r="E22" s="159">
        <f>+IF($B22="","",Summary!$P$4)</f>
        <v>45929</v>
      </c>
      <c r="F22" s="159">
        <f>+IF($B22="","",Summary!$P$5)</f>
        <v>46657</v>
      </c>
      <c r="G22" s="159">
        <f>+IF($B22="","",Summary!$P$6)</f>
        <v>46657</v>
      </c>
      <c r="H22" s="158" t="str">
        <f t="shared" si="2"/>
        <v>Green</v>
      </c>
      <c r="I22" s="156"/>
      <c r="J22" s="160"/>
      <c r="K22" s="156"/>
      <c r="L22" s="156"/>
      <c r="M22" s="156"/>
      <c r="N22" s="156" t="e">
        <f t="shared" si="3"/>
        <v>#REF!</v>
      </c>
      <c r="O22" s="156" t="e">
        <f>COUNTIFS(#REF!,"&gt;="&amp;DATE($C22,$B22,1),#REF!,"&lt;="&amp;EOMONTH(DATE($C22,$B22,1),0),#REF!,"Incident")+
COUNTIFS(#REF!,"&gt;="&amp;DATE($C22,$B22,1),#REF!,"&lt;="&amp;EOMONTH(DATE($C22,$B22,1),0),#REF!,"user_request")</f>
        <v>#REF!</v>
      </c>
      <c r="P22" s="147">
        <f t="shared" si="9"/>
        <v>0</v>
      </c>
      <c r="Q22" s="147">
        <f t="shared" si="10"/>
        <v>0</v>
      </c>
      <c r="R22" s="147">
        <f t="shared" si="11"/>
        <v>0</v>
      </c>
      <c r="S22" s="146" t="e">
        <f t="shared" si="12"/>
        <v>#REF!</v>
      </c>
      <c r="T22" s="146" t="e">
        <f t="shared" si="13"/>
        <v>#REF!</v>
      </c>
      <c r="U22" s="145">
        <f t="shared" si="4"/>
        <v>0</v>
      </c>
      <c r="V22" s="145" t="e">
        <f t="shared" si="5"/>
        <v>#REF!</v>
      </c>
      <c r="W22" s="142">
        <v>19</v>
      </c>
      <c r="X22" s="142" t="str">
        <f>+IF((VLOOKUP(A22,List!B:C,2,0)-VLOOKUP(Summary!$P$7,List!B:C,2,0))=0,1,"")</f>
        <v/>
      </c>
      <c r="Y22" s="198">
        <f>+IF((VLOOKUP(A22,List!B:C,2,0)-VLOOKUP(Summary!$P$7,List!B:C,2,0))&gt;=0,1,"")</f>
        <v>1</v>
      </c>
      <c r="Z22" s="198">
        <f>+IF((VLOOKUP(A22,List!B:C,2,0)-VLOOKUP(Summary!$P$7,List!B:C,2,0))&gt;0,1,"")</f>
        <v>1</v>
      </c>
      <c r="AA22" s="141">
        <f t="shared" si="6"/>
        <v>1</v>
      </c>
      <c r="AB22" s="199" t="str">
        <f>+IF(AA22="","",IF(Summary!$J$7="Fixed Price","",IF(M22="",IF(I22="","",1),"")))</f>
        <v/>
      </c>
      <c r="AC22" s="198">
        <f t="shared" si="14"/>
        <v>0</v>
      </c>
      <c r="AD22" s="198">
        <f>+IF(AA22="",+IF(N22&gt;#REF!,#REF!,IF(N22&gt;#REF!,#REF!,IF(N22&gt;#REF!,#REF!,IF(N22&gt;#REF!,#REF!,IF(N22&gt;#REF!,#REF!,IF(N22&gt;#REF!,#REF!,IF(N22&gt;#REF!,#REF!,IF(N22&gt;#REF!,#REF!,#REF!)))))))),0)</f>
        <v>0</v>
      </c>
    </row>
    <row r="23" spans="1:30" x14ac:dyDescent="0.2">
      <c r="A23" s="155" t="str">
        <f t="shared" si="0"/>
        <v>2027-4</v>
      </c>
      <c r="B23" s="154">
        <f t="shared" si="7"/>
        <v>4</v>
      </c>
      <c r="C23" s="153">
        <f t="shared" si="8"/>
        <v>2027</v>
      </c>
      <c r="D23" s="152" t="str">
        <f t="shared" si="1"/>
        <v>2027-4</v>
      </c>
      <c r="E23" s="151">
        <f>+IF($B23="","",Summary!$P$4)</f>
        <v>45929</v>
      </c>
      <c r="F23" s="151">
        <f>+IF($B23="","",Summary!$P$5)</f>
        <v>46657</v>
      </c>
      <c r="G23" s="151">
        <f>+IF($B23="","",Summary!$P$6)</f>
        <v>46657</v>
      </c>
      <c r="H23" s="150" t="str">
        <f t="shared" si="2"/>
        <v>Green</v>
      </c>
      <c r="I23" s="148"/>
      <c r="J23" s="148"/>
      <c r="K23" s="148"/>
      <c r="L23" s="148"/>
      <c r="M23" s="148"/>
      <c r="N23" s="148" t="e">
        <f t="shared" si="3"/>
        <v>#REF!</v>
      </c>
      <c r="O23" s="148" t="e">
        <f>COUNTIFS(#REF!,"&gt;="&amp;DATE($C23,$B23,1),#REF!,"&lt;="&amp;EOMONTH(DATE($C23,$B23,1),0),#REF!,"Incident")+
COUNTIFS(#REF!,"&gt;="&amp;DATE($C23,$B23,1),#REF!,"&lt;="&amp;EOMONTH(DATE($C23,$B23,1),0),#REF!,"user_request")</f>
        <v>#REF!</v>
      </c>
      <c r="P23" s="147">
        <f t="shared" si="9"/>
        <v>0</v>
      </c>
      <c r="Q23" s="147">
        <f t="shared" si="10"/>
        <v>0</v>
      </c>
      <c r="R23" s="147">
        <f t="shared" si="11"/>
        <v>0</v>
      </c>
      <c r="S23" s="146" t="e">
        <f t="shared" si="12"/>
        <v>#REF!</v>
      </c>
      <c r="T23" s="146" t="e">
        <f t="shared" si="13"/>
        <v>#REF!</v>
      </c>
      <c r="U23" s="145">
        <f t="shared" si="4"/>
        <v>0</v>
      </c>
      <c r="V23" s="145" t="e">
        <f t="shared" si="5"/>
        <v>#REF!</v>
      </c>
      <c r="W23" s="142">
        <v>20</v>
      </c>
      <c r="X23" s="142" t="str">
        <f>+IF((VLOOKUP(A23,List!B:C,2,0)-VLOOKUP(Summary!$P$7,List!B:C,2,0))=0,1,"")</f>
        <v/>
      </c>
      <c r="Y23" s="198">
        <f>+IF((VLOOKUP(A23,List!B:C,2,0)-VLOOKUP(Summary!$P$7,List!B:C,2,0))&gt;=0,1,"")</f>
        <v>1</v>
      </c>
      <c r="Z23" s="198">
        <f>+IF((VLOOKUP(A23,List!B:C,2,0)-VLOOKUP(Summary!$P$7,List!B:C,2,0))&gt;0,1,"")</f>
        <v>1</v>
      </c>
      <c r="AA23" s="141">
        <f t="shared" si="6"/>
        <v>1</v>
      </c>
      <c r="AB23" s="199" t="str">
        <f>+IF(AA23="","",IF(Summary!$J$7="Fixed Price","",IF(M23="",IF(I23="","",1),"")))</f>
        <v/>
      </c>
      <c r="AC23" s="198">
        <f t="shared" si="14"/>
        <v>0</v>
      </c>
      <c r="AD23" s="198">
        <f>+IF(AA23="",+IF(N23&gt;#REF!,#REF!,IF(N23&gt;#REF!,#REF!,IF(N23&gt;#REF!,#REF!,IF(N23&gt;#REF!,#REF!,IF(N23&gt;#REF!,#REF!,IF(N23&gt;#REF!,#REF!,IF(N23&gt;#REF!,#REF!,IF(N23&gt;#REF!,#REF!,#REF!)))))))),0)</f>
        <v>0</v>
      </c>
    </row>
    <row r="24" spans="1:30" x14ac:dyDescent="0.2">
      <c r="A24" s="155" t="str">
        <f t="shared" si="0"/>
        <v>2027-5</v>
      </c>
      <c r="B24" s="154">
        <f t="shared" si="7"/>
        <v>5</v>
      </c>
      <c r="C24" s="153">
        <f t="shared" si="8"/>
        <v>2027</v>
      </c>
      <c r="D24" s="152" t="str">
        <f t="shared" si="1"/>
        <v>2027-5</v>
      </c>
      <c r="E24" s="159">
        <f>+IF($B24="","",Summary!$P$4)</f>
        <v>45929</v>
      </c>
      <c r="F24" s="159">
        <f>+IF($B24="","",Summary!$P$5)</f>
        <v>46657</v>
      </c>
      <c r="G24" s="159">
        <f>+IF($B24="","",Summary!$P$6)</f>
        <v>46657</v>
      </c>
      <c r="H24" s="158" t="str">
        <f t="shared" si="2"/>
        <v>Green</v>
      </c>
      <c r="I24" s="156"/>
      <c r="J24" s="156"/>
      <c r="K24" s="156"/>
      <c r="L24" s="156"/>
      <c r="M24" s="156"/>
      <c r="N24" s="156" t="e">
        <f t="shared" si="3"/>
        <v>#REF!</v>
      </c>
      <c r="O24" s="156" t="e">
        <f>COUNTIFS(#REF!,"&gt;="&amp;DATE($C24,$B24,1),#REF!,"&lt;="&amp;EOMONTH(DATE($C24,$B24,1),0),#REF!,"Incident")+
COUNTIFS(#REF!,"&gt;="&amp;DATE($C24,$B24,1),#REF!,"&lt;="&amp;EOMONTH(DATE($C24,$B24,1),0),#REF!,"user_request")</f>
        <v>#REF!</v>
      </c>
      <c r="P24" s="147">
        <f t="shared" si="9"/>
        <v>0</v>
      </c>
      <c r="Q24" s="147">
        <f t="shared" si="10"/>
        <v>0</v>
      </c>
      <c r="R24" s="147">
        <f t="shared" si="11"/>
        <v>0</v>
      </c>
      <c r="S24" s="146" t="e">
        <f t="shared" si="12"/>
        <v>#REF!</v>
      </c>
      <c r="T24" s="146" t="e">
        <f t="shared" si="13"/>
        <v>#REF!</v>
      </c>
      <c r="U24" s="145">
        <f t="shared" si="4"/>
        <v>0</v>
      </c>
      <c r="V24" s="145" t="e">
        <f t="shared" si="5"/>
        <v>#REF!</v>
      </c>
      <c r="W24" s="142">
        <v>21</v>
      </c>
      <c r="X24" s="142" t="str">
        <f>+IF((VLOOKUP(A24,List!B:C,2,0)-VLOOKUP(Summary!$P$7,List!B:C,2,0))=0,1,"")</f>
        <v/>
      </c>
      <c r="Y24" s="198">
        <f>+IF((VLOOKUP(A24,List!B:C,2,0)-VLOOKUP(Summary!$P$7,List!B:C,2,0))&gt;=0,1,"")</f>
        <v>1</v>
      </c>
      <c r="Z24" s="198">
        <f>+IF((VLOOKUP(A24,List!B:C,2,0)-VLOOKUP(Summary!$P$7,List!B:C,2,0))&gt;0,1,"")</f>
        <v>1</v>
      </c>
      <c r="AA24" s="141">
        <f t="shared" si="6"/>
        <v>1</v>
      </c>
      <c r="AB24" s="199" t="str">
        <f>+IF(AA24="","",IF(Summary!$J$7="Fixed Price","",IF(M24="",IF(I24="","",1),"")))</f>
        <v/>
      </c>
      <c r="AC24" s="198">
        <f t="shared" si="14"/>
        <v>0</v>
      </c>
      <c r="AD24" s="198">
        <f>+IF(AA24="",+IF(N24&gt;#REF!,#REF!,IF(N24&gt;#REF!,#REF!,IF(N24&gt;#REF!,#REF!,IF(N24&gt;#REF!,#REF!,IF(N24&gt;#REF!,#REF!,IF(N24&gt;#REF!,#REF!,IF(N24&gt;#REF!,#REF!,IF(N24&gt;#REF!,#REF!,#REF!)))))))),0)</f>
        <v>0</v>
      </c>
    </row>
    <row r="25" spans="1:30" x14ac:dyDescent="0.2">
      <c r="A25" s="155" t="str">
        <f t="shared" si="0"/>
        <v>2027-6</v>
      </c>
      <c r="B25" s="154">
        <f t="shared" si="7"/>
        <v>6</v>
      </c>
      <c r="C25" s="153">
        <f t="shared" si="8"/>
        <v>2027</v>
      </c>
      <c r="D25" s="152" t="str">
        <f t="shared" si="1"/>
        <v>2027-6</v>
      </c>
      <c r="E25" s="151">
        <f>+IF($B25="","",Summary!$P$4)</f>
        <v>45929</v>
      </c>
      <c r="F25" s="151">
        <f>+IF($B25="","",Summary!$P$5)</f>
        <v>46657</v>
      </c>
      <c r="G25" s="151">
        <f>+IF($B25="","",Summary!$P$6)</f>
        <v>46657</v>
      </c>
      <c r="H25" s="150" t="str">
        <f t="shared" si="2"/>
        <v>Green</v>
      </c>
      <c r="I25" s="148"/>
      <c r="J25" s="148"/>
      <c r="K25" s="148"/>
      <c r="L25" s="148"/>
      <c r="M25" s="148"/>
      <c r="N25" s="148" t="e">
        <f t="shared" si="3"/>
        <v>#REF!</v>
      </c>
      <c r="O25" s="148" t="e">
        <f>COUNTIFS(#REF!,"&gt;="&amp;DATE($C25,$B25,1),#REF!,"&lt;="&amp;EOMONTH(DATE($C25,$B25,1),0),#REF!,"Incident")+
COUNTIFS(#REF!,"&gt;="&amp;DATE($C25,$B25,1),#REF!,"&lt;="&amp;EOMONTH(DATE($C25,$B25,1),0),#REF!,"user_request")</f>
        <v>#REF!</v>
      </c>
      <c r="P25" s="147">
        <f t="shared" si="9"/>
        <v>0</v>
      </c>
      <c r="Q25" s="147">
        <f t="shared" si="10"/>
        <v>0</v>
      </c>
      <c r="R25" s="147">
        <f t="shared" si="11"/>
        <v>0</v>
      </c>
      <c r="S25" s="146" t="e">
        <f t="shared" si="12"/>
        <v>#REF!</v>
      </c>
      <c r="T25" s="146" t="e">
        <f t="shared" si="13"/>
        <v>#REF!</v>
      </c>
      <c r="U25" s="145">
        <f t="shared" si="4"/>
        <v>0</v>
      </c>
      <c r="V25" s="145" t="e">
        <f t="shared" si="5"/>
        <v>#REF!</v>
      </c>
      <c r="W25" s="142">
        <v>22</v>
      </c>
      <c r="X25" s="142" t="str">
        <f>+IF((VLOOKUP(A25,List!B:C,2,0)-VLOOKUP(Summary!$P$7,List!B:C,2,0))=0,1,"")</f>
        <v/>
      </c>
      <c r="Y25" s="198">
        <f>+IF((VLOOKUP(A25,List!B:C,2,0)-VLOOKUP(Summary!$P$7,List!B:C,2,0))&gt;=0,1,"")</f>
        <v>1</v>
      </c>
      <c r="Z25" s="198">
        <f>+IF((VLOOKUP(A25,List!B:C,2,0)-VLOOKUP(Summary!$P$7,List!B:C,2,0))&gt;0,1,"")</f>
        <v>1</v>
      </c>
      <c r="AA25" s="141">
        <f t="shared" si="6"/>
        <v>1</v>
      </c>
      <c r="AB25" s="199" t="str">
        <f>+IF(AA25="","",IF(Summary!$J$7="Fixed Price","",IF(M25="",IF(I25="","",1),"")))</f>
        <v/>
      </c>
      <c r="AC25" s="198">
        <f t="shared" si="14"/>
        <v>0</v>
      </c>
      <c r="AD25" s="198">
        <f>+IF(AA25="",+IF(N25&gt;#REF!,#REF!,IF(N25&gt;#REF!,#REF!,IF(N25&gt;#REF!,#REF!,IF(N25&gt;#REF!,#REF!,IF(N25&gt;#REF!,#REF!,IF(N25&gt;#REF!,#REF!,IF(N25&gt;#REF!,#REF!,IF(N25&gt;#REF!,#REF!,#REF!)))))))),0)</f>
        <v>0</v>
      </c>
    </row>
    <row r="26" spans="1:30" x14ac:dyDescent="0.2">
      <c r="A26" s="155" t="str">
        <f t="shared" si="0"/>
        <v>2027-7</v>
      </c>
      <c r="B26" s="154">
        <f t="shared" si="7"/>
        <v>7</v>
      </c>
      <c r="C26" s="153">
        <f t="shared" si="8"/>
        <v>2027</v>
      </c>
      <c r="D26" s="152" t="str">
        <f t="shared" si="1"/>
        <v>2027-7</v>
      </c>
      <c r="E26" s="159">
        <f>+IF($B26="","",Summary!$P$4)</f>
        <v>45929</v>
      </c>
      <c r="F26" s="159">
        <f>+IF($B26="","",Summary!$P$5)</f>
        <v>46657</v>
      </c>
      <c r="G26" s="159">
        <f>+IF($B26="","",Summary!$P$6)</f>
        <v>46657</v>
      </c>
      <c r="H26" s="158" t="str">
        <f t="shared" si="2"/>
        <v>Green</v>
      </c>
      <c r="I26" s="156"/>
      <c r="J26" s="156"/>
      <c r="K26" s="156"/>
      <c r="L26" s="156"/>
      <c r="M26" s="156"/>
      <c r="N26" s="156" t="e">
        <f t="shared" si="3"/>
        <v>#REF!</v>
      </c>
      <c r="O26" s="156" t="e">
        <f>COUNTIFS(#REF!,"&gt;="&amp;DATE($C26,$B26,1),#REF!,"&lt;="&amp;EOMONTH(DATE($C26,$B26,1),0),#REF!,"Incident")+
COUNTIFS(#REF!,"&gt;="&amp;DATE($C26,$B26,1),#REF!,"&lt;="&amp;EOMONTH(DATE($C26,$B26,1),0),#REF!,"user_request")</f>
        <v>#REF!</v>
      </c>
      <c r="P26" s="147">
        <f t="shared" si="9"/>
        <v>0</v>
      </c>
      <c r="Q26" s="147">
        <f t="shared" si="10"/>
        <v>0</v>
      </c>
      <c r="R26" s="147">
        <f t="shared" si="11"/>
        <v>0</v>
      </c>
      <c r="S26" s="146" t="e">
        <f t="shared" si="12"/>
        <v>#REF!</v>
      </c>
      <c r="T26" s="146" t="e">
        <f t="shared" si="13"/>
        <v>#REF!</v>
      </c>
      <c r="U26" s="145">
        <f t="shared" si="4"/>
        <v>0</v>
      </c>
      <c r="V26" s="145" t="e">
        <f t="shared" si="5"/>
        <v>#REF!</v>
      </c>
      <c r="W26" s="142">
        <v>23</v>
      </c>
      <c r="X26" s="142" t="str">
        <f>+IF((VLOOKUP(A26,List!B:C,2,0)-VLOOKUP(Summary!$P$7,List!B:C,2,0))=0,1,"")</f>
        <v/>
      </c>
      <c r="Y26" s="198">
        <f>+IF((VLOOKUP(A26,List!B:C,2,0)-VLOOKUP(Summary!$P$7,List!B:C,2,0))&gt;=0,1,"")</f>
        <v>1</v>
      </c>
      <c r="Z26" s="198">
        <f>+IF((VLOOKUP(A26,List!B:C,2,0)-VLOOKUP(Summary!$P$7,List!B:C,2,0))&gt;0,1,"")</f>
        <v>1</v>
      </c>
      <c r="AA26" s="141">
        <f t="shared" si="6"/>
        <v>1</v>
      </c>
      <c r="AB26" s="199" t="str">
        <f>+IF(AA26="","",IF(Summary!$J$7="Fixed Price","",IF(M26="",IF(I26="","",1),"")))</f>
        <v/>
      </c>
      <c r="AC26" s="198">
        <f t="shared" si="14"/>
        <v>0</v>
      </c>
      <c r="AD26" s="198">
        <f>+IF(AA26="",+IF(N26&gt;#REF!,#REF!,IF(N26&gt;#REF!,#REF!,IF(N26&gt;#REF!,#REF!,IF(N26&gt;#REF!,#REF!,IF(N26&gt;#REF!,#REF!,IF(N26&gt;#REF!,#REF!,IF(N26&gt;#REF!,#REF!,IF(N26&gt;#REF!,#REF!,#REF!)))))))),0)</f>
        <v>0</v>
      </c>
    </row>
    <row r="27" spans="1:30" x14ac:dyDescent="0.2">
      <c r="A27" s="155" t="str">
        <f t="shared" si="0"/>
        <v>2027-8</v>
      </c>
      <c r="B27" s="154">
        <f t="shared" si="7"/>
        <v>8</v>
      </c>
      <c r="C27" s="153">
        <f t="shared" si="8"/>
        <v>2027</v>
      </c>
      <c r="D27" s="152" t="str">
        <f t="shared" si="1"/>
        <v>2027-8</v>
      </c>
      <c r="E27" s="151">
        <f>+IF($B27="","",Summary!$P$4)</f>
        <v>45929</v>
      </c>
      <c r="F27" s="151">
        <f>+IF($B27="","",Summary!$P$5)</f>
        <v>46657</v>
      </c>
      <c r="G27" s="151">
        <f>+IF($B27="","",Summary!$P$6)</f>
        <v>46657</v>
      </c>
      <c r="H27" s="150" t="str">
        <f t="shared" si="2"/>
        <v>Green</v>
      </c>
      <c r="I27" s="148"/>
      <c r="J27" s="148"/>
      <c r="K27" s="148"/>
      <c r="L27" s="148"/>
      <c r="M27" s="148"/>
      <c r="N27" s="148" t="e">
        <f t="shared" si="3"/>
        <v>#REF!</v>
      </c>
      <c r="O27" s="148" t="e">
        <f>COUNTIFS(#REF!,"&gt;="&amp;DATE($C27,$B27,1),#REF!,"&lt;="&amp;EOMONTH(DATE($C27,$B27,1),0),#REF!,"Incident")+
COUNTIFS(#REF!,"&gt;="&amp;DATE($C27,$B27,1),#REF!,"&lt;="&amp;EOMONTH(DATE($C27,$B27,1),0),#REF!,"user_request")</f>
        <v>#REF!</v>
      </c>
      <c r="P27" s="147">
        <f t="shared" si="9"/>
        <v>0</v>
      </c>
      <c r="Q27" s="147">
        <f t="shared" si="10"/>
        <v>0</v>
      </c>
      <c r="R27" s="147">
        <f t="shared" si="11"/>
        <v>0</v>
      </c>
      <c r="S27" s="146" t="e">
        <f t="shared" si="12"/>
        <v>#REF!</v>
      </c>
      <c r="T27" s="146" t="e">
        <f t="shared" si="13"/>
        <v>#REF!</v>
      </c>
      <c r="U27" s="145">
        <f t="shared" si="4"/>
        <v>0</v>
      </c>
      <c r="V27" s="145" t="e">
        <f t="shared" si="5"/>
        <v>#REF!</v>
      </c>
      <c r="W27" s="142">
        <v>24</v>
      </c>
      <c r="X27" s="142" t="str">
        <f>+IF((VLOOKUP(A27,List!B:C,2,0)-VLOOKUP(Summary!$P$7,List!B:C,2,0))=0,1,"")</f>
        <v/>
      </c>
      <c r="Y27" s="198">
        <f>+IF((VLOOKUP(A27,List!B:C,2,0)-VLOOKUP(Summary!$P$7,List!B:C,2,0))&gt;=0,1,"")</f>
        <v>1</v>
      </c>
      <c r="Z27" s="198">
        <f>+IF((VLOOKUP(A27,List!B:C,2,0)-VLOOKUP(Summary!$P$7,List!B:C,2,0))&gt;0,1,"")</f>
        <v>1</v>
      </c>
      <c r="AA27" s="141">
        <f t="shared" si="6"/>
        <v>1</v>
      </c>
      <c r="AB27" s="199" t="str">
        <f>+IF(AA27="","",IF(Summary!$J$7="Fixed Price","",IF(M27="",IF(I27="","",1),"")))</f>
        <v/>
      </c>
      <c r="AC27" s="198">
        <f t="shared" si="14"/>
        <v>0</v>
      </c>
      <c r="AD27" s="198">
        <f>+IF(AA27="",+IF(N27&gt;#REF!,#REF!,IF(N27&gt;#REF!,#REF!,IF(N27&gt;#REF!,#REF!,IF(N27&gt;#REF!,#REF!,IF(N27&gt;#REF!,#REF!,IF(N27&gt;#REF!,#REF!,IF(N27&gt;#REF!,#REF!,IF(N27&gt;#REF!,#REF!,#REF!)))))))),0)</f>
        <v>0</v>
      </c>
    </row>
    <row r="28" spans="1:30" x14ac:dyDescent="0.2">
      <c r="A28" s="155" t="str">
        <f t="shared" si="0"/>
        <v>2027-9</v>
      </c>
      <c r="B28" s="154">
        <f t="shared" si="7"/>
        <v>9</v>
      </c>
      <c r="C28" s="153">
        <f t="shared" si="8"/>
        <v>2027</v>
      </c>
      <c r="D28" s="152" t="str">
        <f t="shared" si="1"/>
        <v>2027-9</v>
      </c>
      <c r="E28" s="159">
        <f>+IF($B28="","",Summary!$P$4)</f>
        <v>45929</v>
      </c>
      <c r="F28" s="159">
        <f>+IF($B28="","",Summary!$P$5)</f>
        <v>46657</v>
      </c>
      <c r="G28" s="159">
        <f>+IF($B28="","",Summary!$P$6)</f>
        <v>46657</v>
      </c>
      <c r="H28" s="158" t="str">
        <f t="shared" si="2"/>
        <v>Green</v>
      </c>
      <c r="I28" s="156"/>
      <c r="J28" s="156"/>
      <c r="K28" s="156"/>
      <c r="L28" s="156"/>
      <c r="M28" s="156"/>
      <c r="N28" s="156" t="e">
        <f t="shared" si="3"/>
        <v>#REF!</v>
      </c>
      <c r="O28" s="156" t="e">
        <f>COUNTIFS(#REF!,"&gt;="&amp;DATE($C28,$B28,1),#REF!,"&lt;="&amp;EOMONTH(DATE($C28,$B28,1),0),#REF!,"Incident")+
COUNTIFS(#REF!,"&gt;="&amp;DATE($C28,$B28,1),#REF!,"&lt;="&amp;EOMONTH(DATE($C28,$B28,1),0),#REF!,"user_request")</f>
        <v>#REF!</v>
      </c>
      <c r="P28" s="147">
        <f t="shared" si="9"/>
        <v>0</v>
      </c>
      <c r="Q28" s="147">
        <f t="shared" si="10"/>
        <v>0</v>
      </c>
      <c r="R28" s="147">
        <f t="shared" si="11"/>
        <v>0</v>
      </c>
      <c r="S28" s="146" t="e">
        <f t="shared" si="12"/>
        <v>#REF!</v>
      </c>
      <c r="T28" s="146" t="e">
        <f t="shared" si="13"/>
        <v>#REF!</v>
      </c>
      <c r="U28" s="145">
        <f t="shared" si="4"/>
        <v>0</v>
      </c>
      <c r="V28" s="145" t="e">
        <f t="shared" si="5"/>
        <v>#REF!</v>
      </c>
      <c r="W28" s="142">
        <v>25</v>
      </c>
      <c r="X28" s="142" t="str">
        <f>+IF((VLOOKUP(A28,List!B:C,2,0)-VLOOKUP(Summary!$P$7,List!B:C,2,0))=0,1,"")</f>
        <v/>
      </c>
      <c r="Y28" s="198">
        <f>+IF((VLOOKUP(A28,List!B:C,2,0)-VLOOKUP(Summary!$P$7,List!B:C,2,0))&gt;=0,1,"")</f>
        <v>1</v>
      </c>
      <c r="Z28" s="198">
        <f>+IF((VLOOKUP(A28,List!B:C,2,0)-VLOOKUP(Summary!$P$7,List!B:C,2,0))&gt;0,1,"")</f>
        <v>1</v>
      </c>
      <c r="AA28" s="141">
        <f t="shared" si="6"/>
        <v>1</v>
      </c>
      <c r="AB28" s="199" t="str">
        <f>+IF(AA28="","",IF(Summary!$J$7="Fixed Price","",IF(M28="",IF(I28="","",1),"")))</f>
        <v/>
      </c>
      <c r="AC28" s="198">
        <f t="shared" si="14"/>
        <v>0</v>
      </c>
      <c r="AD28" s="198">
        <f>+IF(AA28="",+IF(N28&gt;#REF!,#REF!,IF(N28&gt;#REF!,#REF!,IF(N28&gt;#REF!,#REF!,IF(N28&gt;#REF!,#REF!,IF(N28&gt;#REF!,#REF!,IF(N28&gt;#REF!,#REF!,IF(N28&gt;#REF!,#REF!,IF(N28&gt;#REF!,#REF!,#REF!)))))))),0)</f>
        <v>0</v>
      </c>
    </row>
    <row r="29" spans="1:30" x14ac:dyDescent="0.2">
      <c r="A29" s="155" t="str">
        <f t="shared" si="0"/>
        <v>-</v>
      </c>
      <c r="B29" s="154" t="str">
        <f t="shared" si="7"/>
        <v/>
      </c>
      <c r="C29" s="153" t="str">
        <f t="shared" si="8"/>
        <v/>
      </c>
      <c r="D29" s="152" t="str">
        <f t="shared" si="1"/>
        <v>-</v>
      </c>
      <c r="E29" s="151" t="str">
        <f>+IF($B29="","",Summary!$P$4)</f>
        <v/>
      </c>
      <c r="F29" s="151" t="str">
        <f>+IF($B29="","",Summary!$P$5)</f>
        <v/>
      </c>
      <c r="G29" s="151" t="str">
        <f>+IF($B29="","",Summary!$P$6)</f>
        <v/>
      </c>
      <c r="H29" s="150" t="str">
        <f t="shared" si="2"/>
        <v/>
      </c>
      <c r="I29" s="148"/>
      <c r="J29" s="148"/>
      <c r="K29" s="148"/>
      <c r="L29" s="148"/>
      <c r="M29" s="148"/>
      <c r="N29" s="148" t="e">
        <f t="shared" si="3"/>
        <v>#REF!</v>
      </c>
      <c r="O29" s="148" t="e">
        <f>COUNTIFS(#REF!,"&gt;="&amp;DATE($C29,$B29,1),#REF!,"&lt;="&amp;EOMONTH(DATE($C29,$B29,1),0),#REF!,"Incident")+
COUNTIFS(#REF!,"&gt;="&amp;DATE($C29,$B29,1),#REF!,"&lt;="&amp;EOMONTH(DATE($C29,$B29,1),0),#REF!,"user_request")</f>
        <v>#REF!</v>
      </c>
      <c r="P29" s="147">
        <f t="shared" si="9"/>
        <v>0</v>
      </c>
      <c r="Q29" s="147">
        <f t="shared" si="10"/>
        <v>0</v>
      </c>
      <c r="R29" s="147">
        <f t="shared" si="11"/>
        <v>0</v>
      </c>
      <c r="S29" s="146" t="e">
        <f t="shared" si="12"/>
        <v>#REF!</v>
      </c>
      <c r="T29" s="146" t="e">
        <f t="shared" si="13"/>
        <v>#REF!</v>
      </c>
      <c r="U29" s="145">
        <f t="shared" si="4"/>
        <v>0</v>
      </c>
      <c r="V29" s="145" t="e">
        <f t="shared" si="5"/>
        <v>#REF!</v>
      </c>
      <c r="W29" s="142">
        <v>26</v>
      </c>
      <c r="X29" s="142" t="str">
        <f>+IF((VLOOKUP(A29,List!B:C,2,0)-VLOOKUP(Summary!$P$7,List!B:C,2,0))=0,1,"")</f>
        <v/>
      </c>
      <c r="Y29" s="198">
        <f>+IF((VLOOKUP(A29,List!B:C,2,0)-VLOOKUP(Summary!$P$7,List!B:C,2,0))&gt;=0,1,"")</f>
        <v>1</v>
      </c>
      <c r="Z29" s="198">
        <f>+IF((VLOOKUP(A29,List!B:C,2,0)-VLOOKUP(Summary!$P$7,List!B:C,2,0))&gt;0,1,"")</f>
        <v>1</v>
      </c>
      <c r="AA29" s="141">
        <f t="shared" si="6"/>
        <v>2</v>
      </c>
      <c r="AB29" s="199" t="str">
        <f>+IF(AA29="","",IF(Summary!$J$7="Fixed Price","",IF(M29="",IF(I29="","",1),"")))</f>
        <v/>
      </c>
      <c r="AC29" s="198">
        <f t="shared" si="14"/>
        <v>0</v>
      </c>
      <c r="AD29" s="198">
        <f>+IF(AA29="",+IF(N29&gt;#REF!,#REF!,IF(N29&gt;#REF!,#REF!,IF(N29&gt;#REF!,#REF!,IF(N29&gt;#REF!,#REF!,IF(N29&gt;#REF!,#REF!,IF(N29&gt;#REF!,#REF!,IF(N29&gt;#REF!,#REF!,IF(N29&gt;#REF!,#REF!,#REF!)))))))),0)</f>
        <v>0</v>
      </c>
    </row>
    <row r="30" spans="1:30" x14ac:dyDescent="0.2">
      <c r="A30" s="155" t="str">
        <f t="shared" si="0"/>
        <v>-</v>
      </c>
      <c r="B30" s="154" t="str">
        <f t="shared" si="7"/>
        <v/>
      </c>
      <c r="C30" s="153" t="str">
        <f t="shared" si="8"/>
        <v/>
      </c>
      <c r="D30" s="152" t="str">
        <f t="shared" si="1"/>
        <v>-</v>
      </c>
      <c r="E30" s="159" t="str">
        <f>+IF($B30="","",Summary!$P$4)</f>
        <v/>
      </c>
      <c r="F30" s="159" t="str">
        <f>+IF($B30="","",Summary!$P$5)</f>
        <v/>
      </c>
      <c r="G30" s="159" t="str">
        <f>+IF($B30="","",Summary!$P$6)</f>
        <v/>
      </c>
      <c r="H30" s="158" t="str">
        <f t="shared" si="2"/>
        <v/>
      </c>
      <c r="I30" s="156"/>
      <c r="J30" s="156"/>
      <c r="K30" s="156"/>
      <c r="L30" s="156"/>
      <c r="M30" s="156"/>
      <c r="N30" s="156" t="e">
        <f t="shared" si="3"/>
        <v>#REF!</v>
      </c>
      <c r="O30" s="156" t="e">
        <f>COUNTIFS(#REF!,"&gt;="&amp;DATE($C30,$B30,1),#REF!,"&lt;="&amp;EOMONTH(DATE($C30,$B30,1),0),#REF!,"Incident")+
COUNTIFS(#REF!,"&gt;="&amp;DATE($C30,$B30,1),#REF!,"&lt;="&amp;EOMONTH(DATE($C30,$B30,1),0),#REF!,"user_request")</f>
        <v>#REF!</v>
      </c>
      <c r="P30" s="147">
        <f t="shared" si="9"/>
        <v>0</v>
      </c>
      <c r="Q30" s="147">
        <f t="shared" si="10"/>
        <v>0</v>
      </c>
      <c r="R30" s="147">
        <f t="shared" si="11"/>
        <v>0</v>
      </c>
      <c r="S30" s="146" t="e">
        <f t="shared" si="12"/>
        <v>#REF!</v>
      </c>
      <c r="T30" s="146" t="e">
        <f t="shared" si="13"/>
        <v>#REF!</v>
      </c>
      <c r="U30" s="145">
        <f t="shared" si="4"/>
        <v>0</v>
      </c>
      <c r="V30" s="145" t="e">
        <f t="shared" si="5"/>
        <v>#REF!</v>
      </c>
      <c r="W30" s="142">
        <v>27</v>
      </c>
      <c r="X30" s="142" t="str">
        <f>+IF((VLOOKUP(A30,List!B:C,2,0)-VLOOKUP(Summary!$P$7,List!B:C,2,0))=0,1,"")</f>
        <v/>
      </c>
      <c r="Y30" s="198">
        <f>+IF((VLOOKUP(A30,List!B:C,2,0)-VLOOKUP(Summary!$P$7,List!B:C,2,0))&gt;=0,1,"")</f>
        <v>1</v>
      </c>
      <c r="Z30" s="198">
        <f>+IF((VLOOKUP(A30,List!B:C,2,0)-VLOOKUP(Summary!$P$7,List!B:C,2,0))&gt;0,1,"")</f>
        <v>1</v>
      </c>
      <c r="AA30" s="141">
        <f t="shared" si="6"/>
        <v>2</v>
      </c>
      <c r="AB30" s="199" t="str">
        <f>+IF(AA30="","",IF(Summary!$J$7="Fixed Price","",IF(M30="",IF(I30="","",1),"")))</f>
        <v/>
      </c>
      <c r="AC30" s="198">
        <f t="shared" si="14"/>
        <v>0</v>
      </c>
      <c r="AD30" s="198">
        <f>+IF(AA30="",+IF(N30&gt;#REF!,#REF!,IF(N30&gt;#REF!,#REF!,IF(N30&gt;#REF!,#REF!,IF(N30&gt;#REF!,#REF!,IF(N30&gt;#REF!,#REF!,IF(N30&gt;#REF!,#REF!,IF(N30&gt;#REF!,#REF!,IF(N30&gt;#REF!,#REF!,#REF!)))))))),0)</f>
        <v>0</v>
      </c>
    </row>
    <row r="31" spans="1:30" x14ac:dyDescent="0.2">
      <c r="A31" s="155" t="str">
        <f t="shared" si="0"/>
        <v>-</v>
      </c>
      <c r="B31" s="154" t="str">
        <f t="shared" si="7"/>
        <v/>
      </c>
      <c r="C31" s="153" t="str">
        <f t="shared" si="8"/>
        <v/>
      </c>
      <c r="D31" s="152" t="str">
        <f t="shared" si="1"/>
        <v>-</v>
      </c>
      <c r="E31" s="151" t="str">
        <f>+IF($B31="","",Summary!$P$4)</f>
        <v/>
      </c>
      <c r="F31" s="151" t="str">
        <f>+IF($B31="","",Summary!$P$5)</f>
        <v/>
      </c>
      <c r="G31" s="151" t="str">
        <f>+IF($B31="","",Summary!$P$6)</f>
        <v/>
      </c>
      <c r="H31" s="150" t="str">
        <f t="shared" si="2"/>
        <v/>
      </c>
      <c r="I31" s="148"/>
      <c r="J31" s="148"/>
      <c r="K31" s="148"/>
      <c r="L31" s="148"/>
      <c r="M31" s="148"/>
      <c r="N31" s="148" t="e">
        <f t="shared" si="3"/>
        <v>#REF!</v>
      </c>
      <c r="O31" s="148" t="e">
        <f>COUNTIFS(#REF!,"&gt;="&amp;DATE($C31,$B31,1),#REF!,"&lt;="&amp;EOMONTH(DATE($C31,$B31,1),0),#REF!,"Incident")+
COUNTIFS(#REF!,"&gt;="&amp;DATE($C31,$B31,1),#REF!,"&lt;="&amp;EOMONTH(DATE($C31,$B31,1),0),#REF!,"user_request")</f>
        <v>#REF!</v>
      </c>
      <c r="P31" s="147">
        <f t="shared" si="9"/>
        <v>0</v>
      </c>
      <c r="Q31" s="147">
        <f t="shared" si="10"/>
        <v>0</v>
      </c>
      <c r="R31" s="147">
        <f t="shared" si="11"/>
        <v>0</v>
      </c>
      <c r="S31" s="146" t="e">
        <f t="shared" si="12"/>
        <v>#REF!</v>
      </c>
      <c r="T31" s="146" t="e">
        <f t="shared" si="13"/>
        <v>#REF!</v>
      </c>
      <c r="U31" s="145">
        <f t="shared" si="4"/>
        <v>0</v>
      </c>
      <c r="V31" s="145" t="e">
        <f t="shared" si="5"/>
        <v>#REF!</v>
      </c>
      <c r="W31" s="142">
        <v>28</v>
      </c>
      <c r="X31" s="142" t="str">
        <f>+IF((VLOOKUP(A31,List!B:C,2,0)-VLOOKUP(Summary!$P$7,List!B:C,2,0))=0,1,"")</f>
        <v/>
      </c>
      <c r="Y31" s="198">
        <f>+IF((VLOOKUP(A31,List!B:C,2,0)-VLOOKUP(Summary!$P$7,List!B:C,2,0))&gt;=0,1,"")</f>
        <v>1</v>
      </c>
      <c r="Z31" s="198">
        <f>+IF((VLOOKUP(A31,List!B:C,2,0)-VLOOKUP(Summary!$P$7,List!B:C,2,0))&gt;0,1,"")</f>
        <v>1</v>
      </c>
      <c r="AA31" s="141">
        <f t="shared" si="6"/>
        <v>2</v>
      </c>
      <c r="AB31" s="199" t="str">
        <f>+IF(AA31="","",IF(Summary!$J$7="Fixed Price","",IF(M31="",IF(I31="","",1),"")))</f>
        <v/>
      </c>
      <c r="AC31" s="198">
        <f t="shared" si="14"/>
        <v>0</v>
      </c>
      <c r="AD31" s="198">
        <f>+IF(AA31="",+IF(N31&gt;#REF!,#REF!,IF(N31&gt;#REF!,#REF!,IF(N31&gt;#REF!,#REF!,IF(N31&gt;#REF!,#REF!,IF(N31&gt;#REF!,#REF!,IF(N31&gt;#REF!,#REF!,IF(N31&gt;#REF!,#REF!,IF(N31&gt;#REF!,#REF!,#REF!)))))))),0)</f>
        <v>0</v>
      </c>
    </row>
    <row r="32" spans="1:30" x14ac:dyDescent="0.2">
      <c r="A32" s="155" t="str">
        <f t="shared" si="0"/>
        <v>-</v>
      </c>
      <c r="B32" s="154" t="str">
        <f t="shared" si="7"/>
        <v/>
      </c>
      <c r="C32" s="153" t="str">
        <f t="shared" si="8"/>
        <v/>
      </c>
      <c r="D32" s="152" t="str">
        <f t="shared" si="1"/>
        <v>-</v>
      </c>
      <c r="E32" s="159" t="str">
        <f>+IF($B32="","",Summary!$P$4)</f>
        <v/>
      </c>
      <c r="F32" s="159" t="str">
        <f>+IF($B32="","",Summary!$P$5)</f>
        <v/>
      </c>
      <c r="G32" s="159" t="str">
        <f>+IF($B32="","",Summary!$P$6)</f>
        <v/>
      </c>
      <c r="H32" s="158" t="str">
        <f t="shared" si="2"/>
        <v/>
      </c>
      <c r="I32" s="156"/>
      <c r="J32" s="156"/>
      <c r="K32" s="156"/>
      <c r="L32" s="156"/>
      <c r="M32" s="156"/>
      <c r="N32" s="156" t="e">
        <f t="shared" si="3"/>
        <v>#REF!</v>
      </c>
      <c r="O32" s="156" t="e">
        <f>COUNTIFS(#REF!,"&gt;="&amp;DATE($C32,$B32,1),#REF!,"&lt;="&amp;EOMONTH(DATE($C32,$B32,1),0),#REF!,"Incident")+
COUNTIFS(#REF!,"&gt;="&amp;DATE($C32,$B32,1),#REF!,"&lt;="&amp;EOMONTH(DATE($C32,$B32,1),0),#REF!,"user_request")</f>
        <v>#REF!</v>
      </c>
      <c r="P32" s="147">
        <f t="shared" si="9"/>
        <v>0</v>
      </c>
      <c r="Q32" s="147">
        <f t="shared" si="10"/>
        <v>0</v>
      </c>
      <c r="R32" s="147">
        <f t="shared" si="11"/>
        <v>0</v>
      </c>
      <c r="S32" s="146" t="e">
        <f t="shared" si="12"/>
        <v>#REF!</v>
      </c>
      <c r="T32" s="146" t="e">
        <f t="shared" si="13"/>
        <v>#REF!</v>
      </c>
      <c r="U32" s="145">
        <f t="shared" si="4"/>
        <v>0</v>
      </c>
      <c r="V32" s="145" t="e">
        <f t="shared" si="5"/>
        <v>#REF!</v>
      </c>
      <c r="W32" s="142">
        <v>29</v>
      </c>
      <c r="X32" s="142" t="str">
        <f>+IF((VLOOKUP(A32,List!B:C,2,0)-VLOOKUP(Summary!$P$7,List!B:C,2,0))=0,1,"")</f>
        <v/>
      </c>
      <c r="Y32" s="198">
        <f>+IF((VLOOKUP(A32,List!B:C,2,0)-VLOOKUP(Summary!$P$7,List!B:C,2,0))&gt;=0,1,"")</f>
        <v>1</v>
      </c>
      <c r="Z32" s="198">
        <f>+IF((VLOOKUP(A32,List!B:C,2,0)-VLOOKUP(Summary!$P$7,List!B:C,2,0))&gt;0,1,"")</f>
        <v>1</v>
      </c>
      <c r="AA32" s="141">
        <f t="shared" si="6"/>
        <v>2</v>
      </c>
      <c r="AB32" s="199" t="str">
        <f>+IF(AA32="","",IF(Summary!$J$7="Fixed Price","",IF(M32="",IF(I32="","",1),"")))</f>
        <v/>
      </c>
      <c r="AC32" s="198">
        <f t="shared" si="14"/>
        <v>0</v>
      </c>
    </row>
    <row r="33" spans="1:29" x14ac:dyDescent="0.2">
      <c r="A33" s="155" t="str">
        <f t="shared" si="0"/>
        <v>-</v>
      </c>
      <c r="B33" s="154" t="str">
        <f t="shared" si="7"/>
        <v/>
      </c>
      <c r="C33" s="153" t="str">
        <f t="shared" si="8"/>
        <v/>
      </c>
      <c r="D33" s="152" t="str">
        <f t="shared" si="1"/>
        <v>-</v>
      </c>
      <c r="E33" s="151" t="str">
        <f>+IF($B33="","",Summary!$P$4)</f>
        <v/>
      </c>
      <c r="F33" s="151" t="str">
        <f>+IF($B33="","",Summary!$P$5)</f>
        <v/>
      </c>
      <c r="G33" s="151" t="str">
        <f>+IF($B33="","",Summary!$P$6)</f>
        <v/>
      </c>
      <c r="H33" s="150" t="str">
        <f t="shared" si="2"/>
        <v/>
      </c>
      <c r="I33" s="148"/>
      <c r="J33" s="148"/>
      <c r="K33" s="148"/>
      <c r="L33" s="148"/>
      <c r="M33" s="148"/>
      <c r="N33" s="148" t="e">
        <f t="shared" si="3"/>
        <v>#REF!</v>
      </c>
      <c r="O33" s="148" t="e">
        <f>COUNTIFS(#REF!,"&gt;="&amp;DATE($C33,$B33,1),#REF!,"&lt;="&amp;EOMONTH(DATE($C33,$B33,1),0),#REF!,"Incident")+
COUNTIFS(#REF!,"&gt;="&amp;DATE($C33,$B33,1),#REF!,"&lt;="&amp;EOMONTH(DATE($C33,$B33,1),0),#REF!,"user_request")</f>
        <v>#REF!</v>
      </c>
      <c r="P33" s="147">
        <f t="shared" si="9"/>
        <v>0</v>
      </c>
      <c r="Q33" s="147">
        <f t="shared" si="10"/>
        <v>0</v>
      </c>
      <c r="R33" s="147">
        <f t="shared" si="11"/>
        <v>0</v>
      </c>
      <c r="S33" s="146" t="e">
        <f t="shared" si="12"/>
        <v>#REF!</v>
      </c>
      <c r="T33" s="146" t="e">
        <f t="shared" si="13"/>
        <v>#REF!</v>
      </c>
      <c r="U33" s="145">
        <f t="shared" si="4"/>
        <v>0</v>
      </c>
      <c r="V33" s="145" t="e">
        <f t="shared" si="5"/>
        <v>#REF!</v>
      </c>
      <c r="W33" s="142">
        <v>30</v>
      </c>
      <c r="X33" s="142" t="str">
        <f>+IF((VLOOKUP(A33,List!B:C,2,0)-VLOOKUP(Summary!$P$7,List!B:C,2,0))=0,1,"")</f>
        <v/>
      </c>
      <c r="Y33" s="198">
        <f>+IF((VLOOKUP(A33,List!B:C,2,0)-VLOOKUP(Summary!$P$7,List!B:C,2,0))&gt;=0,1,"")</f>
        <v>1</v>
      </c>
      <c r="Z33" s="198">
        <f>+IF((VLOOKUP(A33,List!B:C,2,0)-VLOOKUP(Summary!$P$7,List!B:C,2,0))&gt;0,1,"")</f>
        <v>1</v>
      </c>
      <c r="AA33" s="141">
        <f t="shared" si="6"/>
        <v>2</v>
      </c>
      <c r="AB33" s="199" t="str">
        <f>+IF(AA33="","",IF(Summary!$J$7="Fixed Price","",IF(M33="",IF(I33="","",1),"")))</f>
        <v/>
      </c>
      <c r="AC33" s="198">
        <f t="shared" si="14"/>
        <v>0</v>
      </c>
    </row>
    <row r="34" spans="1:29" x14ac:dyDescent="0.2">
      <c r="A34" s="155" t="str">
        <f t="shared" si="0"/>
        <v>-</v>
      </c>
      <c r="B34" s="154" t="str">
        <f t="shared" si="7"/>
        <v/>
      </c>
      <c r="C34" s="153" t="str">
        <f t="shared" si="8"/>
        <v/>
      </c>
      <c r="D34" s="152" t="str">
        <f t="shared" si="1"/>
        <v>-</v>
      </c>
      <c r="E34" s="159" t="str">
        <f>+IF($B34="","",Summary!$P$4)</f>
        <v/>
      </c>
      <c r="F34" s="159" t="str">
        <f>+IF($B34="","",Summary!$P$5)</f>
        <v/>
      </c>
      <c r="G34" s="159" t="str">
        <f>+IF($B34="","",Summary!$P$6)</f>
        <v/>
      </c>
      <c r="H34" s="158" t="str">
        <f t="shared" si="2"/>
        <v/>
      </c>
      <c r="I34" s="156"/>
      <c r="J34" s="156"/>
      <c r="K34" s="156"/>
      <c r="L34" s="156"/>
      <c r="M34" s="156"/>
      <c r="N34" s="156" t="e">
        <f t="shared" si="3"/>
        <v>#REF!</v>
      </c>
      <c r="O34" s="156" t="e">
        <f>COUNTIFS(#REF!,"&gt;="&amp;DATE($C34,$B34,1),#REF!,"&lt;="&amp;EOMONTH(DATE($C34,$B34,1),0),#REF!,"Incident")+
COUNTIFS(#REF!,"&gt;="&amp;DATE($C34,$B34,1),#REF!,"&lt;="&amp;EOMONTH(DATE($C34,$B34,1),0),#REF!,"user_request")</f>
        <v>#REF!</v>
      </c>
      <c r="P34" s="147">
        <f t="shared" si="9"/>
        <v>0</v>
      </c>
      <c r="Q34" s="147">
        <f t="shared" si="10"/>
        <v>0</v>
      </c>
      <c r="R34" s="147">
        <f t="shared" si="11"/>
        <v>0</v>
      </c>
      <c r="S34" s="146" t="e">
        <f t="shared" si="12"/>
        <v>#REF!</v>
      </c>
      <c r="T34" s="146" t="e">
        <f t="shared" si="13"/>
        <v>#REF!</v>
      </c>
      <c r="U34" s="145">
        <f t="shared" si="4"/>
        <v>0</v>
      </c>
      <c r="V34" s="145" t="e">
        <f t="shared" si="5"/>
        <v>#REF!</v>
      </c>
      <c r="W34" s="142">
        <v>31</v>
      </c>
      <c r="X34" s="142" t="str">
        <f>+IF((VLOOKUP(A34,List!B:C,2,0)-VLOOKUP(Summary!$P$7,List!B:C,2,0))=0,1,"")</f>
        <v/>
      </c>
      <c r="Y34" s="198">
        <f>+IF((VLOOKUP(A34,List!B:C,2,0)-VLOOKUP(Summary!$P$7,List!B:C,2,0))&gt;=0,1,"")</f>
        <v>1</v>
      </c>
      <c r="Z34" s="198">
        <f>+IF((VLOOKUP(A34,List!B:C,2,0)-VLOOKUP(Summary!$P$7,List!B:C,2,0))&gt;0,1,"")</f>
        <v>1</v>
      </c>
      <c r="AA34" s="141">
        <f t="shared" si="6"/>
        <v>2</v>
      </c>
      <c r="AB34" s="199" t="str">
        <f>+IF(AA34="","",IF(Summary!$J$7="Fixed Price","",IF(M34="",IF(I34="","",1),"")))</f>
        <v/>
      </c>
      <c r="AC34" s="198">
        <f t="shared" si="14"/>
        <v>0</v>
      </c>
    </row>
    <row r="35" spans="1:29" x14ac:dyDescent="0.2">
      <c r="A35" s="155" t="str">
        <f t="shared" si="0"/>
        <v>-</v>
      </c>
      <c r="B35" s="154" t="str">
        <f t="shared" si="7"/>
        <v/>
      </c>
      <c r="C35" s="153" t="str">
        <f t="shared" si="8"/>
        <v/>
      </c>
      <c r="D35" s="152" t="str">
        <f t="shared" si="1"/>
        <v>-</v>
      </c>
      <c r="E35" s="151" t="str">
        <f>+IF($B35="","",Summary!$P$4)</f>
        <v/>
      </c>
      <c r="F35" s="151" t="str">
        <f>+IF($B35="","",Summary!$P$5)</f>
        <v/>
      </c>
      <c r="G35" s="151" t="str">
        <f>+IF($B35="","",Summary!$P$6)</f>
        <v/>
      </c>
      <c r="H35" s="150" t="str">
        <f t="shared" si="2"/>
        <v/>
      </c>
      <c r="I35" s="148"/>
      <c r="J35" s="148"/>
      <c r="K35" s="148"/>
      <c r="L35" s="148"/>
      <c r="M35" s="148"/>
      <c r="N35" s="148" t="e">
        <f t="shared" si="3"/>
        <v>#REF!</v>
      </c>
      <c r="O35" s="148" t="e">
        <f>COUNTIFS(#REF!,"&gt;="&amp;DATE($C35,$B35,1),#REF!,"&lt;="&amp;EOMONTH(DATE($C35,$B35,1),0),#REF!,"Incident")+
COUNTIFS(#REF!,"&gt;="&amp;DATE($C35,$B35,1),#REF!,"&lt;="&amp;EOMONTH(DATE($C35,$B35,1),0),#REF!,"user_request")</f>
        <v>#REF!</v>
      </c>
      <c r="P35" s="147">
        <f t="shared" si="9"/>
        <v>0</v>
      </c>
      <c r="Q35" s="147">
        <f t="shared" si="10"/>
        <v>0</v>
      </c>
      <c r="R35" s="147">
        <f t="shared" si="11"/>
        <v>0</v>
      </c>
      <c r="S35" s="146" t="e">
        <f t="shared" si="12"/>
        <v>#REF!</v>
      </c>
      <c r="T35" s="146" t="e">
        <f t="shared" si="13"/>
        <v>#REF!</v>
      </c>
      <c r="U35" s="145">
        <f t="shared" si="4"/>
        <v>0</v>
      </c>
      <c r="V35" s="145" t="e">
        <f t="shared" si="5"/>
        <v>#REF!</v>
      </c>
      <c r="W35" s="142">
        <v>32</v>
      </c>
      <c r="X35" s="142" t="str">
        <f>+IF((VLOOKUP(A35,List!B:C,2,0)-VLOOKUP(Summary!$P$7,List!B:C,2,0))=0,1,"")</f>
        <v/>
      </c>
      <c r="Y35" s="198">
        <f>+IF((VLOOKUP(A35,List!B:C,2,0)-VLOOKUP(Summary!$P$7,List!B:C,2,0))&gt;=0,1,"")</f>
        <v>1</v>
      </c>
      <c r="Z35" s="198">
        <f>+IF((VLOOKUP(A35,List!B:C,2,0)-VLOOKUP(Summary!$P$7,List!B:C,2,0))&gt;0,1,"")</f>
        <v>1</v>
      </c>
      <c r="AA35" s="141">
        <f t="shared" si="6"/>
        <v>2</v>
      </c>
      <c r="AB35" s="199" t="str">
        <f>+IF(AA35="","",IF(Summary!$J$7="Fixed Price","",IF(M35="",IF(I35="","",1),"")))</f>
        <v/>
      </c>
      <c r="AC35" s="198">
        <f t="shared" si="14"/>
        <v>0</v>
      </c>
    </row>
    <row r="36" spans="1:29" x14ac:dyDescent="0.2">
      <c r="A36" s="155" t="str">
        <f t="shared" ref="A36:A63" si="15">CONCATENATE(C36,"-",B36)</f>
        <v>-</v>
      </c>
      <c r="B36" s="154" t="str">
        <f t="shared" si="7"/>
        <v/>
      </c>
      <c r="C36" s="153" t="str">
        <f t="shared" si="8"/>
        <v/>
      </c>
      <c r="D36" s="152" t="str">
        <f t="shared" ref="D36:D63" si="16">CONCATENATE(C36,"-",B36)</f>
        <v>-</v>
      </c>
      <c r="E36" s="159" t="str">
        <f>+IF($B36="","",Summary!$P$4)</f>
        <v/>
      </c>
      <c r="F36" s="159" t="str">
        <f>+IF($B36="","",Summary!$P$5)</f>
        <v/>
      </c>
      <c r="G36" s="159" t="str">
        <f>+IF($B36="","",Summary!$P$6)</f>
        <v/>
      </c>
      <c r="H36" s="158" t="str">
        <f t="shared" ref="H36:H63" si="17">+IF($B36="","",IF(U36&lt;-15%,"Red",IF(U36&lt;0%,"Amber","Green")))</f>
        <v/>
      </c>
      <c r="I36" s="156"/>
      <c r="J36" s="156"/>
      <c r="K36" s="156"/>
      <c r="L36" s="156"/>
      <c r="M36" s="156"/>
      <c r="N36" s="156" t="e">
        <f t="shared" si="3"/>
        <v>#REF!</v>
      </c>
      <c r="O36" s="156" t="e">
        <f>COUNTIFS(#REF!,"&gt;="&amp;DATE($C36,$B36,1),#REF!,"&lt;="&amp;EOMONTH(DATE($C36,$B36,1),0),#REF!,"Incident")+
COUNTIFS(#REF!,"&gt;="&amp;DATE($C36,$B36,1),#REF!,"&lt;="&amp;EOMONTH(DATE($C36,$B36,1),0),#REF!,"user_request")</f>
        <v>#REF!</v>
      </c>
      <c r="P36" s="147">
        <f t="shared" si="9"/>
        <v>0</v>
      </c>
      <c r="Q36" s="147">
        <f t="shared" si="10"/>
        <v>0</v>
      </c>
      <c r="R36" s="147">
        <f t="shared" si="11"/>
        <v>0</v>
      </c>
      <c r="S36" s="146" t="e">
        <f t="shared" si="12"/>
        <v>#REF!</v>
      </c>
      <c r="T36" s="146" t="e">
        <f t="shared" si="13"/>
        <v>#REF!</v>
      </c>
      <c r="U36" s="145">
        <f t="shared" ref="U36:U63" si="18">IF(Q36=0,0,IF(K36&lt;&gt;"",(Q36-(R36+L36))/Q36,U35))</f>
        <v>0</v>
      </c>
      <c r="V36" s="145" t="e">
        <f t="shared" ref="V36:V63" si="19">IF(S36=0,0,IF(O36&lt;&gt;"",(S36-(T36))/S36,V35))</f>
        <v>#REF!</v>
      </c>
      <c r="W36" s="142">
        <v>33</v>
      </c>
      <c r="X36" s="142" t="str">
        <f>+IF((VLOOKUP(A36,List!B:C,2,0)-VLOOKUP(Summary!$P$7,List!B:C,2,0))=0,1,"")</f>
        <v/>
      </c>
      <c r="Y36" s="198">
        <f>+IF((VLOOKUP(A36,List!B:C,2,0)-VLOOKUP(Summary!$P$7,List!B:C,2,0))&gt;=0,1,"")</f>
        <v>1</v>
      </c>
      <c r="Z36" s="198">
        <f>+IF((VLOOKUP(A36,List!B:C,2,0)-VLOOKUP(Summary!$P$7,List!B:C,2,0))&gt;0,1,"")</f>
        <v>1</v>
      </c>
      <c r="AA36" s="141">
        <f t="shared" si="6"/>
        <v>2</v>
      </c>
      <c r="AB36" s="199" t="str">
        <f>+IF(AA36="","",IF(Summary!$J$7="Fixed Price","",IF(M36="",IF(I36="","",1),"")))</f>
        <v/>
      </c>
      <c r="AC36" s="198">
        <f t="shared" si="14"/>
        <v>0</v>
      </c>
    </row>
    <row r="37" spans="1:29" x14ac:dyDescent="0.2">
      <c r="A37" s="155" t="str">
        <f t="shared" si="15"/>
        <v>-</v>
      </c>
      <c r="B37" s="154" t="str">
        <f t="shared" ref="B37:B63" si="20">IF(W37&lt;=$W$2,IF(B36&gt;11,1,B36+1),"")</f>
        <v/>
      </c>
      <c r="C37" s="153" t="str">
        <f t="shared" ref="C37:C63" si="21">IF(W37&lt;=$W$2,IF(B36&gt;11,C36+1,C36),"")</f>
        <v/>
      </c>
      <c r="D37" s="152" t="str">
        <f t="shared" si="16"/>
        <v>-</v>
      </c>
      <c r="E37" s="151" t="str">
        <f>+IF($B37="","",Summary!$P$4)</f>
        <v/>
      </c>
      <c r="F37" s="151" t="str">
        <f>+IF($B37="","",Summary!$P$5)</f>
        <v/>
      </c>
      <c r="G37" s="151" t="str">
        <f>+IF($B37="","",Summary!$P$6)</f>
        <v/>
      </c>
      <c r="H37" s="150" t="str">
        <f t="shared" si="17"/>
        <v/>
      </c>
      <c r="I37" s="148"/>
      <c r="J37" s="148"/>
      <c r="K37" s="148"/>
      <c r="L37" s="148"/>
      <c r="M37" s="148"/>
      <c r="N37" s="148" t="e">
        <f t="shared" si="3"/>
        <v>#REF!</v>
      </c>
      <c r="O37" s="148" t="e">
        <f>COUNTIFS(#REF!,"&gt;="&amp;DATE($C37,$B37,1),#REF!,"&lt;="&amp;EOMONTH(DATE($C37,$B37,1),0),#REF!,"Incident")+
COUNTIFS(#REF!,"&gt;="&amp;DATE($C37,$B37,1),#REF!,"&lt;="&amp;EOMONTH(DATE($C37,$B37,1),0),#REF!,"user_request")</f>
        <v>#REF!</v>
      </c>
      <c r="P37" s="147">
        <f t="shared" ref="P37:P63" si="22">I37+P36</f>
        <v>0</v>
      </c>
      <c r="Q37" s="147">
        <f t="shared" ref="Q37:Q63" si="23">Q36+J37</f>
        <v>0</v>
      </c>
      <c r="R37" s="147">
        <f t="shared" ref="R37:R63" si="24">K37+R36</f>
        <v>0</v>
      </c>
      <c r="S37" s="146" t="e">
        <f t="shared" ref="S37:S63" si="25">N37+S36</f>
        <v>#REF!</v>
      </c>
      <c r="T37" s="146" t="e">
        <f t="shared" ref="T37:T63" si="26">O37+T36</f>
        <v>#REF!</v>
      </c>
      <c r="U37" s="145">
        <f t="shared" si="18"/>
        <v>0</v>
      </c>
      <c r="V37" s="145" t="e">
        <f t="shared" si="19"/>
        <v>#REF!</v>
      </c>
      <c r="W37" s="142">
        <v>34</v>
      </c>
      <c r="X37" s="142" t="str">
        <f>+IF((VLOOKUP(A37,List!B:C,2,0)-VLOOKUP(Summary!$P$7,List!B:C,2,0))=0,1,"")</f>
        <v/>
      </c>
      <c r="Y37" s="198">
        <f>+IF((VLOOKUP(A37,List!B:C,2,0)-VLOOKUP(Summary!$P$7,List!B:C,2,0))&gt;=0,1,"")</f>
        <v>1</v>
      </c>
      <c r="Z37" s="198">
        <f>+IF((VLOOKUP(A37,List!B:C,2,0)-VLOOKUP(Summary!$P$7,List!B:C,2,0))&gt;0,1,"")</f>
        <v>1</v>
      </c>
      <c r="AA37" s="141">
        <f t="shared" si="6"/>
        <v>2</v>
      </c>
      <c r="AB37" s="199" t="str">
        <f>+IF(AA37="","",IF(Summary!$J$7="Fixed Price","",IF(M37="",IF(I37="","",1),"")))</f>
        <v/>
      </c>
      <c r="AC37" s="198">
        <f t="shared" si="14"/>
        <v>0</v>
      </c>
    </row>
    <row r="38" spans="1:29" x14ac:dyDescent="0.2">
      <c r="A38" s="155" t="str">
        <f t="shared" si="15"/>
        <v>-</v>
      </c>
      <c r="B38" s="154" t="str">
        <f t="shared" si="20"/>
        <v/>
      </c>
      <c r="C38" s="153" t="str">
        <f t="shared" si="21"/>
        <v/>
      </c>
      <c r="D38" s="152" t="str">
        <f t="shared" si="16"/>
        <v>-</v>
      </c>
      <c r="E38" s="159" t="str">
        <f>+IF($B38="","",Summary!$P$4)</f>
        <v/>
      </c>
      <c r="F38" s="159" t="str">
        <f>+IF($B38="","",Summary!$P$5)</f>
        <v/>
      </c>
      <c r="G38" s="159" t="str">
        <f>+IF($B38="","",Summary!$P$6)</f>
        <v/>
      </c>
      <c r="H38" s="158" t="str">
        <f t="shared" si="17"/>
        <v/>
      </c>
      <c r="I38" s="156"/>
      <c r="J38" s="156"/>
      <c r="K38" s="156"/>
      <c r="L38" s="156"/>
      <c r="M38" s="156"/>
      <c r="N38" s="156" t="e">
        <f t="shared" si="3"/>
        <v>#REF!</v>
      </c>
      <c r="O38" s="156" t="e">
        <f>COUNTIFS(#REF!,"&gt;="&amp;DATE($C38,$B38,1),#REF!,"&lt;="&amp;EOMONTH(DATE($C38,$B38,1),0),#REF!,"Incident")+
COUNTIFS(#REF!,"&gt;="&amp;DATE($C38,$B38,1),#REF!,"&lt;="&amp;EOMONTH(DATE($C38,$B38,1),0),#REF!,"user_request")</f>
        <v>#REF!</v>
      </c>
      <c r="P38" s="147">
        <f t="shared" si="22"/>
        <v>0</v>
      </c>
      <c r="Q38" s="147">
        <f t="shared" si="23"/>
        <v>0</v>
      </c>
      <c r="R38" s="147">
        <f t="shared" si="24"/>
        <v>0</v>
      </c>
      <c r="S38" s="146" t="e">
        <f t="shared" si="25"/>
        <v>#REF!</v>
      </c>
      <c r="T38" s="146" t="e">
        <f t="shared" si="26"/>
        <v>#REF!</v>
      </c>
      <c r="U38" s="145">
        <f t="shared" si="18"/>
        <v>0</v>
      </c>
      <c r="V38" s="145" t="e">
        <f t="shared" si="19"/>
        <v>#REF!</v>
      </c>
      <c r="W38" s="142">
        <v>35</v>
      </c>
      <c r="X38" s="142" t="str">
        <f>+IF((VLOOKUP(A38,List!B:C,2,0)-VLOOKUP(Summary!$P$7,List!B:C,2,0))=0,1,"")</f>
        <v/>
      </c>
      <c r="Y38" s="198">
        <f>+IF((VLOOKUP(A38,List!B:C,2,0)-VLOOKUP(Summary!$P$7,List!B:C,2,0))&gt;=0,1,"")</f>
        <v>1</v>
      </c>
      <c r="Z38" s="198">
        <f>+IF((VLOOKUP(A38,List!B:C,2,0)-VLOOKUP(Summary!$P$7,List!B:C,2,0))&gt;0,1,"")</f>
        <v>1</v>
      </c>
      <c r="AA38" s="141">
        <f t="shared" si="6"/>
        <v>2</v>
      </c>
      <c r="AB38" s="199" t="str">
        <f>+IF(AA38="","",IF(Summary!$J$7="Fixed Price","",IF(M38="",IF(I38="","",1),"")))</f>
        <v/>
      </c>
      <c r="AC38" s="198">
        <f t="shared" si="14"/>
        <v>0</v>
      </c>
    </row>
    <row r="39" spans="1:29" x14ac:dyDescent="0.2">
      <c r="A39" s="155" t="str">
        <f t="shared" si="15"/>
        <v>-</v>
      </c>
      <c r="B39" s="154" t="str">
        <f t="shared" si="20"/>
        <v/>
      </c>
      <c r="C39" s="153" t="str">
        <f t="shared" si="21"/>
        <v/>
      </c>
      <c r="D39" s="152" t="str">
        <f t="shared" si="16"/>
        <v>-</v>
      </c>
      <c r="E39" s="151" t="str">
        <f>+IF($B39="","",Summary!$P$4)</f>
        <v/>
      </c>
      <c r="F39" s="151" t="str">
        <f>+IF($B39="","",Summary!$P$5)</f>
        <v/>
      </c>
      <c r="G39" s="151" t="str">
        <f>+IF($B39="","",Summary!$P$6)</f>
        <v/>
      </c>
      <c r="H39" s="150" t="str">
        <f t="shared" si="17"/>
        <v/>
      </c>
      <c r="I39" s="148"/>
      <c r="J39" s="148"/>
      <c r="K39" s="148"/>
      <c r="L39" s="148"/>
      <c r="M39" s="148"/>
      <c r="N39" s="148" t="e">
        <f t="shared" si="3"/>
        <v>#REF!</v>
      </c>
      <c r="O39" s="148" t="e">
        <f>COUNTIFS(#REF!,"&gt;="&amp;DATE($C39,$B39,1),#REF!,"&lt;="&amp;EOMONTH(DATE($C39,$B39,1),0),#REF!,"Incident")+
COUNTIFS(#REF!,"&gt;="&amp;DATE($C39,$B39,1),#REF!,"&lt;="&amp;EOMONTH(DATE($C39,$B39,1),0),#REF!,"user_request")</f>
        <v>#REF!</v>
      </c>
      <c r="P39" s="147">
        <f t="shared" si="22"/>
        <v>0</v>
      </c>
      <c r="Q39" s="147">
        <f t="shared" si="23"/>
        <v>0</v>
      </c>
      <c r="R39" s="147">
        <f t="shared" si="24"/>
        <v>0</v>
      </c>
      <c r="S39" s="146" t="e">
        <f t="shared" si="25"/>
        <v>#REF!</v>
      </c>
      <c r="T39" s="146" t="e">
        <f t="shared" si="26"/>
        <v>#REF!</v>
      </c>
      <c r="U39" s="145">
        <f t="shared" si="18"/>
        <v>0</v>
      </c>
      <c r="V39" s="145" t="e">
        <f t="shared" si="19"/>
        <v>#REF!</v>
      </c>
      <c r="W39" s="142">
        <v>36</v>
      </c>
      <c r="X39" s="142" t="str">
        <f>+IF((VLOOKUP(A39,List!B:C,2,0)-VLOOKUP(Summary!$P$7,List!B:C,2,0))=0,1,"")</f>
        <v/>
      </c>
      <c r="Y39" s="198">
        <f>+IF((VLOOKUP(A39,List!B:C,2,0)-VLOOKUP(Summary!$P$7,List!B:C,2,0))&gt;=0,1,"")</f>
        <v>1</v>
      </c>
      <c r="Z39" s="198">
        <f>+IF((VLOOKUP(A39,List!B:C,2,0)-VLOOKUP(Summary!$P$7,List!B:C,2,0))&gt;0,1,"")</f>
        <v>1</v>
      </c>
      <c r="AA39" s="141">
        <f t="shared" si="6"/>
        <v>2</v>
      </c>
      <c r="AB39" s="199" t="str">
        <f>+IF(AA39="","",IF(Summary!$J$7="Fixed Price","",IF(M39="",IF(I39="","",1),"")))</f>
        <v/>
      </c>
      <c r="AC39" s="198">
        <f t="shared" si="14"/>
        <v>0</v>
      </c>
    </row>
    <row r="40" spans="1:29" x14ac:dyDescent="0.2">
      <c r="A40" s="155" t="str">
        <f t="shared" si="15"/>
        <v>-</v>
      </c>
      <c r="B40" s="154" t="str">
        <f t="shared" si="20"/>
        <v/>
      </c>
      <c r="C40" s="153" t="str">
        <f t="shared" si="21"/>
        <v/>
      </c>
      <c r="D40" s="152" t="str">
        <f t="shared" si="16"/>
        <v>-</v>
      </c>
      <c r="E40" s="159" t="str">
        <f>+IF($B40="","",Summary!$P$4)</f>
        <v/>
      </c>
      <c r="F40" s="159" t="str">
        <f>+IF($B40="","",Summary!$P$5)</f>
        <v/>
      </c>
      <c r="G40" s="159" t="str">
        <f>+IF($B40="","",Summary!$P$6)</f>
        <v/>
      </c>
      <c r="H40" s="158" t="str">
        <f t="shared" si="17"/>
        <v/>
      </c>
      <c r="I40" s="156"/>
      <c r="J40" s="157"/>
      <c r="K40" s="156"/>
      <c r="L40" s="156"/>
      <c r="M40" s="156"/>
      <c r="N40" s="157" t="e">
        <f t="shared" si="3"/>
        <v>#REF!</v>
      </c>
      <c r="O40" s="157" t="e">
        <f>COUNTIFS(#REF!,"&gt;="&amp;DATE($C40,$B40,1),#REF!,"&lt;="&amp;EOMONTH(DATE($C40,$B40,1),0),#REF!,"Incident")+
COUNTIFS(#REF!,"&gt;="&amp;DATE($C40,$B40,1),#REF!,"&lt;="&amp;EOMONTH(DATE($C40,$B40,1),0),#REF!,"user_request")</f>
        <v>#REF!</v>
      </c>
      <c r="P40" s="147">
        <f t="shared" si="22"/>
        <v>0</v>
      </c>
      <c r="Q40" s="147">
        <f t="shared" si="23"/>
        <v>0</v>
      </c>
      <c r="R40" s="147">
        <f t="shared" si="24"/>
        <v>0</v>
      </c>
      <c r="S40" s="146" t="e">
        <f t="shared" si="25"/>
        <v>#REF!</v>
      </c>
      <c r="T40" s="146" t="e">
        <f t="shared" si="26"/>
        <v>#REF!</v>
      </c>
      <c r="U40" s="145">
        <f t="shared" si="18"/>
        <v>0</v>
      </c>
      <c r="V40" s="145" t="e">
        <f t="shared" si="19"/>
        <v>#REF!</v>
      </c>
      <c r="W40" s="142">
        <v>37</v>
      </c>
      <c r="X40" s="142" t="str">
        <f>+IF((VLOOKUP(A40,List!B:C,2,0)-VLOOKUP(Summary!$P$7,List!B:C,2,0))=0,1,"")</f>
        <v/>
      </c>
      <c r="Y40" s="198">
        <f>+IF((VLOOKUP(A40,List!B:C,2,0)-VLOOKUP(Summary!$P$7,List!B:C,2,0))&gt;=0,1,"")</f>
        <v>1</v>
      </c>
      <c r="Z40" s="198">
        <f>+IF((VLOOKUP(A40,List!B:C,2,0)-VLOOKUP(Summary!$P$7,List!B:C,2,0))&gt;0,1,"")</f>
        <v>1</v>
      </c>
      <c r="AA40" s="141">
        <f t="shared" si="6"/>
        <v>2</v>
      </c>
      <c r="AB40" s="199" t="str">
        <f>+IF(AA40="","",IF(Summary!$J$7="Fixed Price","",IF(M40="",IF(I40="","",1),"")))</f>
        <v/>
      </c>
      <c r="AC40" s="198">
        <f t="shared" si="14"/>
        <v>0</v>
      </c>
    </row>
    <row r="41" spans="1:29" x14ac:dyDescent="0.2">
      <c r="A41" s="155" t="str">
        <f t="shared" si="15"/>
        <v>-</v>
      </c>
      <c r="B41" s="154" t="str">
        <f t="shared" si="20"/>
        <v/>
      </c>
      <c r="C41" s="153" t="str">
        <f t="shared" si="21"/>
        <v/>
      </c>
      <c r="D41" s="152" t="str">
        <f t="shared" si="16"/>
        <v>-</v>
      </c>
      <c r="E41" s="151" t="str">
        <f>+IF($B41="","",Summary!$P$4)</f>
        <v/>
      </c>
      <c r="F41" s="151" t="str">
        <f>+IF($B41="","",Summary!$P$5)</f>
        <v/>
      </c>
      <c r="G41" s="151" t="str">
        <f>+IF($B41="","",Summary!$P$6)</f>
        <v/>
      </c>
      <c r="H41" s="150" t="str">
        <f t="shared" si="17"/>
        <v/>
      </c>
      <c r="I41" s="148"/>
      <c r="J41" s="149"/>
      <c r="K41" s="148"/>
      <c r="L41" s="148"/>
      <c r="M41" s="148"/>
      <c r="N41" s="149" t="e">
        <f t="shared" si="3"/>
        <v>#REF!</v>
      </c>
      <c r="O41" s="149" t="e">
        <f>COUNTIFS(#REF!,"&gt;="&amp;DATE($C41,$B41,1),#REF!,"&lt;="&amp;EOMONTH(DATE($C41,$B41,1),0),#REF!,"Incident")+
COUNTIFS(#REF!,"&gt;="&amp;DATE($C41,$B41,1),#REF!,"&lt;="&amp;EOMONTH(DATE($C41,$B41,1),0),#REF!,"user_request")</f>
        <v>#REF!</v>
      </c>
      <c r="P41" s="147">
        <f t="shared" si="22"/>
        <v>0</v>
      </c>
      <c r="Q41" s="147">
        <f t="shared" si="23"/>
        <v>0</v>
      </c>
      <c r="R41" s="147">
        <f t="shared" si="24"/>
        <v>0</v>
      </c>
      <c r="S41" s="146" t="e">
        <f t="shared" si="25"/>
        <v>#REF!</v>
      </c>
      <c r="T41" s="146" t="e">
        <f t="shared" si="26"/>
        <v>#REF!</v>
      </c>
      <c r="U41" s="145">
        <f t="shared" si="18"/>
        <v>0</v>
      </c>
      <c r="V41" s="145" t="e">
        <f t="shared" si="19"/>
        <v>#REF!</v>
      </c>
      <c r="W41" s="142">
        <v>38</v>
      </c>
      <c r="X41" s="142" t="str">
        <f>+IF((VLOOKUP(A41,List!B:C,2,0)-VLOOKUP(Summary!$P$7,List!B:C,2,0))=0,1,"")</f>
        <v/>
      </c>
      <c r="Y41" s="198">
        <f>+IF((VLOOKUP(A41,List!B:C,2,0)-VLOOKUP(Summary!$P$7,List!B:C,2,0))&gt;=0,1,"")</f>
        <v>1</v>
      </c>
      <c r="Z41" s="198">
        <f>+IF((VLOOKUP(A41,List!B:C,2,0)-VLOOKUP(Summary!$P$7,List!B:C,2,0))&gt;0,1,"")</f>
        <v>1</v>
      </c>
      <c r="AA41" s="141">
        <f t="shared" si="6"/>
        <v>2</v>
      </c>
      <c r="AB41" s="199" t="str">
        <f>+IF(AA41="","",IF(Summary!$J$7="Fixed Price","",IF(M41="",IF(I41="","",1),"")))</f>
        <v/>
      </c>
      <c r="AC41" s="198">
        <f t="shared" si="14"/>
        <v>0</v>
      </c>
    </row>
    <row r="42" spans="1:29" x14ac:dyDescent="0.2">
      <c r="A42" s="155" t="str">
        <f t="shared" si="15"/>
        <v>-</v>
      </c>
      <c r="B42" s="154" t="str">
        <f t="shared" si="20"/>
        <v/>
      </c>
      <c r="C42" s="153" t="str">
        <f t="shared" si="21"/>
        <v/>
      </c>
      <c r="D42" s="152" t="str">
        <f t="shared" si="16"/>
        <v>-</v>
      </c>
      <c r="E42" s="159" t="str">
        <f>+IF($B42="","",Summary!$P$4)</f>
        <v/>
      </c>
      <c r="F42" s="159" t="str">
        <f>+IF($B42="","",Summary!$P$5)</f>
        <v/>
      </c>
      <c r="G42" s="159" t="str">
        <f>+IF($B42="","",Summary!$P$6)</f>
        <v/>
      </c>
      <c r="H42" s="158" t="str">
        <f t="shared" si="17"/>
        <v/>
      </c>
      <c r="I42" s="156"/>
      <c r="J42" s="157"/>
      <c r="K42" s="156"/>
      <c r="L42" s="156"/>
      <c r="M42" s="156"/>
      <c r="N42" s="157" t="e">
        <f t="shared" si="3"/>
        <v>#REF!</v>
      </c>
      <c r="O42" s="157" t="e">
        <f>COUNTIFS(#REF!,"&gt;="&amp;DATE($C42,$B42,1),#REF!,"&lt;="&amp;EOMONTH(DATE($C42,$B42,1),0),#REF!,"Incident")+
COUNTIFS(#REF!,"&gt;="&amp;DATE($C42,$B42,1),#REF!,"&lt;="&amp;EOMONTH(DATE($C42,$B42,1),0),#REF!,"user_request")</f>
        <v>#REF!</v>
      </c>
      <c r="P42" s="147">
        <f t="shared" si="22"/>
        <v>0</v>
      </c>
      <c r="Q42" s="147">
        <f t="shared" si="23"/>
        <v>0</v>
      </c>
      <c r="R42" s="147">
        <f t="shared" si="24"/>
        <v>0</v>
      </c>
      <c r="S42" s="146" t="e">
        <f t="shared" si="25"/>
        <v>#REF!</v>
      </c>
      <c r="T42" s="146" t="e">
        <f t="shared" si="26"/>
        <v>#REF!</v>
      </c>
      <c r="U42" s="145">
        <f t="shared" si="18"/>
        <v>0</v>
      </c>
      <c r="V42" s="145" t="e">
        <f t="shared" si="19"/>
        <v>#REF!</v>
      </c>
      <c r="W42" s="142">
        <v>39</v>
      </c>
      <c r="X42" s="142" t="str">
        <f>+IF((VLOOKUP(A42,List!B:C,2,0)-VLOOKUP(Summary!$P$7,List!B:C,2,0))=0,1,"")</f>
        <v/>
      </c>
      <c r="Y42" s="198">
        <f>+IF((VLOOKUP(A42,List!B:C,2,0)-VLOOKUP(Summary!$P$7,List!B:C,2,0))&gt;=0,1,"")</f>
        <v>1</v>
      </c>
      <c r="Z42" s="198">
        <f>+IF((VLOOKUP(A42,List!B:C,2,0)-VLOOKUP(Summary!$P$7,List!B:C,2,0))&gt;0,1,"")</f>
        <v>1</v>
      </c>
      <c r="AA42" s="141">
        <f t="shared" si="6"/>
        <v>2</v>
      </c>
      <c r="AB42" s="199" t="str">
        <f>+IF(AA42="","",IF(Summary!$J$7="Fixed Price","",IF(M42="",IF(I42="","",1),"")))</f>
        <v/>
      </c>
      <c r="AC42" s="198">
        <f t="shared" si="14"/>
        <v>0</v>
      </c>
    </row>
    <row r="43" spans="1:29" x14ac:dyDescent="0.2">
      <c r="A43" s="155" t="str">
        <f t="shared" si="15"/>
        <v>-</v>
      </c>
      <c r="B43" s="154" t="str">
        <f t="shared" si="20"/>
        <v/>
      </c>
      <c r="C43" s="153" t="str">
        <f t="shared" si="21"/>
        <v/>
      </c>
      <c r="D43" s="152" t="str">
        <f t="shared" si="16"/>
        <v>-</v>
      </c>
      <c r="E43" s="151" t="str">
        <f>+IF($B43="","",Summary!$P$4)</f>
        <v/>
      </c>
      <c r="F43" s="151" t="str">
        <f>+IF($B43="","",Summary!$P$5)</f>
        <v/>
      </c>
      <c r="G43" s="151" t="str">
        <f>+IF($B43="","",Summary!$P$6)</f>
        <v/>
      </c>
      <c r="H43" s="150" t="str">
        <f t="shared" si="17"/>
        <v/>
      </c>
      <c r="I43" s="148"/>
      <c r="J43" s="149"/>
      <c r="K43" s="148"/>
      <c r="L43" s="148"/>
      <c r="M43" s="148"/>
      <c r="N43" s="149" t="e">
        <f t="shared" si="3"/>
        <v>#REF!</v>
      </c>
      <c r="O43" s="149" t="e">
        <f>COUNTIFS(#REF!,"&gt;="&amp;DATE($C43,$B43,1),#REF!,"&lt;="&amp;EOMONTH(DATE($C43,$B43,1),0),#REF!,"Incident")+
COUNTIFS(#REF!,"&gt;="&amp;DATE($C43,$B43,1),#REF!,"&lt;="&amp;EOMONTH(DATE($C43,$B43,1),0),#REF!,"user_request")</f>
        <v>#REF!</v>
      </c>
      <c r="P43" s="147">
        <f t="shared" si="22"/>
        <v>0</v>
      </c>
      <c r="Q43" s="147">
        <f t="shared" si="23"/>
        <v>0</v>
      </c>
      <c r="R43" s="147">
        <f t="shared" si="24"/>
        <v>0</v>
      </c>
      <c r="S43" s="146" t="e">
        <f t="shared" si="25"/>
        <v>#REF!</v>
      </c>
      <c r="T43" s="146" t="e">
        <f t="shared" si="26"/>
        <v>#REF!</v>
      </c>
      <c r="U43" s="145">
        <f t="shared" si="18"/>
        <v>0</v>
      </c>
      <c r="V43" s="145" t="e">
        <f t="shared" si="19"/>
        <v>#REF!</v>
      </c>
      <c r="W43" s="142">
        <v>40</v>
      </c>
      <c r="X43" s="142" t="str">
        <f>+IF((VLOOKUP(A43,List!B:C,2,0)-VLOOKUP(Summary!$P$7,List!B:C,2,0))=0,1,"")</f>
        <v/>
      </c>
      <c r="Y43" s="198">
        <f>+IF((VLOOKUP(A43,List!B:C,2,0)-VLOOKUP(Summary!$P$7,List!B:C,2,0))&gt;=0,1,"")</f>
        <v>1</v>
      </c>
      <c r="Z43" s="198">
        <f>+IF((VLOOKUP(A43,List!B:C,2,0)-VLOOKUP(Summary!$P$7,List!B:C,2,0))&gt;0,1,"")</f>
        <v>1</v>
      </c>
      <c r="AA43" s="141">
        <f t="shared" si="6"/>
        <v>2</v>
      </c>
      <c r="AB43" s="199" t="str">
        <f>+IF(AA43="","",IF(Summary!$J$7="Fixed Price","",IF(M43="",IF(I43="","",1),"")))</f>
        <v/>
      </c>
      <c r="AC43" s="198">
        <f t="shared" si="14"/>
        <v>0</v>
      </c>
    </row>
    <row r="44" spans="1:29" x14ac:dyDescent="0.2">
      <c r="A44" s="155" t="str">
        <f t="shared" si="15"/>
        <v>-</v>
      </c>
      <c r="B44" s="154" t="str">
        <f t="shared" si="20"/>
        <v/>
      </c>
      <c r="C44" s="153" t="str">
        <f t="shared" si="21"/>
        <v/>
      </c>
      <c r="D44" s="152" t="str">
        <f t="shared" si="16"/>
        <v>-</v>
      </c>
      <c r="E44" s="159" t="str">
        <f>+IF($B44="","",Summary!$P$4)</f>
        <v/>
      </c>
      <c r="F44" s="159" t="str">
        <f>+IF($B44="","",Summary!$P$5)</f>
        <v/>
      </c>
      <c r="G44" s="159" t="str">
        <f>+IF($B44="","",Summary!$P$6)</f>
        <v/>
      </c>
      <c r="H44" s="158" t="str">
        <f t="shared" si="17"/>
        <v/>
      </c>
      <c r="I44" s="156"/>
      <c r="J44" s="157"/>
      <c r="K44" s="156"/>
      <c r="L44" s="156"/>
      <c r="M44" s="156"/>
      <c r="N44" s="157" t="e">
        <f t="shared" si="3"/>
        <v>#REF!</v>
      </c>
      <c r="O44" s="157" t="e">
        <f>COUNTIFS(#REF!,"&gt;="&amp;DATE($C44,$B44,1),#REF!,"&lt;="&amp;EOMONTH(DATE($C44,$B44,1),0),#REF!,"Incident")+
COUNTIFS(#REF!,"&gt;="&amp;DATE($C44,$B44,1),#REF!,"&lt;="&amp;EOMONTH(DATE($C44,$B44,1),0),#REF!,"user_request")</f>
        <v>#REF!</v>
      </c>
      <c r="P44" s="147">
        <f t="shared" si="22"/>
        <v>0</v>
      </c>
      <c r="Q44" s="147">
        <f t="shared" si="23"/>
        <v>0</v>
      </c>
      <c r="R44" s="147">
        <f t="shared" si="24"/>
        <v>0</v>
      </c>
      <c r="S44" s="146" t="e">
        <f t="shared" si="25"/>
        <v>#REF!</v>
      </c>
      <c r="T44" s="146" t="e">
        <f t="shared" si="26"/>
        <v>#REF!</v>
      </c>
      <c r="U44" s="145">
        <f t="shared" si="18"/>
        <v>0</v>
      </c>
      <c r="V44" s="145" t="e">
        <f t="shared" si="19"/>
        <v>#REF!</v>
      </c>
      <c r="W44" s="142">
        <v>41</v>
      </c>
      <c r="X44" s="142" t="str">
        <f>+IF((VLOOKUP(A44,List!B:C,2,0)-VLOOKUP(Summary!$P$7,List!B:C,2,0))=0,1,"")</f>
        <v/>
      </c>
      <c r="Y44" s="198">
        <f>+IF((VLOOKUP(A44,List!B:C,2,0)-VLOOKUP(Summary!$P$7,List!B:C,2,0))&gt;=0,1,"")</f>
        <v>1</v>
      </c>
      <c r="Z44" s="198">
        <f>+IF((VLOOKUP(A44,List!B:C,2,0)-VLOOKUP(Summary!$P$7,List!B:C,2,0))&gt;0,1,"")</f>
        <v>1</v>
      </c>
      <c r="AA44" s="141">
        <f t="shared" si="6"/>
        <v>2</v>
      </c>
      <c r="AB44" s="199" t="str">
        <f>+IF(AA44="","",IF(Summary!$J$7="Fixed Price","",IF(M44="",IF(I44="","",1),"")))</f>
        <v/>
      </c>
      <c r="AC44" s="198">
        <f t="shared" si="14"/>
        <v>0</v>
      </c>
    </row>
    <row r="45" spans="1:29" x14ac:dyDescent="0.2">
      <c r="A45" s="155" t="str">
        <f t="shared" si="15"/>
        <v>-</v>
      </c>
      <c r="B45" s="154" t="str">
        <f t="shared" si="20"/>
        <v/>
      </c>
      <c r="C45" s="153" t="str">
        <f t="shared" si="21"/>
        <v/>
      </c>
      <c r="D45" s="152" t="str">
        <f t="shared" si="16"/>
        <v>-</v>
      </c>
      <c r="E45" s="151" t="str">
        <f>+IF($B45="","",Summary!$P$4)</f>
        <v/>
      </c>
      <c r="F45" s="151" t="str">
        <f>+IF($B45="","",Summary!$P$5)</f>
        <v/>
      </c>
      <c r="G45" s="151" t="str">
        <f>+IF($B45="","",Summary!$P$6)</f>
        <v/>
      </c>
      <c r="H45" s="150" t="str">
        <f t="shared" si="17"/>
        <v/>
      </c>
      <c r="I45" s="148"/>
      <c r="J45" s="149"/>
      <c r="K45" s="148"/>
      <c r="L45" s="148"/>
      <c r="M45" s="148"/>
      <c r="N45" s="149" t="e">
        <f t="shared" si="3"/>
        <v>#REF!</v>
      </c>
      <c r="O45" s="149" t="e">
        <f>COUNTIFS(#REF!,"&gt;="&amp;DATE($C45,$B45,1),#REF!,"&lt;="&amp;EOMONTH(DATE($C45,$B45,1),0),#REF!,"Incident")+
COUNTIFS(#REF!,"&gt;="&amp;DATE($C45,$B45,1),#REF!,"&lt;="&amp;EOMONTH(DATE($C45,$B45,1),0),#REF!,"user_request")</f>
        <v>#REF!</v>
      </c>
      <c r="P45" s="147">
        <f t="shared" si="22"/>
        <v>0</v>
      </c>
      <c r="Q45" s="147">
        <f t="shared" si="23"/>
        <v>0</v>
      </c>
      <c r="R45" s="147">
        <f t="shared" si="24"/>
        <v>0</v>
      </c>
      <c r="S45" s="146" t="e">
        <f t="shared" si="25"/>
        <v>#REF!</v>
      </c>
      <c r="T45" s="146" t="e">
        <f t="shared" si="26"/>
        <v>#REF!</v>
      </c>
      <c r="U45" s="145">
        <f t="shared" si="18"/>
        <v>0</v>
      </c>
      <c r="V45" s="145" t="e">
        <f t="shared" si="19"/>
        <v>#REF!</v>
      </c>
      <c r="W45" s="142">
        <v>42</v>
      </c>
      <c r="X45" s="142" t="str">
        <f>+IF((VLOOKUP(A45,List!B:C,2,0)-VLOOKUP(Summary!$P$7,List!B:C,2,0))=0,1,"")</f>
        <v/>
      </c>
      <c r="Y45" s="198">
        <f>+IF((VLOOKUP(A45,List!B:C,2,0)-VLOOKUP(Summary!$P$7,List!B:C,2,0))&gt;=0,1,"")</f>
        <v>1</v>
      </c>
      <c r="Z45" s="198">
        <f>+IF((VLOOKUP(A45,List!B:C,2,0)-VLOOKUP(Summary!$P$7,List!B:C,2,0))&gt;0,1,"")</f>
        <v>1</v>
      </c>
      <c r="AA45" s="141">
        <f t="shared" si="6"/>
        <v>2</v>
      </c>
      <c r="AB45" s="199" t="str">
        <f>+IF(AA45="","",IF(Summary!$J$7="Fixed Price","",IF(M45="",IF(I45="","",1),"")))</f>
        <v/>
      </c>
      <c r="AC45" s="198">
        <f t="shared" si="14"/>
        <v>0</v>
      </c>
    </row>
    <row r="46" spans="1:29" x14ac:dyDescent="0.2">
      <c r="A46" s="155" t="str">
        <f t="shared" si="15"/>
        <v>-</v>
      </c>
      <c r="B46" s="154" t="str">
        <f t="shared" si="20"/>
        <v/>
      </c>
      <c r="C46" s="153" t="str">
        <f t="shared" si="21"/>
        <v/>
      </c>
      <c r="D46" s="152" t="str">
        <f t="shared" si="16"/>
        <v>-</v>
      </c>
      <c r="E46" s="159" t="str">
        <f>+IF($B46="","",Summary!$P$4)</f>
        <v/>
      </c>
      <c r="F46" s="159" t="str">
        <f>+IF($B46="","",Summary!$P$5)</f>
        <v/>
      </c>
      <c r="G46" s="159" t="str">
        <f>+IF($B46="","",Summary!$P$6)</f>
        <v/>
      </c>
      <c r="H46" s="158" t="str">
        <f t="shared" si="17"/>
        <v/>
      </c>
      <c r="I46" s="156"/>
      <c r="J46" s="157"/>
      <c r="K46" s="156"/>
      <c r="L46" s="156"/>
      <c r="M46" s="156"/>
      <c r="N46" s="157" t="e">
        <f t="shared" si="3"/>
        <v>#REF!</v>
      </c>
      <c r="O46" s="157" t="e">
        <f>COUNTIFS(#REF!,"&gt;="&amp;DATE($C46,$B46,1),#REF!,"&lt;="&amp;EOMONTH(DATE($C46,$B46,1),0),#REF!,"Incident")+
COUNTIFS(#REF!,"&gt;="&amp;DATE($C46,$B46,1),#REF!,"&lt;="&amp;EOMONTH(DATE($C46,$B46,1),0),#REF!,"user_request")</f>
        <v>#REF!</v>
      </c>
      <c r="P46" s="147">
        <f t="shared" si="22"/>
        <v>0</v>
      </c>
      <c r="Q46" s="147">
        <f t="shared" si="23"/>
        <v>0</v>
      </c>
      <c r="R46" s="147">
        <f t="shared" si="24"/>
        <v>0</v>
      </c>
      <c r="S46" s="146" t="e">
        <f t="shared" si="25"/>
        <v>#REF!</v>
      </c>
      <c r="T46" s="146" t="e">
        <f t="shared" si="26"/>
        <v>#REF!</v>
      </c>
      <c r="U46" s="145">
        <f t="shared" si="18"/>
        <v>0</v>
      </c>
      <c r="V46" s="145" t="e">
        <f t="shared" si="19"/>
        <v>#REF!</v>
      </c>
      <c r="W46" s="142">
        <v>43</v>
      </c>
      <c r="X46" s="142" t="str">
        <f>+IF((VLOOKUP(A46,List!B:C,2,0)-VLOOKUP(Summary!$P$7,List!B:C,2,0))=0,1,"")</f>
        <v/>
      </c>
      <c r="Y46" s="198">
        <f>+IF((VLOOKUP(A46,List!B:C,2,0)-VLOOKUP(Summary!$P$7,List!B:C,2,0))&gt;=0,1,"")</f>
        <v>1</v>
      </c>
      <c r="Z46" s="198">
        <f>+IF((VLOOKUP(A46,List!B:C,2,0)-VLOOKUP(Summary!$P$7,List!B:C,2,0))&gt;0,1,"")</f>
        <v>1</v>
      </c>
      <c r="AA46" s="141">
        <f t="shared" si="6"/>
        <v>2</v>
      </c>
      <c r="AB46" s="199" t="str">
        <f>+IF(AA46="","",IF(Summary!$J$7="Fixed Price","",IF(M46="",IF(I46="","",1),"")))</f>
        <v/>
      </c>
      <c r="AC46" s="198">
        <f t="shared" si="14"/>
        <v>0</v>
      </c>
    </row>
    <row r="47" spans="1:29" x14ac:dyDescent="0.2">
      <c r="A47" s="155" t="str">
        <f t="shared" si="15"/>
        <v>-</v>
      </c>
      <c r="B47" s="154" t="str">
        <f t="shared" si="20"/>
        <v/>
      </c>
      <c r="C47" s="153" t="str">
        <f t="shared" si="21"/>
        <v/>
      </c>
      <c r="D47" s="152" t="str">
        <f t="shared" si="16"/>
        <v>-</v>
      </c>
      <c r="E47" s="151" t="str">
        <f>+IF($B47="","",Summary!$P$4)</f>
        <v/>
      </c>
      <c r="F47" s="151" t="str">
        <f>+IF($B47="","",Summary!$P$5)</f>
        <v/>
      </c>
      <c r="G47" s="151" t="str">
        <f>+IF($B47="","",Summary!$P$6)</f>
        <v/>
      </c>
      <c r="H47" s="150" t="str">
        <f t="shared" si="17"/>
        <v/>
      </c>
      <c r="I47" s="148"/>
      <c r="J47" s="149"/>
      <c r="K47" s="148"/>
      <c r="L47" s="148"/>
      <c r="M47" s="148"/>
      <c r="N47" s="149" t="e">
        <f t="shared" si="3"/>
        <v>#REF!</v>
      </c>
      <c r="O47" s="149" t="e">
        <f>COUNTIFS(#REF!,"&gt;="&amp;DATE($C47,$B47,1),#REF!,"&lt;="&amp;EOMONTH(DATE($C47,$B47,1),0),#REF!,"Incident")+
COUNTIFS(#REF!,"&gt;="&amp;DATE($C47,$B47,1),#REF!,"&lt;="&amp;EOMONTH(DATE($C47,$B47,1),0),#REF!,"user_request")</f>
        <v>#REF!</v>
      </c>
      <c r="P47" s="147">
        <f t="shared" si="22"/>
        <v>0</v>
      </c>
      <c r="Q47" s="147">
        <f t="shared" si="23"/>
        <v>0</v>
      </c>
      <c r="R47" s="147">
        <f t="shared" si="24"/>
        <v>0</v>
      </c>
      <c r="S47" s="146" t="e">
        <f t="shared" si="25"/>
        <v>#REF!</v>
      </c>
      <c r="T47" s="146" t="e">
        <f t="shared" si="26"/>
        <v>#REF!</v>
      </c>
      <c r="U47" s="145">
        <f t="shared" si="18"/>
        <v>0</v>
      </c>
      <c r="V47" s="145" t="e">
        <f t="shared" si="19"/>
        <v>#REF!</v>
      </c>
      <c r="W47" s="142">
        <v>44</v>
      </c>
      <c r="X47" s="142" t="str">
        <f>+IF((VLOOKUP(A47,List!B:C,2,0)-VLOOKUP(Summary!$P$7,List!B:C,2,0))=0,1,"")</f>
        <v/>
      </c>
      <c r="Y47" s="198">
        <f>+IF((VLOOKUP(A47,List!B:C,2,0)-VLOOKUP(Summary!$P$7,List!B:C,2,0))&gt;=0,1,"")</f>
        <v>1</v>
      </c>
      <c r="Z47" s="198">
        <f>+IF((VLOOKUP(A47,List!B:C,2,0)-VLOOKUP(Summary!$P$7,List!B:C,2,0))&gt;0,1,"")</f>
        <v>1</v>
      </c>
      <c r="AA47" s="141">
        <f t="shared" si="6"/>
        <v>2</v>
      </c>
      <c r="AB47" s="199" t="str">
        <f>+IF(AA47="","",IF(Summary!$J$7="Fixed Price","",IF(M47="",IF(I47="","",1),"")))</f>
        <v/>
      </c>
      <c r="AC47" s="198">
        <f t="shared" si="14"/>
        <v>0</v>
      </c>
    </row>
    <row r="48" spans="1:29" x14ac:dyDescent="0.2">
      <c r="A48" s="155" t="str">
        <f t="shared" si="15"/>
        <v>-</v>
      </c>
      <c r="B48" s="154" t="str">
        <f t="shared" si="20"/>
        <v/>
      </c>
      <c r="C48" s="153" t="str">
        <f t="shared" si="21"/>
        <v/>
      </c>
      <c r="D48" s="152" t="str">
        <f t="shared" si="16"/>
        <v>-</v>
      </c>
      <c r="E48" s="159" t="str">
        <f>+IF($B48="","",Summary!$P$4)</f>
        <v/>
      </c>
      <c r="F48" s="159" t="str">
        <f>+IF($B48="","",Summary!$P$5)</f>
        <v/>
      </c>
      <c r="G48" s="159" t="str">
        <f>+IF($B48="","",Summary!$P$6)</f>
        <v/>
      </c>
      <c r="H48" s="158" t="str">
        <f t="shared" si="17"/>
        <v/>
      </c>
      <c r="I48" s="156"/>
      <c r="J48" s="157"/>
      <c r="K48" s="156"/>
      <c r="L48" s="156"/>
      <c r="M48" s="156"/>
      <c r="N48" s="157" t="e">
        <f t="shared" si="3"/>
        <v>#REF!</v>
      </c>
      <c r="O48" s="157" t="e">
        <f>COUNTIFS(#REF!,"&gt;="&amp;DATE($C48,$B48,1),#REF!,"&lt;="&amp;EOMONTH(DATE($C48,$B48,1),0),#REF!,"Incident")+
COUNTIFS(#REF!,"&gt;="&amp;DATE($C48,$B48,1),#REF!,"&lt;="&amp;EOMONTH(DATE($C48,$B48,1),0),#REF!,"user_request")</f>
        <v>#REF!</v>
      </c>
      <c r="P48" s="147">
        <f t="shared" si="22"/>
        <v>0</v>
      </c>
      <c r="Q48" s="147">
        <f t="shared" si="23"/>
        <v>0</v>
      </c>
      <c r="R48" s="147">
        <f t="shared" si="24"/>
        <v>0</v>
      </c>
      <c r="S48" s="146" t="e">
        <f t="shared" si="25"/>
        <v>#REF!</v>
      </c>
      <c r="T48" s="146" t="e">
        <f t="shared" si="26"/>
        <v>#REF!</v>
      </c>
      <c r="U48" s="145">
        <f t="shared" si="18"/>
        <v>0</v>
      </c>
      <c r="V48" s="145" t="e">
        <f t="shared" si="19"/>
        <v>#REF!</v>
      </c>
      <c r="W48" s="142">
        <v>45</v>
      </c>
      <c r="X48" s="142" t="str">
        <f>+IF((VLOOKUP(A48,List!B:C,2,0)-VLOOKUP(Summary!$P$7,List!B:C,2,0))=0,1,"")</f>
        <v/>
      </c>
      <c r="Y48" s="198">
        <f>+IF((VLOOKUP(A48,List!B:C,2,0)-VLOOKUP(Summary!$P$7,List!B:C,2,0))&gt;=0,1,"")</f>
        <v>1</v>
      </c>
      <c r="Z48" s="198">
        <f>+IF((VLOOKUP(A48,List!B:C,2,0)-VLOOKUP(Summary!$P$7,List!B:C,2,0))&gt;0,1,"")</f>
        <v>1</v>
      </c>
      <c r="AA48" s="141">
        <f t="shared" si="6"/>
        <v>2</v>
      </c>
      <c r="AB48" s="199" t="str">
        <f>+IF(AA48="","",IF(Summary!$J$7="Fixed Price","",IF(M48="",IF(I48="","",1),"")))</f>
        <v/>
      </c>
      <c r="AC48" s="198">
        <f t="shared" si="14"/>
        <v>0</v>
      </c>
    </row>
    <row r="49" spans="1:29" x14ac:dyDescent="0.2">
      <c r="A49" s="155" t="str">
        <f t="shared" si="15"/>
        <v>-</v>
      </c>
      <c r="B49" s="154" t="str">
        <f t="shared" si="20"/>
        <v/>
      </c>
      <c r="C49" s="153" t="str">
        <f t="shared" si="21"/>
        <v/>
      </c>
      <c r="D49" s="152" t="str">
        <f t="shared" si="16"/>
        <v>-</v>
      </c>
      <c r="E49" s="151" t="str">
        <f>+IF($B49="","",Summary!$P$4)</f>
        <v/>
      </c>
      <c r="F49" s="151" t="str">
        <f>+IF($B49="","",Summary!$P$5)</f>
        <v/>
      </c>
      <c r="G49" s="151" t="str">
        <f>+IF($B49="","",Summary!$P$6)</f>
        <v/>
      </c>
      <c r="H49" s="150" t="str">
        <f t="shared" si="17"/>
        <v/>
      </c>
      <c r="I49" s="148"/>
      <c r="J49" s="149"/>
      <c r="K49" s="148"/>
      <c r="L49" s="148"/>
      <c r="M49" s="148"/>
      <c r="N49" s="149" t="e">
        <f t="shared" si="3"/>
        <v>#REF!</v>
      </c>
      <c r="O49" s="149" t="e">
        <f>COUNTIFS(#REF!,"&gt;="&amp;DATE($C49,$B49,1),#REF!,"&lt;="&amp;EOMONTH(DATE($C49,$B49,1),0),#REF!,"Incident")+
COUNTIFS(#REF!,"&gt;="&amp;DATE($C49,$B49,1),#REF!,"&lt;="&amp;EOMONTH(DATE($C49,$B49,1),0),#REF!,"user_request")</f>
        <v>#REF!</v>
      </c>
      <c r="P49" s="147">
        <f t="shared" si="22"/>
        <v>0</v>
      </c>
      <c r="Q49" s="147">
        <f t="shared" si="23"/>
        <v>0</v>
      </c>
      <c r="R49" s="147">
        <f t="shared" si="24"/>
        <v>0</v>
      </c>
      <c r="S49" s="146" t="e">
        <f t="shared" si="25"/>
        <v>#REF!</v>
      </c>
      <c r="T49" s="146" t="e">
        <f t="shared" si="26"/>
        <v>#REF!</v>
      </c>
      <c r="U49" s="145">
        <f t="shared" si="18"/>
        <v>0</v>
      </c>
      <c r="V49" s="145" t="e">
        <f t="shared" si="19"/>
        <v>#REF!</v>
      </c>
      <c r="W49" s="142">
        <v>46</v>
      </c>
      <c r="X49" s="142" t="str">
        <f>+IF((VLOOKUP(A49,List!B:C,2,0)-VLOOKUP(Summary!$P$7,List!B:C,2,0))=0,1,"")</f>
        <v/>
      </c>
      <c r="Y49" s="198">
        <f>+IF((VLOOKUP(A49,List!B:C,2,0)-VLOOKUP(Summary!$P$7,List!B:C,2,0))&gt;=0,1,"")</f>
        <v>1</v>
      </c>
      <c r="Z49" s="198">
        <f>+IF((VLOOKUP(A49,List!B:C,2,0)-VLOOKUP(Summary!$P$7,List!B:C,2,0))&gt;0,1,"")</f>
        <v>1</v>
      </c>
      <c r="AA49" s="141">
        <f t="shared" si="6"/>
        <v>2</v>
      </c>
      <c r="AB49" s="199" t="str">
        <f>+IF(AA49="","",IF(Summary!$J$7="Fixed Price","",IF(M49="",IF(I49="","",1),"")))</f>
        <v/>
      </c>
      <c r="AC49" s="198">
        <f t="shared" si="14"/>
        <v>0</v>
      </c>
    </row>
    <row r="50" spans="1:29" x14ac:dyDescent="0.2">
      <c r="A50" s="155" t="str">
        <f t="shared" si="15"/>
        <v>-</v>
      </c>
      <c r="B50" s="154" t="str">
        <f t="shared" si="20"/>
        <v/>
      </c>
      <c r="C50" s="153" t="str">
        <f t="shared" si="21"/>
        <v/>
      </c>
      <c r="D50" s="152" t="str">
        <f t="shared" si="16"/>
        <v>-</v>
      </c>
      <c r="E50" s="159" t="str">
        <f>+IF($B50="","",Summary!$P$4)</f>
        <v/>
      </c>
      <c r="F50" s="159" t="str">
        <f>+IF($B50="","",Summary!$P$5)</f>
        <v/>
      </c>
      <c r="G50" s="159" t="str">
        <f>+IF($B50="","",Summary!$P$6)</f>
        <v/>
      </c>
      <c r="H50" s="158" t="str">
        <f t="shared" si="17"/>
        <v/>
      </c>
      <c r="I50" s="156"/>
      <c r="J50" s="157"/>
      <c r="K50" s="156"/>
      <c r="L50" s="156"/>
      <c r="M50" s="156"/>
      <c r="N50" s="157" t="e">
        <f t="shared" si="3"/>
        <v>#REF!</v>
      </c>
      <c r="O50" s="157" t="e">
        <f>COUNTIFS(#REF!,"&gt;="&amp;DATE($C50,$B50,1),#REF!,"&lt;="&amp;EOMONTH(DATE($C50,$B50,1),0),#REF!,"Incident")+
COUNTIFS(#REF!,"&gt;="&amp;DATE($C50,$B50,1),#REF!,"&lt;="&amp;EOMONTH(DATE($C50,$B50,1),0),#REF!,"user_request")</f>
        <v>#REF!</v>
      </c>
      <c r="P50" s="147">
        <f t="shared" si="22"/>
        <v>0</v>
      </c>
      <c r="Q50" s="147">
        <f t="shared" si="23"/>
        <v>0</v>
      </c>
      <c r="R50" s="147">
        <f t="shared" si="24"/>
        <v>0</v>
      </c>
      <c r="S50" s="146" t="e">
        <f t="shared" si="25"/>
        <v>#REF!</v>
      </c>
      <c r="T50" s="146" t="e">
        <f t="shared" si="26"/>
        <v>#REF!</v>
      </c>
      <c r="U50" s="145">
        <f t="shared" si="18"/>
        <v>0</v>
      </c>
      <c r="V50" s="145" t="e">
        <f t="shared" si="19"/>
        <v>#REF!</v>
      </c>
      <c r="W50" s="142">
        <v>47</v>
      </c>
      <c r="X50" s="142" t="str">
        <f>+IF((VLOOKUP(A50,List!B:C,2,0)-VLOOKUP(Summary!$P$7,List!B:C,2,0))=0,1,"")</f>
        <v/>
      </c>
      <c r="Y50" s="198">
        <f>+IF((VLOOKUP(A50,List!B:C,2,0)-VLOOKUP(Summary!$P$7,List!B:C,2,0))&gt;=0,1,"")</f>
        <v>1</v>
      </c>
      <c r="Z50" s="198">
        <f>+IF((VLOOKUP(A50,List!B:C,2,0)-VLOOKUP(Summary!$P$7,List!B:C,2,0))&gt;0,1,"")</f>
        <v>1</v>
      </c>
      <c r="AA50" s="141">
        <f t="shared" si="6"/>
        <v>2</v>
      </c>
      <c r="AB50" s="199" t="str">
        <f>+IF(AA50="","",IF(Summary!$J$7="Fixed Price","",IF(M50="",IF(I50="","",1),"")))</f>
        <v/>
      </c>
      <c r="AC50" s="198">
        <f t="shared" si="14"/>
        <v>0</v>
      </c>
    </row>
    <row r="51" spans="1:29" x14ac:dyDescent="0.2">
      <c r="A51" s="155" t="str">
        <f t="shared" si="15"/>
        <v>-</v>
      </c>
      <c r="B51" s="154" t="str">
        <f t="shared" si="20"/>
        <v/>
      </c>
      <c r="C51" s="153" t="str">
        <f t="shared" si="21"/>
        <v/>
      </c>
      <c r="D51" s="152" t="str">
        <f t="shared" si="16"/>
        <v>-</v>
      </c>
      <c r="E51" s="151" t="str">
        <f>+IF($B51="","",Summary!$P$4)</f>
        <v/>
      </c>
      <c r="F51" s="151" t="str">
        <f>+IF($B51="","",Summary!$P$5)</f>
        <v/>
      </c>
      <c r="G51" s="151" t="str">
        <f>+IF($B51="","",Summary!$P$6)</f>
        <v/>
      </c>
      <c r="H51" s="150" t="str">
        <f t="shared" si="17"/>
        <v/>
      </c>
      <c r="I51" s="148"/>
      <c r="J51" s="149"/>
      <c r="K51" s="148"/>
      <c r="L51" s="148"/>
      <c r="M51" s="148"/>
      <c r="N51" s="149" t="e">
        <f t="shared" si="3"/>
        <v>#REF!</v>
      </c>
      <c r="O51" s="149" t="e">
        <f>COUNTIFS(#REF!,"&gt;="&amp;DATE($C51,$B51,1),#REF!,"&lt;="&amp;EOMONTH(DATE($C51,$B51,1),0),#REF!,"Incident")+
COUNTIFS(#REF!,"&gt;="&amp;DATE($C51,$B51,1),#REF!,"&lt;="&amp;EOMONTH(DATE($C51,$B51,1),0),#REF!,"user_request")</f>
        <v>#REF!</v>
      </c>
      <c r="P51" s="147">
        <f t="shared" si="22"/>
        <v>0</v>
      </c>
      <c r="Q51" s="147">
        <f t="shared" si="23"/>
        <v>0</v>
      </c>
      <c r="R51" s="147">
        <f t="shared" si="24"/>
        <v>0</v>
      </c>
      <c r="S51" s="146" t="e">
        <f t="shared" si="25"/>
        <v>#REF!</v>
      </c>
      <c r="T51" s="146" t="e">
        <f t="shared" si="26"/>
        <v>#REF!</v>
      </c>
      <c r="U51" s="145">
        <f t="shared" si="18"/>
        <v>0</v>
      </c>
      <c r="V51" s="145" t="e">
        <f t="shared" si="19"/>
        <v>#REF!</v>
      </c>
      <c r="W51" s="142">
        <v>48</v>
      </c>
      <c r="X51" s="142" t="str">
        <f>+IF((VLOOKUP(A51,List!B:C,2,0)-VLOOKUP(Summary!$P$7,List!B:C,2,0))=0,1,"")</f>
        <v/>
      </c>
      <c r="Y51" s="198">
        <f>+IF((VLOOKUP(A51,List!B:C,2,0)-VLOOKUP(Summary!$P$7,List!B:C,2,0))&gt;=0,1,"")</f>
        <v>1</v>
      </c>
      <c r="Z51" s="198">
        <f>+IF((VLOOKUP(A51,List!B:C,2,0)-VLOOKUP(Summary!$P$7,List!B:C,2,0))&gt;0,1,"")</f>
        <v>1</v>
      </c>
      <c r="AA51" s="141">
        <f t="shared" si="6"/>
        <v>2</v>
      </c>
      <c r="AB51" s="199" t="str">
        <f>+IF(AA51="","",IF(Summary!$J$7="Fixed Price","",IF(M51="",IF(I51="","",1),"")))</f>
        <v/>
      </c>
      <c r="AC51" s="198">
        <f t="shared" si="14"/>
        <v>0</v>
      </c>
    </row>
    <row r="52" spans="1:29" x14ac:dyDescent="0.2">
      <c r="A52" s="155" t="str">
        <f t="shared" si="15"/>
        <v>-</v>
      </c>
      <c r="B52" s="154" t="str">
        <f t="shared" si="20"/>
        <v/>
      </c>
      <c r="C52" s="153" t="str">
        <f t="shared" si="21"/>
        <v/>
      </c>
      <c r="D52" s="152" t="str">
        <f t="shared" si="16"/>
        <v>-</v>
      </c>
      <c r="E52" s="159" t="str">
        <f>+IF($B52="","",Summary!$P$4)</f>
        <v/>
      </c>
      <c r="F52" s="159" t="str">
        <f>+IF($B52="","",Summary!$P$5)</f>
        <v/>
      </c>
      <c r="G52" s="159" t="str">
        <f>+IF($B52="","",Summary!$P$6)</f>
        <v/>
      </c>
      <c r="H52" s="158" t="str">
        <f t="shared" si="17"/>
        <v/>
      </c>
      <c r="I52" s="156"/>
      <c r="J52" s="157"/>
      <c r="K52" s="156"/>
      <c r="L52" s="156"/>
      <c r="M52" s="156"/>
      <c r="N52" s="157" t="e">
        <f t="shared" si="3"/>
        <v>#REF!</v>
      </c>
      <c r="O52" s="157" t="e">
        <f>COUNTIFS(#REF!,"&gt;="&amp;DATE($C52,$B52,1),#REF!,"&lt;="&amp;EOMONTH(DATE($C52,$B52,1),0),#REF!,"Incident")+
COUNTIFS(#REF!,"&gt;="&amp;DATE($C52,$B52,1),#REF!,"&lt;="&amp;EOMONTH(DATE($C52,$B52,1),0),#REF!,"user_request")</f>
        <v>#REF!</v>
      </c>
      <c r="P52" s="147">
        <f t="shared" si="22"/>
        <v>0</v>
      </c>
      <c r="Q52" s="147">
        <f t="shared" si="23"/>
        <v>0</v>
      </c>
      <c r="R52" s="147">
        <f t="shared" si="24"/>
        <v>0</v>
      </c>
      <c r="S52" s="146" t="e">
        <f t="shared" si="25"/>
        <v>#REF!</v>
      </c>
      <c r="T52" s="146" t="e">
        <f t="shared" si="26"/>
        <v>#REF!</v>
      </c>
      <c r="U52" s="145">
        <f t="shared" si="18"/>
        <v>0</v>
      </c>
      <c r="V52" s="145" t="e">
        <f t="shared" si="19"/>
        <v>#REF!</v>
      </c>
      <c r="W52" s="142">
        <v>45</v>
      </c>
      <c r="X52" s="142" t="str">
        <f>+IF((VLOOKUP(A52,List!B:C,2,0)-VLOOKUP(Summary!$P$7,List!B:C,2,0))=0,1,"")</f>
        <v/>
      </c>
      <c r="Y52" s="198">
        <f>+IF((VLOOKUP(A52,List!B:C,2,0)-VLOOKUP(Summary!$P$7,List!B:C,2,0))&gt;=0,1,"")</f>
        <v>1</v>
      </c>
      <c r="Z52" s="198">
        <f>+IF((VLOOKUP(A52,List!B:C,2,0)-VLOOKUP(Summary!$P$7,List!B:C,2,0))&gt;0,1,"")</f>
        <v>1</v>
      </c>
      <c r="AA52" s="141">
        <f t="shared" si="6"/>
        <v>2</v>
      </c>
      <c r="AB52" s="199" t="str">
        <f>+IF(AA52="","",IF(Summary!$J$7="Fixed Price","",IF(M52="",IF(I52="","",1),"")))</f>
        <v/>
      </c>
      <c r="AC52" s="198">
        <f t="shared" si="14"/>
        <v>0</v>
      </c>
    </row>
    <row r="53" spans="1:29" x14ac:dyDescent="0.2">
      <c r="A53" s="155" t="str">
        <f t="shared" si="15"/>
        <v>-</v>
      </c>
      <c r="B53" s="154" t="str">
        <f t="shared" si="20"/>
        <v/>
      </c>
      <c r="C53" s="153" t="str">
        <f t="shared" si="21"/>
        <v/>
      </c>
      <c r="D53" s="152" t="str">
        <f t="shared" si="16"/>
        <v>-</v>
      </c>
      <c r="E53" s="151" t="str">
        <f>+IF($B53="","",Summary!$P$4)</f>
        <v/>
      </c>
      <c r="F53" s="151" t="str">
        <f>+IF($B53="","",Summary!$P$5)</f>
        <v/>
      </c>
      <c r="G53" s="151" t="str">
        <f>+IF($B53="","",Summary!$P$6)</f>
        <v/>
      </c>
      <c r="H53" s="150" t="str">
        <f t="shared" si="17"/>
        <v/>
      </c>
      <c r="I53" s="148"/>
      <c r="J53" s="149"/>
      <c r="K53" s="148"/>
      <c r="L53" s="148"/>
      <c r="M53" s="148"/>
      <c r="N53" s="149" t="e">
        <f t="shared" si="3"/>
        <v>#REF!</v>
      </c>
      <c r="O53" s="149" t="e">
        <f>COUNTIFS(#REF!,"&gt;="&amp;DATE($C53,$B53,1),#REF!,"&lt;="&amp;EOMONTH(DATE($C53,$B53,1),0),#REF!,"Incident")+
COUNTIFS(#REF!,"&gt;="&amp;DATE($C53,$B53,1),#REF!,"&lt;="&amp;EOMONTH(DATE($C53,$B53,1),0),#REF!,"user_request")</f>
        <v>#REF!</v>
      </c>
      <c r="P53" s="147">
        <f t="shared" si="22"/>
        <v>0</v>
      </c>
      <c r="Q53" s="147">
        <f t="shared" si="23"/>
        <v>0</v>
      </c>
      <c r="R53" s="147">
        <f t="shared" si="24"/>
        <v>0</v>
      </c>
      <c r="S53" s="146" t="e">
        <f t="shared" si="25"/>
        <v>#REF!</v>
      </c>
      <c r="T53" s="146" t="e">
        <f t="shared" si="26"/>
        <v>#REF!</v>
      </c>
      <c r="U53" s="145">
        <f t="shared" si="18"/>
        <v>0</v>
      </c>
      <c r="V53" s="145" t="e">
        <f t="shared" si="19"/>
        <v>#REF!</v>
      </c>
      <c r="W53" s="142">
        <v>46</v>
      </c>
      <c r="X53" s="142" t="str">
        <f>+IF((VLOOKUP(A53,List!B:C,2,0)-VLOOKUP(Summary!$P$7,List!B:C,2,0))=0,1,"")</f>
        <v/>
      </c>
      <c r="Y53" s="198">
        <f>+IF((VLOOKUP(A53,List!B:C,2,0)-VLOOKUP(Summary!$P$7,List!B:C,2,0))&gt;=0,1,"")</f>
        <v>1</v>
      </c>
      <c r="Z53" s="198">
        <f>+IF((VLOOKUP(A53,List!B:C,2,0)-VLOOKUP(Summary!$P$7,List!B:C,2,0))&gt;0,1,"")</f>
        <v>1</v>
      </c>
      <c r="AA53" s="141">
        <f t="shared" si="6"/>
        <v>2</v>
      </c>
      <c r="AB53" s="199" t="str">
        <f>+IF(AA53="","",IF(Summary!$J$7="Fixed Price","",IF(M53="",IF(I53="","",1),"")))</f>
        <v/>
      </c>
      <c r="AC53" s="198">
        <f t="shared" si="14"/>
        <v>0</v>
      </c>
    </row>
    <row r="54" spans="1:29" x14ac:dyDescent="0.2">
      <c r="A54" s="155" t="str">
        <f t="shared" si="15"/>
        <v>-</v>
      </c>
      <c r="B54" s="154" t="str">
        <f t="shared" si="20"/>
        <v/>
      </c>
      <c r="C54" s="153" t="str">
        <f t="shared" si="21"/>
        <v/>
      </c>
      <c r="D54" s="152" t="str">
        <f t="shared" si="16"/>
        <v>-</v>
      </c>
      <c r="E54" s="159" t="str">
        <f>+IF($B54="","",Summary!$P$4)</f>
        <v/>
      </c>
      <c r="F54" s="159" t="str">
        <f>+IF($B54="","",Summary!$P$5)</f>
        <v/>
      </c>
      <c r="G54" s="159" t="str">
        <f>+IF($B54="","",Summary!$P$6)</f>
        <v/>
      </c>
      <c r="H54" s="158" t="str">
        <f t="shared" si="17"/>
        <v/>
      </c>
      <c r="I54" s="156"/>
      <c r="J54" s="157"/>
      <c r="K54" s="156"/>
      <c r="L54" s="156"/>
      <c r="M54" s="156"/>
      <c r="N54" s="157" t="e">
        <f t="shared" si="3"/>
        <v>#REF!</v>
      </c>
      <c r="O54" s="157" t="e">
        <f>COUNTIFS(#REF!,"&gt;="&amp;DATE($C54,$B54,1),#REF!,"&lt;="&amp;EOMONTH(DATE($C54,$B54,1),0),#REF!,"Incident")+
COUNTIFS(#REF!,"&gt;="&amp;DATE($C54,$B54,1),#REF!,"&lt;="&amp;EOMONTH(DATE($C54,$B54,1),0),#REF!,"user_request")</f>
        <v>#REF!</v>
      </c>
      <c r="P54" s="147">
        <f t="shared" si="22"/>
        <v>0</v>
      </c>
      <c r="Q54" s="147">
        <f t="shared" si="23"/>
        <v>0</v>
      </c>
      <c r="R54" s="147">
        <f t="shared" si="24"/>
        <v>0</v>
      </c>
      <c r="S54" s="146" t="e">
        <f t="shared" si="25"/>
        <v>#REF!</v>
      </c>
      <c r="T54" s="146" t="e">
        <f t="shared" si="26"/>
        <v>#REF!</v>
      </c>
      <c r="U54" s="145">
        <f t="shared" si="18"/>
        <v>0</v>
      </c>
      <c r="V54" s="145" t="e">
        <f t="shared" si="19"/>
        <v>#REF!</v>
      </c>
      <c r="W54" s="142">
        <v>47</v>
      </c>
      <c r="X54" s="142" t="str">
        <f>+IF((VLOOKUP(A54,List!B:C,2,0)-VLOOKUP(Summary!$P$7,List!B:C,2,0))=0,1,"")</f>
        <v/>
      </c>
      <c r="Y54" s="198">
        <f>+IF((VLOOKUP(A54,List!B:C,2,0)-VLOOKUP(Summary!$P$7,List!B:C,2,0))&gt;=0,1,"")</f>
        <v>1</v>
      </c>
      <c r="Z54" s="198">
        <f>+IF((VLOOKUP(A54,List!B:C,2,0)-VLOOKUP(Summary!$P$7,List!B:C,2,0))&gt;0,1,"")</f>
        <v>1</v>
      </c>
      <c r="AA54" s="141">
        <f t="shared" si="6"/>
        <v>2</v>
      </c>
      <c r="AB54" s="199" t="str">
        <f>+IF(AA54="","",IF(Summary!$J$7="Fixed Price","",IF(M54="",IF(I54="","",1),"")))</f>
        <v/>
      </c>
      <c r="AC54" s="198">
        <f t="shared" si="14"/>
        <v>0</v>
      </c>
    </row>
    <row r="55" spans="1:29" x14ac:dyDescent="0.2">
      <c r="A55" s="155" t="str">
        <f t="shared" si="15"/>
        <v>-</v>
      </c>
      <c r="B55" s="154" t="str">
        <f t="shared" si="20"/>
        <v/>
      </c>
      <c r="C55" s="153" t="str">
        <f t="shared" si="21"/>
        <v/>
      </c>
      <c r="D55" s="152" t="str">
        <f t="shared" si="16"/>
        <v>-</v>
      </c>
      <c r="E55" s="151" t="str">
        <f>+IF($B55="","",Summary!$P$4)</f>
        <v/>
      </c>
      <c r="F55" s="151" t="str">
        <f>+IF($B55="","",Summary!$P$5)</f>
        <v/>
      </c>
      <c r="G55" s="151" t="str">
        <f>+IF($B55="","",Summary!$P$6)</f>
        <v/>
      </c>
      <c r="H55" s="150" t="str">
        <f t="shared" si="17"/>
        <v/>
      </c>
      <c r="I55" s="148"/>
      <c r="J55" s="149"/>
      <c r="K55" s="148"/>
      <c r="L55" s="148"/>
      <c r="M55" s="148"/>
      <c r="N55" s="149" t="e">
        <f t="shared" si="3"/>
        <v>#REF!</v>
      </c>
      <c r="O55" s="149" t="e">
        <f>COUNTIFS(#REF!,"&gt;="&amp;DATE($C55,$B55,1),#REF!,"&lt;="&amp;EOMONTH(DATE($C55,$B55,1),0),#REF!,"Incident")+
COUNTIFS(#REF!,"&gt;="&amp;DATE($C55,$B55,1),#REF!,"&lt;="&amp;EOMONTH(DATE($C55,$B55,1),0),#REF!,"user_request")</f>
        <v>#REF!</v>
      </c>
      <c r="P55" s="147">
        <f t="shared" si="22"/>
        <v>0</v>
      </c>
      <c r="Q55" s="147">
        <f t="shared" si="23"/>
        <v>0</v>
      </c>
      <c r="R55" s="147">
        <f t="shared" si="24"/>
        <v>0</v>
      </c>
      <c r="S55" s="146" t="e">
        <f t="shared" si="25"/>
        <v>#REF!</v>
      </c>
      <c r="T55" s="146" t="e">
        <f t="shared" si="26"/>
        <v>#REF!</v>
      </c>
      <c r="U55" s="145">
        <f t="shared" si="18"/>
        <v>0</v>
      </c>
      <c r="V55" s="145" t="e">
        <f t="shared" si="19"/>
        <v>#REF!</v>
      </c>
      <c r="W55" s="142">
        <v>48</v>
      </c>
      <c r="X55" s="142" t="str">
        <f>+IF((VLOOKUP(A55,List!B:C,2,0)-VLOOKUP(Summary!$P$7,List!B:C,2,0))=0,1,"")</f>
        <v/>
      </c>
      <c r="Y55" s="198">
        <f>+IF((VLOOKUP(A55,List!B:C,2,0)-VLOOKUP(Summary!$P$7,List!B:C,2,0))&gt;=0,1,"")</f>
        <v>1</v>
      </c>
      <c r="Z55" s="198">
        <f>+IF((VLOOKUP(A55,List!B:C,2,0)-VLOOKUP(Summary!$P$7,List!B:C,2,0))&gt;0,1,"")</f>
        <v>1</v>
      </c>
      <c r="AA55" s="141">
        <f t="shared" si="6"/>
        <v>2</v>
      </c>
      <c r="AB55" s="199" t="str">
        <f>+IF(AA55="","",IF(Summary!$J$7="Fixed Price","",IF(M55="",IF(I55="","",1),"")))</f>
        <v/>
      </c>
      <c r="AC55" s="198">
        <f t="shared" si="14"/>
        <v>0</v>
      </c>
    </row>
    <row r="56" spans="1:29" x14ac:dyDescent="0.2">
      <c r="A56" s="155" t="str">
        <f t="shared" si="15"/>
        <v>-</v>
      </c>
      <c r="B56" s="154" t="str">
        <f t="shared" si="20"/>
        <v/>
      </c>
      <c r="C56" s="153" t="str">
        <f t="shared" si="21"/>
        <v/>
      </c>
      <c r="D56" s="152" t="str">
        <f t="shared" si="16"/>
        <v>-</v>
      </c>
      <c r="E56" s="159" t="str">
        <f>+IF($B56="","",Summary!$P$4)</f>
        <v/>
      </c>
      <c r="F56" s="159" t="str">
        <f>+IF($B56="","",Summary!$P$5)</f>
        <v/>
      </c>
      <c r="G56" s="159" t="str">
        <f>+IF($B56="","",Summary!$P$6)</f>
        <v/>
      </c>
      <c r="H56" s="158" t="str">
        <f t="shared" si="17"/>
        <v/>
      </c>
      <c r="I56" s="156"/>
      <c r="J56" s="157"/>
      <c r="K56" s="156"/>
      <c r="L56" s="156"/>
      <c r="M56" s="156"/>
      <c r="N56" s="157" t="e">
        <f t="shared" si="3"/>
        <v>#REF!</v>
      </c>
      <c r="O56" s="157" t="e">
        <f>COUNTIFS(#REF!,"&gt;="&amp;DATE($C56,$B56,1),#REF!,"&lt;="&amp;EOMONTH(DATE($C56,$B56,1),0),#REF!,"Incident")+
COUNTIFS(#REF!,"&gt;="&amp;DATE($C56,$B56,1),#REF!,"&lt;="&amp;EOMONTH(DATE($C56,$B56,1),0),#REF!,"user_request")</f>
        <v>#REF!</v>
      </c>
      <c r="P56" s="147">
        <f t="shared" si="22"/>
        <v>0</v>
      </c>
      <c r="Q56" s="147">
        <f t="shared" si="23"/>
        <v>0</v>
      </c>
      <c r="R56" s="147">
        <f t="shared" si="24"/>
        <v>0</v>
      </c>
      <c r="S56" s="146" t="e">
        <f t="shared" si="25"/>
        <v>#REF!</v>
      </c>
      <c r="T56" s="146" t="e">
        <f t="shared" si="26"/>
        <v>#REF!</v>
      </c>
      <c r="U56" s="145">
        <f t="shared" si="18"/>
        <v>0</v>
      </c>
      <c r="V56" s="145" t="e">
        <f t="shared" si="19"/>
        <v>#REF!</v>
      </c>
      <c r="W56" s="142">
        <v>45</v>
      </c>
      <c r="X56" s="142" t="str">
        <f>+IF((VLOOKUP(A56,List!B:C,2,0)-VLOOKUP(Summary!$P$7,List!B:C,2,0))=0,1,"")</f>
        <v/>
      </c>
      <c r="Y56" s="198">
        <f>+IF((VLOOKUP(A56,List!B:C,2,0)-VLOOKUP(Summary!$P$7,List!B:C,2,0))&gt;=0,1,"")</f>
        <v>1</v>
      </c>
      <c r="Z56" s="198">
        <f>+IF((VLOOKUP(A56,List!B:C,2,0)-VLOOKUP(Summary!$P$7,List!B:C,2,0))&gt;0,1,"")</f>
        <v>1</v>
      </c>
      <c r="AA56" s="141">
        <f t="shared" si="6"/>
        <v>2</v>
      </c>
      <c r="AB56" s="199" t="str">
        <f>+IF(AA56="","",IF(Summary!$J$7="Fixed Price","",IF(M56="",IF(I56="","",1),"")))</f>
        <v/>
      </c>
      <c r="AC56" s="198">
        <f t="shared" si="14"/>
        <v>0</v>
      </c>
    </row>
    <row r="57" spans="1:29" x14ac:dyDescent="0.2">
      <c r="A57" s="155" t="str">
        <f t="shared" si="15"/>
        <v>-</v>
      </c>
      <c r="B57" s="154" t="str">
        <f t="shared" si="20"/>
        <v/>
      </c>
      <c r="C57" s="153" t="str">
        <f t="shared" si="21"/>
        <v/>
      </c>
      <c r="D57" s="152" t="str">
        <f t="shared" si="16"/>
        <v>-</v>
      </c>
      <c r="E57" s="151" t="str">
        <f>+IF($B57="","",Summary!$P$4)</f>
        <v/>
      </c>
      <c r="F57" s="151" t="str">
        <f>+IF($B57="","",Summary!$P$5)</f>
        <v/>
      </c>
      <c r="G57" s="151" t="str">
        <f>+IF($B57="","",Summary!$P$6)</f>
        <v/>
      </c>
      <c r="H57" s="150" t="str">
        <f t="shared" si="17"/>
        <v/>
      </c>
      <c r="I57" s="148"/>
      <c r="J57" s="149"/>
      <c r="K57" s="148"/>
      <c r="L57" s="148"/>
      <c r="M57" s="148"/>
      <c r="N57" s="149" t="e">
        <f t="shared" si="3"/>
        <v>#REF!</v>
      </c>
      <c r="O57" s="149" t="e">
        <f>COUNTIFS(#REF!,"&gt;="&amp;DATE($C57,$B57,1),#REF!,"&lt;="&amp;EOMONTH(DATE($C57,$B57,1),0),#REF!,"Incident")+
COUNTIFS(#REF!,"&gt;="&amp;DATE($C57,$B57,1),#REF!,"&lt;="&amp;EOMONTH(DATE($C57,$B57,1),0),#REF!,"user_request")</f>
        <v>#REF!</v>
      </c>
      <c r="P57" s="147">
        <f t="shared" si="22"/>
        <v>0</v>
      </c>
      <c r="Q57" s="147">
        <f t="shared" si="23"/>
        <v>0</v>
      </c>
      <c r="R57" s="147">
        <f t="shared" si="24"/>
        <v>0</v>
      </c>
      <c r="S57" s="146" t="e">
        <f t="shared" si="25"/>
        <v>#REF!</v>
      </c>
      <c r="T57" s="146" t="e">
        <f t="shared" si="26"/>
        <v>#REF!</v>
      </c>
      <c r="U57" s="145">
        <f t="shared" si="18"/>
        <v>0</v>
      </c>
      <c r="V57" s="145" t="e">
        <f t="shared" si="19"/>
        <v>#REF!</v>
      </c>
      <c r="W57" s="142">
        <v>46</v>
      </c>
      <c r="X57" s="142" t="str">
        <f>+IF((VLOOKUP(A57,List!B:C,2,0)-VLOOKUP(Summary!$P$7,List!B:C,2,0))=0,1,"")</f>
        <v/>
      </c>
      <c r="Y57" s="198">
        <f>+IF((VLOOKUP(A57,List!B:C,2,0)-VLOOKUP(Summary!$P$7,List!B:C,2,0))&gt;=0,1,"")</f>
        <v>1</v>
      </c>
      <c r="Z57" s="198">
        <f>+IF((VLOOKUP(A57,List!B:C,2,0)-VLOOKUP(Summary!$P$7,List!B:C,2,0))&gt;0,1,"")</f>
        <v>1</v>
      </c>
      <c r="AA57" s="141">
        <f t="shared" si="6"/>
        <v>2</v>
      </c>
      <c r="AB57" s="199" t="str">
        <f>+IF(AA57="","",IF(Summary!$J$7="Fixed Price","",IF(M57="",IF(I57="","",1),"")))</f>
        <v/>
      </c>
      <c r="AC57" s="198">
        <f t="shared" si="14"/>
        <v>0</v>
      </c>
    </row>
    <row r="58" spans="1:29" x14ac:dyDescent="0.2">
      <c r="A58" s="155" t="str">
        <f t="shared" si="15"/>
        <v>-</v>
      </c>
      <c r="B58" s="154" t="str">
        <f t="shared" si="20"/>
        <v/>
      </c>
      <c r="C58" s="153" t="str">
        <f t="shared" si="21"/>
        <v/>
      </c>
      <c r="D58" s="152" t="str">
        <f t="shared" si="16"/>
        <v>-</v>
      </c>
      <c r="E58" s="159" t="str">
        <f>+IF($B58="","",Summary!$P$4)</f>
        <v/>
      </c>
      <c r="F58" s="159" t="str">
        <f>+IF($B58="","",Summary!$P$5)</f>
        <v/>
      </c>
      <c r="G58" s="159" t="str">
        <f>+IF($B58="","",Summary!$P$6)</f>
        <v/>
      </c>
      <c r="H58" s="158" t="str">
        <f t="shared" si="17"/>
        <v/>
      </c>
      <c r="I58" s="156"/>
      <c r="J58" s="157"/>
      <c r="K58" s="156"/>
      <c r="L58" s="156"/>
      <c r="M58" s="156"/>
      <c r="N58" s="157" t="e">
        <f t="shared" si="3"/>
        <v>#REF!</v>
      </c>
      <c r="O58" s="157" t="e">
        <f>COUNTIFS(#REF!,"&gt;="&amp;DATE($C58,$B58,1),#REF!,"&lt;="&amp;EOMONTH(DATE($C58,$B58,1),0),#REF!,"Incident")+
COUNTIFS(#REF!,"&gt;="&amp;DATE($C58,$B58,1),#REF!,"&lt;="&amp;EOMONTH(DATE($C58,$B58,1),0),#REF!,"user_request")</f>
        <v>#REF!</v>
      </c>
      <c r="P58" s="147">
        <f t="shared" si="22"/>
        <v>0</v>
      </c>
      <c r="Q58" s="147">
        <f t="shared" si="23"/>
        <v>0</v>
      </c>
      <c r="R58" s="147">
        <f t="shared" si="24"/>
        <v>0</v>
      </c>
      <c r="S58" s="146" t="e">
        <f t="shared" si="25"/>
        <v>#REF!</v>
      </c>
      <c r="T58" s="146" t="e">
        <f t="shared" si="26"/>
        <v>#REF!</v>
      </c>
      <c r="U58" s="145">
        <f t="shared" si="18"/>
        <v>0</v>
      </c>
      <c r="V58" s="145" t="e">
        <f t="shared" si="19"/>
        <v>#REF!</v>
      </c>
      <c r="W58" s="142">
        <v>47</v>
      </c>
      <c r="X58" s="142" t="str">
        <f>+IF((VLOOKUP(A58,List!B:C,2,0)-VLOOKUP(Summary!$P$7,List!B:C,2,0))=0,1,"")</f>
        <v/>
      </c>
      <c r="Y58" s="198">
        <f>+IF((VLOOKUP(A58,List!B:C,2,0)-VLOOKUP(Summary!$P$7,List!B:C,2,0))&gt;=0,1,"")</f>
        <v>1</v>
      </c>
      <c r="Z58" s="198">
        <f>+IF((VLOOKUP(A58,List!B:C,2,0)-VLOOKUP(Summary!$P$7,List!B:C,2,0))&gt;0,1,"")</f>
        <v>1</v>
      </c>
      <c r="AA58" s="141">
        <f t="shared" si="6"/>
        <v>2</v>
      </c>
      <c r="AB58" s="199" t="str">
        <f>+IF(AA58="","",IF(Summary!$J$7="Fixed Price","",IF(M58="",IF(I58="","",1),"")))</f>
        <v/>
      </c>
      <c r="AC58" s="198">
        <f t="shared" si="14"/>
        <v>0</v>
      </c>
    </row>
    <row r="59" spans="1:29" x14ac:dyDescent="0.2">
      <c r="A59" s="155" t="str">
        <f t="shared" si="15"/>
        <v>-</v>
      </c>
      <c r="B59" s="154" t="str">
        <f t="shared" si="20"/>
        <v/>
      </c>
      <c r="C59" s="153" t="str">
        <f t="shared" si="21"/>
        <v/>
      </c>
      <c r="D59" s="152" t="str">
        <f t="shared" si="16"/>
        <v>-</v>
      </c>
      <c r="E59" s="151" t="str">
        <f>+IF($B59="","",Summary!$P$4)</f>
        <v/>
      </c>
      <c r="F59" s="151" t="str">
        <f>+IF($B59="","",Summary!$P$5)</f>
        <v/>
      </c>
      <c r="G59" s="151" t="str">
        <f>+IF($B59="","",Summary!$P$6)</f>
        <v/>
      </c>
      <c r="H59" s="150" t="str">
        <f t="shared" si="17"/>
        <v/>
      </c>
      <c r="I59" s="148"/>
      <c r="J59" s="149"/>
      <c r="K59" s="148"/>
      <c r="L59" s="148"/>
      <c r="M59" s="148"/>
      <c r="N59" s="149" t="e">
        <f t="shared" si="3"/>
        <v>#REF!</v>
      </c>
      <c r="O59" s="149" t="e">
        <f>COUNTIFS(#REF!,"&gt;="&amp;DATE($C59,$B59,1),#REF!,"&lt;="&amp;EOMONTH(DATE($C59,$B59,1),0),#REF!,"Incident")+
COUNTIFS(#REF!,"&gt;="&amp;DATE($C59,$B59,1),#REF!,"&lt;="&amp;EOMONTH(DATE($C59,$B59,1),0),#REF!,"user_request")</f>
        <v>#REF!</v>
      </c>
      <c r="P59" s="147">
        <f t="shared" si="22"/>
        <v>0</v>
      </c>
      <c r="Q59" s="147">
        <f t="shared" si="23"/>
        <v>0</v>
      </c>
      <c r="R59" s="147">
        <f t="shared" si="24"/>
        <v>0</v>
      </c>
      <c r="S59" s="146" t="e">
        <f t="shared" si="25"/>
        <v>#REF!</v>
      </c>
      <c r="T59" s="146" t="e">
        <f t="shared" si="26"/>
        <v>#REF!</v>
      </c>
      <c r="U59" s="145">
        <f t="shared" si="18"/>
        <v>0</v>
      </c>
      <c r="V59" s="145" t="e">
        <f t="shared" si="19"/>
        <v>#REF!</v>
      </c>
      <c r="W59" s="142">
        <v>48</v>
      </c>
      <c r="X59" s="142" t="str">
        <f>+IF((VLOOKUP(A59,List!B:C,2,0)-VLOOKUP(Summary!$P$7,List!B:C,2,0))=0,1,"")</f>
        <v/>
      </c>
      <c r="Y59" s="198">
        <f>+IF((VLOOKUP(A59,List!B:C,2,0)-VLOOKUP(Summary!$P$7,List!B:C,2,0))&gt;=0,1,"")</f>
        <v>1</v>
      </c>
      <c r="Z59" s="198">
        <f>+IF((VLOOKUP(A59,List!B:C,2,0)-VLOOKUP(Summary!$P$7,List!B:C,2,0))&gt;0,1,"")</f>
        <v>1</v>
      </c>
      <c r="AA59" s="141">
        <f t="shared" si="6"/>
        <v>2</v>
      </c>
      <c r="AB59" s="199" t="str">
        <f>+IF(AA59="","",IF(Summary!$J$7="Fixed Price","",IF(M59="",IF(I59="","",1),"")))</f>
        <v/>
      </c>
      <c r="AC59" s="198">
        <f t="shared" si="14"/>
        <v>0</v>
      </c>
    </row>
    <row r="60" spans="1:29" x14ac:dyDescent="0.2">
      <c r="A60" s="155" t="str">
        <f t="shared" si="15"/>
        <v>-</v>
      </c>
      <c r="B60" s="154" t="str">
        <f t="shared" si="20"/>
        <v/>
      </c>
      <c r="C60" s="153" t="str">
        <f t="shared" si="21"/>
        <v/>
      </c>
      <c r="D60" s="152" t="str">
        <f t="shared" si="16"/>
        <v>-</v>
      </c>
      <c r="E60" s="159" t="str">
        <f>+IF($B60="","",Summary!$P$4)</f>
        <v/>
      </c>
      <c r="F60" s="159" t="str">
        <f>+IF($B60="","",Summary!$P$5)</f>
        <v/>
      </c>
      <c r="G60" s="159" t="str">
        <f>+IF($B60="","",Summary!$P$6)</f>
        <v/>
      </c>
      <c r="H60" s="158" t="str">
        <f t="shared" si="17"/>
        <v/>
      </c>
      <c r="I60" s="156"/>
      <c r="J60" s="157"/>
      <c r="K60" s="156"/>
      <c r="L60" s="156"/>
      <c r="M60" s="156"/>
      <c r="N60" s="157" t="e">
        <f t="shared" si="3"/>
        <v>#REF!</v>
      </c>
      <c r="O60" s="157" t="e">
        <f>COUNTIFS(#REF!,"&gt;="&amp;DATE($C60,$B60,1),#REF!,"&lt;="&amp;EOMONTH(DATE($C60,$B60,1),0),#REF!,"Incident")+
COUNTIFS(#REF!,"&gt;="&amp;DATE($C60,$B60,1),#REF!,"&lt;="&amp;EOMONTH(DATE($C60,$B60,1),0),#REF!,"user_request")</f>
        <v>#REF!</v>
      </c>
      <c r="P60" s="147">
        <f t="shared" si="22"/>
        <v>0</v>
      </c>
      <c r="Q60" s="147">
        <f t="shared" si="23"/>
        <v>0</v>
      </c>
      <c r="R60" s="147">
        <f t="shared" si="24"/>
        <v>0</v>
      </c>
      <c r="S60" s="146" t="e">
        <f t="shared" si="25"/>
        <v>#REF!</v>
      </c>
      <c r="T60" s="146" t="e">
        <f t="shared" si="26"/>
        <v>#REF!</v>
      </c>
      <c r="U60" s="145">
        <f t="shared" si="18"/>
        <v>0</v>
      </c>
      <c r="V60" s="145" t="e">
        <f t="shared" si="19"/>
        <v>#REF!</v>
      </c>
      <c r="W60" s="142">
        <v>45</v>
      </c>
      <c r="X60" s="142" t="str">
        <f>+IF((VLOOKUP(A60,List!B:C,2,0)-VLOOKUP(Summary!$P$7,List!B:C,2,0))=0,1,"")</f>
        <v/>
      </c>
      <c r="Y60" s="198">
        <f>+IF((VLOOKUP(A60,List!B:C,2,0)-VLOOKUP(Summary!$P$7,List!B:C,2,0))&gt;=0,1,"")</f>
        <v>1</v>
      </c>
      <c r="Z60" s="198">
        <f>+IF((VLOOKUP(A60,List!B:C,2,0)-VLOOKUP(Summary!$P$7,List!B:C,2,0))&gt;0,1,"")</f>
        <v>1</v>
      </c>
      <c r="AA60" s="141">
        <f t="shared" si="6"/>
        <v>2</v>
      </c>
      <c r="AB60" s="199" t="str">
        <f>+IF(AA60="","",IF(Summary!$J$7="Fixed Price","",IF(M60="",IF(I60="","",1),"")))</f>
        <v/>
      </c>
      <c r="AC60" s="198">
        <f t="shared" si="14"/>
        <v>0</v>
      </c>
    </row>
    <row r="61" spans="1:29" x14ac:dyDescent="0.2">
      <c r="A61" s="155" t="str">
        <f t="shared" si="15"/>
        <v>-</v>
      </c>
      <c r="B61" s="154" t="str">
        <f t="shared" si="20"/>
        <v/>
      </c>
      <c r="C61" s="153" t="str">
        <f t="shared" si="21"/>
        <v/>
      </c>
      <c r="D61" s="152" t="str">
        <f t="shared" si="16"/>
        <v>-</v>
      </c>
      <c r="E61" s="151" t="str">
        <f>+IF($B61="","",Summary!$P$4)</f>
        <v/>
      </c>
      <c r="F61" s="151" t="str">
        <f>+IF($B61="","",Summary!$P$5)</f>
        <v/>
      </c>
      <c r="G61" s="151" t="str">
        <f>+IF($B61="","",Summary!$P$6)</f>
        <v/>
      </c>
      <c r="H61" s="150" t="str">
        <f t="shared" si="17"/>
        <v/>
      </c>
      <c r="I61" s="148"/>
      <c r="J61" s="149"/>
      <c r="K61" s="148"/>
      <c r="L61" s="148"/>
      <c r="M61" s="148"/>
      <c r="N61" s="149" t="e">
        <f t="shared" si="3"/>
        <v>#REF!</v>
      </c>
      <c r="O61" s="149" t="e">
        <f>COUNTIFS(#REF!,"&gt;="&amp;DATE($C61,$B61,1),#REF!,"&lt;="&amp;EOMONTH(DATE($C61,$B61,1),0),#REF!,"Incident")+
COUNTIFS(#REF!,"&gt;="&amp;DATE($C61,$B61,1),#REF!,"&lt;="&amp;EOMONTH(DATE($C61,$B61,1),0),#REF!,"user_request")</f>
        <v>#REF!</v>
      </c>
      <c r="P61" s="147">
        <f t="shared" si="22"/>
        <v>0</v>
      </c>
      <c r="Q61" s="147">
        <f t="shared" si="23"/>
        <v>0</v>
      </c>
      <c r="R61" s="147">
        <f t="shared" si="24"/>
        <v>0</v>
      </c>
      <c r="S61" s="146" t="e">
        <f t="shared" si="25"/>
        <v>#REF!</v>
      </c>
      <c r="T61" s="146" t="e">
        <f t="shared" si="26"/>
        <v>#REF!</v>
      </c>
      <c r="U61" s="145">
        <f t="shared" si="18"/>
        <v>0</v>
      </c>
      <c r="V61" s="145" t="e">
        <f t="shared" si="19"/>
        <v>#REF!</v>
      </c>
      <c r="W61" s="142">
        <v>46</v>
      </c>
      <c r="X61" s="142" t="str">
        <f>+IF((VLOOKUP(A61,List!B:C,2,0)-VLOOKUP(Summary!$P$7,List!B:C,2,0))=0,1,"")</f>
        <v/>
      </c>
      <c r="Y61" s="198">
        <f>+IF((VLOOKUP(A61,List!B:C,2,0)-VLOOKUP(Summary!$P$7,List!B:C,2,0))&gt;=0,1,"")</f>
        <v>1</v>
      </c>
      <c r="Z61" s="198">
        <f>+IF((VLOOKUP(A61,List!B:C,2,0)-VLOOKUP(Summary!$P$7,List!B:C,2,0))&gt;0,1,"")</f>
        <v>1</v>
      </c>
      <c r="AA61" s="141">
        <f t="shared" si="6"/>
        <v>2</v>
      </c>
      <c r="AB61" s="199" t="str">
        <f>+IF(AA61="","",IF(Summary!$J$7="Fixed Price","",IF(M61="",IF(I61="","",1),"")))</f>
        <v/>
      </c>
      <c r="AC61" s="198">
        <f t="shared" si="14"/>
        <v>0</v>
      </c>
    </row>
    <row r="62" spans="1:29" x14ac:dyDescent="0.2">
      <c r="A62" s="155" t="str">
        <f t="shared" si="15"/>
        <v>-</v>
      </c>
      <c r="B62" s="154" t="str">
        <f t="shared" si="20"/>
        <v/>
      </c>
      <c r="C62" s="153" t="str">
        <f t="shared" si="21"/>
        <v/>
      </c>
      <c r="D62" s="152" t="str">
        <f t="shared" si="16"/>
        <v>-</v>
      </c>
      <c r="E62" s="159" t="str">
        <f>+IF($B62="","",Summary!$P$4)</f>
        <v/>
      </c>
      <c r="F62" s="159" t="str">
        <f>+IF($B62="","",Summary!$P$5)</f>
        <v/>
      </c>
      <c r="G62" s="159" t="str">
        <f>+IF($B62="","",Summary!$P$6)</f>
        <v/>
      </c>
      <c r="H62" s="158" t="str">
        <f t="shared" si="17"/>
        <v/>
      </c>
      <c r="I62" s="156"/>
      <c r="J62" s="157"/>
      <c r="K62" s="156"/>
      <c r="L62" s="156"/>
      <c r="M62" s="156"/>
      <c r="N62" s="157" t="e">
        <f t="shared" si="3"/>
        <v>#REF!</v>
      </c>
      <c r="O62" s="157" t="e">
        <f>COUNTIFS(#REF!,"&gt;="&amp;DATE($C62,$B62,1),#REF!,"&lt;="&amp;EOMONTH(DATE($C62,$B62,1),0),#REF!,"Incident")+
COUNTIFS(#REF!,"&gt;="&amp;DATE($C62,$B62,1),#REF!,"&lt;="&amp;EOMONTH(DATE($C62,$B62,1),0),#REF!,"user_request")</f>
        <v>#REF!</v>
      </c>
      <c r="P62" s="147">
        <f t="shared" si="22"/>
        <v>0</v>
      </c>
      <c r="Q62" s="147">
        <f t="shared" si="23"/>
        <v>0</v>
      </c>
      <c r="R62" s="147">
        <f t="shared" si="24"/>
        <v>0</v>
      </c>
      <c r="S62" s="146" t="e">
        <f t="shared" si="25"/>
        <v>#REF!</v>
      </c>
      <c r="T62" s="146" t="e">
        <f t="shared" si="26"/>
        <v>#REF!</v>
      </c>
      <c r="U62" s="145">
        <f t="shared" si="18"/>
        <v>0</v>
      </c>
      <c r="V62" s="145" t="e">
        <f t="shared" si="19"/>
        <v>#REF!</v>
      </c>
      <c r="W62" s="142">
        <v>47</v>
      </c>
      <c r="X62" s="142" t="str">
        <f>+IF((VLOOKUP(A62,List!B:C,2,0)-VLOOKUP(Summary!$P$7,List!B:C,2,0))=0,1,"")</f>
        <v/>
      </c>
      <c r="Y62" s="198">
        <f>+IF((VLOOKUP(A62,List!B:C,2,0)-VLOOKUP(Summary!$P$7,List!B:C,2,0))&gt;=0,1,"")</f>
        <v>1</v>
      </c>
      <c r="Z62" s="198">
        <f>+IF((VLOOKUP(A62,List!B:C,2,0)-VLOOKUP(Summary!$P$7,List!B:C,2,0))&gt;0,1,"")</f>
        <v>1</v>
      </c>
      <c r="AA62" s="141">
        <f t="shared" si="6"/>
        <v>2</v>
      </c>
      <c r="AB62" s="199" t="str">
        <f>+IF(AA62="","",IF(Summary!$J$7="Fixed Price","",IF(M62="",IF(I62="","",1),"")))</f>
        <v/>
      </c>
      <c r="AC62" s="198">
        <f t="shared" si="14"/>
        <v>0</v>
      </c>
    </row>
    <row r="63" spans="1:29" x14ac:dyDescent="0.2">
      <c r="A63" s="155" t="str">
        <f t="shared" si="15"/>
        <v>-</v>
      </c>
      <c r="B63" s="154" t="str">
        <f t="shared" si="20"/>
        <v/>
      </c>
      <c r="C63" s="153" t="str">
        <f t="shared" si="21"/>
        <v/>
      </c>
      <c r="D63" s="152" t="str">
        <f t="shared" si="16"/>
        <v>-</v>
      </c>
      <c r="E63" s="151" t="str">
        <f>+IF($B63="","",Summary!$P$4)</f>
        <v/>
      </c>
      <c r="F63" s="151" t="str">
        <f>+IF($B63="","",Summary!$P$5)</f>
        <v/>
      </c>
      <c r="G63" s="151" t="str">
        <f>+IF($B63="","",Summary!$P$6)</f>
        <v/>
      </c>
      <c r="H63" s="150" t="str">
        <f t="shared" si="17"/>
        <v/>
      </c>
      <c r="I63" s="148"/>
      <c r="J63" s="149"/>
      <c r="K63" s="148"/>
      <c r="L63" s="148"/>
      <c r="M63" s="148"/>
      <c r="N63" s="149" t="e">
        <f t="shared" si="3"/>
        <v>#REF!</v>
      </c>
      <c r="O63" s="149" t="e">
        <f>COUNTIFS(#REF!,"&gt;="&amp;DATE($C63,$B63,1),#REF!,"&lt;="&amp;EOMONTH(DATE($C63,$B63,1),0),#REF!,"Incident")+
COUNTIFS(#REF!,"&gt;="&amp;DATE($C63,$B63,1),#REF!,"&lt;="&amp;EOMONTH(DATE($C63,$B63,1),0),#REF!,"user_request")</f>
        <v>#REF!</v>
      </c>
      <c r="P63" s="147">
        <f t="shared" si="22"/>
        <v>0</v>
      </c>
      <c r="Q63" s="147">
        <f t="shared" si="23"/>
        <v>0</v>
      </c>
      <c r="R63" s="147">
        <f t="shared" si="24"/>
        <v>0</v>
      </c>
      <c r="S63" s="146" t="e">
        <f t="shared" si="25"/>
        <v>#REF!</v>
      </c>
      <c r="T63" s="146" t="e">
        <f t="shared" si="26"/>
        <v>#REF!</v>
      </c>
      <c r="U63" s="145">
        <f t="shared" si="18"/>
        <v>0</v>
      </c>
      <c r="V63" s="145" t="e">
        <f t="shared" si="19"/>
        <v>#REF!</v>
      </c>
      <c r="W63" s="142">
        <v>48</v>
      </c>
      <c r="X63" s="142" t="str">
        <f>+IF((VLOOKUP(A63,List!B:C,2,0)-VLOOKUP(Summary!$P$7,List!B:C,2,0))=0,1,"")</f>
        <v/>
      </c>
      <c r="Y63" s="198">
        <f>+IF((VLOOKUP(A63,List!B:C,2,0)-VLOOKUP(Summary!$P$7,List!B:C,2,0))&gt;=0,1,"")</f>
        <v>1</v>
      </c>
      <c r="Z63" s="198">
        <f>+IF((VLOOKUP(A63,List!B:C,2,0)-VLOOKUP(Summary!$P$7,List!B:C,2,0))&gt;0,1,"")</f>
        <v>1</v>
      </c>
      <c r="AA63" s="141">
        <f t="shared" si="6"/>
        <v>2</v>
      </c>
      <c r="AB63" s="199" t="str">
        <f>+IF(AA63="","",IF(Summary!$J$7="Fixed Price","",IF(M63="",IF(I63="","",1),"")))</f>
        <v/>
      </c>
      <c r="AC63" s="198">
        <f t="shared" si="14"/>
        <v>0</v>
      </c>
    </row>
  </sheetData>
  <sheetProtection formatColumns="0" formatRows="0" sort="0" autoFilter="0"/>
  <conditionalFormatting sqref="H4:H63">
    <cfRule type="containsText" dxfId="29" priority="4" operator="containsText" text="Green">
      <formula>NOT(ISERROR(SEARCH("Green",H4)))</formula>
    </cfRule>
    <cfRule type="containsText" dxfId="28" priority="5" operator="containsText" text="Amber">
      <formula>NOT(ISERROR(SEARCH("Amber",H4)))</formula>
    </cfRule>
    <cfRule type="containsText" dxfId="27" priority="6" operator="containsText" text="Red">
      <formula>NOT(ISERROR(SEARCH("Red",H4)))</formula>
    </cfRule>
  </conditionalFormatting>
  <conditionalFormatting sqref="I2:O2">
    <cfRule type="cellIs" dxfId="26" priority="1" operator="equal">
      <formula>"Select Report Month"</formula>
    </cfRule>
  </conditionalFormatting>
  <dataValidations count="1">
    <dataValidation type="list" allowBlank="1" showInputMessage="1" showErrorMessage="1" sqref="H4:H63" xr:uid="{00000000-0002-0000-1500-000000000000}">
      <formula1>"Red,Amber,Green"</formula1>
    </dataValidation>
  </dataValidations>
  <pageMargins left="0.7" right="0.7" top="0.75" bottom="0.75" header="0.3" footer="0.3"/>
  <pageSetup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AD63"/>
  <sheetViews>
    <sheetView showGridLines="0" zoomScale="55" zoomScaleNormal="55" workbookViewId="0">
      <selection activeCell="L18" sqref="L18"/>
    </sheetView>
  </sheetViews>
  <sheetFormatPr defaultColWidth="9.28515625" defaultRowHeight="12.75" x14ac:dyDescent="0.2"/>
  <cols>
    <col min="1" max="1" width="10.42578125" style="139" customWidth="1"/>
    <col min="2" max="3" width="7.7109375" style="139" customWidth="1"/>
    <col min="4" max="4" width="11.28515625" style="139" hidden="1" customWidth="1"/>
    <col min="5" max="7" width="14.28515625" style="139" customWidth="1"/>
    <col min="8" max="8" width="12.28515625" style="139" customWidth="1"/>
    <col min="9" max="13" width="11.5703125" style="143" customWidth="1"/>
    <col min="14" max="18" width="13.5703125" style="139" customWidth="1"/>
    <col min="19" max="19" width="11" style="142" bestFit="1" customWidth="1"/>
    <col min="20" max="21" width="11.7109375" style="142" bestFit="1" customWidth="1"/>
    <col min="22" max="22" width="9.7109375" style="141" bestFit="1" customWidth="1"/>
    <col min="23" max="23" width="9.42578125" style="142" bestFit="1" customWidth="1"/>
    <col min="24" max="24" width="9.42578125" style="142" customWidth="1"/>
    <col min="25" max="30" width="9.28515625" style="141"/>
    <col min="31" max="16384" width="9.28515625" style="139"/>
  </cols>
  <sheetData>
    <row r="1" spans="1:30" ht="60" customHeight="1" x14ac:dyDescent="0.2">
      <c r="A1" s="144"/>
      <c r="B1" s="143"/>
      <c r="C1" s="175" t="s">
        <v>112</v>
      </c>
      <c r="D1" s="175"/>
      <c r="E1" s="175"/>
      <c r="F1" s="175"/>
      <c r="G1" s="175"/>
      <c r="H1" s="175"/>
      <c r="I1" s="176"/>
      <c r="J1" s="176"/>
      <c r="K1" s="176"/>
      <c r="L1" s="176"/>
      <c r="M1" s="176"/>
      <c r="N1" s="176"/>
      <c r="O1" s="176"/>
      <c r="P1" s="175"/>
      <c r="Q1" s="175"/>
      <c r="R1" s="175"/>
      <c r="S1" s="175"/>
      <c r="T1" s="175"/>
      <c r="U1" s="175"/>
      <c r="V1" s="175"/>
      <c r="W1" s="196" t="s">
        <v>135</v>
      </c>
      <c r="X1" s="196" t="s">
        <v>142</v>
      </c>
      <c r="Y1" s="196" t="s">
        <v>137</v>
      </c>
      <c r="Z1" s="196" t="s">
        <v>138</v>
      </c>
      <c r="AA1" s="196" t="s">
        <v>136</v>
      </c>
      <c r="AB1" s="196" t="s">
        <v>139</v>
      </c>
      <c r="AC1" s="196" t="s">
        <v>404</v>
      </c>
      <c r="AD1" s="196" t="s">
        <v>405</v>
      </c>
    </row>
    <row r="2" spans="1:30" ht="32.25" customHeight="1" x14ac:dyDescent="0.2">
      <c r="A2" s="144"/>
      <c r="B2" s="174"/>
      <c r="C2" s="173"/>
      <c r="D2" s="173"/>
      <c r="E2" s="173"/>
      <c r="F2" s="173"/>
      <c r="G2" s="173"/>
      <c r="H2" s="173"/>
      <c r="I2" s="177"/>
      <c r="J2" s="177"/>
      <c r="K2" s="177"/>
      <c r="L2" s="177"/>
      <c r="M2" s="177"/>
      <c r="N2" s="177"/>
      <c r="O2" s="177"/>
      <c r="P2" s="173"/>
      <c r="Q2" s="173"/>
      <c r="R2" s="173"/>
      <c r="S2" s="173"/>
      <c r="T2" s="173"/>
      <c r="U2" s="173"/>
      <c r="V2" s="173"/>
      <c r="W2" s="141">
        <f>(YEAR(Summary!P6)-YEAR(Summary!P4))*12+MONTH(Summary!P6)-MONTH(Summary!P4)+1</f>
        <v>25</v>
      </c>
      <c r="X2" s="141"/>
    </row>
    <row r="3" spans="1:30" s="162" customFormat="1" ht="37.5" customHeight="1" x14ac:dyDescent="0.2">
      <c r="A3" s="172" t="s">
        <v>87</v>
      </c>
      <c r="B3" s="169" t="s">
        <v>25</v>
      </c>
      <c r="C3" s="164" t="s">
        <v>26</v>
      </c>
      <c r="D3" s="164" t="s">
        <v>27</v>
      </c>
      <c r="E3" s="163" t="s">
        <v>101</v>
      </c>
      <c r="F3" s="163" t="s">
        <v>102</v>
      </c>
      <c r="G3" s="163" t="s">
        <v>103</v>
      </c>
      <c r="H3" s="164" t="s">
        <v>28</v>
      </c>
      <c r="I3" s="171" t="s">
        <v>29</v>
      </c>
      <c r="J3" s="171" t="s">
        <v>30</v>
      </c>
      <c r="K3" s="169" t="s">
        <v>31</v>
      </c>
      <c r="L3" s="170" t="s">
        <v>104</v>
      </c>
      <c r="M3" s="169" t="s">
        <v>32</v>
      </c>
      <c r="N3" s="168" t="s">
        <v>374</v>
      </c>
      <c r="O3" s="167" t="s">
        <v>373</v>
      </c>
      <c r="P3" s="163" t="s">
        <v>372</v>
      </c>
      <c r="Q3" s="166" t="s">
        <v>371</v>
      </c>
      <c r="R3" s="163" t="s">
        <v>370</v>
      </c>
      <c r="S3" s="165" t="s">
        <v>369</v>
      </c>
      <c r="T3" s="165" t="s">
        <v>368</v>
      </c>
      <c r="U3" s="164" t="s">
        <v>33</v>
      </c>
      <c r="V3" s="163" t="s">
        <v>367</v>
      </c>
      <c r="W3" s="197" t="s">
        <v>120</v>
      </c>
      <c r="X3" s="197"/>
      <c r="Y3" s="197"/>
      <c r="Z3" s="197"/>
      <c r="AA3" s="197"/>
      <c r="AB3" s="194"/>
      <c r="AC3" s="197"/>
      <c r="AD3" s="197"/>
    </row>
    <row r="4" spans="1:30" x14ac:dyDescent="0.2">
      <c r="A4" s="155" t="str">
        <f t="shared" ref="A4:A35" si="0">CONCATENATE(C4,"-",B4)</f>
        <v>2025-9</v>
      </c>
      <c r="B4" s="154">
        <f>MONTH(Summary!P4)</f>
        <v>9</v>
      </c>
      <c r="C4" s="153">
        <f>YEAR(Summary!P4)</f>
        <v>2025</v>
      </c>
      <c r="D4" s="152" t="str">
        <f t="shared" ref="D4:D35" si="1">CONCATENATE(C4,"-",B4)</f>
        <v>2025-9</v>
      </c>
      <c r="E4" s="159">
        <f>+IF($B4="","",Summary!$P$4)</f>
        <v>45929</v>
      </c>
      <c r="F4" s="159">
        <f>+IF($B4="","",Summary!$P$5)</f>
        <v>46657</v>
      </c>
      <c r="G4" s="159">
        <f>+IF($B4="","",Summary!$P$6)</f>
        <v>46657</v>
      </c>
      <c r="H4" s="158" t="str">
        <f t="shared" ref="H4:H35" si="2">+IF($B4="","",IF(U4&lt;-15%,"Red",IF(U4&lt;0%,"Amber","Green")))</f>
        <v>Green</v>
      </c>
      <c r="I4" s="156"/>
      <c r="J4" s="157"/>
      <c r="K4" s="156"/>
      <c r="L4" s="156"/>
      <c r="M4" s="156"/>
      <c r="N4" s="156" t="e">
        <f t="shared" ref="N4:N63" si="3">O4</f>
        <v>#REF!</v>
      </c>
      <c r="O4" s="156" t="e">
        <f>COUNTIFS(#REF!,"&gt;="&amp;DATE($C4,$B4,1),#REF!,"&lt;="&amp;EOMONTH(DATE($C4,$B4,1),0),#REF!,"Incident")+
COUNTIFS(#REF!,"&gt;="&amp;DATE($C4,$B4,1),#REF!,"&lt;="&amp;EOMONTH(DATE($C4,$B4,1),0),#REF!,"user_request")</f>
        <v>#REF!</v>
      </c>
      <c r="P4" s="147">
        <f>I4</f>
        <v>0</v>
      </c>
      <c r="Q4" s="147">
        <f>J4</f>
        <v>0</v>
      </c>
      <c r="R4" s="147">
        <f>K4</f>
        <v>0</v>
      </c>
      <c r="S4" s="146" t="e">
        <f>N4</f>
        <v>#REF!</v>
      </c>
      <c r="T4" s="146" t="e">
        <f>O4</f>
        <v>#REF!</v>
      </c>
      <c r="U4" s="145">
        <f t="shared" ref="U4:U35" si="4">IF(Q4=0,0,IF(K4&lt;&gt;"",(Q4-(R4+L4))/Q4,U3))</f>
        <v>0</v>
      </c>
      <c r="V4" s="145" t="e">
        <f t="shared" ref="V4:V35" si="5">IF(S4=0,0,IF(O4&lt;&gt;"",(S4-(T4))/S4,V3))</f>
        <v>#REF!</v>
      </c>
      <c r="W4" s="142">
        <v>1</v>
      </c>
      <c r="X4" s="142" t="str">
        <f>+IF((VLOOKUP(A4,List!B:C,2,0)-VLOOKUP(Summary!$P$7,List!B:C,2,0))=0,1,"")</f>
        <v/>
      </c>
      <c r="Y4" s="198" t="str">
        <f>+IF((VLOOKUP(A4,List!B:C,2,0)-VLOOKUP(Summary!$P$7,List!B:C,2,0))&gt;=0,1,"")</f>
        <v/>
      </c>
      <c r="Z4" s="198" t="str">
        <f>+IF((VLOOKUP(A4,List!B:C,2,0)-VLOOKUP(Summary!$P$7,List!B:C,2,0))&gt;0,1,"")</f>
        <v/>
      </c>
      <c r="AA4" s="141" t="str">
        <f t="shared" ref="AA4:AA63" si="6">+IFERROR(IF(Z4="","",IF(YEAR(G4)&gt;C4,1,IF(YEAR(G4)=C4,IF(MONTH(G4)&gt;=B4,1,2)))),2)</f>
        <v/>
      </c>
      <c r="AB4" s="199" t="str">
        <f>+IF(AA4="","",IF(Summary!$J$7="Fixed Price","",IF(M4="",IF(I4="","",1),"")))</f>
        <v/>
      </c>
      <c r="AC4" s="198">
        <f>+IFERROR(I4*AA4,0)</f>
        <v>0</v>
      </c>
      <c r="AD4" s="198" t="e">
        <f>+IF(AA4="",+IF(N4&gt;#REF!,#REF!,IF(N4&gt;#REF!,#REF!,IF(N4&gt;#REF!,#REF!,IF(N4&gt;#REF!,#REF!,IF(N4&gt;#REF!,#REF!,IF(N4&gt;#REF!,#REF!,IF(N4&gt;#REF!,#REF!,IF(N4&gt;#REF!,#REF!,#REF!)))))))),0)</f>
        <v>#REF!</v>
      </c>
    </row>
    <row r="5" spans="1:30" x14ac:dyDescent="0.2">
      <c r="A5" s="155" t="str">
        <f t="shared" si="0"/>
        <v>2025-10</v>
      </c>
      <c r="B5" s="154">
        <f t="shared" ref="B5:B36" si="7">IF(W5&lt;=$W$2,IF(B4&gt;11,1,B4+1),"")</f>
        <v>10</v>
      </c>
      <c r="C5" s="153">
        <f t="shared" ref="C5:C36" si="8">IF(W5&lt;=$W$2,IF(B4&gt;11,C4+1,C4),"")</f>
        <v>2025</v>
      </c>
      <c r="D5" s="152" t="str">
        <f t="shared" si="1"/>
        <v>2025-10</v>
      </c>
      <c r="E5" s="151">
        <f>+IF($B5="","",Summary!$P$4)</f>
        <v>45929</v>
      </c>
      <c r="F5" s="151">
        <f>+IF($B5="","",Summary!$P$5)</f>
        <v>46657</v>
      </c>
      <c r="G5" s="151">
        <f>+IF($B5="","",Summary!$P$6)</f>
        <v>46657</v>
      </c>
      <c r="H5" s="150" t="str">
        <f t="shared" si="2"/>
        <v>Green</v>
      </c>
      <c r="I5" s="148"/>
      <c r="J5" s="149"/>
      <c r="K5" s="148"/>
      <c r="L5" s="148"/>
      <c r="M5" s="148"/>
      <c r="N5" s="148" t="e">
        <f t="shared" si="3"/>
        <v>#REF!</v>
      </c>
      <c r="O5" s="148" t="e">
        <f>COUNTIFS(#REF!,"&gt;="&amp;DATE($C5,$B5,1),#REF!,"&lt;="&amp;EOMONTH(DATE($C5,$B5,1),0),#REF!,"Incident")+
COUNTIFS(#REF!,"&gt;="&amp;DATE($C5,$B5,1),#REF!,"&lt;="&amp;EOMONTH(DATE($C5,$B5,1),0),#REF!,"user_request")</f>
        <v>#REF!</v>
      </c>
      <c r="P5" s="147">
        <f t="shared" ref="P5:P36" si="9">I5+P4</f>
        <v>0</v>
      </c>
      <c r="Q5" s="147">
        <f t="shared" ref="Q5:Q36" si="10">Q4+J5</f>
        <v>0</v>
      </c>
      <c r="R5" s="147">
        <f t="shared" ref="R5:R36" si="11">K5+R4</f>
        <v>0</v>
      </c>
      <c r="S5" s="146" t="e">
        <f t="shared" ref="S5:S36" si="12">N5+S4</f>
        <v>#REF!</v>
      </c>
      <c r="T5" s="146" t="e">
        <f t="shared" ref="T5:T36" si="13">O5+T4</f>
        <v>#REF!</v>
      </c>
      <c r="U5" s="145">
        <f t="shared" si="4"/>
        <v>0</v>
      </c>
      <c r="V5" s="145" t="e">
        <f t="shared" si="5"/>
        <v>#REF!</v>
      </c>
      <c r="W5" s="142">
        <v>2</v>
      </c>
      <c r="X5" s="142" t="str">
        <f>+IF((VLOOKUP(A5,List!B:C,2,0)-VLOOKUP(Summary!$P$7,List!B:C,2,0))=0,1,"")</f>
        <v/>
      </c>
      <c r="Y5" s="198" t="str">
        <f>+IF((VLOOKUP(A5,List!B:C,2,0)-VLOOKUP(Summary!$P$7,List!B:C,2,0))&gt;=0,1,"")</f>
        <v/>
      </c>
      <c r="Z5" s="198" t="str">
        <f>+IF((VLOOKUP(A5,List!B:C,2,0)-VLOOKUP(Summary!$P$7,List!B:C,2,0))&gt;0,1,"")</f>
        <v/>
      </c>
      <c r="AA5" s="141" t="str">
        <f t="shared" si="6"/>
        <v/>
      </c>
      <c r="AB5" s="199" t="str">
        <f>+IF(AA5="","",IF(Summary!$J$7="Fixed Price","",IF(M5="",IF(I5="","",1),"")))</f>
        <v/>
      </c>
      <c r="AC5" s="198">
        <f t="shared" ref="AC5:AC63" si="14">+IFERROR(I5*AA5,0)</f>
        <v>0</v>
      </c>
      <c r="AD5" s="198" t="e">
        <f>+IF(AA5="",+IF(N5&gt;#REF!,#REF!,IF(N5&gt;#REF!,#REF!,IF(N5&gt;#REF!,#REF!,IF(N5&gt;#REF!,#REF!,IF(N5&gt;#REF!,#REF!,IF(N5&gt;#REF!,#REF!,IF(N5&gt;#REF!,#REF!,IF(N5&gt;#REF!,#REF!,#REF!)))))))),0)</f>
        <v>#REF!</v>
      </c>
    </row>
    <row r="6" spans="1:30" x14ac:dyDescent="0.2">
      <c r="A6" s="155" t="str">
        <f t="shared" si="0"/>
        <v>2025-11</v>
      </c>
      <c r="B6" s="154">
        <f t="shared" si="7"/>
        <v>11</v>
      </c>
      <c r="C6" s="153">
        <f t="shared" si="8"/>
        <v>2025</v>
      </c>
      <c r="D6" s="152" t="str">
        <f t="shared" si="1"/>
        <v>2025-11</v>
      </c>
      <c r="E6" s="159">
        <f>+IF($B6="","",Summary!$P$4)</f>
        <v>45929</v>
      </c>
      <c r="F6" s="159">
        <f>+IF($B6="","",Summary!$P$5)</f>
        <v>46657</v>
      </c>
      <c r="G6" s="159">
        <f>+IF($B6="","",Summary!$P$6)</f>
        <v>46657</v>
      </c>
      <c r="H6" s="158" t="str">
        <f t="shared" si="2"/>
        <v>Green</v>
      </c>
      <c r="I6" s="156"/>
      <c r="J6" s="157"/>
      <c r="K6" s="156"/>
      <c r="L6" s="156"/>
      <c r="M6" s="156"/>
      <c r="N6" s="156" t="e">
        <f t="shared" si="3"/>
        <v>#REF!</v>
      </c>
      <c r="O6" s="156" t="e">
        <f>COUNTIFS(#REF!,"&gt;="&amp;DATE($C6,$B6,1),#REF!,"&lt;="&amp;EOMONTH(DATE($C6,$B6,1),0),#REF!,"Incident")+
COUNTIFS(#REF!,"&gt;="&amp;DATE($C6,$B6,1),#REF!,"&lt;="&amp;EOMONTH(DATE($C6,$B6,1),0),#REF!,"user_request")</f>
        <v>#REF!</v>
      </c>
      <c r="P6" s="147">
        <f t="shared" si="9"/>
        <v>0</v>
      </c>
      <c r="Q6" s="147">
        <f t="shared" si="10"/>
        <v>0</v>
      </c>
      <c r="R6" s="147">
        <f t="shared" si="11"/>
        <v>0</v>
      </c>
      <c r="S6" s="146" t="e">
        <f t="shared" si="12"/>
        <v>#REF!</v>
      </c>
      <c r="T6" s="146" t="e">
        <f t="shared" si="13"/>
        <v>#REF!</v>
      </c>
      <c r="U6" s="145">
        <f t="shared" si="4"/>
        <v>0</v>
      </c>
      <c r="V6" s="145" t="e">
        <f t="shared" si="5"/>
        <v>#REF!</v>
      </c>
      <c r="W6" s="142">
        <v>3</v>
      </c>
      <c r="X6" s="142" t="str">
        <f>+IF((VLOOKUP(A6,List!B:C,2,0)-VLOOKUP(Summary!$P$7,List!B:C,2,0))=0,1,"")</f>
        <v/>
      </c>
      <c r="Y6" s="198" t="str">
        <f>+IF((VLOOKUP(A6,List!B:C,2,0)-VLOOKUP(Summary!$P$7,List!B:C,2,0))&gt;=0,1,"")</f>
        <v/>
      </c>
      <c r="Z6" s="198" t="str">
        <f>+IF((VLOOKUP(A6,List!B:C,2,0)-VLOOKUP(Summary!$P$7,List!B:C,2,0))&gt;0,1,"")</f>
        <v/>
      </c>
      <c r="AA6" s="141" t="str">
        <f t="shared" si="6"/>
        <v/>
      </c>
      <c r="AB6" s="199" t="str">
        <f>+IF(AA6="","",IF(Summary!$J$7="Fixed Price","",IF(M6="",IF(I6="","",1),"")))</f>
        <v/>
      </c>
      <c r="AC6" s="198">
        <f t="shared" si="14"/>
        <v>0</v>
      </c>
      <c r="AD6" s="198" t="e">
        <f>+IF(AA6="",+IF(N6&gt;#REF!,#REF!,IF(N6&gt;#REF!,#REF!,IF(N6&gt;#REF!,#REF!,IF(N6&gt;#REF!,#REF!,IF(N6&gt;#REF!,#REF!,IF(N6&gt;#REF!,#REF!,IF(N6&gt;#REF!,#REF!,IF(N6&gt;#REF!,#REF!,#REF!)))))))),0)</f>
        <v>#REF!</v>
      </c>
    </row>
    <row r="7" spans="1:30" x14ac:dyDescent="0.2">
      <c r="A7" s="155" t="str">
        <f t="shared" si="0"/>
        <v>2025-12</v>
      </c>
      <c r="B7" s="154">
        <f t="shared" si="7"/>
        <v>12</v>
      </c>
      <c r="C7" s="153">
        <f t="shared" si="8"/>
        <v>2025</v>
      </c>
      <c r="D7" s="152" t="str">
        <f t="shared" si="1"/>
        <v>2025-12</v>
      </c>
      <c r="E7" s="151">
        <f>+IF($B7="","",Summary!$P$4)</f>
        <v>45929</v>
      </c>
      <c r="F7" s="151">
        <f>+IF($B7="","",Summary!$P$5)</f>
        <v>46657</v>
      </c>
      <c r="G7" s="151">
        <f>+IF($B7="","",Summary!$P$6)</f>
        <v>46657</v>
      </c>
      <c r="H7" s="150" t="str">
        <f t="shared" si="2"/>
        <v>Green</v>
      </c>
      <c r="I7" s="148"/>
      <c r="J7" s="149"/>
      <c r="K7" s="148"/>
      <c r="L7" s="148"/>
      <c r="M7" s="148"/>
      <c r="N7" s="148" t="e">
        <f t="shared" si="3"/>
        <v>#REF!</v>
      </c>
      <c r="O7" s="148" t="e">
        <f>COUNTIFS(#REF!,"&gt;="&amp;DATE($C7,$B7,1),#REF!,"&lt;="&amp;EOMONTH(DATE($C7,$B7,1),0),#REF!,"Incident")+
COUNTIFS(#REF!,"&gt;="&amp;DATE($C7,$B7,1),#REF!,"&lt;="&amp;EOMONTH(DATE($C7,$B7,1),0),#REF!,"user_request")</f>
        <v>#REF!</v>
      </c>
      <c r="P7" s="147">
        <f t="shared" si="9"/>
        <v>0</v>
      </c>
      <c r="Q7" s="147">
        <f t="shared" si="10"/>
        <v>0</v>
      </c>
      <c r="R7" s="147">
        <f t="shared" si="11"/>
        <v>0</v>
      </c>
      <c r="S7" s="146" t="e">
        <f t="shared" si="12"/>
        <v>#REF!</v>
      </c>
      <c r="T7" s="146" t="e">
        <f t="shared" si="13"/>
        <v>#REF!</v>
      </c>
      <c r="U7" s="145">
        <f t="shared" si="4"/>
        <v>0</v>
      </c>
      <c r="V7" s="145" t="e">
        <f t="shared" si="5"/>
        <v>#REF!</v>
      </c>
      <c r="W7" s="142">
        <v>4</v>
      </c>
      <c r="X7" s="142" t="str">
        <f>+IF((VLOOKUP(A7,List!B:C,2,0)-VLOOKUP(Summary!$P$7,List!B:C,2,0))=0,1,"")</f>
        <v/>
      </c>
      <c r="Y7" s="198" t="str">
        <f>+IF((VLOOKUP(A7,List!B:C,2,0)-VLOOKUP(Summary!$P$7,List!B:C,2,0))&gt;=0,1,"")</f>
        <v/>
      </c>
      <c r="Z7" s="198" t="str">
        <f>+IF((VLOOKUP(A7,List!B:C,2,0)-VLOOKUP(Summary!$P$7,List!B:C,2,0))&gt;0,1,"")</f>
        <v/>
      </c>
      <c r="AA7" s="141" t="str">
        <f t="shared" si="6"/>
        <v/>
      </c>
      <c r="AB7" s="199" t="str">
        <f>+IF(AA7="","",IF(Summary!$J$7="Fixed Price","",IF(M7="",IF(I7="","",1),"")))</f>
        <v/>
      </c>
      <c r="AC7" s="198">
        <f t="shared" si="14"/>
        <v>0</v>
      </c>
      <c r="AD7" s="198" t="e">
        <f>+IF(AA7="",+IF(N7&gt;#REF!,#REF!,IF(N7&gt;#REF!,#REF!,IF(N7&gt;#REF!,#REF!,IF(N7&gt;#REF!,#REF!,IF(N7&gt;#REF!,#REF!,IF(N7&gt;#REF!,#REF!,IF(N7&gt;#REF!,#REF!,IF(N7&gt;#REF!,#REF!,#REF!)))))))),0)</f>
        <v>#REF!</v>
      </c>
    </row>
    <row r="8" spans="1:30" x14ac:dyDescent="0.2">
      <c r="A8" s="155" t="str">
        <f t="shared" si="0"/>
        <v>2026-1</v>
      </c>
      <c r="B8" s="154">
        <f t="shared" si="7"/>
        <v>1</v>
      </c>
      <c r="C8" s="153">
        <f t="shared" si="8"/>
        <v>2026</v>
      </c>
      <c r="D8" s="152" t="str">
        <f t="shared" si="1"/>
        <v>2026-1</v>
      </c>
      <c r="E8" s="159">
        <f>+IF($B8="","",Summary!$P$4)</f>
        <v>45929</v>
      </c>
      <c r="F8" s="159">
        <f>+IF($B8="","",Summary!$P$5)</f>
        <v>46657</v>
      </c>
      <c r="G8" s="159">
        <f>+IF($B8="","",Summary!$P$6)</f>
        <v>46657</v>
      </c>
      <c r="H8" s="158" t="str">
        <f t="shared" si="2"/>
        <v>Green</v>
      </c>
      <c r="I8" s="156"/>
      <c r="J8" s="157"/>
      <c r="K8" s="156"/>
      <c r="L8" s="156"/>
      <c r="M8" s="156"/>
      <c r="N8" s="156" t="e">
        <f t="shared" si="3"/>
        <v>#REF!</v>
      </c>
      <c r="O8" s="156" t="e">
        <f>COUNTIFS(#REF!,"&gt;="&amp;DATE($C8,$B8,1),#REF!,"&lt;="&amp;EOMONTH(DATE($C8,$B8,1),0),#REF!,"Incident")+
COUNTIFS(#REF!,"&gt;="&amp;DATE($C8,$B8,1),#REF!,"&lt;="&amp;EOMONTH(DATE($C8,$B8,1),0),#REF!,"user_request")</f>
        <v>#REF!</v>
      </c>
      <c r="P8" s="147">
        <f t="shared" si="9"/>
        <v>0</v>
      </c>
      <c r="Q8" s="147">
        <f t="shared" si="10"/>
        <v>0</v>
      </c>
      <c r="R8" s="147">
        <f t="shared" si="11"/>
        <v>0</v>
      </c>
      <c r="S8" s="146" t="e">
        <f t="shared" si="12"/>
        <v>#REF!</v>
      </c>
      <c r="T8" s="146" t="e">
        <f t="shared" si="13"/>
        <v>#REF!</v>
      </c>
      <c r="U8" s="145">
        <f t="shared" si="4"/>
        <v>0</v>
      </c>
      <c r="V8" s="145" t="e">
        <f t="shared" si="5"/>
        <v>#REF!</v>
      </c>
      <c r="W8" s="142">
        <v>5</v>
      </c>
      <c r="X8" s="142" t="str">
        <f>+IF((VLOOKUP(A8,List!B:C,2,0)-VLOOKUP(Summary!$P$7,List!B:C,2,0))=0,1,"")</f>
        <v/>
      </c>
      <c r="Y8" s="198" t="str">
        <f>+IF((VLOOKUP(A8,List!B:C,2,0)-VLOOKUP(Summary!$P$7,List!B:C,2,0))&gt;=0,1,"")</f>
        <v/>
      </c>
      <c r="Z8" s="198" t="str">
        <f>+IF((VLOOKUP(A8,List!B:C,2,0)-VLOOKUP(Summary!$P$7,List!B:C,2,0))&gt;0,1,"")</f>
        <v/>
      </c>
      <c r="AA8" s="141" t="str">
        <f t="shared" si="6"/>
        <v/>
      </c>
      <c r="AB8" s="199" t="str">
        <f>+IF(AA8="","",IF(Summary!$J$7="Fixed Price","",IF(M8="",IF(I8="","",1),"")))</f>
        <v/>
      </c>
      <c r="AC8" s="198">
        <f t="shared" si="14"/>
        <v>0</v>
      </c>
      <c r="AD8" s="198" t="e">
        <f>+IF(AA8="",+IF(N8&gt;#REF!,#REF!,IF(N8&gt;#REF!,#REF!,IF(N8&gt;#REF!,#REF!,IF(N8&gt;#REF!,#REF!,IF(N8&gt;#REF!,#REF!,IF(N8&gt;#REF!,#REF!,IF(N8&gt;#REF!,#REF!,IF(N8&gt;#REF!,#REF!,#REF!)))))))),0)</f>
        <v>#REF!</v>
      </c>
    </row>
    <row r="9" spans="1:30" x14ac:dyDescent="0.2">
      <c r="A9" s="155" t="str">
        <f t="shared" si="0"/>
        <v>2026-2</v>
      </c>
      <c r="B9" s="154">
        <f t="shared" si="7"/>
        <v>2</v>
      </c>
      <c r="C9" s="153">
        <f t="shared" si="8"/>
        <v>2026</v>
      </c>
      <c r="D9" s="152" t="str">
        <f t="shared" si="1"/>
        <v>2026-2</v>
      </c>
      <c r="E9" s="151">
        <f>+IF($B9="","",Summary!$P$4)</f>
        <v>45929</v>
      </c>
      <c r="F9" s="151">
        <f>+IF($B9="","",Summary!$P$5)</f>
        <v>46657</v>
      </c>
      <c r="G9" s="151">
        <f>+IF($B9="","",Summary!$P$6)</f>
        <v>46657</v>
      </c>
      <c r="H9" s="150" t="str">
        <f t="shared" si="2"/>
        <v>Green</v>
      </c>
      <c r="I9" s="148"/>
      <c r="J9" s="149"/>
      <c r="K9" s="148"/>
      <c r="L9" s="148"/>
      <c r="M9" s="148"/>
      <c r="N9" s="148" t="e">
        <f t="shared" si="3"/>
        <v>#REF!</v>
      </c>
      <c r="O9" s="148" t="e">
        <f>COUNTIFS(#REF!,"&gt;="&amp;DATE($C9,$B9,1),#REF!,"&lt;="&amp;EOMONTH(DATE($C9,$B9,1),0),#REF!,"Incident")+
COUNTIFS(#REF!,"&gt;="&amp;DATE($C9,$B9,1),#REF!,"&lt;="&amp;EOMONTH(DATE($C9,$B9,1),0),#REF!,"user_request")</f>
        <v>#REF!</v>
      </c>
      <c r="P9" s="147">
        <f t="shared" si="9"/>
        <v>0</v>
      </c>
      <c r="Q9" s="147">
        <f t="shared" si="10"/>
        <v>0</v>
      </c>
      <c r="R9" s="147">
        <f t="shared" si="11"/>
        <v>0</v>
      </c>
      <c r="S9" s="146" t="e">
        <f t="shared" si="12"/>
        <v>#REF!</v>
      </c>
      <c r="T9" s="146" t="e">
        <f t="shared" si="13"/>
        <v>#REF!</v>
      </c>
      <c r="U9" s="145">
        <f t="shared" si="4"/>
        <v>0</v>
      </c>
      <c r="V9" s="145" t="e">
        <f t="shared" si="5"/>
        <v>#REF!</v>
      </c>
      <c r="W9" s="142">
        <v>6</v>
      </c>
      <c r="X9" s="142">
        <f>+IF((VLOOKUP(A9,List!B:C,2,0)-VLOOKUP(Summary!$P$7,List!B:C,2,0))=0,1,"")</f>
        <v>1</v>
      </c>
      <c r="Y9" s="198">
        <f>+IF((VLOOKUP(A9,List!B:C,2,0)-VLOOKUP(Summary!$P$7,List!B:C,2,0))&gt;=0,1,"")</f>
        <v>1</v>
      </c>
      <c r="Z9" s="198" t="str">
        <f>+IF((VLOOKUP(A9,List!B:C,2,0)-VLOOKUP(Summary!$P$7,List!B:C,2,0))&gt;0,1,"")</f>
        <v/>
      </c>
      <c r="AA9" s="141" t="str">
        <f t="shared" si="6"/>
        <v/>
      </c>
      <c r="AB9" s="199" t="str">
        <f>+IF(AA9="","",IF(Summary!$J$7="Fixed Price","",IF(M9="",IF(I9="","",1),"")))</f>
        <v/>
      </c>
      <c r="AC9" s="198">
        <f t="shared" si="14"/>
        <v>0</v>
      </c>
      <c r="AD9" s="198" t="e">
        <f>+IF(AA9="",+IF(N9&gt;#REF!,#REF!,IF(N9&gt;#REF!,#REF!,IF(N9&gt;#REF!,#REF!,IF(N9&gt;#REF!,#REF!,IF(N9&gt;#REF!,#REF!,IF(N9&gt;#REF!,#REF!,IF(N9&gt;#REF!,#REF!,IF(N9&gt;#REF!,#REF!,#REF!)))))))),0)</f>
        <v>#REF!</v>
      </c>
    </row>
    <row r="10" spans="1:30" x14ac:dyDescent="0.2">
      <c r="A10" s="155" t="str">
        <f t="shared" si="0"/>
        <v>2026-3</v>
      </c>
      <c r="B10" s="154">
        <f t="shared" si="7"/>
        <v>3</v>
      </c>
      <c r="C10" s="153">
        <f t="shared" si="8"/>
        <v>2026</v>
      </c>
      <c r="D10" s="152" t="str">
        <f t="shared" si="1"/>
        <v>2026-3</v>
      </c>
      <c r="E10" s="159">
        <f>+IF($B10="","",Summary!$P$4)</f>
        <v>45929</v>
      </c>
      <c r="F10" s="159">
        <f>+IF($B10="","",Summary!$P$5)</f>
        <v>46657</v>
      </c>
      <c r="G10" s="159">
        <f>+IF($B10="","",Summary!$P$6)</f>
        <v>46657</v>
      </c>
      <c r="H10" s="158" t="str">
        <f t="shared" si="2"/>
        <v>Green</v>
      </c>
      <c r="I10" s="156"/>
      <c r="J10" s="157"/>
      <c r="K10" s="156"/>
      <c r="L10" s="156"/>
      <c r="M10" s="156"/>
      <c r="N10" s="156" t="e">
        <f t="shared" si="3"/>
        <v>#REF!</v>
      </c>
      <c r="O10" s="156" t="e">
        <f>COUNTIFS(#REF!,"&gt;="&amp;DATE($C10,$B10,1),#REF!,"&lt;="&amp;EOMONTH(DATE($C10,$B10,1),0),#REF!,"Incident")+
COUNTIFS(#REF!,"&gt;="&amp;DATE($C10,$B10,1),#REF!,"&lt;="&amp;EOMONTH(DATE($C10,$B10,1),0),#REF!,"user_request")</f>
        <v>#REF!</v>
      </c>
      <c r="P10" s="147">
        <f t="shared" si="9"/>
        <v>0</v>
      </c>
      <c r="Q10" s="147">
        <f t="shared" si="10"/>
        <v>0</v>
      </c>
      <c r="R10" s="147">
        <f t="shared" si="11"/>
        <v>0</v>
      </c>
      <c r="S10" s="146" t="e">
        <f t="shared" si="12"/>
        <v>#REF!</v>
      </c>
      <c r="T10" s="146" t="e">
        <f t="shared" si="13"/>
        <v>#REF!</v>
      </c>
      <c r="U10" s="145">
        <f t="shared" si="4"/>
        <v>0</v>
      </c>
      <c r="V10" s="145" t="e">
        <f t="shared" si="5"/>
        <v>#REF!</v>
      </c>
      <c r="W10" s="142">
        <v>7</v>
      </c>
      <c r="X10" s="142" t="str">
        <f>+IF((VLOOKUP(A10,List!B:C,2,0)-VLOOKUP(Summary!$P$7,List!B:C,2,0))=0,1,"")</f>
        <v/>
      </c>
      <c r="Y10" s="198">
        <f>+IF((VLOOKUP(A10,List!B:C,2,0)-VLOOKUP(Summary!$P$7,List!B:C,2,0))&gt;=0,1,"")</f>
        <v>1</v>
      </c>
      <c r="Z10" s="198">
        <f>+IF((VLOOKUP(A10,List!B:C,2,0)-VLOOKUP(Summary!$P$7,List!B:C,2,0))&gt;0,1,"")</f>
        <v>1</v>
      </c>
      <c r="AA10" s="141">
        <f t="shared" si="6"/>
        <v>1</v>
      </c>
      <c r="AB10" s="199" t="str">
        <f>+IF(AA10="","",IF(Summary!$J$7="Fixed Price","",IF(M10="",IF(I10="","",1),"")))</f>
        <v/>
      </c>
      <c r="AC10" s="198">
        <f t="shared" si="14"/>
        <v>0</v>
      </c>
      <c r="AD10" s="198">
        <f>+IF(AA10="",+IF(N10&gt;#REF!,#REF!,IF(N10&gt;#REF!,#REF!,IF(N10&gt;#REF!,#REF!,IF(N10&gt;#REF!,#REF!,IF(N10&gt;#REF!,#REF!,IF(N10&gt;#REF!,#REF!,IF(N10&gt;#REF!,#REF!,IF(N10&gt;#REF!,#REF!,#REF!)))))))),0)</f>
        <v>0</v>
      </c>
    </row>
    <row r="11" spans="1:30" x14ac:dyDescent="0.2">
      <c r="A11" s="155" t="str">
        <f t="shared" si="0"/>
        <v>2026-4</v>
      </c>
      <c r="B11" s="154">
        <f t="shared" si="7"/>
        <v>4</v>
      </c>
      <c r="C11" s="153">
        <f t="shared" si="8"/>
        <v>2026</v>
      </c>
      <c r="D11" s="152" t="str">
        <f t="shared" si="1"/>
        <v>2026-4</v>
      </c>
      <c r="E11" s="151">
        <f>+IF($B11="","",Summary!$P$4)</f>
        <v>45929</v>
      </c>
      <c r="F11" s="151">
        <f>+IF($B11="","",Summary!$P$5)</f>
        <v>46657</v>
      </c>
      <c r="G11" s="151">
        <f>+IF($B11="","",Summary!$P$6)</f>
        <v>46657</v>
      </c>
      <c r="H11" s="150" t="str">
        <f t="shared" si="2"/>
        <v>Green</v>
      </c>
      <c r="I11" s="148"/>
      <c r="J11" s="149"/>
      <c r="K11" s="148"/>
      <c r="L11" s="148"/>
      <c r="M11" s="148"/>
      <c r="N11" s="148" t="e">
        <f t="shared" si="3"/>
        <v>#REF!</v>
      </c>
      <c r="O11" s="148" t="e">
        <f>COUNTIFS(#REF!,"&gt;="&amp;DATE($C11,$B11,1),#REF!,"&lt;="&amp;EOMONTH(DATE($C11,$B11,1),0),#REF!,"Incident")+
COUNTIFS(#REF!,"&gt;="&amp;DATE($C11,$B11,1),#REF!,"&lt;="&amp;EOMONTH(DATE($C11,$B11,1),0),#REF!,"user_request")</f>
        <v>#REF!</v>
      </c>
      <c r="P11" s="147">
        <f t="shared" si="9"/>
        <v>0</v>
      </c>
      <c r="Q11" s="147">
        <f t="shared" si="10"/>
        <v>0</v>
      </c>
      <c r="R11" s="147">
        <f t="shared" si="11"/>
        <v>0</v>
      </c>
      <c r="S11" s="146" t="e">
        <f t="shared" si="12"/>
        <v>#REF!</v>
      </c>
      <c r="T11" s="146" t="e">
        <f t="shared" si="13"/>
        <v>#REF!</v>
      </c>
      <c r="U11" s="145">
        <f t="shared" si="4"/>
        <v>0</v>
      </c>
      <c r="V11" s="145" t="e">
        <f t="shared" si="5"/>
        <v>#REF!</v>
      </c>
      <c r="W11" s="142">
        <v>8</v>
      </c>
      <c r="X11" s="142" t="str">
        <f>+IF((VLOOKUP(A11,List!B:C,2,0)-VLOOKUP(Summary!$P$7,List!B:C,2,0))=0,1,"")</f>
        <v/>
      </c>
      <c r="Y11" s="198">
        <f>+IF((VLOOKUP(A11,List!B:C,2,0)-VLOOKUP(Summary!$P$7,List!B:C,2,0))&gt;=0,1,"")</f>
        <v>1</v>
      </c>
      <c r="Z11" s="198">
        <f>+IF((VLOOKUP(A11,List!B:C,2,0)-VLOOKUP(Summary!$P$7,List!B:C,2,0))&gt;0,1,"")</f>
        <v>1</v>
      </c>
      <c r="AA11" s="141">
        <f t="shared" si="6"/>
        <v>1</v>
      </c>
      <c r="AB11" s="199" t="str">
        <f>+IF(AA11="","",IF(Summary!$J$7="Fixed Price","",IF(M11="",IF(I11="","",1),"")))</f>
        <v/>
      </c>
      <c r="AC11" s="198">
        <f t="shared" si="14"/>
        <v>0</v>
      </c>
      <c r="AD11" s="198">
        <f>+IF(AA11="",+IF(N11&gt;#REF!,#REF!,IF(N11&gt;#REF!,#REF!,IF(N11&gt;#REF!,#REF!,IF(N11&gt;#REF!,#REF!,IF(N11&gt;#REF!,#REF!,IF(N11&gt;#REF!,#REF!,IF(N11&gt;#REF!,#REF!,IF(N11&gt;#REF!,#REF!,#REF!)))))))),0)</f>
        <v>0</v>
      </c>
    </row>
    <row r="12" spans="1:30" x14ac:dyDescent="0.2">
      <c r="A12" s="155" t="str">
        <f t="shared" si="0"/>
        <v>2026-5</v>
      </c>
      <c r="B12" s="154">
        <f t="shared" si="7"/>
        <v>5</v>
      </c>
      <c r="C12" s="153">
        <f t="shared" si="8"/>
        <v>2026</v>
      </c>
      <c r="D12" s="152" t="str">
        <f t="shared" si="1"/>
        <v>2026-5</v>
      </c>
      <c r="E12" s="159">
        <f>+IF($B12="","",Summary!$P$4)</f>
        <v>45929</v>
      </c>
      <c r="F12" s="159">
        <f>+IF($B12="","",Summary!$P$5)</f>
        <v>46657</v>
      </c>
      <c r="G12" s="159">
        <f>+IF($B12="","",Summary!$P$6)</f>
        <v>46657</v>
      </c>
      <c r="H12" s="158" t="str">
        <f t="shared" si="2"/>
        <v>Green</v>
      </c>
      <c r="I12" s="156"/>
      <c r="J12" s="157"/>
      <c r="K12" s="156"/>
      <c r="L12" s="156"/>
      <c r="M12" s="156"/>
      <c r="N12" s="156" t="e">
        <f t="shared" si="3"/>
        <v>#REF!</v>
      </c>
      <c r="O12" s="156" t="e">
        <f>COUNTIFS(#REF!,"&gt;="&amp;DATE($C12,$B12,1),#REF!,"&lt;="&amp;EOMONTH(DATE($C12,$B12,1),0),#REF!,"Incident")+
COUNTIFS(#REF!,"&gt;="&amp;DATE($C12,$B12,1),#REF!,"&lt;="&amp;EOMONTH(DATE($C12,$B12,1),0),#REF!,"user_request")</f>
        <v>#REF!</v>
      </c>
      <c r="P12" s="147">
        <f t="shared" si="9"/>
        <v>0</v>
      </c>
      <c r="Q12" s="147">
        <f t="shared" si="10"/>
        <v>0</v>
      </c>
      <c r="R12" s="147">
        <f t="shared" si="11"/>
        <v>0</v>
      </c>
      <c r="S12" s="146" t="e">
        <f t="shared" si="12"/>
        <v>#REF!</v>
      </c>
      <c r="T12" s="146" t="e">
        <f t="shared" si="13"/>
        <v>#REF!</v>
      </c>
      <c r="U12" s="145">
        <f t="shared" si="4"/>
        <v>0</v>
      </c>
      <c r="V12" s="145" t="e">
        <f t="shared" si="5"/>
        <v>#REF!</v>
      </c>
      <c r="W12" s="142">
        <v>9</v>
      </c>
      <c r="X12" s="142" t="str">
        <f>+IF((VLOOKUP(A12,List!B:C,2,0)-VLOOKUP(Summary!$P$7,List!B:C,2,0))=0,1,"")</f>
        <v/>
      </c>
      <c r="Y12" s="198">
        <f>+IF((VLOOKUP(A12,List!B:C,2,0)-VLOOKUP(Summary!$P$7,List!B:C,2,0))&gt;=0,1,"")</f>
        <v>1</v>
      </c>
      <c r="Z12" s="198">
        <f>+IF((VLOOKUP(A12,List!B:C,2,0)-VLOOKUP(Summary!$P$7,List!B:C,2,0))&gt;0,1,"")</f>
        <v>1</v>
      </c>
      <c r="AA12" s="141">
        <f t="shared" si="6"/>
        <v>1</v>
      </c>
      <c r="AB12" s="199" t="str">
        <f>+IF(AA12="","",IF(Summary!$J$7="Fixed Price","",IF(M12="",IF(I12="","",1),"")))</f>
        <v/>
      </c>
      <c r="AC12" s="198">
        <f t="shared" si="14"/>
        <v>0</v>
      </c>
      <c r="AD12" s="198">
        <f>+IF(AA12="",+IF(N12&gt;#REF!,#REF!,IF(N12&gt;#REF!,#REF!,IF(N12&gt;#REF!,#REF!,IF(N12&gt;#REF!,#REF!,IF(N12&gt;#REF!,#REF!,IF(N12&gt;#REF!,#REF!,IF(N12&gt;#REF!,#REF!,IF(N12&gt;#REF!,#REF!,#REF!)))))))),0)</f>
        <v>0</v>
      </c>
    </row>
    <row r="13" spans="1:30" x14ac:dyDescent="0.2">
      <c r="A13" s="155" t="str">
        <f t="shared" si="0"/>
        <v>2026-6</v>
      </c>
      <c r="B13" s="154">
        <f t="shared" si="7"/>
        <v>6</v>
      </c>
      <c r="C13" s="153">
        <f t="shared" si="8"/>
        <v>2026</v>
      </c>
      <c r="D13" s="152" t="str">
        <f t="shared" si="1"/>
        <v>2026-6</v>
      </c>
      <c r="E13" s="151">
        <f>+IF($B13="","",Summary!$P$4)</f>
        <v>45929</v>
      </c>
      <c r="F13" s="151">
        <f>+IF($B13="","",Summary!$P$5)</f>
        <v>46657</v>
      </c>
      <c r="G13" s="151">
        <f>+IF($B13="","",Summary!$P$6)</f>
        <v>46657</v>
      </c>
      <c r="H13" s="150" t="str">
        <f t="shared" si="2"/>
        <v>Green</v>
      </c>
      <c r="I13" s="148"/>
      <c r="J13" s="149"/>
      <c r="K13" s="148"/>
      <c r="L13" s="148"/>
      <c r="M13" s="148"/>
      <c r="N13" s="148" t="e">
        <f t="shared" si="3"/>
        <v>#REF!</v>
      </c>
      <c r="O13" s="148" t="e">
        <f>COUNTIFS(#REF!,"&gt;="&amp;DATE($C13,$B13,1),#REF!,"&lt;="&amp;EOMONTH(DATE($C13,$B13,1),0),#REF!,"Incident")+
COUNTIFS(#REF!,"&gt;="&amp;DATE($C13,$B13,1),#REF!,"&lt;="&amp;EOMONTH(DATE($C13,$B13,1),0),#REF!,"user_request")</f>
        <v>#REF!</v>
      </c>
      <c r="P13" s="147">
        <f t="shared" si="9"/>
        <v>0</v>
      </c>
      <c r="Q13" s="147">
        <f t="shared" si="10"/>
        <v>0</v>
      </c>
      <c r="R13" s="147">
        <f t="shared" si="11"/>
        <v>0</v>
      </c>
      <c r="S13" s="146" t="e">
        <f t="shared" si="12"/>
        <v>#REF!</v>
      </c>
      <c r="T13" s="146" t="e">
        <f t="shared" si="13"/>
        <v>#REF!</v>
      </c>
      <c r="U13" s="145">
        <f t="shared" si="4"/>
        <v>0</v>
      </c>
      <c r="V13" s="145" t="e">
        <f t="shared" si="5"/>
        <v>#REF!</v>
      </c>
      <c r="W13" s="142">
        <v>10</v>
      </c>
      <c r="X13" s="142" t="str">
        <f>+IF((VLOOKUP(A13,List!B:C,2,0)-VLOOKUP(Summary!$P$7,List!B:C,2,0))=0,1,"")</f>
        <v/>
      </c>
      <c r="Y13" s="198">
        <f>+IF((VLOOKUP(A13,List!B:C,2,0)-VLOOKUP(Summary!$P$7,List!B:C,2,0))&gt;=0,1,"")</f>
        <v>1</v>
      </c>
      <c r="Z13" s="198">
        <f>+IF((VLOOKUP(A13,List!B:C,2,0)-VLOOKUP(Summary!$P$7,List!B:C,2,0))&gt;0,1,"")</f>
        <v>1</v>
      </c>
      <c r="AA13" s="141">
        <f t="shared" si="6"/>
        <v>1</v>
      </c>
      <c r="AB13" s="199" t="str">
        <f>+IF(AA13="","",IF(Summary!$J$7="Fixed Price","",IF(M13="",IF(I13="","",1),"")))</f>
        <v/>
      </c>
      <c r="AC13" s="198">
        <f t="shared" si="14"/>
        <v>0</v>
      </c>
      <c r="AD13" s="198">
        <f>+IF(AA13="",+IF(N13&gt;#REF!,#REF!,IF(N13&gt;#REF!,#REF!,IF(N13&gt;#REF!,#REF!,IF(N13&gt;#REF!,#REF!,IF(N13&gt;#REF!,#REF!,IF(N13&gt;#REF!,#REF!,IF(N13&gt;#REF!,#REF!,IF(N13&gt;#REF!,#REF!,#REF!)))))))),0)</f>
        <v>0</v>
      </c>
    </row>
    <row r="14" spans="1:30" x14ac:dyDescent="0.2">
      <c r="A14" s="155" t="str">
        <f t="shared" si="0"/>
        <v>2026-7</v>
      </c>
      <c r="B14" s="154">
        <f t="shared" si="7"/>
        <v>7</v>
      </c>
      <c r="C14" s="153">
        <f t="shared" si="8"/>
        <v>2026</v>
      </c>
      <c r="D14" s="152" t="str">
        <f t="shared" si="1"/>
        <v>2026-7</v>
      </c>
      <c r="E14" s="159">
        <f>+IF($B14="","",Summary!$P$4)</f>
        <v>45929</v>
      </c>
      <c r="F14" s="159">
        <f>+IF($B14="","",Summary!$P$5)</f>
        <v>46657</v>
      </c>
      <c r="G14" s="159">
        <f>+IF($B14="","",Summary!$P$6)</f>
        <v>46657</v>
      </c>
      <c r="H14" s="158" t="str">
        <f t="shared" si="2"/>
        <v>Green</v>
      </c>
      <c r="I14" s="156"/>
      <c r="J14" s="157"/>
      <c r="K14" s="156"/>
      <c r="L14" s="156"/>
      <c r="M14" s="156"/>
      <c r="N14" s="156" t="e">
        <f t="shared" si="3"/>
        <v>#REF!</v>
      </c>
      <c r="O14" s="156" t="e">
        <f>COUNTIFS(#REF!,"&gt;="&amp;DATE($C14,$B14,1),#REF!,"&lt;="&amp;EOMONTH(DATE($C14,$B14,1),0),#REF!,"Incident")+
COUNTIFS(#REF!,"&gt;="&amp;DATE($C14,$B14,1),#REF!,"&lt;="&amp;EOMONTH(DATE($C14,$B14,1),0),#REF!,"user_request")</f>
        <v>#REF!</v>
      </c>
      <c r="P14" s="147">
        <f t="shared" si="9"/>
        <v>0</v>
      </c>
      <c r="Q14" s="147">
        <f t="shared" si="10"/>
        <v>0</v>
      </c>
      <c r="R14" s="147">
        <f t="shared" si="11"/>
        <v>0</v>
      </c>
      <c r="S14" s="146" t="e">
        <f t="shared" si="12"/>
        <v>#REF!</v>
      </c>
      <c r="T14" s="146" t="e">
        <f t="shared" si="13"/>
        <v>#REF!</v>
      </c>
      <c r="U14" s="145">
        <f t="shared" si="4"/>
        <v>0</v>
      </c>
      <c r="V14" s="145" t="e">
        <f t="shared" si="5"/>
        <v>#REF!</v>
      </c>
      <c r="W14" s="142">
        <v>11</v>
      </c>
      <c r="X14" s="142" t="str">
        <f>+IF((VLOOKUP(A14,List!B:C,2,0)-VLOOKUP(Summary!$P$7,List!B:C,2,0))=0,1,"")</f>
        <v/>
      </c>
      <c r="Y14" s="198">
        <f>+IF((VLOOKUP(A14,List!B:C,2,0)-VLOOKUP(Summary!$P$7,List!B:C,2,0))&gt;=0,1,"")</f>
        <v>1</v>
      </c>
      <c r="Z14" s="198">
        <f>+IF((VLOOKUP(A14,List!B:C,2,0)-VLOOKUP(Summary!$P$7,List!B:C,2,0))&gt;0,1,"")</f>
        <v>1</v>
      </c>
      <c r="AA14" s="141">
        <f t="shared" si="6"/>
        <v>1</v>
      </c>
      <c r="AB14" s="199" t="str">
        <f>+IF(AA14="","",IF(Summary!$J$7="Fixed Price","",IF(M14="",IF(I14="","",1),"")))</f>
        <v/>
      </c>
      <c r="AC14" s="198">
        <f t="shared" si="14"/>
        <v>0</v>
      </c>
      <c r="AD14" s="198">
        <f>+IF(AA14="",+IF(N14&gt;#REF!,#REF!,IF(N14&gt;#REF!,#REF!,IF(N14&gt;#REF!,#REF!,IF(N14&gt;#REF!,#REF!,IF(N14&gt;#REF!,#REF!,IF(N14&gt;#REF!,#REF!,IF(N14&gt;#REF!,#REF!,IF(N14&gt;#REF!,#REF!,#REF!)))))))),0)</f>
        <v>0</v>
      </c>
    </row>
    <row r="15" spans="1:30" x14ac:dyDescent="0.2">
      <c r="A15" s="155" t="str">
        <f t="shared" si="0"/>
        <v>2026-8</v>
      </c>
      <c r="B15" s="154">
        <f t="shared" si="7"/>
        <v>8</v>
      </c>
      <c r="C15" s="153">
        <f t="shared" si="8"/>
        <v>2026</v>
      </c>
      <c r="D15" s="152" t="str">
        <f t="shared" si="1"/>
        <v>2026-8</v>
      </c>
      <c r="E15" s="151">
        <f>+IF($B15="","",Summary!$P$4)</f>
        <v>45929</v>
      </c>
      <c r="F15" s="151">
        <f>+IF($B15="","",Summary!$P$5)</f>
        <v>46657</v>
      </c>
      <c r="G15" s="151">
        <f>+IF($B15="","",Summary!$P$6)</f>
        <v>46657</v>
      </c>
      <c r="H15" s="150" t="str">
        <f t="shared" si="2"/>
        <v>Green</v>
      </c>
      <c r="I15" s="148"/>
      <c r="J15" s="149"/>
      <c r="K15" s="148"/>
      <c r="L15" s="148"/>
      <c r="M15" s="148"/>
      <c r="N15" s="148" t="e">
        <f t="shared" si="3"/>
        <v>#REF!</v>
      </c>
      <c r="O15" s="148" t="e">
        <f>COUNTIFS(#REF!,"&gt;="&amp;DATE($C15,$B15,1),#REF!,"&lt;="&amp;EOMONTH(DATE($C15,$B15,1),0),#REF!,"Incident")+
COUNTIFS(#REF!,"&gt;="&amp;DATE($C15,$B15,1),#REF!,"&lt;="&amp;EOMONTH(DATE($C15,$B15,1),0),#REF!,"user_request")</f>
        <v>#REF!</v>
      </c>
      <c r="P15" s="147">
        <f t="shared" si="9"/>
        <v>0</v>
      </c>
      <c r="Q15" s="147">
        <f t="shared" si="10"/>
        <v>0</v>
      </c>
      <c r="R15" s="147">
        <f t="shared" si="11"/>
        <v>0</v>
      </c>
      <c r="S15" s="146" t="e">
        <f t="shared" si="12"/>
        <v>#REF!</v>
      </c>
      <c r="T15" s="146" t="e">
        <f t="shared" si="13"/>
        <v>#REF!</v>
      </c>
      <c r="U15" s="145">
        <f t="shared" si="4"/>
        <v>0</v>
      </c>
      <c r="V15" s="145" t="e">
        <f t="shared" si="5"/>
        <v>#REF!</v>
      </c>
      <c r="W15" s="142">
        <v>12</v>
      </c>
      <c r="X15" s="142" t="str">
        <f>+IF((VLOOKUP(A15,List!B:C,2,0)-VLOOKUP(Summary!$P$7,List!B:C,2,0))=0,1,"")</f>
        <v/>
      </c>
      <c r="Y15" s="198">
        <f>+IF((VLOOKUP(A15,List!B:C,2,0)-VLOOKUP(Summary!$P$7,List!B:C,2,0))&gt;=0,1,"")</f>
        <v>1</v>
      </c>
      <c r="Z15" s="198">
        <f>+IF((VLOOKUP(A15,List!B:C,2,0)-VLOOKUP(Summary!$P$7,List!B:C,2,0))&gt;0,1,"")</f>
        <v>1</v>
      </c>
      <c r="AA15" s="141">
        <f t="shared" si="6"/>
        <v>1</v>
      </c>
      <c r="AB15" s="199" t="str">
        <f>+IF(AA15="","",IF(Summary!$J$7="Fixed Price","",IF(M15="",IF(I15="","",1),"")))</f>
        <v/>
      </c>
      <c r="AC15" s="198">
        <f t="shared" si="14"/>
        <v>0</v>
      </c>
      <c r="AD15" s="198">
        <f>+IF(AA15="",+IF(N15&gt;#REF!,#REF!,IF(N15&gt;#REF!,#REF!,IF(N15&gt;#REF!,#REF!,IF(N15&gt;#REF!,#REF!,IF(N15&gt;#REF!,#REF!,IF(N15&gt;#REF!,#REF!,IF(N15&gt;#REF!,#REF!,IF(N15&gt;#REF!,#REF!,#REF!)))))))),0)</f>
        <v>0</v>
      </c>
    </row>
    <row r="16" spans="1:30" x14ac:dyDescent="0.2">
      <c r="A16" s="155" t="str">
        <f t="shared" si="0"/>
        <v>2026-9</v>
      </c>
      <c r="B16" s="154">
        <f t="shared" si="7"/>
        <v>9</v>
      </c>
      <c r="C16" s="153">
        <f t="shared" si="8"/>
        <v>2026</v>
      </c>
      <c r="D16" s="152" t="str">
        <f t="shared" si="1"/>
        <v>2026-9</v>
      </c>
      <c r="E16" s="159">
        <f>+IF($B16="","",Summary!$P$4)</f>
        <v>45929</v>
      </c>
      <c r="F16" s="159">
        <f>+IF($B16="","",Summary!$P$5)</f>
        <v>46657</v>
      </c>
      <c r="G16" s="159">
        <f>+IF($B16="","",Summary!$P$6)</f>
        <v>46657</v>
      </c>
      <c r="H16" s="158" t="str">
        <f t="shared" si="2"/>
        <v>Green</v>
      </c>
      <c r="I16" s="156"/>
      <c r="J16" s="160"/>
      <c r="K16" s="156"/>
      <c r="L16" s="156"/>
      <c r="M16" s="156"/>
      <c r="N16" s="156" t="e">
        <f t="shared" si="3"/>
        <v>#REF!</v>
      </c>
      <c r="O16" s="156" t="e">
        <f>COUNTIFS(#REF!,"&gt;="&amp;DATE($C16,$B16,1),#REF!,"&lt;="&amp;EOMONTH(DATE($C16,$B16,1),0),#REF!,"Incident")+
COUNTIFS(#REF!,"&gt;="&amp;DATE($C16,$B16,1),#REF!,"&lt;="&amp;EOMONTH(DATE($C16,$B16,1),0),#REF!,"user_request")</f>
        <v>#REF!</v>
      </c>
      <c r="P16" s="147">
        <f t="shared" si="9"/>
        <v>0</v>
      </c>
      <c r="Q16" s="147">
        <f t="shared" si="10"/>
        <v>0</v>
      </c>
      <c r="R16" s="147">
        <f t="shared" si="11"/>
        <v>0</v>
      </c>
      <c r="S16" s="146" t="e">
        <f t="shared" si="12"/>
        <v>#REF!</v>
      </c>
      <c r="T16" s="146" t="e">
        <f t="shared" si="13"/>
        <v>#REF!</v>
      </c>
      <c r="U16" s="145">
        <f t="shared" si="4"/>
        <v>0</v>
      </c>
      <c r="V16" s="145" t="e">
        <f t="shared" si="5"/>
        <v>#REF!</v>
      </c>
      <c r="W16" s="142">
        <v>13</v>
      </c>
      <c r="X16" s="142" t="str">
        <f>+IF((VLOOKUP(A16,List!B:C,2,0)-VLOOKUP(Summary!$P$7,List!B:C,2,0))=0,1,"")</f>
        <v/>
      </c>
      <c r="Y16" s="198">
        <f>+IF((VLOOKUP(A16,List!B:C,2,0)-VLOOKUP(Summary!$P$7,List!B:C,2,0))&gt;=0,1,"")</f>
        <v>1</v>
      </c>
      <c r="Z16" s="198">
        <f>+IF((VLOOKUP(A16,List!B:C,2,0)-VLOOKUP(Summary!$P$7,List!B:C,2,0))&gt;0,1,"")</f>
        <v>1</v>
      </c>
      <c r="AA16" s="141">
        <f t="shared" si="6"/>
        <v>1</v>
      </c>
      <c r="AB16" s="199" t="str">
        <f>+IF(AA16="","",IF(Summary!$J$7="Fixed Price","",IF(M16="",IF(I16="","",1),"")))</f>
        <v/>
      </c>
      <c r="AC16" s="198">
        <f t="shared" si="14"/>
        <v>0</v>
      </c>
      <c r="AD16" s="198">
        <f>+IF(AA16="",+IF(N16&gt;#REF!,#REF!,IF(N16&gt;#REF!,#REF!,IF(N16&gt;#REF!,#REF!,IF(N16&gt;#REF!,#REF!,IF(N16&gt;#REF!,#REF!,IF(N16&gt;#REF!,#REF!,IF(N16&gt;#REF!,#REF!,IF(N16&gt;#REF!,#REF!,#REF!)))))))),0)</f>
        <v>0</v>
      </c>
    </row>
    <row r="17" spans="1:30" x14ac:dyDescent="0.2">
      <c r="A17" s="155" t="str">
        <f t="shared" si="0"/>
        <v>2026-10</v>
      </c>
      <c r="B17" s="154">
        <f t="shared" si="7"/>
        <v>10</v>
      </c>
      <c r="C17" s="153">
        <f t="shared" si="8"/>
        <v>2026</v>
      </c>
      <c r="D17" s="152" t="str">
        <f t="shared" si="1"/>
        <v>2026-10</v>
      </c>
      <c r="E17" s="151">
        <f>+IF($B17="","",Summary!$P$4)</f>
        <v>45929</v>
      </c>
      <c r="F17" s="151">
        <f>+IF($B17="","",Summary!$P$5)</f>
        <v>46657</v>
      </c>
      <c r="G17" s="151">
        <f>+IF($B17="","",Summary!$P$6)</f>
        <v>46657</v>
      </c>
      <c r="H17" s="150" t="str">
        <f t="shared" si="2"/>
        <v>Green</v>
      </c>
      <c r="I17" s="148"/>
      <c r="J17" s="161"/>
      <c r="K17" s="148"/>
      <c r="L17" s="148"/>
      <c r="M17" s="148"/>
      <c r="N17" s="148" t="e">
        <f t="shared" si="3"/>
        <v>#REF!</v>
      </c>
      <c r="O17" s="148" t="e">
        <f>COUNTIFS(#REF!,"&gt;="&amp;DATE($C17,$B17,1),#REF!,"&lt;="&amp;EOMONTH(DATE($C17,$B17,1),0),#REF!,"Incident")+
COUNTIFS(#REF!,"&gt;="&amp;DATE($C17,$B17,1),#REF!,"&lt;="&amp;EOMONTH(DATE($C17,$B17,1),0),#REF!,"user_request")</f>
        <v>#REF!</v>
      </c>
      <c r="P17" s="147">
        <f t="shared" si="9"/>
        <v>0</v>
      </c>
      <c r="Q17" s="147">
        <f t="shared" si="10"/>
        <v>0</v>
      </c>
      <c r="R17" s="147">
        <f t="shared" si="11"/>
        <v>0</v>
      </c>
      <c r="S17" s="146" t="e">
        <f t="shared" si="12"/>
        <v>#REF!</v>
      </c>
      <c r="T17" s="146" t="e">
        <f t="shared" si="13"/>
        <v>#REF!</v>
      </c>
      <c r="U17" s="145">
        <f t="shared" si="4"/>
        <v>0</v>
      </c>
      <c r="V17" s="145" t="e">
        <f t="shared" si="5"/>
        <v>#REF!</v>
      </c>
      <c r="W17" s="142">
        <v>14</v>
      </c>
      <c r="X17" s="142" t="str">
        <f>+IF((VLOOKUP(A17,List!B:C,2,0)-VLOOKUP(Summary!$P$7,List!B:C,2,0))=0,1,"")</f>
        <v/>
      </c>
      <c r="Y17" s="198">
        <f>+IF((VLOOKUP(A17,List!B:C,2,0)-VLOOKUP(Summary!$P$7,List!B:C,2,0))&gt;=0,1,"")</f>
        <v>1</v>
      </c>
      <c r="Z17" s="198">
        <f>+IF((VLOOKUP(A17,List!B:C,2,0)-VLOOKUP(Summary!$P$7,List!B:C,2,0))&gt;0,1,"")</f>
        <v>1</v>
      </c>
      <c r="AA17" s="141">
        <f t="shared" si="6"/>
        <v>1</v>
      </c>
      <c r="AB17" s="199" t="str">
        <f>+IF(AA17="","",IF(Summary!$J$7="Fixed Price","",IF(M17="",IF(I17="","",1),"")))</f>
        <v/>
      </c>
      <c r="AC17" s="198">
        <f t="shared" si="14"/>
        <v>0</v>
      </c>
      <c r="AD17" s="198">
        <f>+IF(AA17="",+IF(N17&gt;#REF!,#REF!,IF(N17&gt;#REF!,#REF!,IF(N17&gt;#REF!,#REF!,IF(N17&gt;#REF!,#REF!,IF(N17&gt;#REF!,#REF!,IF(N17&gt;#REF!,#REF!,IF(N17&gt;#REF!,#REF!,IF(N17&gt;#REF!,#REF!,#REF!)))))))),0)</f>
        <v>0</v>
      </c>
    </row>
    <row r="18" spans="1:30" x14ac:dyDescent="0.2">
      <c r="A18" s="155" t="str">
        <f t="shared" si="0"/>
        <v>2026-11</v>
      </c>
      <c r="B18" s="154">
        <f t="shared" si="7"/>
        <v>11</v>
      </c>
      <c r="C18" s="153">
        <f t="shared" si="8"/>
        <v>2026</v>
      </c>
      <c r="D18" s="152" t="str">
        <f t="shared" si="1"/>
        <v>2026-11</v>
      </c>
      <c r="E18" s="159">
        <f>+IF($B18="","",Summary!$P$4)</f>
        <v>45929</v>
      </c>
      <c r="F18" s="159">
        <f>+IF($B18="","",Summary!$P$5)</f>
        <v>46657</v>
      </c>
      <c r="G18" s="159">
        <f>+IF($B18="","",Summary!$P$6)</f>
        <v>46657</v>
      </c>
      <c r="H18" s="158" t="str">
        <f t="shared" si="2"/>
        <v>Green</v>
      </c>
      <c r="I18" s="156"/>
      <c r="J18" s="160"/>
      <c r="K18" s="156"/>
      <c r="L18" s="156"/>
      <c r="M18" s="156"/>
      <c r="N18" s="156" t="e">
        <f t="shared" si="3"/>
        <v>#REF!</v>
      </c>
      <c r="O18" s="156" t="e">
        <f>COUNTIFS(#REF!,"&gt;="&amp;DATE($C18,$B18,1),#REF!,"&lt;="&amp;EOMONTH(DATE($C18,$B18,1),0),#REF!,"Incident")+
COUNTIFS(#REF!,"&gt;="&amp;DATE($C18,$B18,1),#REF!,"&lt;="&amp;EOMONTH(DATE($C18,$B18,1),0),#REF!,"user_request")</f>
        <v>#REF!</v>
      </c>
      <c r="P18" s="147">
        <f t="shared" si="9"/>
        <v>0</v>
      </c>
      <c r="Q18" s="147">
        <f t="shared" si="10"/>
        <v>0</v>
      </c>
      <c r="R18" s="147">
        <f t="shared" si="11"/>
        <v>0</v>
      </c>
      <c r="S18" s="146" t="e">
        <f t="shared" si="12"/>
        <v>#REF!</v>
      </c>
      <c r="T18" s="146" t="e">
        <f t="shared" si="13"/>
        <v>#REF!</v>
      </c>
      <c r="U18" s="145">
        <f t="shared" si="4"/>
        <v>0</v>
      </c>
      <c r="V18" s="145" t="e">
        <f t="shared" si="5"/>
        <v>#REF!</v>
      </c>
      <c r="W18" s="142">
        <v>15</v>
      </c>
      <c r="X18" s="142" t="str">
        <f>+IF((VLOOKUP(A18,List!B:C,2,0)-VLOOKUP(Summary!$P$7,List!B:C,2,0))=0,1,"")</f>
        <v/>
      </c>
      <c r="Y18" s="198">
        <f>+IF((VLOOKUP(A18,List!B:C,2,0)-VLOOKUP(Summary!$P$7,List!B:C,2,0))&gt;=0,1,"")</f>
        <v>1</v>
      </c>
      <c r="Z18" s="198">
        <f>+IF((VLOOKUP(A18,List!B:C,2,0)-VLOOKUP(Summary!$P$7,List!B:C,2,0))&gt;0,1,"")</f>
        <v>1</v>
      </c>
      <c r="AA18" s="141">
        <f t="shared" si="6"/>
        <v>1</v>
      </c>
      <c r="AB18" s="199" t="str">
        <f>+IF(AA18="","",IF(Summary!$J$7="Fixed Price","",IF(M18="",IF(I18="","",1),"")))</f>
        <v/>
      </c>
      <c r="AC18" s="198">
        <f t="shared" si="14"/>
        <v>0</v>
      </c>
      <c r="AD18" s="198">
        <f>+IF(AA18="",+IF(N18&gt;#REF!,#REF!,IF(N18&gt;#REF!,#REF!,IF(N18&gt;#REF!,#REF!,IF(N18&gt;#REF!,#REF!,IF(N18&gt;#REF!,#REF!,IF(N18&gt;#REF!,#REF!,IF(N18&gt;#REF!,#REF!,IF(N18&gt;#REF!,#REF!,#REF!)))))))),0)</f>
        <v>0</v>
      </c>
    </row>
    <row r="19" spans="1:30" x14ac:dyDescent="0.2">
      <c r="A19" s="155" t="str">
        <f t="shared" si="0"/>
        <v>2026-12</v>
      </c>
      <c r="B19" s="154">
        <f t="shared" si="7"/>
        <v>12</v>
      </c>
      <c r="C19" s="153">
        <f t="shared" si="8"/>
        <v>2026</v>
      </c>
      <c r="D19" s="152" t="str">
        <f t="shared" si="1"/>
        <v>2026-12</v>
      </c>
      <c r="E19" s="151">
        <f>+IF($B19="","",Summary!$P$4)</f>
        <v>45929</v>
      </c>
      <c r="F19" s="151">
        <f>+IF($B19="","",Summary!$P$5)</f>
        <v>46657</v>
      </c>
      <c r="G19" s="151">
        <f>+IF($B19="","",Summary!$P$6)</f>
        <v>46657</v>
      </c>
      <c r="H19" s="150" t="str">
        <f t="shared" si="2"/>
        <v>Green</v>
      </c>
      <c r="I19" s="148"/>
      <c r="J19" s="161"/>
      <c r="K19" s="148"/>
      <c r="L19" s="148"/>
      <c r="M19" s="148"/>
      <c r="N19" s="148" t="e">
        <f t="shared" si="3"/>
        <v>#REF!</v>
      </c>
      <c r="O19" s="148" t="e">
        <f>COUNTIFS(#REF!,"&gt;="&amp;DATE($C19,$B19,1),#REF!,"&lt;="&amp;EOMONTH(DATE($C19,$B19,1),0),#REF!,"Incident")+
COUNTIFS(#REF!,"&gt;="&amp;DATE($C19,$B19,1),#REF!,"&lt;="&amp;EOMONTH(DATE($C19,$B19,1),0),#REF!,"user_request")</f>
        <v>#REF!</v>
      </c>
      <c r="P19" s="147">
        <f t="shared" si="9"/>
        <v>0</v>
      </c>
      <c r="Q19" s="147">
        <f t="shared" si="10"/>
        <v>0</v>
      </c>
      <c r="R19" s="147">
        <f t="shared" si="11"/>
        <v>0</v>
      </c>
      <c r="S19" s="146" t="e">
        <f t="shared" si="12"/>
        <v>#REF!</v>
      </c>
      <c r="T19" s="146" t="e">
        <f t="shared" si="13"/>
        <v>#REF!</v>
      </c>
      <c r="U19" s="145">
        <f t="shared" si="4"/>
        <v>0</v>
      </c>
      <c r="V19" s="145" t="e">
        <f t="shared" si="5"/>
        <v>#REF!</v>
      </c>
      <c r="W19" s="142">
        <v>16</v>
      </c>
      <c r="X19" s="142" t="str">
        <f>+IF((VLOOKUP(A19,List!B:C,2,0)-VLOOKUP(Summary!$P$7,List!B:C,2,0))=0,1,"")</f>
        <v/>
      </c>
      <c r="Y19" s="198">
        <f>+IF((VLOOKUP(A19,List!B:C,2,0)-VLOOKUP(Summary!$P$7,List!B:C,2,0))&gt;=0,1,"")</f>
        <v>1</v>
      </c>
      <c r="Z19" s="198">
        <f>+IF((VLOOKUP(A19,List!B:C,2,0)-VLOOKUP(Summary!$P$7,List!B:C,2,0))&gt;0,1,"")</f>
        <v>1</v>
      </c>
      <c r="AA19" s="141">
        <f t="shared" si="6"/>
        <v>1</v>
      </c>
      <c r="AB19" s="199" t="str">
        <f>+IF(AA19="","",IF(Summary!$J$7="Fixed Price","",IF(M19="",IF(I19="","",1),"")))</f>
        <v/>
      </c>
      <c r="AC19" s="198">
        <f t="shared" si="14"/>
        <v>0</v>
      </c>
      <c r="AD19" s="198">
        <f>+IF(AA19="",+IF(N19&gt;#REF!,#REF!,IF(N19&gt;#REF!,#REF!,IF(N19&gt;#REF!,#REF!,IF(N19&gt;#REF!,#REF!,IF(N19&gt;#REF!,#REF!,IF(N19&gt;#REF!,#REF!,IF(N19&gt;#REF!,#REF!,IF(N19&gt;#REF!,#REF!,#REF!)))))))),0)</f>
        <v>0</v>
      </c>
    </row>
    <row r="20" spans="1:30" x14ac:dyDescent="0.2">
      <c r="A20" s="155" t="str">
        <f t="shared" si="0"/>
        <v>2027-1</v>
      </c>
      <c r="B20" s="154">
        <f t="shared" si="7"/>
        <v>1</v>
      </c>
      <c r="C20" s="153">
        <f t="shared" si="8"/>
        <v>2027</v>
      </c>
      <c r="D20" s="152" t="str">
        <f t="shared" si="1"/>
        <v>2027-1</v>
      </c>
      <c r="E20" s="159">
        <f>+IF($B20="","",Summary!$P$4)</f>
        <v>45929</v>
      </c>
      <c r="F20" s="159">
        <f>+IF($B20="","",Summary!$P$5)</f>
        <v>46657</v>
      </c>
      <c r="G20" s="159">
        <f>+IF($B20="","",Summary!$P$6)</f>
        <v>46657</v>
      </c>
      <c r="H20" s="158" t="str">
        <f t="shared" si="2"/>
        <v>Green</v>
      </c>
      <c r="I20" s="156"/>
      <c r="J20" s="160"/>
      <c r="K20" s="156"/>
      <c r="L20" s="156"/>
      <c r="M20" s="156"/>
      <c r="N20" s="156" t="e">
        <f t="shared" si="3"/>
        <v>#REF!</v>
      </c>
      <c r="O20" s="156" t="e">
        <f>COUNTIFS(#REF!,"&gt;="&amp;DATE($C20,$B20,1),#REF!,"&lt;="&amp;EOMONTH(DATE($C20,$B20,1),0),#REF!,"Incident")+
COUNTIFS(#REF!,"&gt;="&amp;DATE($C20,$B20,1),#REF!,"&lt;="&amp;EOMONTH(DATE($C20,$B20,1),0),#REF!,"user_request")</f>
        <v>#REF!</v>
      </c>
      <c r="P20" s="147">
        <f t="shared" si="9"/>
        <v>0</v>
      </c>
      <c r="Q20" s="147">
        <f t="shared" si="10"/>
        <v>0</v>
      </c>
      <c r="R20" s="147">
        <f t="shared" si="11"/>
        <v>0</v>
      </c>
      <c r="S20" s="146" t="e">
        <f t="shared" si="12"/>
        <v>#REF!</v>
      </c>
      <c r="T20" s="146" t="e">
        <f t="shared" si="13"/>
        <v>#REF!</v>
      </c>
      <c r="U20" s="145">
        <f t="shared" si="4"/>
        <v>0</v>
      </c>
      <c r="V20" s="145" t="e">
        <f t="shared" si="5"/>
        <v>#REF!</v>
      </c>
      <c r="W20" s="142">
        <v>17</v>
      </c>
      <c r="X20" s="142" t="str">
        <f>+IF((VLOOKUP(A20,List!B:C,2,0)-VLOOKUP(Summary!$P$7,List!B:C,2,0))=0,1,"")</f>
        <v/>
      </c>
      <c r="Y20" s="198">
        <f>+IF((VLOOKUP(A20,List!B:C,2,0)-VLOOKUP(Summary!$P$7,List!B:C,2,0))&gt;=0,1,"")</f>
        <v>1</v>
      </c>
      <c r="Z20" s="198">
        <f>+IF((VLOOKUP(A20,List!B:C,2,0)-VLOOKUP(Summary!$P$7,List!B:C,2,0))&gt;0,1,"")</f>
        <v>1</v>
      </c>
      <c r="AA20" s="141">
        <f t="shared" si="6"/>
        <v>1</v>
      </c>
      <c r="AB20" s="199" t="str">
        <f>+IF(AA20="","",IF(Summary!$J$7="Fixed Price","",IF(M20="",IF(I20="","",1),"")))</f>
        <v/>
      </c>
      <c r="AC20" s="198">
        <f t="shared" si="14"/>
        <v>0</v>
      </c>
      <c r="AD20" s="198">
        <f>+IF(AA20="",+IF(N20&gt;#REF!,#REF!,IF(N20&gt;#REF!,#REF!,IF(N20&gt;#REF!,#REF!,IF(N20&gt;#REF!,#REF!,IF(N20&gt;#REF!,#REF!,IF(N20&gt;#REF!,#REF!,IF(N20&gt;#REF!,#REF!,IF(N20&gt;#REF!,#REF!,#REF!)))))))),0)</f>
        <v>0</v>
      </c>
    </row>
    <row r="21" spans="1:30" x14ac:dyDescent="0.2">
      <c r="A21" s="155" t="str">
        <f t="shared" si="0"/>
        <v>2027-2</v>
      </c>
      <c r="B21" s="154">
        <f t="shared" si="7"/>
        <v>2</v>
      </c>
      <c r="C21" s="153">
        <f t="shared" si="8"/>
        <v>2027</v>
      </c>
      <c r="D21" s="152" t="str">
        <f t="shared" si="1"/>
        <v>2027-2</v>
      </c>
      <c r="E21" s="151">
        <f>+IF($B21="","",Summary!$P$4)</f>
        <v>45929</v>
      </c>
      <c r="F21" s="151">
        <f>+IF($B21="","",Summary!$P$5)</f>
        <v>46657</v>
      </c>
      <c r="G21" s="151">
        <f>+IF($B21="","",Summary!$P$6)</f>
        <v>46657</v>
      </c>
      <c r="H21" s="150" t="str">
        <f t="shared" si="2"/>
        <v>Green</v>
      </c>
      <c r="I21" s="148"/>
      <c r="J21" s="161"/>
      <c r="K21" s="148"/>
      <c r="L21" s="148"/>
      <c r="M21" s="148"/>
      <c r="N21" s="148" t="e">
        <f t="shared" si="3"/>
        <v>#REF!</v>
      </c>
      <c r="O21" s="148" t="e">
        <f>COUNTIFS(#REF!,"&gt;="&amp;DATE($C21,$B21,1),#REF!,"&lt;="&amp;EOMONTH(DATE($C21,$B21,1),0),#REF!,"Incident")+
COUNTIFS(#REF!,"&gt;="&amp;DATE($C21,$B21,1),#REF!,"&lt;="&amp;EOMONTH(DATE($C21,$B21,1),0),#REF!,"user_request")</f>
        <v>#REF!</v>
      </c>
      <c r="P21" s="147">
        <f t="shared" si="9"/>
        <v>0</v>
      </c>
      <c r="Q21" s="147">
        <f t="shared" si="10"/>
        <v>0</v>
      </c>
      <c r="R21" s="147">
        <f t="shared" si="11"/>
        <v>0</v>
      </c>
      <c r="S21" s="146" t="e">
        <f t="shared" si="12"/>
        <v>#REF!</v>
      </c>
      <c r="T21" s="146" t="e">
        <f t="shared" si="13"/>
        <v>#REF!</v>
      </c>
      <c r="U21" s="145">
        <f t="shared" si="4"/>
        <v>0</v>
      </c>
      <c r="V21" s="145" t="e">
        <f t="shared" si="5"/>
        <v>#REF!</v>
      </c>
      <c r="W21" s="142">
        <v>18</v>
      </c>
      <c r="X21" s="142" t="str">
        <f>+IF((VLOOKUP(A21,List!B:C,2,0)-VLOOKUP(Summary!$P$7,List!B:C,2,0))=0,1,"")</f>
        <v/>
      </c>
      <c r="Y21" s="198">
        <f>+IF((VLOOKUP(A21,List!B:C,2,0)-VLOOKUP(Summary!$P$7,List!B:C,2,0))&gt;=0,1,"")</f>
        <v>1</v>
      </c>
      <c r="Z21" s="198">
        <f>+IF((VLOOKUP(A21,List!B:C,2,0)-VLOOKUP(Summary!$P$7,List!B:C,2,0))&gt;0,1,"")</f>
        <v>1</v>
      </c>
      <c r="AA21" s="141">
        <f t="shared" si="6"/>
        <v>1</v>
      </c>
      <c r="AB21" s="199" t="str">
        <f>+IF(AA21="","",IF(Summary!$J$7="Fixed Price","",IF(M21="",IF(I21="","",1),"")))</f>
        <v/>
      </c>
      <c r="AC21" s="198">
        <f t="shared" si="14"/>
        <v>0</v>
      </c>
      <c r="AD21" s="198">
        <f>+IF(AA21="",+IF(N21&gt;#REF!,#REF!,IF(N21&gt;#REF!,#REF!,IF(N21&gt;#REF!,#REF!,IF(N21&gt;#REF!,#REF!,IF(N21&gt;#REF!,#REF!,IF(N21&gt;#REF!,#REF!,IF(N21&gt;#REF!,#REF!,IF(N21&gt;#REF!,#REF!,#REF!)))))))),0)</f>
        <v>0</v>
      </c>
    </row>
    <row r="22" spans="1:30" x14ac:dyDescent="0.2">
      <c r="A22" s="155" t="str">
        <f t="shared" si="0"/>
        <v>2027-3</v>
      </c>
      <c r="B22" s="154">
        <f t="shared" si="7"/>
        <v>3</v>
      </c>
      <c r="C22" s="153">
        <f t="shared" si="8"/>
        <v>2027</v>
      </c>
      <c r="D22" s="152" t="str">
        <f t="shared" si="1"/>
        <v>2027-3</v>
      </c>
      <c r="E22" s="159">
        <f>+IF($B22="","",Summary!$P$4)</f>
        <v>45929</v>
      </c>
      <c r="F22" s="159">
        <f>+IF($B22="","",Summary!$P$5)</f>
        <v>46657</v>
      </c>
      <c r="G22" s="159">
        <f>+IF($B22="","",Summary!$P$6)</f>
        <v>46657</v>
      </c>
      <c r="H22" s="158" t="str">
        <f t="shared" si="2"/>
        <v>Green</v>
      </c>
      <c r="I22" s="156"/>
      <c r="J22" s="160"/>
      <c r="K22" s="156"/>
      <c r="L22" s="156"/>
      <c r="M22" s="156"/>
      <c r="N22" s="156" t="e">
        <f t="shared" si="3"/>
        <v>#REF!</v>
      </c>
      <c r="O22" s="156" t="e">
        <f>COUNTIFS(#REF!,"&gt;="&amp;DATE($C22,$B22,1),#REF!,"&lt;="&amp;EOMONTH(DATE($C22,$B22,1),0),#REF!,"Incident")+
COUNTIFS(#REF!,"&gt;="&amp;DATE($C22,$B22,1),#REF!,"&lt;="&amp;EOMONTH(DATE($C22,$B22,1),0),#REF!,"user_request")</f>
        <v>#REF!</v>
      </c>
      <c r="P22" s="147">
        <f t="shared" si="9"/>
        <v>0</v>
      </c>
      <c r="Q22" s="147">
        <f t="shared" si="10"/>
        <v>0</v>
      </c>
      <c r="R22" s="147">
        <f t="shared" si="11"/>
        <v>0</v>
      </c>
      <c r="S22" s="146" t="e">
        <f t="shared" si="12"/>
        <v>#REF!</v>
      </c>
      <c r="T22" s="146" t="e">
        <f t="shared" si="13"/>
        <v>#REF!</v>
      </c>
      <c r="U22" s="145">
        <f t="shared" si="4"/>
        <v>0</v>
      </c>
      <c r="V22" s="145" t="e">
        <f t="shared" si="5"/>
        <v>#REF!</v>
      </c>
      <c r="W22" s="142">
        <v>19</v>
      </c>
      <c r="X22" s="142" t="str">
        <f>+IF((VLOOKUP(A22,List!B:C,2,0)-VLOOKUP(Summary!$P$7,List!B:C,2,0))=0,1,"")</f>
        <v/>
      </c>
      <c r="Y22" s="198">
        <f>+IF((VLOOKUP(A22,List!B:C,2,0)-VLOOKUP(Summary!$P$7,List!B:C,2,0))&gt;=0,1,"")</f>
        <v>1</v>
      </c>
      <c r="Z22" s="198">
        <f>+IF((VLOOKUP(A22,List!B:C,2,0)-VLOOKUP(Summary!$P$7,List!B:C,2,0))&gt;0,1,"")</f>
        <v>1</v>
      </c>
      <c r="AA22" s="141">
        <f t="shared" si="6"/>
        <v>1</v>
      </c>
      <c r="AB22" s="199" t="str">
        <f>+IF(AA22="","",IF(Summary!$J$7="Fixed Price","",IF(M22="",IF(I22="","",1),"")))</f>
        <v/>
      </c>
      <c r="AC22" s="198">
        <f t="shared" si="14"/>
        <v>0</v>
      </c>
      <c r="AD22" s="198">
        <f>+IF(AA22="",+IF(N22&gt;#REF!,#REF!,IF(N22&gt;#REF!,#REF!,IF(N22&gt;#REF!,#REF!,IF(N22&gt;#REF!,#REF!,IF(N22&gt;#REF!,#REF!,IF(N22&gt;#REF!,#REF!,IF(N22&gt;#REF!,#REF!,IF(N22&gt;#REF!,#REF!,#REF!)))))))),0)</f>
        <v>0</v>
      </c>
    </row>
    <row r="23" spans="1:30" x14ac:dyDescent="0.2">
      <c r="A23" s="155" t="str">
        <f t="shared" si="0"/>
        <v>2027-4</v>
      </c>
      <c r="B23" s="154">
        <f t="shared" si="7"/>
        <v>4</v>
      </c>
      <c r="C23" s="153">
        <f t="shared" si="8"/>
        <v>2027</v>
      </c>
      <c r="D23" s="152" t="str">
        <f t="shared" si="1"/>
        <v>2027-4</v>
      </c>
      <c r="E23" s="151">
        <f>+IF($B23="","",Summary!$P$4)</f>
        <v>45929</v>
      </c>
      <c r="F23" s="151">
        <f>+IF($B23="","",Summary!$P$5)</f>
        <v>46657</v>
      </c>
      <c r="G23" s="151">
        <f>+IF($B23="","",Summary!$P$6)</f>
        <v>46657</v>
      </c>
      <c r="H23" s="150" t="str">
        <f t="shared" si="2"/>
        <v>Green</v>
      </c>
      <c r="I23" s="148"/>
      <c r="J23" s="148"/>
      <c r="K23" s="148"/>
      <c r="L23" s="148"/>
      <c r="M23" s="148"/>
      <c r="N23" s="148" t="e">
        <f t="shared" si="3"/>
        <v>#REF!</v>
      </c>
      <c r="O23" s="148" t="e">
        <f>COUNTIFS(#REF!,"&gt;="&amp;DATE($C23,$B23,1),#REF!,"&lt;="&amp;EOMONTH(DATE($C23,$B23,1),0),#REF!,"Incident")+
COUNTIFS(#REF!,"&gt;="&amp;DATE($C23,$B23,1),#REF!,"&lt;="&amp;EOMONTH(DATE($C23,$B23,1),0),#REF!,"user_request")</f>
        <v>#REF!</v>
      </c>
      <c r="P23" s="147">
        <f t="shared" si="9"/>
        <v>0</v>
      </c>
      <c r="Q23" s="147">
        <f t="shared" si="10"/>
        <v>0</v>
      </c>
      <c r="R23" s="147">
        <f t="shared" si="11"/>
        <v>0</v>
      </c>
      <c r="S23" s="146" t="e">
        <f t="shared" si="12"/>
        <v>#REF!</v>
      </c>
      <c r="T23" s="146" t="e">
        <f t="shared" si="13"/>
        <v>#REF!</v>
      </c>
      <c r="U23" s="145">
        <f t="shared" si="4"/>
        <v>0</v>
      </c>
      <c r="V23" s="145" t="e">
        <f t="shared" si="5"/>
        <v>#REF!</v>
      </c>
      <c r="W23" s="142">
        <v>20</v>
      </c>
      <c r="X23" s="142" t="str">
        <f>+IF((VLOOKUP(A23,List!B:C,2,0)-VLOOKUP(Summary!$P$7,List!B:C,2,0))=0,1,"")</f>
        <v/>
      </c>
      <c r="Y23" s="198">
        <f>+IF((VLOOKUP(A23,List!B:C,2,0)-VLOOKUP(Summary!$P$7,List!B:C,2,0))&gt;=0,1,"")</f>
        <v>1</v>
      </c>
      <c r="Z23" s="198">
        <f>+IF((VLOOKUP(A23,List!B:C,2,0)-VLOOKUP(Summary!$P$7,List!B:C,2,0))&gt;0,1,"")</f>
        <v>1</v>
      </c>
      <c r="AA23" s="141">
        <f t="shared" si="6"/>
        <v>1</v>
      </c>
      <c r="AB23" s="199" t="str">
        <f>+IF(AA23="","",IF(Summary!$J$7="Fixed Price","",IF(M23="",IF(I23="","",1),"")))</f>
        <v/>
      </c>
      <c r="AC23" s="198">
        <f t="shared" si="14"/>
        <v>0</v>
      </c>
      <c r="AD23" s="198">
        <f>+IF(AA23="",+IF(N23&gt;#REF!,#REF!,IF(N23&gt;#REF!,#REF!,IF(N23&gt;#REF!,#REF!,IF(N23&gt;#REF!,#REF!,IF(N23&gt;#REF!,#REF!,IF(N23&gt;#REF!,#REF!,IF(N23&gt;#REF!,#REF!,IF(N23&gt;#REF!,#REF!,#REF!)))))))),0)</f>
        <v>0</v>
      </c>
    </row>
    <row r="24" spans="1:30" x14ac:dyDescent="0.2">
      <c r="A24" s="155" t="str">
        <f t="shared" si="0"/>
        <v>2027-5</v>
      </c>
      <c r="B24" s="154">
        <f t="shared" si="7"/>
        <v>5</v>
      </c>
      <c r="C24" s="153">
        <f t="shared" si="8"/>
        <v>2027</v>
      </c>
      <c r="D24" s="152" t="str">
        <f t="shared" si="1"/>
        <v>2027-5</v>
      </c>
      <c r="E24" s="159">
        <f>+IF($B24="","",Summary!$P$4)</f>
        <v>45929</v>
      </c>
      <c r="F24" s="159">
        <f>+IF($B24="","",Summary!$P$5)</f>
        <v>46657</v>
      </c>
      <c r="G24" s="159">
        <f>+IF($B24="","",Summary!$P$6)</f>
        <v>46657</v>
      </c>
      <c r="H24" s="158" t="str">
        <f t="shared" si="2"/>
        <v>Green</v>
      </c>
      <c r="I24" s="156"/>
      <c r="J24" s="156"/>
      <c r="K24" s="156"/>
      <c r="L24" s="156"/>
      <c r="M24" s="156"/>
      <c r="N24" s="156" t="e">
        <f t="shared" si="3"/>
        <v>#REF!</v>
      </c>
      <c r="O24" s="156" t="e">
        <f>COUNTIFS(#REF!,"&gt;="&amp;DATE($C24,$B24,1),#REF!,"&lt;="&amp;EOMONTH(DATE($C24,$B24,1),0),#REF!,"Incident")+
COUNTIFS(#REF!,"&gt;="&amp;DATE($C24,$B24,1),#REF!,"&lt;="&amp;EOMONTH(DATE($C24,$B24,1),0),#REF!,"user_request")</f>
        <v>#REF!</v>
      </c>
      <c r="P24" s="147">
        <f t="shared" si="9"/>
        <v>0</v>
      </c>
      <c r="Q24" s="147">
        <f t="shared" si="10"/>
        <v>0</v>
      </c>
      <c r="R24" s="147">
        <f t="shared" si="11"/>
        <v>0</v>
      </c>
      <c r="S24" s="146" t="e">
        <f t="shared" si="12"/>
        <v>#REF!</v>
      </c>
      <c r="T24" s="146" t="e">
        <f t="shared" si="13"/>
        <v>#REF!</v>
      </c>
      <c r="U24" s="145">
        <f t="shared" si="4"/>
        <v>0</v>
      </c>
      <c r="V24" s="145" t="e">
        <f t="shared" si="5"/>
        <v>#REF!</v>
      </c>
      <c r="W24" s="142">
        <v>21</v>
      </c>
      <c r="X24" s="142" t="str">
        <f>+IF((VLOOKUP(A24,List!B:C,2,0)-VLOOKUP(Summary!$P$7,List!B:C,2,0))=0,1,"")</f>
        <v/>
      </c>
      <c r="Y24" s="198">
        <f>+IF((VLOOKUP(A24,List!B:C,2,0)-VLOOKUP(Summary!$P$7,List!B:C,2,0))&gt;=0,1,"")</f>
        <v>1</v>
      </c>
      <c r="Z24" s="198">
        <f>+IF((VLOOKUP(A24,List!B:C,2,0)-VLOOKUP(Summary!$P$7,List!B:C,2,0))&gt;0,1,"")</f>
        <v>1</v>
      </c>
      <c r="AA24" s="141">
        <f t="shared" si="6"/>
        <v>1</v>
      </c>
      <c r="AB24" s="199" t="str">
        <f>+IF(AA24="","",IF(Summary!$J$7="Fixed Price","",IF(M24="",IF(I24="","",1),"")))</f>
        <v/>
      </c>
      <c r="AC24" s="198">
        <f t="shared" si="14"/>
        <v>0</v>
      </c>
      <c r="AD24" s="198">
        <f>+IF(AA24="",+IF(N24&gt;#REF!,#REF!,IF(N24&gt;#REF!,#REF!,IF(N24&gt;#REF!,#REF!,IF(N24&gt;#REF!,#REF!,IF(N24&gt;#REF!,#REF!,IF(N24&gt;#REF!,#REF!,IF(N24&gt;#REF!,#REF!,IF(N24&gt;#REF!,#REF!,#REF!)))))))),0)</f>
        <v>0</v>
      </c>
    </row>
    <row r="25" spans="1:30" x14ac:dyDescent="0.2">
      <c r="A25" s="155" t="str">
        <f t="shared" si="0"/>
        <v>2027-6</v>
      </c>
      <c r="B25" s="154">
        <f t="shared" si="7"/>
        <v>6</v>
      </c>
      <c r="C25" s="153">
        <f t="shared" si="8"/>
        <v>2027</v>
      </c>
      <c r="D25" s="152" t="str">
        <f t="shared" si="1"/>
        <v>2027-6</v>
      </c>
      <c r="E25" s="151">
        <f>+IF($B25="","",Summary!$P$4)</f>
        <v>45929</v>
      </c>
      <c r="F25" s="151">
        <f>+IF($B25="","",Summary!$P$5)</f>
        <v>46657</v>
      </c>
      <c r="G25" s="151">
        <f>+IF($B25="","",Summary!$P$6)</f>
        <v>46657</v>
      </c>
      <c r="H25" s="150" t="str">
        <f t="shared" si="2"/>
        <v>Green</v>
      </c>
      <c r="I25" s="148"/>
      <c r="J25" s="148"/>
      <c r="K25" s="148"/>
      <c r="L25" s="148"/>
      <c r="M25" s="148"/>
      <c r="N25" s="148" t="e">
        <f t="shared" si="3"/>
        <v>#REF!</v>
      </c>
      <c r="O25" s="148" t="e">
        <f>COUNTIFS(#REF!,"&gt;="&amp;DATE($C25,$B25,1),#REF!,"&lt;="&amp;EOMONTH(DATE($C25,$B25,1),0),#REF!,"Incident")+
COUNTIFS(#REF!,"&gt;="&amp;DATE($C25,$B25,1),#REF!,"&lt;="&amp;EOMONTH(DATE($C25,$B25,1),0),#REF!,"user_request")</f>
        <v>#REF!</v>
      </c>
      <c r="P25" s="147">
        <f t="shared" si="9"/>
        <v>0</v>
      </c>
      <c r="Q25" s="147">
        <f t="shared" si="10"/>
        <v>0</v>
      </c>
      <c r="R25" s="147">
        <f t="shared" si="11"/>
        <v>0</v>
      </c>
      <c r="S25" s="146" t="e">
        <f t="shared" si="12"/>
        <v>#REF!</v>
      </c>
      <c r="T25" s="146" t="e">
        <f t="shared" si="13"/>
        <v>#REF!</v>
      </c>
      <c r="U25" s="145">
        <f t="shared" si="4"/>
        <v>0</v>
      </c>
      <c r="V25" s="145" t="e">
        <f t="shared" si="5"/>
        <v>#REF!</v>
      </c>
      <c r="W25" s="142">
        <v>22</v>
      </c>
      <c r="X25" s="142" t="str">
        <f>+IF((VLOOKUP(A25,List!B:C,2,0)-VLOOKUP(Summary!$P$7,List!B:C,2,0))=0,1,"")</f>
        <v/>
      </c>
      <c r="Y25" s="198">
        <f>+IF((VLOOKUP(A25,List!B:C,2,0)-VLOOKUP(Summary!$P$7,List!B:C,2,0))&gt;=0,1,"")</f>
        <v>1</v>
      </c>
      <c r="Z25" s="198">
        <f>+IF((VLOOKUP(A25,List!B:C,2,0)-VLOOKUP(Summary!$P$7,List!B:C,2,0))&gt;0,1,"")</f>
        <v>1</v>
      </c>
      <c r="AA25" s="141">
        <f t="shared" si="6"/>
        <v>1</v>
      </c>
      <c r="AB25" s="199" t="str">
        <f>+IF(AA25="","",IF(Summary!$J$7="Fixed Price","",IF(M25="",IF(I25="","",1),"")))</f>
        <v/>
      </c>
      <c r="AC25" s="198">
        <f t="shared" si="14"/>
        <v>0</v>
      </c>
      <c r="AD25" s="198">
        <f>+IF(AA25="",+IF(N25&gt;#REF!,#REF!,IF(N25&gt;#REF!,#REF!,IF(N25&gt;#REF!,#REF!,IF(N25&gt;#REF!,#REF!,IF(N25&gt;#REF!,#REF!,IF(N25&gt;#REF!,#REF!,IF(N25&gt;#REF!,#REF!,IF(N25&gt;#REF!,#REF!,#REF!)))))))),0)</f>
        <v>0</v>
      </c>
    </row>
    <row r="26" spans="1:30" x14ac:dyDescent="0.2">
      <c r="A26" s="155" t="str">
        <f t="shared" si="0"/>
        <v>2027-7</v>
      </c>
      <c r="B26" s="154">
        <f t="shared" si="7"/>
        <v>7</v>
      </c>
      <c r="C26" s="153">
        <f t="shared" si="8"/>
        <v>2027</v>
      </c>
      <c r="D26" s="152" t="str">
        <f t="shared" si="1"/>
        <v>2027-7</v>
      </c>
      <c r="E26" s="159">
        <f>+IF($B26="","",Summary!$P$4)</f>
        <v>45929</v>
      </c>
      <c r="F26" s="159">
        <f>+IF($B26="","",Summary!$P$5)</f>
        <v>46657</v>
      </c>
      <c r="G26" s="159">
        <f>+IF($B26="","",Summary!$P$6)</f>
        <v>46657</v>
      </c>
      <c r="H26" s="158" t="str">
        <f t="shared" si="2"/>
        <v>Green</v>
      </c>
      <c r="I26" s="156"/>
      <c r="J26" s="156"/>
      <c r="K26" s="156"/>
      <c r="L26" s="156"/>
      <c r="M26" s="156"/>
      <c r="N26" s="156" t="e">
        <f t="shared" si="3"/>
        <v>#REF!</v>
      </c>
      <c r="O26" s="156" t="e">
        <f>COUNTIFS(#REF!,"&gt;="&amp;DATE($C26,$B26,1),#REF!,"&lt;="&amp;EOMONTH(DATE($C26,$B26,1),0),#REF!,"Incident")+
COUNTIFS(#REF!,"&gt;="&amp;DATE($C26,$B26,1),#REF!,"&lt;="&amp;EOMONTH(DATE($C26,$B26,1),0),#REF!,"user_request")</f>
        <v>#REF!</v>
      </c>
      <c r="P26" s="147">
        <f t="shared" si="9"/>
        <v>0</v>
      </c>
      <c r="Q26" s="147">
        <f t="shared" si="10"/>
        <v>0</v>
      </c>
      <c r="R26" s="147">
        <f t="shared" si="11"/>
        <v>0</v>
      </c>
      <c r="S26" s="146" t="e">
        <f t="shared" si="12"/>
        <v>#REF!</v>
      </c>
      <c r="T26" s="146" t="e">
        <f t="shared" si="13"/>
        <v>#REF!</v>
      </c>
      <c r="U26" s="145">
        <f t="shared" si="4"/>
        <v>0</v>
      </c>
      <c r="V26" s="145" t="e">
        <f t="shared" si="5"/>
        <v>#REF!</v>
      </c>
      <c r="W26" s="142">
        <v>23</v>
      </c>
      <c r="X26" s="142" t="str">
        <f>+IF((VLOOKUP(A26,List!B:C,2,0)-VLOOKUP(Summary!$P$7,List!B:C,2,0))=0,1,"")</f>
        <v/>
      </c>
      <c r="Y26" s="198">
        <f>+IF((VLOOKUP(A26,List!B:C,2,0)-VLOOKUP(Summary!$P$7,List!B:C,2,0))&gt;=0,1,"")</f>
        <v>1</v>
      </c>
      <c r="Z26" s="198">
        <f>+IF((VLOOKUP(A26,List!B:C,2,0)-VLOOKUP(Summary!$P$7,List!B:C,2,0))&gt;0,1,"")</f>
        <v>1</v>
      </c>
      <c r="AA26" s="141">
        <f t="shared" si="6"/>
        <v>1</v>
      </c>
      <c r="AB26" s="199" t="str">
        <f>+IF(AA26="","",IF(Summary!$J$7="Fixed Price","",IF(M26="",IF(I26="","",1),"")))</f>
        <v/>
      </c>
      <c r="AC26" s="198">
        <f t="shared" si="14"/>
        <v>0</v>
      </c>
      <c r="AD26" s="198">
        <f>+IF(AA26="",+IF(N26&gt;#REF!,#REF!,IF(N26&gt;#REF!,#REF!,IF(N26&gt;#REF!,#REF!,IF(N26&gt;#REF!,#REF!,IF(N26&gt;#REF!,#REF!,IF(N26&gt;#REF!,#REF!,IF(N26&gt;#REF!,#REF!,IF(N26&gt;#REF!,#REF!,#REF!)))))))),0)</f>
        <v>0</v>
      </c>
    </row>
    <row r="27" spans="1:30" x14ac:dyDescent="0.2">
      <c r="A27" s="155" t="str">
        <f t="shared" si="0"/>
        <v>2027-8</v>
      </c>
      <c r="B27" s="154">
        <f t="shared" si="7"/>
        <v>8</v>
      </c>
      <c r="C27" s="153">
        <f t="shared" si="8"/>
        <v>2027</v>
      </c>
      <c r="D27" s="152" t="str">
        <f t="shared" si="1"/>
        <v>2027-8</v>
      </c>
      <c r="E27" s="151">
        <f>+IF($B27="","",Summary!$P$4)</f>
        <v>45929</v>
      </c>
      <c r="F27" s="151">
        <f>+IF($B27="","",Summary!$P$5)</f>
        <v>46657</v>
      </c>
      <c r="G27" s="151">
        <f>+IF($B27="","",Summary!$P$6)</f>
        <v>46657</v>
      </c>
      <c r="H27" s="150" t="str">
        <f t="shared" si="2"/>
        <v>Green</v>
      </c>
      <c r="I27" s="148"/>
      <c r="J27" s="148"/>
      <c r="K27" s="148"/>
      <c r="L27" s="148"/>
      <c r="M27" s="148"/>
      <c r="N27" s="148" t="e">
        <f t="shared" si="3"/>
        <v>#REF!</v>
      </c>
      <c r="O27" s="148" t="e">
        <f>COUNTIFS(#REF!,"&gt;="&amp;DATE($C27,$B27,1),#REF!,"&lt;="&amp;EOMONTH(DATE($C27,$B27,1),0),#REF!,"Incident")+
COUNTIFS(#REF!,"&gt;="&amp;DATE($C27,$B27,1),#REF!,"&lt;="&amp;EOMONTH(DATE($C27,$B27,1),0),#REF!,"user_request")</f>
        <v>#REF!</v>
      </c>
      <c r="P27" s="147">
        <f t="shared" si="9"/>
        <v>0</v>
      </c>
      <c r="Q27" s="147">
        <f t="shared" si="10"/>
        <v>0</v>
      </c>
      <c r="R27" s="147">
        <f t="shared" si="11"/>
        <v>0</v>
      </c>
      <c r="S27" s="146" t="e">
        <f t="shared" si="12"/>
        <v>#REF!</v>
      </c>
      <c r="T27" s="146" t="e">
        <f t="shared" si="13"/>
        <v>#REF!</v>
      </c>
      <c r="U27" s="145">
        <f t="shared" si="4"/>
        <v>0</v>
      </c>
      <c r="V27" s="145" t="e">
        <f t="shared" si="5"/>
        <v>#REF!</v>
      </c>
      <c r="W27" s="142">
        <v>24</v>
      </c>
      <c r="X27" s="142" t="str">
        <f>+IF((VLOOKUP(A27,List!B:C,2,0)-VLOOKUP(Summary!$P$7,List!B:C,2,0))=0,1,"")</f>
        <v/>
      </c>
      <c r="Y27" s="198">
        <f>+IF((VLOOKUP(A27,List!B:C,2,0)-VLOOKUP(Summary!$P$7,List!B:C,2,0))&gt;=0,1,"")</f>
        <v>1</v>
      </c>
      <c r="Z27" s="198">
        <f>+IF((VLOOKUP(A27,List!B:C,2,0)-VLOOKUP(Summary!$P$7,List!B:C,2,0))&gt;0,1,"")</f>
        <v>1</v>
      </c>
      <c r="AA27" s="141">
        <f t="shared" si="6"/>
        <v>1</v>
      </c>
      <c r="AB27" s="199" t="str">
        <f>+IF(AA27="","",IF(Summary!$J$7="Fixed Price","",IF(M27="",IF(I27="","",1),"")))</f>
        <v/>
      </c>
      <c r="AC27" s="198">
        <f t="shared" si="14"/>
        <v>0</v>
      </c>
      <c r="AD27" s="198">
        <f>+IF(AA27="",+IF(N27&gt;#REF!,#REF!,IF(N27&gt;#REF!,#REF!,IF(N27&gt;#REF!,#REF!,IF(N27&gt;#REF!,#REF!,IF(N27&gt;#REF!,#REF!,IF(N27&gt;#REF!,#REF!,IF(N27&gt;#REF!,#REF!,IF(N27&gt;#REF!,#REF!,#REF!)))))))),0)</f>
        <v>0</v>
      </c>
    </row>
    <row r="28" spans="1:30" x14ac:dyDescent="0.2">
      <c r="A28" s="155" t="str">
        <f t="shared" si="0"/>
        <v>2027-9</v>
      </c>
      <c r="B28" s="154">
        <f t="shared" si="7"/>
        <v>9</v>
      </c>
      <c r="C28" s="153">
        <f t="shared" si="8"/>
        <v>2027</v>
      </c>
      <c r="D28" s="152" t="str">
        <f t="shared" si="1"/>
        <v>2027-9</v>
      </c>
      <c r="E28" s="159">
        <f>+IF($B28="","",Summary!$P$4)</f>
        <v>45929</v>
      </c>
      <c r="F28" s="159">
        <f>+IF($B28="","",Summary!$P$5)</f>
        <v>46657</v>
      </c>
      <c r="G28" s="159">
        <f>+IF($B28="","",Summary!$P$6)</f>
        <v>46657</v>
      </c>
      <c r="H28" s="158" t="str">
        <f t="shared" si="2"/>
        <v>Green</v>
      </c>
      <c r="I28" s="156"/>
      <c r="J28" s="156"/>
      <c r="K28" s="156"/>
      <c r="L28" s="156"/>
      <c r="M28" s="156"/>
      <c r="N28" s="156" t="e">
        <f t="shared" si="3"/>
        <v>#REF!</v>
      </c>
      <c r="O28" s="156" t="e">
        <f>COUNTIFS(#REF!,"&gt;="&amp;DATE($C28,$B28,1),#REF!,"&lt;="&amp;EOMONTH(DATE($C28,$B28,1),0),#REF!,"Incident")+
COUNTIFS(#REF!,"&gt;="&amp;DATE($C28,$B28,1),#REF!,"&lt;="&amp;EOMONTH(DATE($C28,$B28,1),0),#REF!,"user_request")</f>
        <v>#REF!</v>
      </c>
      <c r="P28" s="147">
        <f t="shared" si="9"/>
        <v>0</v>
      </c>
      <c r="Q28" s="147">
        <f t="shared" si="10"/>
        <v>0</v>
      </c>
      <c r="R28" s="147">
        <f t="shared" si="11"/>
        <v>0</v>
      </c>
      <c r="S28" s="146" t="e">
        <f t="shared" si="12"/>
        <v>#REF!</v>
      </c>
      <c r="T28" s="146" t="e">
        <f t="shared" si="13"/>
        <v>#REF!</v>
      </c>
      <c r="U28" s="145">
        <f t="shared" si="4"/>
        <v>0</v>
      </c>
      <c r="V28" s="145" t="e">
        <f t="shared" si="5"/>
        <v>#REF!</v>
      </c>
      <c r="W28" s="142">
        <v>25</v>
      </c>
      <c r="X28" s="142" t="str">
        <f>+IF((VLOOKUP(A28,List!B:C,2,0)-VLOOKUP(Summary!$P$7,List!B:C,2,0))=0,1,"")</f>
        <v/>
      </c>
      <c r="Y28" s="198">
        <f>+IF((VLOOKUP(A28,List!B:C,2,0)-VLOOKUP(Summary!$P$7,List!B:C,2,0))&gt;=0,1,"")</f>
        <v>1</v>
      </c>
      <c r="Z28" s="198">
        <f>+IF((VLOOKUP(A28,List!B:C,2,0)-VLOOKUP(Summary!$P$7,List!B:C,2,0))&gt;0,1,"")</f>
        <v>1</v>
      </c>
      <c r="AA28" s="141">
        <f t="shared" si="6"/>
        <v>1</v>
      </c>
      <c r="AB28" s="199" t="str">
        <f>+IF(AA28="","",IF(Summary!$J$7="Fixed Price","",IF(M28="",IF(I28="","",1),"")))</f>
        <v/>
      </c>
      <c r="AC28" s="198">
        <f t="shared" si="14"/>
        <v>0</v>
      </c>
      <c r="AD28" s="198">
        <f>+IF(AA28="",+IF(N28&gt;#REF!,#REF!,IF(N28&gt;#REF!,#REF!,IF(N28&gt;#REF!,#REF!,IF(N28&gt;#REF!,#REF!,IF(N28&gt;#REF!,#REF!,IF(N28&gt;#REF!,#REF!,IF(N28&gt;#REF!,#REF!,IF(N28&gt;#REF!,#REF!,#REF!)))))))),0)</f>
        <v>0</v>
      </c>
    </row>
    <row r="29" spans="1:30" x14ac:dyDescent="0.2">
      <c r="A29" s="155" t="str">
        <f t="shared" si="0"/>
        <v>-</v>
      </c>
      <c r="B29" s="154" t="str">
        <f t="shared" si="7"/>
        <v/>
      </c>
      <c r="C29" s="153" t="str">
        <f t="shared" si="8"/>
        <v/>
      </c>
      <c r="D29" s="152" t="str">
        <f t="shared" si="1"/>
        <v>-</v>
      </c>
      <c r="E29" s="151" t="str">
        <f>+IF($B29="","",Summary!$P$4)</f>
        <v/>
      </c>
      <c r="F29" s="151" t="str">
        <f>+IF($B29="","",Summary!$P$5)</f>
        <v/>
      </c>
      <c r="G29" s="151" t="str">
        <f>+IF($B29="","",Summary!$P$6)</f>
        <v/>
      </c>
      <c r="H29" s="150" t="str">
        <f t="shared" si="2"/>
        <v/>
      </c>
      <c r="I29" s="148"/>
      <c r="J29" s="148"/>
      <c r="K29" s="148"/>
      <c r="L29" s="148"/>
      <c r="M29" s="148"/>
      <c r="N29" s="148" t="e">
        <f t="shared" si="3"/>
        <v>#REF!</v>
      </c>
      <c r="O29" s="148" t="e">
        <f>COUNTIFS(#REF!,"&gt;="&amp;DATE($C29,$B29,1),#REF!,"&lt;="&amp;EOMONTH(DATE($C29,$B29,1),0),#REF!,"Incident")+
COUNTIFS(#REF!,"&gt;="&amp;DATE($C29,$B29,1),#REF!,"&lt;="&amp;EOMONTH(DATE($C29,$B29,1),0),#REF!,"user_request")</f>
        <v>#REF!</v>
      </c>
      <c r="P29" s="147">
        <f t="shared" si="9"/>
        <v>0</v>
      </c>
      <c r="Q29" s="147">
        <f t="shared" si="10"/>
        <v>0</v>
      </c>
      <c r="R29" s="147">
        <f t="shared" si="11"/>
        <v>0</v>
      </c>
      <c r="S29" s="146" t="e">
        <f t="shared" si="12"/>
        <v>#REF!</v>
      </c>
      <c r="T29" s="146" t="e">
        <f t="shared" si="13"/>
        <v>#REF!</v>
      </c>
      <c r="U29" s="145">
        <f t="shared" si="4"/>
        <v>0</v>
      </c>
      <c r="V29" s="145" t="e">
        <f t="shared" si="5"/>
        <v>#REF!</v>
      </c>
      <c r="W29" s="142">
        <v>26</v>
      </c>
      <c r="X29" s="142" t="str">
        <f>+IF((VLOOKUP(A29,List!B:C,2,0)-VLOOKUP(Summary!$P$7,List!B:C,2,0))=0,1,"")</f>
        <v/>
      </c>
      <c r="Y29" s="198">
        <f>+IF((VLOOKUP(A29,List!B:C,2,0)-VLOOKUP(Summary!$P$7,List!B:C,2,0))&gt;=0,1,"")</f>
        <v>1</v>
      </c>
      <c r="Z29" s="198">
        <f>+IF((VLOOKUP(A29,List!B:C,2,0)-VLOOKUP(Summary!$P$7,List!B:C,2,0))&gt;0,1,"")</f>
        <v>1</v>
      </c>
      <c r="AA29" s="141">
        <f t="shared" si="6"/>
        <v>2</v>
      </c>
      <c r="AB29" s="199" t="str">
        <f>+IF(AA29="","",IF(Summary!$J$7="Fixed Price","",IF(M29="",IF(I29="","",1),"")))</f>
        <v/>
      </c>
      <c r="AC29" s="198">
        <f t="shared" si="14"/>
        <v>0</v>
      </c>
      <c r="AD29" s="198">
        <f>+IF(AA29="",+IF(N29&gt;#REF!,#REF!,IF(N29&gt;#REF!,#REF!,IF(N29&gt;#REF!,#REF!,IF(N29&gt;#REF!,#REF!,IF(N29&gt;#REF!,#REF!,IF(N29&gt;#REF!,#REF!,IF(N29&gt;#REF!,#REF!,IF(N29&gt;#REF!,#REF!,#REF!)))))))),0)</f>
        <v>0</v>
      </c>
    </row>
    <row r="30" spans="1:30" x14ac:dyDescent="0.2">
      <c r="A30" s="155" t="str">
        <f t="shared" si="0"/>
        <v>-</v>
      </c>
      <c r="B30" s="154" t="str">
        <f t="shared" si="7"/>
        <v/>
      </c>
      <c r="C30" s="153" t="str">
        <f t="shared" si="8"/>
        <v/>
      </c>
      <c r="D30" s="152" t="str">
        <f t="shared" si="1"/>
        <v>-</v>
      </c>
      <c r="E30" s="159" t="str">
        <f>+IF($B30="","",Summary!$P$4)</f>
        <v/>
      </c>
      <c r="F30" s="159" t="str">
        <f>+IF($B30="","",Summary!$P$5)</f>
        <v/>
      </c>
      <c r="G30" s="159" t="str">
        <f>+IF($B30="","",Summary!$P$6)</f>
        <v/>
      </c>
      <c r="H30" s="158" t="str">
        <f t="shared" si="2"/>
        <v/>
      </c>
      <c r="I30" s="156"/>
      <c r="J30" s="156"/>
      <c r="K30" s="156"/>
      <c r="L30" s="156"/>
      <c r="M30" s="156"/>
      <c r="N30" s="156" t="e">
        <f t="shared" si="3"/>
        <v>#REF!</v>
      </c>
      <c r="O30" s="156" t="e">
        <f>COUNTIFS(#REF!,"&gt;="&amp;DATE($C30,$B30,1),#REF!,"&lt;="&amp;EOMONTH(DATE($C30,$B30,1),0),#REF!,"Incident")+
COUNTIFS(#REF!,"&gt;="&amp;DATE($C30,$B30,1),#REF!,"&lt;="&amp;EOMONTH(DATE($C30,$B30,1),0),#REF!,"user_request")</f>
        <v>#REF!</v>
      </c>
      <c r="P30" s="147">
        <f t="shared" si="9"/>
        <v>0</v>
      </c>
      <c r="Q30" s="147">
        <f t="shared" si="10"/>
        <v>0</v>
      </c>
      <c r="R30" s="147">
        <f t="shared" si="11"/>
        <v>0</v>
      </c>
      <c r="S30" s="146" t="e">
        <f t="shared" si="12"/>
        <v>#REF!</v>
      </c>
      <c r="T30" s="146" t="e">
        <f t="shared" si="13"/>
        <v>#REF!</v>
      </c>
      <c r="U30" s="145">
        <f t="shared" si="4"/>
        <v>0</v>
      </c>
      <c r="V30" s="145" t="e">
        <f t="shared" si="5"/>
        <v>#REF!</v>
      </c>
      <c r="W30" s="142">
        <v>27</v>
      </c>
      <c r="X30" s="142" t="str">
        <f>+IF((VLOOKUP(A30,List!B:C,2,0)-VLOOKUP(Summary!$P$7,List!B:C,2,0))=0,1,"")</f>
        <v/>
      </c>
      <c r="Y30" s="198">
        <f>+IF((VLOOKUP(A30,List!B:C,2,0)-VLOOKUP(Summary!$P$7,List!B:C,2,0))&gt;=0,1,"")</f>
        <v>1</v>
      </c>
      <c r="Z30" s="198">
        <f>+IF((VLOOKUP(A30,List!B:C,2,0)-VLOOKUP(Summary!$P$7,List!B:C,2,0))&gt;0,1,"")</f>
        <v>1</v>
      </c>
      <c r="AA30" s="141">
        <f t="shared" si="6"/>
        <v>2</v>
      </c>
      <c r="AB30" s="199" t="str">
        <f>+IF(AA30="","",IF(Summary!$J$7="Fixed Price","",IF(M30="",IF(I30="","",1),"")))</f>
        <v/>
      </c>
      <c r="AC30" s="198">
        <f t="shared" si="14"/>
        <v>0</v>
      </c>
      <c r="AD30" s="198">
        <f>+IF(AA30="",+IF(N30&gt;#REF!,#REF!,IF(N30&gt;#REF!,#REF!,IF(N30&gt;#REF!,#REF!,IF(N30&gt;#REF!,#REF!,IF(N30&gt;#REF!,#REF!,IF(N30&gt;#REF!,#REF!,IF(N30&gt;#REF!,#REF!,IF(N30&gt;#REF!,#REF!,#REF!)))))))),0)</f>
        <v>0</v>
      </c>
    </row>
    <row r="31" spans="1:30" x14ac:dyDescent="0.2">
      <c r="A31" s="155" t="str">
        <f t="shared" si="0"/>
        <v>-</v>
      </c>
      <c r="B31" s="154" t="str">
        <f t="shared" si="7"/>
        <v/>
      </c>
      <c r="C31" s="153" t="str">
        <f t="shared" si="8"/>
        <v/>
      </c>
      <c r="D31" s="152" t="str">
        <f t="shared" si="1"/>
        <v>-</v>
      </c>
      <c r="E31" s="151" t="str">
        <f>+IF($B31="","",Summary!$P$4)</f>
        <v/>
      </c>
      <c r="F31" s="151" t="str">
        <f>+IF($B31="","",Summary!$P$5)</f>
        <v/>
      </c>
      <c r="G31" s="151" t="str">
        <f>+IF($B31="","",Summary!$P$6)</f>
        <v/>
      </c>
      <c r="H31" s="150" t="str">
        <f t="shared" si="2"/>
        <v/>
      </c>
      <c r="I31" s="148"/>
      <c r="J31" s="148"/>
      <c r="K31" s="148"/>
      <c r="L31" s="148"/>
      <c r="M31" s="148"/>
      <c r="N31" s="148" t="e">
        <f t="shared" si="3"/>
        <v>#REF!</v>
      </c>
      <c r="O31" s="148" t="e">
        <f>COUNTIFS(#REF!,"&gt;="&amp;DATE($C31,$B31,1),#REF!,"&lt;="&amp;EOMONTH(DATE($C31,$B31,1),0),#REF!,"Incident")+
COUNTIFS(#REF!,"&gt;="&amp;DATE($C31,$B31,1),#REF!,"&lt;="&amp;EOMONTH(DATE($C31,$B31,1),0),#REF!,"user_request")</f>
        <v>#REF!</v>
      </c>
      <c r="P31" s="147">
        <f t="shared" si="9"/>
        <v>0</v>
      </c>
      <c r="Q31" s="147">
        <f t="shared" si="10"/>
        <v>0</v>
      </c>
      <c r="R31" s="147">
        <f t="shared" si="11"/>
        <v>0</v>
      </c>
      <c r="S31" s="146" t="e">
        <f t="shared" si="12"/>
        <v>#REF!</v>
      </c>
      <c r="T31" s="146" t="e">
        <f t="shared" si="13"/>
        <v>#REF!</v>
      </c>
      <c r="U31" s="145">
        <f t="shared" si="4"/>
        <v>0</v>
      </c>
      <c r="V31" s="145" t="e">
        <f t="shared" si="5"/>
        <v>#REF!</v>
      </c>
      <c r="W31" s="142">
        <v>28</v>
      </c>
      <c r="X31" s="142" t="str">
        <f>+IF((VLOOKUP(A31,List!B:C,2,0)-VLOOKUP(Summary!$P$7,List!B:C,2,0))=0,1,"")</f>
        <v/>
      </c>
      <c r="Y31" s="198">
        <f>+IF((VLOOKUP(A31,List!B:C,2,0)-VLOOKUP(Summary!$P$7,List!B:C,2,0))&gt;=0,1,"")</f>
        <v>1</v>
      </c>
      <c r="Z31" s="198">
        <f>+IF((VLOOKUP(A31,List!B:C,2,0)-VLOOKUP(Summary!$P$7,List!B:C,2,0))&gt;0,1,"")</f>
        <v>1</v>
      </c>
      <c r="AA31" s="141">
        <f t="shared" si="6"/>
        <v>2</v>
      </c>
      <c r="AB31" s="199" t="str">
        <f>+IF(AA31="","",IF(Summary!$J$7="Fixed Price","",IF(M31="",IF(I31="","",1),"")))</f>
        <v/>
      </c>
      <c r="AC31" s="198">
        <f t="shared" si="14"/>
        <v>0</v>
      </c>
      <c r="AD31" s="198">
        <f>+IF(AA31="",+IF(N31&gt;#REF!,#REF!,IF(N31&gt;#REF!,#REF!,IF(N31&gt;#REF!,#REF!,IF(N31&gt;#REF!,#REF!,IF(N31&gt;#REF!,#REF!,IF(N31&gt;#REF!,#REF!,IF(N31&gt;#REF!,#REF!,IF(N31&gt;#REF!,#REF!,#REF!)))))))),0)</f>
        <v>0</v>
      </c>
    </row>
    <row r="32" spans="1:30" x14ac:dyDescent="0.2">
      <c r="A32" s="155" t="str">
        <f t="shared" si="0"/>
        <v>-</v>
      </c>
      <c r="B32" s="154" t="str">
        <f t="shared" si="7"/>
        <v/>
      </c>
      <c r="C32" s="153" t="str">
        <f t="shared" si="8"/>
        <v/>
      </c>
      <c r="D32" s="152" t="str">
        <f t="shared" si="1"/>
        <v>-</v>
      </c>
      <c r="E32" s="159" t="str">
        <f>+IF($B32="","",Summary!$P$4)</f>
        <v/>
      </c>
      <c r="F32" s="159" t="str">
        <f>+IF($B32="","",Summary!$P$5)</f>
        <v/>
      </c>
      <c r="G32" s="159" t="str">
        <f>+IF($B32="","",Summary!$P$6)</f>
        <v/>
      </c>
      <c r="H32" s="158" t="str">
        <f t="shared" si="2"/>
        <v/>
      </c>
      <c r="I32" s="156"/>
      <c r="J32" s="156"/>
      <c r="K32" s="156"/>
      <c r="L32" s="156"/>
      <c r="M32" s="156"/>
      <c r="N32" s="156" t="e">
        <f t="shared" si="3"/>
        <v>#REF!</v>
      </c>
      <c r="O32" s="156" t="e">
        <f>COUNTIFS(#REF!,"&gt;="&amp;DATE($C32,$B32,1),#REF!,"&lt;="&amp;EOMONTH(DATE($C32,$B32,1),0),#REF!,"Incident")+
COUNTIFS(#REF!,"&gt;="&amp;DATE($C32,$B32,1),#REF!,"&lt;="&amp;EOMONTH(DATE($C32,$B32,1),0),#REF!,"user_request")</f>
        <v>#REF!</v>
      </c>
      <c r="P32" s="147">
        <f t="shared" si="9"/>
        <v>0</v>
      </c>
      <c r="Q32" s="147">
        <f t="shared" si="10"/>
        <v>0</v>
      </c>
      <c r="R32" s="147">
        <f t="shared" si="11"/>
        <v>0</v>
      </c>
      <c r="S32" s="146" t="e">
        <f t="shared" si="12"/>
        <v>#REF!</v>
      </c>
      <c r="T32" s="146" t="e">
        <f t="shared" si="13"/>
        <v>#REF!</v>
      </c>
      <c r="U32" s="145">
        <f t="shared" si="4"/>
        <v>0</v>
      </c>
      <c r="V32" s="145" t="e">
        <f t="shared" si="5"/>
        <v>#REF!</v>
      </c>
      <c r="W32" s="142">
        <v>29</v>
      </c>
      <c r="X32" s="142" t="str">
        <f>+IF((VLOOKUP(A32,List!B:C,2,0)-VLOOKUP(Summary!$P$7,List!B:C,2,0))=0,1,"")</f>
        <v/>
      </c>
      <c r="Y32" s="198">
        <f>+IF((VLOOKUP(A32,List!B:C,2,0)-VLOOKUP(Summary!$P$7,List!B:C,2,0))&gt;=0,1,"")</f>
        <v>1</v>
      </c>
      <c r="Z32" s="198">
        <f>+IF((VLOOKUP(A32,List!B:C,2,0)-VLOOKUP(Summary!$P$7,List!B:C,2,0))&gt;0,1,"")</f>
        <v>1</v>
      </c>
      <c r="AA32" s="141">
        <f t="shared" si="6"/>
        <v>2</v>
      </c>
      <c r="AB32" s="199" t="str">
        <f>+IF(AA32="","",IF(Summary!$J$7="Fixed Price","",IF(M32="",IF(I32="","",1),"")))</f>
        <v/>
      </c>
      <c r="AC32" s="198">
        <f t="shared" si="14"/>
        <v>0</v>
      </c>
    </row>
    <row r="33" spans="1:29" x14ac:dyDescent="0.2">
      <c r="A33" s="155" t="str">
        <f t="shared" si="0"/>
        <v>-</v>
      </c>
      <c r="B33" s="154" t="str">
        <f t="shared" si="7"/>
        <v/>
      </c>
      <c r="C33" s="153" t="str">
        <f t="shared" si="8"/>
        <v/>
      </c>
      <c r="D33" s="152" t="str">
        <f t="shared" si="1"/>
        <v>-</v>
      </c>
      <c r="E33" s="151" t="str">
        <f>+IF($B33="","",Summary!$P$4)</f>
        <v/>
      </c>
      <c r="F33" s="151" t="str">
        <f>+IF($B33="","",Summary!$P$5)</f>
        <v/>
      </c>
      <c r="G33" s="151" t="str">
        <f>+IF($B33="","",Summary!$P$6)</f>
        <v/>
      </c>
      <c r="H33" s="150" t="str">
        <f t="shared" si="2"/>
        <v/>
      </c>
      <c r="I33" s="148"/>
      <c r="J33" s="148"/>
      <c r="K33" s="148"/>
      <c r="L33" s="148"/>
      <c r="M33" s="148"/>
      <c r="N33" s="148" t="e">
        <f t="shared" si="3"/>
        <v>#REF!</v>
      </c>
      <c r="O33" s="148" t="e">
        <f>COUNTIFS(#REF!,"&gt;="&amp;DATE($C33,$B33,1),#REF!,"&lt;="&amp;EOMONTH(DATE($C33,$B33,1),0),#REF!,"Incident")+
COUNTIFS(#REF!,"&gt;="&amp;DATE($C33,$B33,1),#REF!,"&lt;="&amp;EOMONTH(DATE($C33,$B33,1),0),#REF!,"user_request")</f>
        <v>#REF!</v>
      </c>
      <c r="P33" s="147">
        <f t="shared" si="9"/>
        <v>0</v>
      </c>
      <c r="Q33" s="147">
        <f t="shared" si="10"/>
        <v>0</v>
      </c>
      <c r="R33" s="147">
        <f t="shared" si="11"/>
        <v>0</v>
      </c>
      <c r="S33" s="146" t="e">
        <f t="shared" si="12"/>
        <v>#REF!</v>
      </c>
      <c r="T33" s="146" t="e">
        <f t="shared" si="13"/>
        <v>#REF!</v>
      </c>
      <c r="U33" s="145">
        <f t="shared" si="4"/>
        <v>0</v>
      </c>
      <c r="V33" s="145" t="e">
        <f t="shared" si="5"/>
        <v>#REF!</v>
      </c>
      <c r="W33" s="142">
        <v>30</v>
      </c>
      <c r="X33" s="142" t="str">
        <f>+IF((VLOOKUP(A33,List!B:C,2,0)-VLOOKUP(Summary!$P$7,List!B:C,2,0))=0,1,"")</f>
        <v/>
      </c>
      <c r="Y33" s="198">
        <f>+IF((VLOOKUP(A33,List!B:C,2,0)-VLOOKUP(Summary!$P$7,List!B:C,2,0))&gt;=0,1,"")</f>
        <v>1</v>
      </c>
      <c r="Z33" s="198">
        <f>+IF((VLOOKUP(A33,List!B:C,2,0)-VLOOKUP(Summary!$P$7,List!B:C,2,0))&gt;0,1,"")</f>
        <v>1</v>
      </c>
      <c r="AA33" s="141">
        <f t="shared" si="6"/>
        <v>2</v>
      </c>
      <c r="AB33" s="199" t="str">
        <f>+IF(AA33="","",IF(Summary!$J$7="Fixed Price","",IF(M33="",IF(I33="","",1),"")))</f>
        <v/>
      </c>
      <c r="AC33" s="198">
        <f t="shared" si="14"/>
        <v>0</v>
      </c>
    </row>
    <row r="34" spans="1:29" x14ac:dyDescent="0.2">
      <c r="A34" s="155" t="str">
        <f t="shared" si="0"/>
        <v>-</v>
      </c>
      <c r="B34" s="154" t="str">
        <f t="shared" si="7"/>
        <v/>
      </c>
      <c r="C34" s="153" t="str">
        <f t="shared" si="8"/>
        <v/>
      </c>
      <c r="D34" s="152" t="str">
        <f t="shared" si="1"/>
        <v>-</v>
      </c>
      <c r="E34" s="159" t="str">
        <f>+IF($B34="","",Summary!$P$4)</f>
        <v/>
      </c>
      <c r="F34" s="159" t="str">
        <f>+IF($B34="","",Summary!$P$5)</f>
        <v/>
      </c>
      <c r="G34" s="159" t="str">
        <f>+IF($B34="","",Summary!$P$6)</f>
        <v/>
      </c>
      <c r="H34" s="158" t="str">
        <f t="shared" si="2"/>
        <v/>
      </c>
      <c r="I34" s="156"/>
      <c r="J34" s="156"/>
      <c r="K34" s="156"/>
      <c r="L34" s="156"/>
      <c r="M34" s="156"/>
      <c r="N34" s="156" t="e">
        <f t="shared" si="3"/>
        <v>#REF!</v>
      </c>
      <c r="O34" s="156" t="e">
        <f>COUNTIFS(#REF!,"&gt;="&amp;DATE($C34,$B34,1),#REF!,"&lt;="&amp;EOMONTH(DATE($C34,$B34,1),0),#REF!,"Incident")+
COUNTIFS(#REF!,"&gt;="&amp;DATE($C34,$B34,1),#REF!,"&lt;="&amp;EOMONTH(DATE($C34,$B34,1),0),#REF!,"user_request")</f>
        <v>#REF!</v>
      </c>
      <c r="P34" s="147">
        <f t="shared" si="9"/>
        <v>0</v>
      </c>
      <c r="Q34" s="147">
        <f t="shared" si="10"/>
        <v>0</v>
      </c>
      <c r="R34" s="147">
        <f t="shared" si="11"/>
        <v>0</v>
      </c>
      <c r="S34" s="146" t="e">
        <f t="shared" si="12"/>
        <v>#REF!</v>
      </c>
      <c r="T34" s="146" t="e">
        <f t="shared" si="13"/>
        <v>#REF!</v>
      </c>
      <c r="U34" s="145">
        <f t="shared" si="4"/>
        <v>0</v>
      </c>
      <c r="V34" s="145" t="e">
        <f t="shared" si="5"/>
        <v>#REF!</v>
      </c>
      <c r="W34" s="142">
        <v>31</v>
      </c>
      <c r="X34" s="142" t="str">
        <f>+IF((VLOOKUP(A34,List!B:C,2,0)-VLOOKUP(Summary!$P$7,List!B:C,2,0))=0,1,"")</f>
        <v/>
      </c>
      <c r="Y34" s="198">
        <f>+IF((VLOOKUP(A34,List!B:C,2,0)-VLOOKUP(Summary!$P$7,List!B:C,2,0))&gt;=0,1,"")</f>
        <v>1</v>
      </c>
      <c r="Z34" s="198">
        <f>+IF((VLOOKUP(A34,List!B:C,2,0)-VLOOKUP(Summary!$P$7,List!B:C,2,0))&gt;0,1,"")</f>
        <v>1</v>
      </c>
      <c r="AA34" s="141">
        <f t="shared" si="6"/>
        <v>2</v>
      </c>
      <c r="AB34" s="199" t="str">
        <f>+IF(AA34="","",IF(Summary!$J$7="Fixed Price","",IF(M34="",IF(I34="","",1),"")))</f>
        <v/>
      </c>
      <c r="AC34" s="198">
        <f t="shared" si="14"/>
        <v>0</v>
      </c>
    </row>
    <row r="35" spans="1:29" x14ac:dyDescent="0.2">
      <c r="A35" s="155" t="str">
        <f t="shared" si="0"/>
        <v>-</v>
      </c>
      <c r="B35" s="154" t="str">
        <f t="shared" si="7"/>
        <v/>
      </c>
      <c r="C35" s="153" t="str">
        <f t="shared" si="8"/>
        <v/>
      </c>
      <c r="D35" s="152" t="str">
        <f t="shared" si="1"/>
        <v>-</v>
      </c>
      <c r="E35" s="151" t="str">
        <f>+IF($B35="","",Summary!$P$4)</f>
        <v/>
      </c>
      <c r="F35" s="151" t="str">
        <f>+IF($B35="","",Summary!$P$5)</f>
        <v/>
      </c>
      <c r="G35" s="151" t="str">
        <f>+IF($B35="","",Summary!$P$6)</f>
        <v/>
      </c>
      <c r="H35" s="150" t="str">
        <f t="shared" si="2"/>
        <v/>
      </c>
      <c r="I35" s="148"/>
      <c r="J35" s="148"/>
      <c r="K35" s="148"/>
      <c r="L35" s="148"/>
      <c r="M35" s="148"/>
      <c r="N35" s="148" t="e">
        <f t="shared" si="3"/>
        <v>#REF!</v>
      </c>
      <c r="O35" s="148" t="e">
        <f>COUNTIFS(#REF!,"&gt;="&amp;DATE($C35,$B35,1),#REF!,"&lt;="&amp;EOMONTH(DATE($C35,$B35,1),0),#REF!,"Incident")+
COUNTIFS(#REF!,"&gt;="&amp;DATE($C35,$B35,1),#REF!,"&lt;="&amp;EOMONTH(DATE($C35,$B35,1),0),#REF!,"user_request")</f>
        <v>#REF!</v>
      </c>
      <c r="P35" s="147">
        <f t="shared" si="9"/>
        <v>0</v>
      </c>
      <c r="Q35" s="147">
        <f t="shared" si="10"/>
        <v>0</v>
      </c>
      <c r="R35" s="147">
        <f t="shared" si="11"/>
        <v>0</v>
      </c>
      <c r="S35" s="146" t="e">
        <f t="shared" si="12"/>
        <v>#REF!</v>
      </c>
      <c r="T35" s="146" t="e">
        <f t="shared" si="13"/>
        <v>#REF!</v>
      </c>
      <c r="U35" s="145">
        <f t="shared" si="4"/>
        <v>0</v>
      </c>
      <c r="V35" s="145" t="e">
        <f t="shared" si="5"/>
        <v>#REF!</v>
      </c>
      <c r="W35" s="142">
        <v>32</v>
      </c>
      <c r="X35" s="142" t="str">
        <f>+IF((VLOOKUP(A35,List!B:C,2,0)-VLOOKUP(Summary!$P$7,List!B:C,2,0))=0,1,"")</f>
        <v/>
      </c>
      <c r="Y35" s="198">
        <f>+IF((VLOOKUP(A35,List!B:C,2,0)-VLOOKUP(Summary!$P$7,List!B:C,2,0))&gt;=0,1,"")</f>
        <v>1</v>
      </c>
      <c r="Z35" s="198">
        <f>+IF((VLOOKUP(A35,List!B:C,2,0)-VLOOKUP(Summary!$P$7,List!B:C,2,0))&gt;0,1,"")</f>
        <v>1</v>
      </c>
      <c r="AA35" s="141">
        <f t="shared" si="6"/>
        <v>2</v>
      </c>
      <c r="AB35" s="199" t="str">
        <f>+IF(AA35="","",IF(Summary!$J$7="Fixed Price","",IF(M35="",IF(I35="","",1),"")))</f>
        <v/>
      </c>
      <c r="AC35" s="198">
        <f t="shared" si="14"/>
        <v>0</v>
      </c>
    </row>
    <row r="36" spans="1:29" x14ac:dyDescent="0.2">
      <c r="A36" s="155" t="str">
        <f t="shared" ref="A36:A63" si="15">CONCATENATE(C36,"-",B36)</f>
        <v>-</v>
      </c>
      <c r="B36" s="154" t="str">
        <f t="shared" si="7"/>
        <v/>
      </c>
      <c r="C36" s="153" t="str">
        <f t="shared" si="8"/>
        <v/>
      </c>
      <c r="D36" s="152" t="str">
        <f t="shared" ref="D36:D63" si="16">CONCATENATE(C36,"-",B36)</f>
        <v>-</v>
      </c>
      <c r="E36" s="159" t="str">
        <f>+IF($B36="","",Summary!$P$4)</f>
        <v/>
      </c>
      <c r="F36" s="159" t="str">
        <f>+IF($B36="","",Summary!$P$5)</f>
        <v/>
      </c>
      <c r="G36" s="159" t="str">
        <f>+IF($B36="","",Summary!$P$6)</f>
        <v/>
      </c>
      <c r="H36" s="158" t="str">
        <f t="shared" ref="H36:H63" si="17">+IF($B36="","",IF(U36&lt;-15%,"Red",IF(U36&lt;0%,"Amber","Green")))</f>
        <v/>
      </c>
      <c r="I36" s="156"/>
      <c r="J36" s="156"/>
      <c r="K36" s="156"/>
      <c r="L36" s="156"/>
      <c r="M36" s="156"/>
      <c r="N36" s="156" t="e">
        <f t="shared" si="3"/>
        <v>#REF!</v>
      </c>
      <c r="O36" s="156" t="e">
        <f>COUNTIFS(#REF!,"&gt;="&amp;DATE($C36,$B36,1),#REF!,"&lt;="&amp;EOMONTH(DATE($C36,$B36,1),0),#REF!,"Incident")+
COUNTIFS(#REF!,"&gt;="&amp;DATE($C36,$B36,1),#REF!,"&lt;="&amp;EOMONTH(DATE($C36,$B36,1),0),#REF!,"user_request")</f>
        <v>#REF!</v>
      </c>
      <c r="P36" s="147">
        <f t="shared" si="9"/>
        <v>0</v>
      </c>
      <c r="Q36" s="147">
        <f t="shared" si="10"/>
        <v>0</v>
      </c>
      <c r="R36" s="147">
        <f t="shared" si="11"/>
        <v>0</v>
      </c>
      <c r="S36" s="146" t="e">
        <f t="shared" si="12"/>
        <v>#REF!</v>
      </c>
      <c r="T36" s="146" t="e">
        <f t="shared" si="13"/>
        <v>#REF!</v>
      </c>
      <c r="U36" s="145">
        <f t="shared" ref="U36:U63" si="18">IF(Q36=0,0,IF(K36&lt;&gt;"",(Q36-(R36+L36))/Q36,U35))</f>
        <v>0</v>
      </c>
      <c r="V36" s="145" t="e">
        <f t="shared" ref="V36:V63" si="19">IF(S36=0,0,IF(O36&lt;&gt;"",(S36-(T36))/S36,V35))</f>
        <v>#REF!</v>
      </c>
      <c r="W36" s="142">
        <v>33</v>
      </c>
      <c r="X36" s="142" t="str">
        <f>+IF((VLOOKUP(A36,List!B:C,2,0)-VLOOKUP(Summary!$P$7,List!B:C,2,0))=0,1,"")</f>
        <v/>
      </c>
      <c r="Y36" s="198">
        <f>+IF((VLOOKUP(A36,List!B:C,2,0)-VLOOKUP(Summary!$P$7,List!B:C,2,0))&gt;=0,1,"")</f>
        <v>1</v>
      </c>
      <c r="Z36" s="198">
        <f>+IF((VLOOKUP(A36,List!B:C,2,0)-VLOOKUP(Summary!$P$7,List!B:C,2,0))&gt;0,1,"")</f>
        <v>1</v>
      </c>
      <c r="AA36" s="141">
        <f t="shared" si="6"/>
        <v>2</v>
      </c>
      <c r="AB36" s="199" t="str">
        <f>+IF(AA36="","",IF(Summary!$J$7="Fixed Price","",IF(M36="",IF(I36="","",1),"")))</f>
        <v/>
      </c>
      <c r="AC36" s="198">
        <f t="shared" si="14"/>
        <v>0</v>
      </c>
    </row>
    <row r="37" spans="1:29" x14ac:dyDescent="0.2">
      <c r="A37" s="155" t="str">
        <f t="shared" si="15"/>
        <v>-</v>
      </c>
      <c r="B37" s="154" t="str">
        <f t="shared" ref="B37:B63" si="20">IF(W37&lt;=$W$2,IF(B36&gt;11,1,B36+1),"")</f>
        <v/>
      </c>
      <c r="C37" s="153" t="str">
        <f t="shared" ref="C37:C63" si="21">IF(W37&lt;=$W$2,IF(B36&gt;11,C36+1,C36),"")</f>
        <v/>
      </c>
      <c r="D37" s="152" t="str">
        <f t="shared" si="16"/>
        <v>-</v>
      </c>
      <c r="E37" s="151" t="str">
        <f>+IF($B37="","",Summary!$P$4)</f>
        <v/>
      </c>
      <c r="F37" s="151" t="str">
        <f>+IF($B37="","",Summary!$P$5)</f>
        <v/>
      </c>
      <c r="G37" s="151" t="str">
        <f>+IF($B37="","",Summary!$P$6)</f>
        <v/>
      </c>
      <c r="H37" s="150" t="str">
        <f t="shared" si="17"/>
        <v/>
      </c>
      <c r="I37" s="148"/>
      <c r="J37" s="148"/>
      <c r="K37" s="148"/>
      <c r="L37" s="148"/>
      <c r="M37" s="148"/>
      <c r="N37" s="148" t="e">
        <f t="shared" si="3"/>
        <v>#REF!</v>
      </c>
      <c r="O37" s="148" t="e">
        <f>COUNTIFS(#REF!,"&gt;="&amp;DATE($C37,$B37,1),#REF!,"&lt;="&amp;EOMONTH(DATE($C37,$B37,1),0),#REF!,"Incident")+
COUNTIFS(#REF!,"&gt;="&amp;DATE($C37,$B37,1),#REF!,"&lt;="&amp;EOMONTH(DATE($C37,$B37,1),0),#REF!,"user_request")</f>
        <v>#REF!</v>
      </c>
      <c r="P37" s="147">
        <f t="shared" ref="P37:P63" si="22">I37+P36</f>
        <v>0</v>
      </c>
      <c r="Q37" s="147">
        <f t="shared" ref="Q37:Q63" si="23">Q36+J37</f>
        <v>0</v>
      </c>
      <c r="R37" s="147">
        <f t="shared" ref="R37:R63" si="24">K37+R36</f>
        <v>0</v>
      </c>
      <c r="S37" s="146" t="e">
        <f t="shared" ref="S37:S63" si="25">N37+S36</f>
        <v>#REF!</v>
      </c>
      <c r="T37" s="146" t="e">
        <f t="shared" ref="T37:T63" si="26">O37+T36</f>
        <v>#REF!</v>
      </c>
      <c r="U37" s="145">
        <f t="shared" si="18"/>
        <v>0</v>
      </c>
      <c r="V37" s="145" t="e">
        <f t="shared" si="19"/>
        <v>#REF!</v>
      </c>
      <c r="W37" s="142">
        <v>34</v>
      </c>
      <c r="X37" s="142" t="str">
        <f>+IF((VLOOKUP(A37,List!B:C,2,0)-VLOOKUP(Summary!$P$7,List!B:C,2,0))=0,1,"")</f>
        <v/>
      </c>
      <c r="Y37" s="198">
        <f>+IF((VLOOKUP(A37,List!B:C,2,0)-VLOOKUP(Summary!$P$7,List!B:C,2,0))&gt;=0,1,"")</f>
        <v>1</v>
      </c>
      <c r="Z37" s="198">
        <f>+IF((VLOOKUP(A37,List!B:C,2,0)-VLOOKUP(Summary!$P$7,List!B:C,2,0))&gt;0,1,"")</f>
        <v>1</v>
      </c>
      <c r="AA37" s="141">
        <f t="shared" si="6"/>
        <v>2</v>
      </c>
      <c r="AB37" s="199" t="str">
        <f>+IF(AA37="","",IF(Summary!$J$7="Fixed Price","",IF(M37="",IF(I37="","",1),"")))</f>
        <v/>
      </c>
      <c r="AC37" s="198">
        <f t="shared" si="14"/>
        <v>0</v>
      </c>
    </row>
    <row r="38" spans="1:29" x14ac:dyDescent="0.2">
      <c r="A38" s="155" t="str">
        <f t="shared" si="15"/>
        <v>-</v>
      </c>
      <c r="B38" s="154" t="str">
        <f t="shared" si="20"/>
        <v/>
      </c>
      <c r="C38" s="153" t="str">
        <f t="shared" si="21"/>
        <v/>
      </c>
      <c r="D38" s="152" t="str">
        <f t="shared" si="16"/>
        <v>-</v>
      </c>
      <c r="E38" s="159" t="str">
        <f>+IF($B38="","",Summary!$P$4)</f>
        <v/>
      </c>
      <c r="F38" s="159" t="str">
        <f>+IF($B38="","",Summary!$P$5)</f>
        <v/>
      </c>
      <c r="G38" s="159" t="str">
        <f>+IF($B38="","",Summary!$P$6)</f>
        <v/>
      </c>
      <c r="H38" s="158" t="str">
        <f t="shared" si="17"/>
        <v/>
      </c>
      <c r="I38" s="156"/>
      <c r="J38" s="156"/>
      <c r="K38" s="156"/>
      <c r="L38" s="156"/>
      <c r="M38" s="156"/>
      <c r="N38" s="156" t="e">
        <f t="shared" si="3"/>
        <v>#REF!</v>
      </c>
      <c r="O38" s="156" t="e">
        <f>COUNTIFS(#REF!,"&gt;="&amp;DATE($C38,$B38,1),#REF!,"&lt;="&amp;EOMONTH(DATE($C38,$B38,1),0),#REF!,"Incident")+
COUNTIFS(#REF!,"&gt;="&amp;DATE($C38,$B38,1),#REF!,"&lt;="&amp;EOMONTH(DATE($C38,$B38,1),0),#REF!,"user_request")</f>
        <v>#REF!</v>
      </c>
      <c r="P38" s="147">
        <f t="shared" si="22"/>
        <v>0</v>
      </c>
      <c r="Q38" s="147">
        <f t="shared" si="23"/>
        <v>0</v>
      </c>
      <c r="R38" s="147">
        <f t="shared" si="24"/>
        <v>0</v>
      </c>
      <c r="S38" s="146" t="e">
        <f t="shared" si="25"/>
        <v>#REF!</v>
      </c>
      <c r="T38" s="146" t="e">
        <f t="shared" si="26"/>
        <v>#REF!</v>
      </c>
      <c r="U38" s="145">
        <f t="shared" si="18"/>
        <v>0</v>
      </c>
      <c r="V38" s="145" t="e">
        <f t="shared" si="19"/>
        <v>#REF!</v>
      </c>
      <c r="W38" s="142">
        <v>35</v>
      </c>
      <c r="X38" s="142" t="str">
        <f>+IF((VLOOKUP(A38,List!B:C,2,0)-VLOOKUP(Summary!$P$7,List!B:C,2,0))=0,1,"")</f>
        <v/>
      </c>
      <c r="Y38" s="198">
        <f>+IF((VLOOKUP(A38,List!B:C,2,0)-VLOOKUP(Summary!$P$7,List!B:C,2,0))&gt;=0,1,"")</f>
        <v>1</v>
      </c>
      <c r="Z38" s="198">
        <f>+IF((VLOOKUP(A38,List!B:C,2,0)-VLOOKUP(Summary!$P$7,List!B:C,2,0))&gt;0,1,"")</f>
        <v>1</v>
      </c>
      <c r="AA38" s="141">
        <f t="shared" si="6"/>
        <v>2</v>
      </c>
      <c r="AB38" s="199" t="str">
        <f>+IF(AA38="","",IF(Summary!$J$7="Fixed Price","",IF(M38="",IF(I38="","",1),"")))</f>
        <v/>
      </c>
      <c r="AC38" s="198">
        <f t="shared" si="14"/>
        <v>0</v>
      </c>
    </row>
    <row r="39" spans="1:29" x14ac:dyDescent="0.2">
      <c r="A39" s="155" t="str">
        <f t="shared" si="15"/>
        <v>-</v>
      </c>
      <c r="B39" s="154" t="str">
        <f t="shared" si="20"/>
        <v/>
      </c>
      <c r="C39" s="153" t="str">
        <f t="shared" si="21"/>
        <v/>
      </c>
      <c r="D39" s="152" t="str">
        <f t="shared" si="16"/>
        <v>-</v>
      </c>
      <c r="E39" s="151" t="str">
        <f>+IF($B39="","",Summary!$P$4)</f>
        <v/>
      </c>
      <c r="F39" s="151" t="str">
        <f>+IF($B39="","",Summary!$P$5)</f>
        <v/>
      </c>
      <c r="G39" s="151" t="str">
        <f>+IF($B39="","",Summary!$P$6)</f>
        <v/>
      </c>
      <c r="H39" s="150" t="str">
        <f t="shared" si="17"/>
        <v/>
      </c>
      <c r="I39" s="148"/>
      <c r="J39" s="148"/>
      <c r="K39" s="148"/>
      <c r="L39" s="148"/>
      <c r="M39" s="148"/>
      <c r="N39" s="148" t="e">
        <f t="shared" si="3"/>
        <v>#REF!</v>
      </c>
      <c r="O39" s="148" t="e">
        <f>COUNTIFS(#REF!,"&gt;="&amp;DATE($C39,$B39,1),#REF!,"&lt;="&amp;EOMONTH(DATE($C39,$B39,1),0),#REF!,"Incident")+
COUNTIFS(#REF!,"&gt;="&amp;DATE($C39,$B39,1),#REF!,"&lt;="&amp;EOMONTH(DATE($C39,$B39,1),0),#REF!,"user_request")</f>
        <v>#REF!</v>
      </c>
      <c r="P39" s="147">
        <f t="shared" si="22"/>
        <v>0</v>
      </c>
      <c r="Q39" s="147">
        <f t="shared" si="23"/>
        <v>0</v>
      </c>
      <c r="R39" s="147">
        <f t="shared" si="24"/>
        <v>0</v>
      </c>
      <c r="S39" s="146" t="e">
        <f t="shared" si="25"/>
        <v>#REF!</v>
      </c>
      <c r="T39" s="146" t="e">
        <f t="shared" si="26"/>
        <v>#REF!</v>
      </c>
      <c r="U39" s="145">
        <f t="shared" si="18"/>
        <v>0</v>
      </c>
      <c r="V39" s="145" t="e">
        <f t="shared" si="19"/>
        <v>#REF!</v>
      </c>
      <c r="W39" s="142">
        <v>36</v>
      </c>
      <c r="X39" s="142" t="str">
        <f>+IF((VLOOKUP(A39,List!B:C,2,0)-VLOOKUP(Summary!$P$7,List!B:C,2,0))=0,1,"")</f>
        <v/>
      </c>
      <c r="Y39" s="198">
        <f>+IF((VLOOKUP(A39,List!B:C,2,0)-VLOOKUP(Summary!$P$7,List!B:C,2,0))&gt;=0,1,"")</f>
        <v>1</v>
      </c>
      <c r="Z39" s="198">
        <f>+IF((VLOOKUP(A39,List!B:C,2,0)-VLOOKUP(Summary!$P$7,List!B:C,2,0))&gt;0,1,"")</f>
        <v>1</v>
      </c>
      <c r="AA39" s="141">
        <f t="shared" si="6"/>
        <v>2</v>
      </c>
      <c r="AB39" s="199" t="str">
        <f>+IF(AA39="","",IF(Summary!$J$7="Fixed Price","",IF(M39="",IF(I39="","",1),"")))</f>
        <v/>
      </c>
      <c r="AC39" s="198">
        <f t="shared" si="14"/>
        <v>0</v>
      </c>
    </row>
    <row r="40" spans="1:29" x14ac:dyDescent="0.2">
      <c r="A40" s="155" t="str">
        <f t="shared" si="15"/>
        <v>-</v>
      </c>
      <c r="B40" s="154" t="str">
        <f t="shared" si="20"/>
        <v/>
      </c>
      <c r="C40" s="153" t="str">
        <f t="shared" si="21"/>
        <v/>
      </c>
      <c r="D40" s="152" t="str">
        <f t="shared" si="16"/>
        <v>-</v>
      </c>
      <c r="E40" s="159" t="str">
        <f>+IF($B40="","",Summary!$P$4)</f>
        <v/>
      </c>
      <c r="F40" s="159" t="str">
        <f>+IF($B40="","",Summary!$P$5)</f>
        <v/>
      </c>
      <c r="G40" s="159" t="str">
        <f>+IF($B40="","",Summary!$P$6)</f>
        <v/>
      </c>
      <c r="H40" s="158" t="str">
        <f t="shared" si="17"/>
        <v/>
      </c>
      <c r="I40" s="156"/>
      <c r="J40" s="157"/>
      <c r="K40" s="156"/>
      <c r="L40" s="156"/>
      <c r="M40" s="156"/>
      <c r="N40" s="157" t="e">
        <f t="shared" si="3"/>
        <v>#REF!</v>
      </c>
      <c r="O40" s="157" t="e">
        <f>COUNTIFS(#REF!,"&gt;="&amp;DATE($C40,$B40,1),#REF!,"&lt;="&amp;EOMONTH(DATE($C40,$B40,1),0),#REF!,"Incident")+
COUNTIFS(#REF!,"&gt;="&amp;DATE($C40,$B40,1),#REF!,"&lt;="&amp;EOMONTH(DATE($C40,$B40,1),0),#REF!,"user_request")</f>
        <v>#REF!</v>
      </c>
      <c r="P40" s="147">
        <f t="shared" si="22"/>
        <v>0</v>
      </c>
      <c r="Q40" s="147">
        <f t="shared" si="23"/>
        <v>0</v>
      </c>
      <c r="R40" s="147">
        <f t="shared" si="24"/>
        <v>0</v>
      </c>
      <c r="S40" s="146" t="e">
        <f t="shared" si="25"/>
        <v>#REF!</v>
      </c>
      <c r="T40" s="146" t="e">
        <f t="shared" si="26"/>
        <v>#REF!</v>
      </c>
      <c r="U40" s="145">
        <f t="shared" si="18"/>
        <v>0</v>
      </c>
      <c r="V40" s="145" t="e">
        <f t="shared" si="19"/>
        <v>#REF!</v>
      </c>
      <c r="W40" s="142">
        <v>37</v>
      </c>
      <c r="X40" s="142" t="str">
        <f>+IF((VLOOKUP(A40,List!B:C,2,0)-VLOOKUP(Summary!$P$7,List!B:C,2,0))=0,1,"")</f>
        <v/>
      </c>
      <c r="Y40" s="198">
        <f>+IF((VLOOKUP(A40,List!B:C,2,0)-VLOOKUP(Summary!$P$7,List!B:C,2,0))&gt;=0,1,"")</f>
        <v>1</v>
      </c>
      <c r="Z40" s="198">
        <f>+IF((VLOOKUP(A40,List!B:C,2,0)-VLOOKUP(Summary!$P$7,List!B:C,2,0))&gt;0,1,"")</f>
        <v>1</v>
      </c>
      <c r="AA40" s="141">
        <f t="shared" si="6"/>
        <v>2</v>
      </c>
      <c r="AB40" s="199" t="str">
        <f>+IF(AA40="","",IF(Summary!$J$7="Fixed Price","",IF(M40="",IF(I40="","",1),"")))</f>
        <v/>
      </c>
      <c r="AC40" s="198">
        <f t="shared" si="14"/>
        <v>0</v>
      </c>
    </row>
    <row r="41" spans="1:29" x14ac:dyDescent="0.2">
      <c r="A41" s="155" t="str">
        <f t="shared" si="15"/>
        <v>-</v>
      </c>
      <c r="B41" s="154" t="str">
        <f t="shared" si="20"/>
        <v/>
      </c>
      <c r="C41" s="153" t="str">
        <f t="shared" si="21"/>
        <v/>
      </c>
      <c r="D41" s="152" t="str">
        <f t="shared" si="16"/>
        <v>-</v>
      </c>
      <c r="E41" s="151" t="str">
        <f>+IF($B41="","",Summary!$P$4)</f>
        <v/>
      </c>
      <c r="F41" s="151" t="str">
        <f>+IF($B41="","",Summary!$P$5)</f>
        <v/>
      </c>
      <c r="G41" s="151" t="str">
        <f>+IF($B41="","",Summary!$P$6)</f>
        <v/>
      </c>
      <c r="H41" s="150" t="str">
        <f t="shared" si="17"/>
        <v/>
      </c>
      <c r="I41" s="148"/>
      <c r="J41" s="149"/>
      <c r="K41" s="148"/>
      <c r="L41" s="148"/>
      <c r="M41" s="148"/>
      <c r="N41" s="149" t="e">
        <f t="shared" si="3"/>
        <v>#REF!</v>
      </c>
      <c r="O41" s="149" t="e">
        <f>COUNTIFS(#REF!,"&gt;="&amp;DATE($C41,$B41,1),#REF!,"&lt;="&amp;EOMONTH(DATE($C41,$B41,1),0),#REF!,"Incident")+
COUNTIFS(#REF!,"&gt;="&amp;DATE($C41,$B41,1),#REF!,"&lt;="&amp;EOMONTH(DATE($C41,$B41,1),0),#REF!,"user_request")</f>
        <v>#REF!</v>
      </c>
      <c r="P41" s="147">
        <f t="shared" si="22"/>
        <v>0</v>
      </c>
      <c r="Q41" s="147">
        <f t="shared" si="23"/>
        <v>0</v>
      </c>
      <c r="R41" s="147">
        <f t="shared" si="24"/>
        <v>0</v>
      </c>
      <c r="S41" s="146" t="e">
        <f t="shared" si="25"/>
        <v>#REF!</v>
      </c>
      <c r="T41" s="146" t="e">
        <f t="shared" si="26"/>
        <v>#REF!</v>
      </c>
      <c r="U41" s="145">
        <f t="shared" si="18"/>
        <v>0</v>
      </c>
      <c r="V41" s="145" t="e">
        <f t="shared" si="19"/>
        <v>#REF!</v>
      </c>
      <c r="W41" s="142">
        <v>38</v>
      </c>
      <c r="X41" s="142" t="str">
        <f>+IF((VLOOKUP(A41,List!B:C,2,0)-VLOOKUP(Summary!$P$7,List!B:C,2,0))=0,1,"")</f>
        <v/>
      </c>
      <c r="Y41" s="198">
        <f>+IF((VLOOKUP(A41,List!B:C,2,0)-VLOOKUP(Summary!$P$7,List!B:C,2,0))&gt;=0,1,"")</f>
        <v>1</v>
      </c>
      <c r="Z41" s="198">
        <f>+IF((VLOOKUP(A41,List!B:C,2,0)-VLOOKUP(Summary!$P$7,List!B:C,2,0))&gt;0,1,"")</f>
        <v>1</v>
      </c>
      <c r="AA41" s="141">
        <f t="shared" si="6"/>
        <v>2</v>
      </c>
      <c r="AB41" s="199" t="str">
        <f>+IF(AA41="","",IF(Summary!$J$7="Fixed Price","",IF(M41="",IF(I41="","",1),"")))</f>
        <v/>
      </c>
      <c r="AC41" s="198">
        <f t="shared" si="14"/>
        <v>0</v>
      </c>
    </row>
    <row r="42" spans="1:29" x14ac:dyDescent="0.2">
      <c r="A42" s="155" t="str">
        <f t="shared" si="15"/>
        <v>-</v>
      </c>
      <c r="B42" s="154" t="str">
        <f t="shared" si="20"/>
        <v/>
      </c>
      <c r="C42" s="153" t="str">
        <f t="shared" si="21"/>
        <v/>
      </c>
      <c r="D42" s="152" t="str">
        <f t="shared" si="16"/>
        <v>-</v>
      </c>
      <c r="E42" s="159" t="str">
        <f>+IF($B42="","",Summary!$P$4)</f>
        <v/>
      </c>
      <c r="F42" s="159" t="str">
        <f>+IF($B42="","",Summary!$P$5)</f>
        <v/>
      </c>
      <c r="G42" s="159" t="str">
        <f>+IF($B42="","",Summary!$P$6)</f>
        <v/>
      </c>
      <c r="H42" s="158" t="str">
        <f t="shared" si="17"/>
        <v/>
      </c>
      <c r="I42" s="156"/>
      <c r="J42" s="157"/>
      <c r="K42" s="156"/>
      <c r="L42" s="156"/>
      <c r="M42" s="156"/>
      <c r="N42" s="157" t="e">
        <f t="shared" si="3"/>
        <v>#REF!</v>
      </c>
      <c r="O42" s="157" t="e">
        <f>COUNTIFS(#REF!,"&gt;="&amp;DATE($C42,$B42,1),#REF!,"&lt;="&amp;EOMONTH(DATE($C42,$B42,1),0),#REF!,"Incident")+
COUNTIFS(#REF!,"&gt;="&amp;DATE($C42,$B42,1),#REF!,"&lt;="&amp;EOMONTH(DATE($C42,$B42,1),0),#REF!,"user_request")</f>
        <v>#REF!</v>
      </c>
      <c r="P42" s="147">
        <f t="shared" si="22"/>
        <v>0</v>
      </c>
      <c r="Q42" s="147">
        <f t="shared" si="23"/>
        <v>0</v>
      </c>
      <c r="R42" s="147">
        <f t="shared" si="24"/>
        <v>0</v>
      </c>
      <c r="S42" s="146" t="e">
        <f t="shared" si="25"/>
        <v>#REF!</v>
      </c>
      <c r="T42" s="146" t="e">
        <f t="shared" si="26"/>
        <v>#REF!</v>
      </c>
      <c r="U42" s="145">
        <f t="shared" si="18"/>
        <v>0</v>
      </c>
      <c r="V42" s="145" t="e">
        <f t="shared" si="19"/>
        <v>#REF!</v>
      </c>
      <c r="W42" s="142">
        <v>39</v>
      </c>
      <c r="X42" s="142" t="str">
        <f>+IF((VLOOKUP(A42,List!B:C,2,0)-VLOOKUP(Summary!$P$7,List!B:C,2,0))=0,1,"")</f>
        <v/>
      </c>
      <c r="Y42" s="198">
        <f>+IF((VLOOKUP(A42,List!B:C,2,0)-VLOOKUP(Summary!$P$7,List!B:C,2,0))&gt;=0,1,"")</f>
        <v>1</v>
      </c>
      <c r="Z42" s="198">
        <f>+IF((VLOOKUP(A42,List!B:C,2,0)-VLOOKUP(Summary!$P$7,List!B:C,2,0))&gt;0,1,"")</f>
        <v>1</v>
      </c>
      <c r="AA42" s="141">
        <f t="shared" si="6"/>
        <v>2</v>
      </c>
      <c r="AB42" s="199" t="str">
        <f>+IF(AA42="","",IF(Summary!$J$7="Fixed Price","",IF(M42="",IF(I42="","",1),"")))</f>
        <v/>
      </c>
      <c r="AC42" s="198">
        <f t="shared" si="14"/>
        <v>0</v>
      </c>
    </row>
    <row r="43" spans="1:29" x14ac:dyDescent="0.2">
      <c r="A43" s="155" t="str">
        <f t="shared" si="15"/>
        <v>-</v>
      </c>
      <c r="B43" s="154" t="str">
        <f t="shared" si="20"/>
        <v/>
      </c>
      <c r="C43" s="153" t="str">
        <f t="shared" si="21"/>
        <v/>
      </c>
      <c r="D43" s="152" t="str">
        <f t="shared" si="16"/>
        <v>-</v>
      </c>
      <c r="E43" s="151" t="str">
        <f>+IF($B43="","",Summary!$P$4)</f>
        <v/>
      </c>
      <c r="F43" s="151" t="str">
        <f>+IF($B43="","",Summary!$P$5)</f>
        <v/>
      </c>
      <c r="G43" s="151" t="str">
        <f>+IF($B43="","",Summary!$P$6)</f>
        <v/>
      </c>
      <c r="H43" s="150" t="str">
        <f t="shared" si="17"/>
        <v/>
      </c>
      <c r="I43" s="148"/>
      <c r="J43" s="149"/>
      <c r="K43" s="148"/>
      <c r="L43" s="148"/>
      <c r="M43" s="148"/>
      <c r="N43" s="149" t="e">
        <f t="shared" si="3"/>
        <v>#REF!</v>
      </c>
      <c r="O43" s="149" t="e">
        <f>COUNTIFS(#REF!,"&gt;="&amp;DATE($C43,$B43,1),#REF!,"&lt;="&amp;EOMONTH(DATE($C43,$B43,1),0),#REF!,"Incident")+
COUNTIFS(#REF!,"&gt;="&amp;DATE($C43,$B43,1),#REF!,"&lt;="&amp;EOMONTH(DATE($C43,$B43,1),0),#REF!,"user_request")</f>
        <v>#REF!</v>
      </c>
      <c r="P43" s="147">
        <f t="shared" si="22"/>
        <v>0</v>
      </c>
      <c r="Q43" s="147">
        <f t="shared" si="23"/>
        <v>0</v>
      </c>
      <c r="R43" s="147">
        <f t="shared" si="24"/>
        <v>0</v>
      </c>
      <c r="S43" s="146" t="e">
        <f t="shared" si="25"/>
        <v>#REF!</v>
      </c>
      <c r="T43" s="146" t="e">
        <f t="shared" si="26"/>
        <v>#REF!</v>
      </c>
      <c r="U43" s="145">
        <f t="shared" si="18"/>
        <v>0</v>
      </c>
      <c r="V43" s="145" t="e">
        <f t="shared" si="19"/>
        <v>#REF!</v>
      </c>
      <c r="W43" s="142">
        <v>40</v>
      </c>
      <c r="X43" s="142" t="str">
        <f>+IF((VLOOKUP(A43,List!B:C,2,0)-VLOOKUP(Summary!$P$7,List!B:C,2,0))=0,1,"")</f>
        <v/>
      </c>
      <c r="Y43" s="198">
        <f>+IF((VLOOKUP(A43,List!B:C,2,0)-VLOOKUP(Summary!$P$7,List!B:C,2,0))&gt;=0,1,"")</f>
        <v>1</v>
      </c>
      <c r="Z43" s="198">
        <f>+IF((VLOOKUP(A43,List!B:C,2,0)-VLOOKUP(Summary!$P$7,List!B:C,2,0))&gt;0,1,"")</f>
        <v>1</v>
      </c>
      <c r="AA43" s="141">
        <f t="shared" si="6"/>
        <v>2</v>
      </c>
      <c r="AB43" s="199" t="str">
        <f>+IF(AA43="","",IF(Summary!$J$7="Fixed Price","",IF(M43="",IF(I43="","",1),"")))</f>
        <v/>
      </c>
      <c r="AC43" s="198">
        <f t="shared" si="14"/>
        <v>0</v>
      </c>
    </row>
    <row r="44" spans="1:29" x14ac:dyDescent="0.2">
      <c r="A44" s="155" t="str">
        <f t="shared" si="15"/>
        <v>-</v>
      </c>
      <c r="B44" s="154" t="str">
        <f t="shared" si="20"/>
        <v/>
      </c>
      <c r="C44" s="153" t="str">
        <f t="shared" si="21"/>
        <v/>
      </c>
      <c r="D44" s="152" t="str">
        <f t="shared" si="16"/>
        <v>-</v>
      </c>
      <c r="E44" s="159" t="str">
        <f>+IF($B44="","",Summary!$P$4)</f>
        <v/>
      </c>
      <c r="F44" s="159" t="str">
        <f>+IF($B44="","",Summary!$P$5)</f>
        <v/>
      </c>
      <c r="G44" s="159" t="str">
        <f>+IF($B44="","",Summary!$P$6)</f>
        <v/>
      </c>
      <c r="H44" s="158" t="str">
        <f t="shared" si="17"/>
        <v/>
      </c>
      <c r="I44" s="156"/>
      <c r="J44" s="157"/>
      <c r="K44" s="156"/>
      <c r="L44" s="156"/>
      <c r="M44" s="156"/>
      <c r="N44" s="157" t="e">
        <f t="shared" si="3"/>
        <v>#REF!</v>
      </c>
      <c r="O44" s="157" t="e">
        <f>COUNTIFS(#REF!,"&gt;="&amp;DATE($C44,$B44,1),#REF!,"&lt;="&amp;EOMONTH(DATE($C44,$B44,1),0),#REF!,"Incident")+
COUNTIFS(#REF!,"&gt;="&amp;DATE($C44,$B44,1),#REF!,"&lt;="&amp;EOMONTH(DATE($C44,$B44,1),0),#REF!,"user_request")</f>
        <v>#REF!</v>
      </c>
      <c r="P44" s="147">
        <f t="shared" si="22"/>
        <v>0</v>
      </c>
      <c r="Q44" s="147">
        <f t="shared" si="23"/>
        <v>0</v>
      </c>
      <c r="R44" s="147">
        <f t="shared" si="24"/>
        <v>0</v>
      </c>
      <c r="S44" s="146" t="e">
        <f t="shared" si="25"/>
        <v>#REF!</v>
      </c>
      <c r="T44" s="146" t="e">
        <f t="shared" si="26"/>
        <v>#REF!</v>
      </c>
      <c r="U44" s="145">
        <f t="shared" si="18"/>
        <v>0</v>
      </c>
      <c r="V44" s="145" t="e">
        <f t="shared" si="19"/>
        <v>#REF!</v>
      </c>
      <c r="W44" s="142">
        <v>41</v>
      </c>
      <c r="X44" s="142" t="str">
        <f>+IF((VLOOKUP(A44,List!B:C,2,0)-VLOOKUP(Summary!$P$7,List!B:C,2,0))=0,1,"")</f>
        <v/>
      </c>
      <c r="Y44" s="198">
        <f>+IF((VLOOKUP(A44,List!B:C,2,0)-VLOOKUP(Summary!$P$7,List!B:C,2,0))&gt;=0,1,"")</f>
        <v>1</v>
      </c>
      <c r="Z44" s="198">
        <f>+IF((VLOOKUP(A44,List!B:C,2,0)-VLOOKUP(Summary!$P$7,List!B:C,2,0))&gt;0,1,"")</f>
        <v>1</v>
      </c>
      <c r="AA44" s="141">
        <f t="shared" si="6"/>
        <v>2</v>
      </c>
      <c r="AB44" s="199" t="str">
        <f>+IF(AA44="","",IF(Summary!$J$7="Fixed Price","",IF(M44="",IF(I44="","",1),"")))</f>
        <v/>
      </c>
      <c r="AC44" s="198">
        <f t="shared" si="14"/>
        <v>0</v>
      </c>
    </row>
    <row r="45" spans="1:29" x14ac:dyDescent="0.2">
      <c r="A45" s="155" t="str">
        <f t="shared" si="15"/>
        <v>-</v>
      </c>
      <c r="B45" s="154" t="str">
        <f t="shared" si="20"/>
        <v/>
      </c>
      <c r="C45" s="153" t="str">
        <f t="shared" si="21"/>
        <v/>
      </c>
      <c r="D45" s="152" t="str">
        <f t="shared" si="16"/>
        <v>-</v>
      </c>
      <c r="E45" s="151" t="str">
        <f>+IF($B45="","",Summary!$P$4)</f>
        <v/>
      </c>
      <c r="F45" s="151" t="str">
        <f>+IF($B45="","",Summary!$P$5)</f>
        <v/>
      </c>
      <c r="G45" s="151" t="str">
        <f>+IF($B45="","",Summary!$P$6)</f>
        <v/>
      </c>
      <c r="H45" s="150" t="str">
        <f t="shared" si="17"/>
        <v/>
      </c>
      <c r="I45" s="148"/>
      <c r="J45" s="149"/>
      <c r="K45" s="148"/>
      <c r="L45" s="148"/>
      <c r="M45" s="148"/>
      <c r="N45" s="149" t="e">
        <f t="shared" si="3"/>
        <v>#REF!</v>
      </c>
      <c r="O45" s="149" t="e">
        <f>COUNTIFS(#REF!,"&gt;="&amp;DATE($C45,$B45,1),#REF!,"&lt;="&amp;EOMONTH(DATE($C45,$B45,1),0),#REF!,"Incident")+
COUNTIFS(#REF!,"&gt;="&amp;DATE($C45,$B45,1),#REF!,"&lt;="&amp;EOMONTH(DATE($C45,$B45,1),0),#REF!,"user_request")</f>
        <v>#REF!</v>
      </c>
      <c r="P45" s="147">
        <f t="shared" si="22"/>
        <v>0</v>
      </c>
      <c r="Q45" s="147">
        <f t="shared" si="23"/>
        <v>0</v>
      </c>
      <c r="R45" s="147">
        <f t="shared" si="24"/>
        <v>0</v>
      </c>
      <c r="S45" s="146" t="e">
        <f t="shared" si="25"/>
        <v>#REF!</v>
      </c>
      <c r="T45" s="146" t="e">
        <f t="shared" si="26"/>
        <v>#REF!</v>
      </c>
      <c r="U45" s="145">
        <f t="shared" si="18"/>
        <v>0</v>
      </c>
      <c r="V45" s="145" t="e">
        <f t="shared" si="19"/>
        <v>#REF!</v>
      </c>
      <c r="W45" s="142">
        <v>42</v>
      </c>
      <c r="X45" s="142" t="str">
        <f>+IF((VLOOKUP(A45,List!B:C,2,0)-VLOOKUP(Summary!$P$7,List!B:C,2,0))=0,1,"")</f>
        <v/>
      </c>
      <c r="Y45" s="198">
        <f>+IF((VLOOKUP(A45,List!B:C,2,0)-VLOOKUP(Summary!$P$7,List!B:C,2,0))&gt;=0,1,"")</f>
        <v>1</v>
      </c>
      <c r="Z45" s="198">
        <f>+IF((VLOOKUP(A45,List!B:C,2,0)-VLOOKUP(Summary!$P$7,List!B:C,2,0))&gt;0,1,"")</f>
        <v>1</v>
      </c>
      <c r="AA45" s="141">
        <f t="shared" si="6"/>
        <v>2</v>
      </c>
      <c r="AB45" s="199" t="str">
        <f>+IF(AA45="","",IF(Summary!$J$7="Fixed Price","",IF(M45="",IF(I45="","",1),"")))</f>
        <v/>
      </c>
      <c r="AC45" s="198">
        <f t="shared" si="14"/>
        <v>0</v>
      </c>
    </row>
    <row r="46" spans="1:29" x14ac:dyDescent="0.2">
      <c r="A46" s="155" t="str">
        <f t="shared" si="15"/>
        <v>-</v>
      </c>
      <c r="B46" s="154" t="str">
        <f t="shared" si="20"/>
        <v/>
      </c>
      <c r="C46" s="153" t="str">
        <f t="shared" si="21"/>
        <v/>
      </c>
      <c r="D46" s="152" t="str">
        <f t="shared" si="16"/>
        <v>-</v>
      </c>
      <c r="E46" s="159" t="str">
        <f>+IF($B46="","",Summary!$P$4)</f>
        <v/>
      </c>
      <c r="F46" s="159" t="str">
        <f>+IF($B46="","",Summary!$P$5)</f>
        <v/>
      </c>
      <c r="G46" s="159" t="str">
        <f>+IF($B46="","",Summary!$P$6)</f>
        <v/>
      </c>
      <c r="H46" s="158" t="str">
        <f t="shared" si="17"/>
        <v/>
      </c>
      <c r="I46" s="156"/>
      <c r="J46" s="157"/>
      <c r="K46" s="156"/>
      <c r="L46" s="156"/>
      <c r="M46" s="156"/>
      <c r="N46" s="157" t="e">
        <f t="shared" si="3"/>
        <v>#REF!</v>
      </c>
      <c r="O46" s="157" t="e">
        <f>COUNTIFS(#REF!,"&gt;="&amp;DATE($C46,$B46,1),#REF!,"&lt;="&amp;EOMONTH(DATE($C46,$B46,1),0),#REF!,"Incident")+
COUNTIFS(#REF!,"&gt;="&amp;DATE($C46,$B46,1),#REF!,"&lt;="&amp;EOMONTH(DATE($C46,$B46,1),0),#REF!,"user_request")</f>
        <v>#REF!</v>
      </c>
      <c r="P46" s="147">
        <f t="shared" si="22"/>
        <v>0</v>
      </c>
      <c r="Q46" s="147">
        <f t="shared" si="23"/>
        <v>0</v>
      </c>
      <c r="R46" s="147">
        <f t="shared" si="24"/>
        <v>0</v>
      </c>
      <c r="S46" s="146" t="e">
        <f t="shared" si="25"/>
        <v>#REF!</v>
      </c>
      <c r="T46" s="146" t="e">
        <f t="shared" si="26"/>
        <v>#REF!</v>
      </c>
      <c r="U46" s="145">
        <f t="shared" si="18"/>
        <v>0</v>
      </c>
      <c r="V46" s="145" t="e">
        <f t="shared" si="19"/>
        <v>#REF!</v>
      </c>
      <c r="W46" s="142">
        <v>43</v>
      </c>
      <c r="X46" s="142" t="str">
        <f>+IF((VLOOKUP(A46,List!B:C,2,0)-VLOOKUP(Summary!$P$7,List!B:C,2,0))=0,1,"")</f>
        <v/>
      </c>
      <c r="Y46" s="198">
        <f>+IF((VLOOKUP(A46,List!B:C,2,0)-VLOOKUP(Summary!$P$7,List!B:C,2,0))&gt;=0,1,"")</f>
        <v>1</v>
      </c>
      <c r="Z46" s="198">
        <f>+IF((VLOOKUP(A46,List!B:C,2,0)-VLOOKUP(Summary!$P$7,List!B:C,2,0))&gt;0,1,"")</f>
        <v>1</v>
      </c>
      <c r="AA46" s="141">
        <f t="shared" si="6"/>
        <v>2</v>
      </c>
      <c r="AB46" s="199" t="str">
        <f>+IF(AA46="","",IF(Summary!$J$7="Fixed Price","",IF(M46="",IF(I46="","",1),"")))</f>
        <v/>
      </c>
      <c r="AC46" s="198">
        <f t="shared" si="14"/>
        <v>0</v>
      </c>
    </row>
    <row r="47" spans="1:29" x14ac:dyDescent="0.2">
      <c r="A47" s="155" t="str">
        <f t="shared" si="15"/>
        <v>-</v>
      </c>
      <c r="B47" s="154" t="str">
        <f t="shared" si="20"/>
        <v/>
      </c>
      <c r="C47" s="153" t="str">
        <f t="shared" si="21"/>
        <v/>
      </c>
      <c r="D47" s="152" t="str">
        <f t="shared" si="16"/>
        <v>-</v>
      </c>
      <c r="E47" s="151" t="str">
        <f>+IF($B47="","",Summary!$P$4)</f>
        <v/>
      </c>
      <c r="F47" s="151" t="str">
        <f>+IF($B47="","",Summary!$P$5)</f>
        <v/>
      </c>
      <c r="G47" s="151" t="str">
        <f>+IF($B47="","",Summary!$P$6)</f>
        <v/>
      </c>
      <c r="H47" s="150" t="str">
        <f t="shared" si="17"/>
        <v/>
      </c>
      <c r="I47" s="148"/>
      <c r="J47" s="149"/>
      <c r="K47" s="148"/>
      <c r="L47" s="148"/>
      <c r="M47" s="148"/>
      <c r="N47" s="149" t="e">
        <f t="shared" si="3"/>
        <v>#REF!</v>
      </c>
      <c r="O47" s="149" t="e">
        <f>COUNTIFS(#REF!,"&gt;="&amp;DATE($C47,$B47,1),#REF!,"&lt;="&amp;EOMONTH(DATE($C47,$B47,1),0),#REF!,"Incident")+
COUNTIFS(#REF!,"&gt;="&amp;DATE($C47,$B47,1),#REF!,"&lt;="&amp;EOMONTH(DATE($C47,$B47,1),0),#REF!,"user_request")</f>
        <v>#REF!</v>
      </c>
      <c r="P47" s="147">
        <f t="shared" si="22"/>
        <v>0</v>
      </c>
      <c r="Q47" s="147">
        <f t="shared" si="23"/>
        <v>0</v>
      </c>
      <c r="R47" s="147">
        <f t="shared" si="24"/>
        <v>0</v>
      </c>
      <c r="S47" s="146" t="e">
        <f t="shared" si="25"/>
        <v>#REF!</v>
      </c>
      <c r="T47" s="146" t="e">
        <f t="shared" si="26"/>
        <v>#REF!</v>
      </c>
      <c r="U47" s="145">
        <f t="shared" si="18"/>
        <v>0</v>
      </c>
      <c r="V47" s="145" t="e">
        <f t="shared" si="19"/>
        <v>#REF!</v>
      </c>
      <c r="W47" s="142">
        <v>44</v>
      </c>
      <c r="X47" s="142" t="str">
        <f>+IF((VLOOKUP(A47,List!B:C,2,0)-VLOOKUP(Summary!$P$7,List!B:C,2,0))=0,1,"")</f>
        <v/>
      </c>
      <c r="Y47" s="198">
        <f>+IF((VLOOKUP(A47,List!B:C,2,0)-VLOOKUP(Summary!$P$7,List!B:C,2,0))&gt;=0,1,"")</f>
        <v>1</v>
      </c>
      <c r="Z47" s="198">
        <f>+IF((VLOOKUP(A47,List!B:C,2,0)-VLOOKUP(Summary!$P$7,List!B:C,2,0))&gt;0,1,"")</f>
        <v>1</v>
      </c>
      <c r="AA47" s="141">
        <f t="shared" si="6"/>
        <v>2</v>
      </c>
      <c r="AB47" s="199" t="str">
        <f>+IF(AA47="","",IF(Summary!$J$7="Fixed Price","",IF(M47="",IF(I47="","",1),"")))</f>
        <v/>
      </c>
      <c r="AC47" s="198">
        <f t="shared" si="14"/>
        <v>0</v>
      </c>
    </row>
    <row r="48" spans="1:29" x14ac:dyDescent="0.2">
      <c r="A48" s="155" t="str">
        <f t="shared" si="15"/>
        <v>-</v>
      </c>
      <c r="B48" s="154" t="str">
        <f t="shared" si="20"/>
        <v/>
      </c>
      <c r="C48" s="153" t="str">
        <f t="shared" si="21"/>
        <v/>
      </c>
      <c r="D48" s="152" t="str">
        <f t="shared" si="16"/>
        <v>-</v>
      </c>
      <c r="E48" s="159" t="str">
        <f>+IF($B48="","",Summary!$P$4)</f>
        <v/>
      </c>
      <c r="F48" s="159" t="str">
        <f>+IF($B48="","",Summary!$P$5)</f>
        <v/>
      </c>
      <c r="G48" s="159" t="str">
        <f>+IF($B48="","",Summary!$P$6)</f>
        <v/>
      </c>
      <c r="H48" s="158" t="str">
        <f t="shared" si="17"/>
        <v/>
      </c>
      <c r="I48" s="156"/>
      <c r="J48" s="157"/>
      <c r="K48" s="156"/>
      <c r="L48" s="156"/>
      <c r="M48" s="156"/>
      <c r="N48" s="157" t="e">
        <f t="shared" si="3"/>
        <v>#REF!</v>
      </c>
      <c r="O48" s="157" t="e">
        <f>COUNTIFS(#REF!,"&gt;="&amp;DATE($C48,$B48,1),#REF!,"&lt;="&amp;EOMONTH(DATE($C48,$B48,1),0),#REF!,"Incident")+
COUNTIFS(#REF!,"&gt;="&amp;DATE($C48,$B48,1),#REF!,"&lt;="&amp;EOMONTH(DATE($C48,$B48,1),0),#REF!,"user_request")</f>
        <v>#REF!</v>
      </c>
      <c r="P48" s="147">
        <f t="shared" si="22"/>
        <v>0</v>
      </c>
      <c r="Q48" s="147">
        <f t="shared" si="23"/>
        <v>0</v>
      </c>
      <c r="R48" s="147">
        <f t="shared" si="24"/>
        <v>0</v>
      </c>
      <c r="S48" s="146" t="e">
        <f t="shared" si="25"/>
        <v>#REF!</v>
      </c>
      <c r="T48" s="146" t="e">
        <f t="shared" si="26"/>
        <v>#REF!</v>
      </c>
      <c r="U48" s="145">
        <f t="shared" si="18"/>
        <v>0</v>
      </c>
      <c r="V48" s="145" t="e">
        <f t="shared" si="19"/>
        <v>#REF!</v>
      </c>
      <c r="W48" s="142">
        <v>45</v>
      </c>
      <c r="X48" s="142" t="str">
        <f>+IF((VLOOKUP(A48,List!B:C,2,0)-VLOOKUP(Summary!$P$7,List!B:C,2,0))=0,1,"")</f>
        <v/>
      </c>
      <c r="Y48" s="198">
        <f>+IF((VLOOKUP(A48,List!B:C,2,0)-VLOOKUP(Summary!$P$7,List!B:C,2,0))&gt;=0,1,"")</f>
        <v>1</v>
      </c>
      <c r="Z48" s="198">
        <f>+IF((VLOOKUP(A48,List!B:C,2,0)-VLOOKUP(Summary!$P$7,List!B:C,2,0))&gt;0,1,"")</f>
        <v>1</v>
      </c>
      <c r="AA48" s="141">
        <f t="shared" si="6"/>
        <v>2</v>
      </c>
      <c r="AB48" s="199" t="str">
        <f>+IF(AA48="","",IF(Summary!$J$7="Fixed Price","",IF(M48="",IF(I48="","",1),"")))</f>
        <v/>
      </c>
      <c r="AC48" s="198">
        <f t="shared" si="14"/>
        <v>0</v>
      </c>
    </row>
    <row r="49" spans="1:29" x14ac:dyDescent="0.2">
      <c r="A49" s="155" t="str">
        <f t="shared" si="15"/>
        <v>-</v>
      </c>
      <c r="B49" s="154" t="str">
        <f t="shared" si="20"/>
        <v/>
      </c>
      <c r="C49" s="153" t="str">
        <f t="shared" si="21"/>
        <v/>
      </c>
      <c r="D49" s="152" t="str">
        <f t="shared" si="16"/>
        <v>-</v>
      </c>
      <c r="E49" s="151" t="str">
        <f>+IF($B49="","",Summary!$P$4)</f>
        <v/>
      </c>
      <c r="F49" s="151" t="str">
        <f>+IF($B49="","",Summary!$P$5)</f>
        <v/>
      </c>
      <c r="G49" s="151" t="str">
        <f>+IF($B49="","",Summary!$P$6)</f>
        <v/>
      </c>
      <c r="H49" s="150" t="str">
        <f t="shared" si="17"/>
        <v/>
      </c>
      <c r="I49" s="148"/>
      <c r="J49" s="149"/>
      <c r="K49" s="148"/>
      <c r="L49" s="148"/>
      <c r="M49" s="148"/>
      <c r="N49" s="149" t="e">
        <f t="shared" si="3"/>
        <v>#REF!</v>
      </c>
      <c r="O49" s="149" t="e">
        <f>COUNTIFS(#REF!,"&gt;="&amp;DATE($C49,$B49,1),#REF!,"&lt;="&amp;EOMONTH(DATE($C49,$B49,1),0),#REF!,"Incident")+
COUNTIFS(#REF!,"&gt;="&amp;DATE($C49,$B49,1),#REF!,"&lt;="&amp;EOMONTH(DATE($C49,$B49,1),0),#REF!,"user_request")</f>
        <v>#REF!</v>
      </c>
      <c r="P49" s="147">
        <f t="shared" si="22"/>
        <v>0</v>
      </c>
      <c r="Q49" s="147">
        <f t="shared" si="23"/>
        <v>0</v>
      </c>
      <c r="R49" s="147">
        <f t="shared" si="24"/>
        <v>0</v>
      </c>
      <c r="S49" s="146" t="e">
        <f t="shared" si="25"/>
        <v>#REF!</v>
      </c>
      <c r="T49" s="146" t="e">
        <f t="shared" si="26"/>
        <v>#REF!</v>
      </c>
      <c r="U49" s="145">
        <f t="shared" si="18"/>
        <v>0</v>
      </c>
      <c r="V49" s="145" t="e">
        <f t="shared" si="19"/>
        <v>#REF!</v>
      </c>
      <c r="W49" s="142">
        <v>46</v>
      </c>
      <c r="X49" s="142" t="str">
        <f>+IF((VLOOKUP(A49,List!B:C,2,0)-VLOOKUP(Summary!$P$7,List!B:C,2,0))=0,1,"")</f>
        <v/>
      </c>
      <c r="Y49" s="198">
        <f>+IF((VLOOKUP(A49,List!B:C,2,0)-VLOOKUP(Summary!$P$7,List!B:C,2,0))&gt;=0,1,"")</f>
        <v>1</v>
      </c>
      <c r="Z49" s="198">
        <f>+IF((VLOOKUP(A49,List!B:C,2,0)-VLOOKUP(Summary!$P$7,List!B:C,2,0))&gt;0,1,"")</f>
        <v>1</v>
      </c>
      <c r="AA49" s="141">
        <f t="shared" si="6"/>
        <v>2</v>
      </c>
      <c r="AB49" s="199" t="str">
        <f>+IF(AA49="","",IF(Summary!$J$7="Fixed Price","",IF(M49="",IF(I49="","",1),"")))</f>
        <v/>
      </c>
      <c r="AC49" s="198">
        <f t="shared" si="14"/>
        <v>0</v>
      </c>
    </row>
    <row r="50" spans="1:29" x14ac:dyDescent="0.2">
      <c r="A50" s="155" t="str">
        <f t="shared" si="15"/>
        <v>-</v>
      </c>
      <c r="B50" s="154" t="str">
        <f t="shared" si="20"/>
        <v/>
      </c>
      <c r="C50" s="153" t="str">
        <f t="shared" si="21"/>
        <v/>
      </c>
      <c r="D50" s="152" t="str">
        <f t="shared" si="16"/>
        <v>-</v>
      </c>
      <c r="E50" s="159" t="str">
        <f>+IF($B50="","",Summary!$P$4)</f>
        <v/>
      </c>
      <c r="F50" s="159" t="str">
        <f>+IF($B50="","",Summary!$P$5)</f>
        <v/>
      </c>
      <c r="G50" s="159" t="str">
        <f>+IF($B50="","",Summary!$P$6)</f>
        <v/>
      </c>
      <c r="H50" s="158" t="str">
        <f t="shared" si="17"/>
        <v/>
      </c>
      <c r="I50" s="156"/>
      <c r="J50" s="157"/>
      <c r="K50" s="156"/>
      <c r="L50" s="156"/>
      <c r="M50" s="156"/>
      <c r="N50" s="157" t="e">
        <f t="shared" si="3"/>
        <v>#REF!</v>
      </c>
      <c r="O50" s="157" t="e">
        <f>COUNTIFS(#REF!,"&gt;="&amp;DATE($C50,$B50,1),#REF!,"&lt;="&amp;EOMONTH(DATE($C50,$B50,1),0),#REF!,"Incident")+
COUNTIFS(#REF!,"&gt;="&amp;DATE($C50,$B50,1),#REF!,"&lt;="&amp;EOMONTH(DATE($C50,$B50,1),0),#REF!,"user_request")</f>
        <v>#REF!</v>
      </c>
      <c r="P50" s="147">
        <f t="shared" si="22"/>
        <v>0</v>
      </c>
      <c r="Q50" s="147">
        <f t="shared" si="23"/>
        <v>0</v>
      </c>
      <c r="R50" s="147">
        <f t="shared" si="24"/>
        <v>0</v>
      </c>
      <c r="S50" s="146" t="e">
        <f t="shared" si="25"/>
        <v>#REF!</v>
      </c>
      <c r="T50" s="146" t="e">
        <f t="shared" si="26"/>
        <v>#REF!</v>
      </c>
      <c r="U50" s="145">
        <f t="shared" si="18"/>
        <v>0</v>
      </c>
      <c r="V50" s="145" t="e">
        <f t="shared" si="19"/>
        <v>#REF!</v>
      </c>
      <c r="W50" s="142">
        <v>47</v>
      </c>
      <c r="X50" s="142" t="str">
        <f>+IF((VLOOKUP(A50,List!B:C,2,0)-VLOOKUP(Summary!$P$7,List!B:C,2,0))=0,1,"")</f>
        <v/>
      </c>
      <c r="Y50" s="198">
        <f>+IF((VLOOKUP(A50,List!B:C,2,0)-VLOOKUP(Summary!$P$7,List!B:C,2,0))&gt;=0,1,"")</f>
        <v>1</v>
      </c>
      <c r="Z50" s="198">
        <f>+IF((VLOOKUP(A50,List!B:C,2,0)-VLOOKUP(Summary!$P$7,List!B:C,2,0))&gt;0,1,"")</f>
        <v>1</v>
      </c>
      <c r="AA50" s="141">
        <f t="shared" si="6"/>
        <v>2</v>
      </c>
      <c r="AB50" s="199" t="str">
        <f>+IF(AA50="","",IF(Summary!$J$7="Fixed Price","",IF(M50="",IF(I50="","",1),"")))</f>
        <v/>
      </c>
      <c r="AC50" s="198">
        <f t="shared" si="14"/>
        <v>0</v>
      </c>
    </row>
    <row r="51" spans="1:29" x14ac:dyDescent="0.2">
      <c r="A51" s="155" t="str">
        <f t="shared" si="15"/>
        <v>-</v>
      </c>
      <c r="B51" s="154" t="str">
        <f t="shared" si="20"/>
        <v/>
      </c>
      <c r="C51" s="153" t="str">
        <f t="shared" si="21"/>
        <v/>
      </c>
      <c r="D51" s="152" t="str">
        <f t="shared" si="16"/>
        <v>-</v>
      </c>
      <c r="E51" s="151" t="str">
        <f>+IF($B51="","",Summary!$P$4)</f>
        <v/>
      </c>
      <c r="F51" s="151" t="str">
        <f>+IF($B51="","",Summary!$P$5)</f>
        <v/>
      </c>
      <c r="G51" s="151" t="str">
        <f>+IF($B51="","",Summary!$P$6)</f>
        <v/>
      </c>
      <c r="H51" s="150" t="str">
        <f t="shared" si="17"/>
        <v/>
      </c>
      <c r="I51" s="148"/>
      <c r="J51" s="149"/>
      <c r="K51" s="148"/>
      <c r="L51" s="148"/>
      <c r="M51" s="148"/>
      <c r="N51" s="149" t="e">
        <f t="shared" si="3"/>
        <v>#REF!</v>
      </c>
      <c r="O51" s="149" t="e">
        <f>COUNTIFS(#REF!,"&gt;="&amp;DATE($C51,$B51,1),#REF!,"&lt;="&amp;EOMONTH(DATE($C51,$B51,1),0),#REF!,"Incident")+
COUNTIFS(#REF!,"&gt;="&amp;DATE($C51,$B51,1),#REF!,"&lt;="&amp;EOMONTH(DATE($C51,$B51,1),0),#REF!,"user_request")</f>
        <v>#REF!</v>
      </c>
      <c r="P51" s="147">
        <f t="shared" si="22"/>
        <v>0</v>
      </c>
      <c r="Q51" s="147">
        <f t="shared" si="23"/>
        <v>0</v>
      </c>
      <c r="R51" s="147">
        <f t="shared" si="24"/>
        <v>0</v>
      </c>
      <c r="S51" s="146" t="e">
        <f t="shared" si="25"/>
        <v>#REF!</v>
      </c>
      <c r="T51" s="146" t="e">
        <f t="shared" si="26"/>
        <v>#REF!</v>
      </c>
      <c r="U51" s="145">
        <f t="shared" si="18"/>
        <v>0</v>
      </c>
      <c r="V51" s="145" t="e">
        <f t="shared" si="19"/>
        <v>#REF!</v>
      </c>
      <c r="W51" s="142">
        <v>48</v>
      </c>
      <c r="X51" s="142" t="str">
        <f>+IF((VLOOKUP(A51,List!B:C,2,0)-VLOOKUP(Summary!$P$7,List!B:C,2,0))=0,1,"")</f>
        <v/>
      </c>
      <c r="Y51" s="198">
        <f>+IF((VLOOKUP(A51,List!B:C,2,0)-VLOOKUP(Summary!$P$7,List!B:C,2,0))&gt;=0,1,"")</f>
        <v>1</v>
      </c>
      <c r="Z51" s="198">
        <f>+IF((VLOOKUP(A51,List!B:C,2,0)-VLOOKUP(Summary!$P$7,List!B:C,2,0))&gt;0,1,"")</f>
        <v>1</v>
      </c>
      <c r="AA51" s="141">
        <f t="shared" si="6"/>
        <v>2</v>
      </c>
      <c r="AB51" s="199" t="str">
        <f>+IF(AA51="","",IF(Summary!$J$7="Fixed Price","",IF(M51="",IF(I51="","",1),"")))</f>
        <v/>
      </c>
      <c r="AC51" s="198">
        <f t="shared" si="14"/>
        <v>0</v>
      </c>
    </row>
    <row r="52" spans="1:29" x14ac:dyDescent="0.2">
      <c r="A52" s="155" t="str">
        <f t="shared" si="15"/>
        <v>-</v>
      </c>
      <c r="B52" s="154" t="str">
        <f t="shared" si="20"/>
        <v/>
      </c>
      <c r="C52" s="153" t="str">
        <f t="shared" si="21"/>
        <v/>
      </c>
      <c r="D52" s="152" t="str">
        <f t="shared" si="16"/>
        <v>-</v>
      </c>
      <c r="E52" s="159" t="str">
        <f>+IF($B52="","",Summary!$P$4)</f>
        <v/>
      </c>
      <c r="F52" s="159" t="str">
        <f>+IF($B52="","",Summary!$P$5)</f>
        <v/>
      </c>
      <c r="G52" s="159" t="str">
        <f>+IF($B52="","",Summary!$P$6)</f>
        <v/>
      </c>
      <c r="H52" s="158" t="str">
        <f t="shared" si="17"/>
        <v/>
      </c>
      <c r="I52" s="156"/>
      <c r="J52" s="157"/>
      <c r="K52" s="156"/>
      <c r="L52" s="156"/>
      <c r="M52" s="156"/>
      <c r="N52" s="157" t="e">
        <f t="shared" si="3"/>
        <v>#REF!</v>
      </c>
      <c r="O52" s="157" t="e">
        <f>COUNTIFS(#REF!,"&gt;="&amp;DATE($C52,$B52,1),#REF!,"&lt;="&amp;EOMONTH(DATE($C52,$B52,1),0),#REF!,"Incident")+
COUNTIFS(#REF!,"&gt;="&amp;DATE($C52,$B52,1),#REF!,"&lt;="&amp;EOMONTH(DATE($C52,$B52,1),0),#REF!,"user_request")</f>
        <v>#REF!</v>
      </c>
      <c r="P52" s="147">
        <f t="shared" si="22"/>
        <v>0</v>
      </c>
      <c r="Q52" s="147">
        <f t="shared" si="23"/>
        <v>0</v>
      </c>
      <c r="R52" s="147">
        <f t="shared" si="24"/>
        <v>0</v>
      </c>
      <c r="S52" s="146" t="e">
        <f t="shared" si="25"/>
        <v>#REF!</v>
      </c>
      <c r="T52" s="146" t="e">
        <f t="shared" si="26"/>
        <v>#REF!</v>
      </c>
      <c r="U52" s="145">
        <f t="shared" si="18"/>
        <v>0</v>
      </c>
      <c r="V52" s="145" t="e">
        <f t="shared" si="19"/>
        <v>#REF!</v>
      </c>
      <c r="W52" s="142">
        <v>45</v>
      </c>
      <c r="X52" s="142" t="str">
        <f>+IF((VLOOKUP(A52,List!B:C,2,0)-VLOOKUP(Summary!$P$7,List!B:C,2,0))=0,1,"")</f>
        <v/>
      </c>
      <c r="Y52" s="198">
        <f>+IF((VLOOKUP(A52,List!B:C,2,0)-VLOOKUP(Summary!$P$7,List!B:C,2,0))&gt;=0,1,"")</f>
        <v>1</v>
      </c>
      <c r="Z52" s="198">
        <f>+IF((VLOOKUP(A52,List!B:C,2,0)-VLOOKUP(Summary!$P$7,List!B:C,2,0))&gt;0,1,"")</f>
        <v>1</v>
      </c>
      <c r="AA52" s="141">
        <f t="shared" si="6"/>
        <v>2</v>
      </c>
      <c r="AB52" s="199" t="str">
        <f>+IF(AA52="","",IF(Summary!$J$7="Fixed Price","",IF(M52="",IF(I52="","",1),"")))</f>
        <v/>
      </c>
      <c r="AC52" s="198">
        <f t="shared" si="14"/>
        <v>0</v>
      </c>
    </row>
    <row r="53" spans="1:29" x14ac:dyDescent="0.2">
      <c r="A53" s="155" t="str">
        <f t="shared" si="15"/>
        <v>-</v>
      </c>
      <c r="B53" s="154" t="str">
        <f t="shared" si="20"/>
        <v/>
      </c>
      <c r="C53" s="153" t="str">
        <f t="shared" si="21"/>
        <v/>
      </c>
      <c r="D53" s="152" t="str">
        <f t="shared" si="16"/>
        <v>-</v>
      </c>
      <c r="E53" s="151" t="str">
        <f>+IF($B53="","",Summary!$P$4)</f>
        <v/>
      </c>
      <c r="F53" s="151" t="str">
        <f>+IF($B53="","",Summary!$P$5)</f>
        <v/>
      </c>
      <c r="G53" s="151" t="str">
        <f>+IF($B53="","",Summary!$P$6)</f>
        <v/>
      </c>
      <c r="H53" s="150" t="str">
        <f t="shared" si="17"/>
        <v/>
      </c>
      <c r="I53" s="148"/>
      <c r="J53" s="149"/>
      <c r="K53" s="148"/>
      <c r="L53" s="148"/>
      <c r="M53" s="148"/>
      <c r="N53" s="149" t="e">
        <f t="shared" si="3"/>
        <v>#REF!</v>
      </c>
      <c r="O53" s="149" t="e">
        <f>COUNTIFS(#REF!,"&gt;="&amp;DATE($C53,$B53,1),#REF!,"&lt;="&amp;EOMONTH(DATE($C53,$B53,1),0),#REF!,"Incident")+
COUNTIFS(#REF!,"&gt;="&amp;DATE($C53,$B53,1),#REF!,"&lt;="&amp;EOMONTH(DATE($C53,$B53,1),0),#REF!,"user_request")</f>
        <v>#REF!</v>
      </c>
      <c r="P53" s="147">
        <f t="shared" si="22"/>
        <v>0</v>
      </c>
      <c r="Q53" s="147">
        <f t="shared" si="23"/>
        <v>0</v>
      </c>
      <c r="R53" s="147">
        <f t="shared" si="24"/>
        <v>0</v>
      </c>
      <c r="S53" s="146" t="e">
        <f t="shared" si="25"/>
        <v>#REF!</v>
      </c>
      <c r="T53" s="146" t="e">
        <f t="shared" si="26"/>
        <v>#REF!</v>
      </c>
      <c r="U53" s="145">
        <f t="shared" si="18"/>
        <v>0</v>
      </c>
      <c r="V53" s="145" t="e">
        <f t="shared" si="19"/>
        <v>#REF!</v>
      </c>
      <c r="W53" s="142">
        <v>46</v>
      </c>
      <c r="X53" s="142" t="str">
        <f>+IF((VLOOKUP(A53,List!B:C,2,0)-VLOOKUP(Summary!$P$7,List!B:C,2,0))=0,1,"")</f>
        <v/>
      </c>
      <c r="Y53" s="198">
        <f>+IF((VLOOKUP(A53,List!B:C,2,0)-VLOOKUP(Summary!$P$7,List!B:C,2,0))&gt;=0,1,"")</f>
        <v>1</v>
      </c>
      <c r="Z53" s="198">
        <f>+IF((VLOOKUP(A53,List!B:C,2,0)-VLOOKUP(Summary!$P$7,List!B:C,2,0))&gt;0,1,"")</f>
        <v>1</v>
      </c>
      <c r="AA53" s="141">
        <f t="shared" si="6"/>
        <v>2</v>
      </c>
      <c r="AB53" s="199" t="str">
        <f>+IF(AA53="","",IF(Summary!$J$7="Fixed Price","",IF(M53="",IF(I53="","",1),"")))</f>
        <v/>
      </c>
      <c r="AC53" s="198">
        <f t="shared" si="14"/>
        <v>0</v>
      </c>
    </row>
    <row r="54" spans="1:29" x14ac:dyDescent="0.2">
      <c r="A54" s="155" t="str">
        <f t="shared" si="15"/>
        <v>-</v>
      </c>
      <c r="B54" s="154" t="str">
        <f t="shared" si="20"/>
        <v/>
      </c>
      <c r="C54" s="153" t="str">
        <f t="shared" si="21"/>
        <v/>
      </c>
      <c r="D54" s="152" t="str">
        <f t="shared" si="16"/>
        <v>-</v>
      </c>
      <c r="E54" s="159" t="str">
        <f>+IF($B54="","",Summary!$P$4)</f>
        <v/>
      </c>
      <c r="F54" s="159" t="str">
        <f>+IF($B54="","",Summary!$P$5)</f>
        <v/>
      </c>
      <c r="G54" s="159" t="str">
        <f>+IF($B54="","",Summary!$P$6)</f>
        <v/>
      </c>
      <c r="H54" s="158" t="str">
        <f t="shared" si="17"/>
        <v/>
      </c>
      <c r="I54" s="156"/>
      <c r="J54" s="157"/>
      <c r="K54" s="156"/>
      <c r="L54" s="156"/>
      <c r="M54" s="156"/>
      <c r="N54" s="157" t="e">
        <f t="shared" si="3"/>
        <v>#REF!</v>
      </c>
      <c r="O54" s="157" t="e">
        <f>COUNTIFS(#REF!,"&gt;="&amp;DATE($C54,$B54,1),#REF!,"&lt;="&amp;EOMONTH(DATE($C54,$B54,1),0),#REF!,"Incident")+
COUNTIFS(#REF!,"&gt;="&amp;DATE($C54,$B54,1),#REF!,"&lt;="&amp;EOMONTH(DATE($C54,$B54,1),0),#REF!,"user_request")</f>
        <v>#REF!</v>
      </c>
      <c r="P54" s="147">
        <f t="shared" si="22"/>
        <v>0</v>
      </c>
      <c r="Q54" s="147">
        <f t="shared" si="23"/>
        <v>0</v>
      </c>
      <c r="R54" s="147">
        <f t="shared" si="24"/>
        <v>0</v>
      </c>
      <c r="S54" s="146" t="e">
        <f t="shared" si="25"/>
        <v>#REF!</v>
      </c>
      <c r="T54" s="146" t="e">
        <f t="shared" si="26"/>
        <v>#REF!</v>
      </c>
      <c r="U54" s="145">
        <f t="shared" si="18"/>
        <v>0</v>
      </c>
      <c r="V54" s="145" t="e">
        <f t="shared" si="19"/>
        <v>#REF!</v>
      </c>
      <c r="W54" s="142">
        <v>47</v>
      </c>
      <c r="X54" s="142" t="str">
        <f>+IF((VLOOKUP(A54,List!B:C,2,0)-VLOOKUP(Summary!$P$7,List!B:C,2,0))=0,1,"")</f>
        <v/>
      </c>
      <c r="Y54" s="198">
        <f>+IF((VLOOKUP(A54,List!B:C,2,0)-VLOOKUP(Summary!$P$7,List!B:C,2,0))&gt;=0,1,"")</f>
        <v>1</v>
      </c>
      <c r="Z54" s="198">
        <f>+IF((VLOOKUP(A54,List!B:C,2,0)-VLOOKUP(Summary!$P$7,List!B:C,2,0))&gt;0,1,"")</f>
        <v>1</v>
      </c>
      <c r="AA54" s="141">
        <f t="shared" si="6"/>
        <v>2</v>
      </c>
      <c r="AB54" s="199" t="str">
        <f>+IF(AA54="","",IF(Summary!$J$7="Fixed Price","",IF(M54="",IF(I54="","",1),"")))</f>
        <v/>
      </c>
      <c r="AC54" s="198">
        <f t="shared" si="14"/>
        <v>0</v>
      </c>
    </row>
    <row r="55" spans="1:29" x14ac:dyDescent="0.2">
      <c r="A55" s="155" t="str">
        <f t="shared" si="15"/>
        <v>-</v>
      </c>
      <c r="B55" s="154" t="str">
        <f t="shared" si="20"/>
        <v/>
      </c>
      <c r="C55" s="153" t="str">
        <f t="shared" si="21"/>
        <v/>
      </c>
      <c r="D55" s="152" t="str">
        <f t="shared" si="16"/>
        <v>-</v>
      </c>
      <c r="E55" s="151" t="str">
        <f>+IF($B55="","",Summary!$P$4)</f>
        <v/>
      </c>
      <c r="F55" s="151" t="str">
        <f>+IF($B55="","",Summary!$P$5)</f>
        <v/>
      </c>
      <c r="G55" s="151" t="str">
        <f>+IF($B55="","",Summary!$P$6)</f>
        <v/>
      </c>
      <c r="H55" s="150" t="str">
        <f t="shared" si="17"/>
        <v/>
      </c>
      <c r="I55" s="148"/>
      <c r="J55" s="149"/>
      <c r="K55" s="148"/>
      <c r="L55" s="148"/>
      <c r="M55" s="148"/>
      <c r="N55" s="149" t="e">
        <f t="shared" si="3"/>
        <v>#REF!</v>
      </c>
      <c r="O55" s="149" t="e">
        <f>COUNTIFS(#REF!,"&gt;="&amp;DATE($C55,$B55,1),#REF!,"&lt;="&amp;EOMONTH(DATE($C55,$B55,1),0),#REF!,"Incident")+
COUNTIFS(#REF!,"&gt;="&amp;DATE($C55,$B55,1),#REF!,"&lt;="&amp;EOMONTH(DATE($C55,$B55,1),0),#REF!,"user_request")</f>
        <v>#REF!</v>
      </c>
      <c r="P55" s="147">
        <f t="shared" si="22"/>
        <v>0</v>
      </c>
      <c r="Q55" s="147">
        <f t="shared" si="23"/>
        <v>0</v>
      </c>
      <c r="R55" s="147">
        <f t="shared" si="24"/>
        <v>0</v>
      </c>
      <c r="S55" s="146" t="e">
        <f t="shared" si="25"/>
        <v>#REF!</v>
      </c>
      <c r="T55" s="146" t="e">
        <f t="shared" si="26"/>
        <v>#REF!</v>
      </c>
      <c r="U55" s="145">
        <f t="shared" si="18"/>
        <v>0</v>
      </c>
      <c r="V55" s="145" t="e">
        <f t="shared" si="19"/>
        <v>#REF!</v>
      </c>
      <c r="W55" s="142">
        <v>48</v>
      </c>
      <c r="X55" s="142" t="str">
        <f>+IF((VLOOKUP(A55,List!B:C,2,0)-VLOOKUP(Summary!$P$7,List!B:C,2,0))=0,1,"")</f>
        <v/>
      </c>
      <c r="Y55" s="198">
        <f>+IF((VLOOKUP(A55,List!B:C,2,0)-VLOOKUP(Summary!$P$7,List!B:C,2,0))&gt;=0,1,"")</f>
        <v>1</v>
      </c>
      <c r="Z55" s="198">
        <f>+IF((VLOOKUP(A55,List!B:C,2,0)-VLOOKUP(Summary!$P$7,List!B:C,2,0))&gt;0,1,"")</f>
        <v>1</v>
      </c>
      <c r="AA55" s="141">
        <f t="shared" si="6"/>
        <v>2</v>
      </c>
      <c r="AB55" s="199" t="str">
        <f>+IF(AA55="","",IF(Summary!$J$7="Fixed Price","",IF(M55="",IF(I55="","",1),"")))</f>
        <v/>
      </c>
      <c r="AC55" s="198">
        <f t="shared" si="14"/>
        <v>0</v>
      </c>
    </row>
    <row r="56" spans="1:29" x14ac:dyDescent="0.2">
      <c r="A56" s="155" t="str">
        <f t="shared" si="15"/>
        <v>-</v>
      </c>
      <c r="B56" s="154" t="str">
        <f t="shared" si="20"/>
        <v/>
      </c>
      <c r="C56" s="153" t="str">
        <f t="shared" si="21"/>
        <v/>
      </c>
      <c r="D56" s="152" t="str">
        <f t="shared" si="16"/>
        <v>-</v>
      </c>
      <c r="E56" s="159" t="str">
        <f>+IF($B56="","",Summary!$P$4)</f>
        <v/>
      </c>
      <c r="F56" s="159" t="str">
        <f>+IF($B56="","",Summary!$P$5)</f>
        <v/>
      </c>
      <c r="G56" s="159" t="str">
        <f>+IF($B56="","",Summary!$P$6)</f>
        <v/>
      </c>
      <c r="H56" s="158" t="str">
        <f t="shared" si="17"/>
        <v/>
      </c>
      <c r="I56" s="156"/>
      <c r="J56" s="157"/>
      <c r="K56" s="156"/>
      <c r="L56" s="156"/>
      <c r="M56" s="156"/>
      <c r="N56" s="157" t="e">
        <f t="shared" si="3"/>
        <v>#REF!</v>
      </c>
      <c r="O56" s="157" t="e">
        <f>COUNTIFS(#REF!,"&gt;="&amp;DATE($C56,$B56,1),#REF!,"&lt;="&amp;EOMONTH(DATE($C56,$B56,1),0),#REF!,"Incident")+
COUNTIFS(#REF!,"&gt;="&amp;DATE($C56,$B56,1),#REF!,"&lt;="&amp;EOMONTH(DATE($C56,$B56,1),0),#REF!,"user_request")</f>
        <v>#REF!</v>
      </c>
      <c r="P56" s="147">
        <f t="shared" si="22"/>
        <v>0</v>
      </c>
      <c r="Q56" s="147">
        <f t="shared" si="23"/>
        <v>0</v>
      </c>
      <c r="R56" s="147">
        <f t="shared" si="24"/>
        <v>0</v>
      </c>
      <c r="S56" s="146" t="e">
        <f t="shared" si="25"/>
        <v>#REF!</v>
      </c>
      <c r="T56" s="146" t="e">
        <f t="shared" si="26"/>
        <v>#REF!</v>
      </c>
      <c r="U56" s="145">
        <f t="shared" si="18"/>
        <v>0</v>
      </c>
      <c r="V56" s="145" t="e">
        <f t="shared" si="19"/>
        <v>#REF!</v>
      </c>
      <c r="W56" s="142">
        <v>45</v>
      </c>
      <c r="X56" s="142" t="str">
        <f>+IF((VLOOKUP(A56,List!B:C,2,0)-VLOOKUP(Summary!$P$7,List!B:C,2,0))=0,1,"")</f>
        <v/>
      </c>
      <c r="Y56" s="198">
        <f>+IF((VLOOKUP(A56,List!B:C,2,0)-VLOOKUP(Summary!$P$7,List!B:C,2,0))&gt;=0,1,"")</f>
        <v>1</v>
      </c>
      <c r="Z56" s="198">
        <f>+IF((VLOOKUP(A56,List!B:C,2,0)-VLOOKUP(Summary!$P$7,List!B:C,2,0))&gt;0,1,"")</f>
        <v>1</v>
      </c>
      <c r="AA56" s="141">
        <f t="shared" si="6"/>
        <v>2</v>
      </c>
      <c r="AB56" s="199" t="str">
        <f>+IF(AA56="","",IF(Summary!$J$7="Fixed Price","",IF(M56="",IF(I56="","",1),"")))</f>
        <v/>
      </c>
      <c r="AC56" s="198">
        <f t="shared" si="14"/>
        <v>0</v>
      </c>
    </row>
    <row r="57" spans="1:29" x14ac:dyDescent="0.2">
      <c r="A57" s="155" t="str">
        <f t="shared" si="15"/>
        <v>-</v>
      </c>
      <c r="B57" s="154" t="str">
        <f t="shared" si="20"/>
        <v/>
      </c>
      <c r="C57" s="153" t="str">
        <f t="shared" si="21"/>
        <v/>
      </c>
      <c r="D57" s="152" t="str">
        <f t="shared" si="16"/>
        <v>-</v>
      </c>
      <c r="E57" s="151" t="str">
        <f>+IF($B57="","",Summary!$P$4)</f>
        <v/>
      </c>
      <c r="F57" s="151" t="str">
        <f>+IF($B57="","",Summary!$P$5)</f>
        <v/>
      </c>
      <c r="G57" s="151" t="str">
        <f>+IF($B57="","",Summary!$P$6)</f>
        <v/>
      </c>
      <c r="H57" s="150" t="str">
        <f t="shared" si="17"/>
        <v/>
      </c>
      <c r="I57" s="148"/>
      <c r="J57" s="149"/>
      <c r="K57" s="148"/>
      <c r="L57" s="148"/>
      <c r="M57" s="148"/>
      <c r="N57" s="149" t="e">
        <f t="shared" si="3"/>
        <v>#REF!</v>
      </c>
      <c r="O57" s="149" t="e">
        <f>COUNTIFS(#REF!,"&gt;="&amp;DATE($C57,$B57,1),#REF!,"&lt;="&amp;EOMONTH(DATE($C57,$B57,1),0),#REF!,"Incident")+
COUNTIFS(#REF!,"&gt;="&amp;DATE($C57,$B57,1),#REF!,"&lt;="&amp;EOMONTH(DATE($C57,$B57,1),0),#REF!,"user_request")</f>
        <v>#REF!</v>
      </c>
      <c r="P57" s="147">
        <f t="shared" si="22"/>
        <v>0</v>
      </c>
      <c r="Q57" s="147">
        <f t="shared" si="23"/>
        <v>0</v>
      </c>
      <c r="R57" s="147">
        <f t="shared" si="24"/>
        <v>0</v>
      </c>
      <c r="S57" s="146" t="e">
        <f t="shared" si="25"/>
        <v>#REF!</v>
      </c>
      <c r="T57" s="146" t="e">
        <f t="shared" si="26"/>
        <v>#REF!</v>
      </c>
      <c r="U57" s="145">
        <f t="shared" si="18"/>
        <v>0</v>
      </c>
      <c r="V57" s="145" t="e">
        <f t="shared" si="19"/>
        <v>#REF!</v>
      </c>
      <c r="W57" s="142">
        <v>46</v>
      </c>
      <c r="X57" s="142" t="str">
        <f>+IF((VLOOKUP(A57,List!B:C,2,0)-VLOOKUP(Summary!$P$7,List!B:C,2,0))=0,1,"")</f>
        <v/>
      </c>
      <c r="Y57" s="198">
        <f>+IF((VLOOKUP(A57,List!B:C,2,0)-VLOOKUP(Summary!$P$7,List!B:C,2,0))&gt;=0,1,"")</f>
        <v>1</v>
      </c>
      <c r="Z57" s="198">
        <f>+IF((VLOOKUP(A57,List!B:C,2,0)-VLOOKUP(Summary!$P$7,List!B:C,2,0))&gt;0,1,"")</f>
        <v>1</v>
      </c>
      <c r="AA57" s="141">
        <f t="shared" si="6"/>
        <v>2</v>
      </c>
      <c r="AB57" s="199" t="str">
        <f>+IF(AA57="","",IF(Summary!$J$7="Fixed Price","",IF(M57="",IF(I57="","",1),"")))</f>
        <v/>
      </c>
      <c r="AC57" s="198">
        <f t="shared" si="14"/>
        <v>0</v>
      </c>
    </row>
    <row r="58" spans="1:29" x14ac:dyDescent="0.2">
      <c r="A58" s="155" t="str">
        <f t="shared" si="15"/>
        <v>-</v>
      </c>
      <c r="B58" s="154" t="str">
        <f t="shared" si="20"/>
        <v/>
      </c>
      <c r="C58" s="153" t="str">
        <f t="shared" si="21"/>
        <v/>
      </c>
      <c r="D58" s="152" t="str">
        <f t="shared" si="16"/>
        <v>-</v>
      </c>
      <c r="E58" s="159" t="str">
        <f>+IF($B58="","",Summary!$P$4)</f>
        <v/>
      </c>
      <c r="F58" s="159" t="str">
        <f>+IF($B58="","",Summary!$P$5)</f>
        <v/>
      </c>
      <c r="G58" s="159" t="str">
        <f>+IF($B58="","",Summary!$P$6)</f>
        <v/>
      </c>
      <c r="H58" s="158" t="str">
        <f t="shared" si="17"/>
        <v/>
      </c>
      <c r="I58" s="156"/>
      <c r="J58" s="157"/>
      <c r="K58" s="156"/>
      <c r="L58" s="156"/>
      <c r="M58" s="156"/>
      <c r="N58" s="157" t="e">
        <f t="shared" si="3"/>
        <v>#REF!</v>
      </c>
      <c r="O58" s="157" t="e">
        <f>COUNTIFS(#REF!,"&gt;="&amp;DATE($C58,$B58,1),#REF!,"&lt;="&amp;EOMONTH(DATE($C58,$B58,1),0),#REF!,"Incident")+
COUNTIFS(#REF!,"&gt;="&amp;DATE($C58,$B58,1),#REF!,"&lt;="&amp;EOMONTH(DATE($C58,$B58,1),0),#REF!,"user_request")</f>
        <v>#REF!</v>
      </c>
      <c r="P58" s="147">
        <f t="shared" si="22"/>
        <v>0</v>
      </c>
      <c r="Q58" s="147">
        <f t="shared" si="23"/>
        <v>0</v>
      </c>
      <c r="R58" s="147">
        <f t="shared" si="24"/>
        <v>0</v>
      </c>
      <c r="S58" s="146" t="e">
        <f t="shared" si="25"/>
        <v>#REF!</v>
      </c>
      <c r="T58" s="146" t="e">
        <f t="shared" si="26"/>
        <v>#REF!</v>
      </c>
      <c r="U58" s="145">
        <f t="shared" si="18"/>
        <v>0</v>
      </c>
      <c r="V58" s="145" t="e">
        <f t="shared" si="19"/>
        <v>#REF!</v>
      </c>
      <c r="W58" s="142">
        <v>47</v>
      </c>
      <c r="X58" s="142" t="str">
        <f>+IF((VLOOKUP(A58,List!B:C,2,0)-VLOOKUP(Summary!$P$7,List!B:C,2,0))=0,1,"")</f>
        <v/>
      </c>
      <c r="Y58" s="198">
        <f>+IF((VLOOKUP(A58,List!B:C,2,0)-VLOOKUP(Summary!$P$7,List!B:C,2,0))&gt;=0,1,"")</f>
        <v>1</v>
      </c>
      <c r="Z58" s="198">
        <f>+IF((VLOOKUP(A58,List!B:C,2,0)-VLOOKUP(Summary!$P$7,List!B:C,2,0))&gt;0,1,"")</f>
        <v>1</v>
      </c>
      <c r="AA58" s="141">
        <f t="shared" si="6"/>
        <v>2</v>
      </c>
      <c r="AB58" s="199" t="str">
        <f>+IF(AA58="","",IF(Summary!$J$7="Fixed Price","",IF(M58="",IF(I58="","",1),"")))</f>
        <v/>
      </c>
      <c r="AC58" s="198">
        <f t="shared" si="14"/>
        <v>0</v>
      </c>
    </row>
    <row r="59" spans="1:29" x14ac:dyDescent="0.2">
      <c r="A59" s="155" t="str">
        <f t="shared" si="15"/>
        <v>-</v>
      </c>
      <c r="B59" s="154" t="str">
        <f t="shared" si="20"/>
        <v/>
      </c>
      <c r="C59" s="153" t="str">
        <f t="shared" si="21"/>
        <v/>
      </c>
      <c r="D59" s="152" t="str">
        <f t="shared" si="16"/>
        <v>-</v>
      </c>
      <c r="E59" s="151" t="str">
        <f>+IF($B59="","",Summary!$P$4)</f>
        <v/>
      </c>
      <c r="F59" s="151" t="str">
        <f>+IF($B59="","",Summary!$P$5)</f>
        <v/>
      </c>
      <c r="G59" s="151" t="str">
        <f>+IF($B59="","",Summary!$P$6)</f>
        <v/>
      </c>
      <c r="H59" s="150" t="str">
        <f t="shared" si="17"/>
        <v/>
      </c>
      <c r="I59" s="148"/>
      <c r="J59" s="149"/>
      <c r="K59" s="148"/>
      <c r="L59" s="148"/>
      <c r="M59" s="148"/>
      <c r="N59" s="149" t="e">
        <f t="shared" si="3"/>
        <v>#REF!</v>
      </c>
      <c r="O59" s="149" t="e">
        <f>COUNTIFS(#REF!,"&gt;="&amp;DATE($C59,$B59,1),#REF!,"&lt;="&amp;EOMONTH(DATE($C59,$B59,1),0),#REF!,"Incident")+
COUNTIFS(#REF!,"&gt;="&amp;DATE($C59,$B59,1),#REF!,"&lt;="&amp;EOMONTH(DATE($C59,$B59,1),0),#REF!,"user_request")</f>
        <v>#REF!</v>
      </c>
      <c r="P59" s="147">
        <f t="shared" si="22"/>
        <v>0</v>
      </c>
      <c r="Q59" s="147">
        <f t="shared" si="23"/>
        <v>0</v>
      </c>
      <c r="R59" s="147">
        <f t="shared" si="24"/>
        <v>0</v>
      </c>
      <c r="S59" s="146" t="e">
        <f t="shared" si="25"/>
        <v>#REF!</v>
      </c>
      <c r="T59" s="146" t="e">
        <f t="shared" si="26"/>
        <v>#REF!</v>
      </c>
      <c r="U59" s="145">
        <f t="shared" si="18"/>
        <v>0</v>
      </c>
      <c r="V59" s="145" t="e">
        <f t="shared" si="19"/>
        <v>#REF!</v>
      </c>
      <c r="W59" s="142">
        <v>48</v>
      </c>
      <c r="X59" s="142" t="str">
        <f>+IF((VLOOKUP(A59,List!B:C,2,0)-VLOOKUP(Summary!$P$7,List!B:C,2,0))=0,1,"")</f>
        <v/>
      </c>
      <c r="Y59" s="198">
        <f>+IF((VLOOKUP(A59,List!B:C,2,0)-VLOOKUP(Summary!$P$7,List!B:C,2,0))&gt;=0,1,"")</f>
        <v>1</v>
      </c>
      <c r="Z59" s="198">
        <f>+IF((VLOOKUP(A59,List!B:C,2,0)-VLOOKUP(Summary!$P$7,List!B:C,2,0))&gt;0,1,"")</f>
        <v>1</v>
      </c>
      <c r="AA59" s="141">
        <f t="shared" si="6"/>
        <v>2</v>
      </c>
      <c r="AB59" s="199" t="str">
        <f>+IF(AA59="","",IF(Summary!$J$7="Fixed Price","",IF(M59="",IF(I59="","",1),"")))</f>
        <v/>
      </c>
      <c r="AC59" s="198">
        <f t="shared" si="14"/>
        <v>0</v>
      </c>
    </row>
    <row r="60" spans="1:29" x14ac:dyDescent="0.2">
      <c r="A60" s="155" t="str">
        <f t="shared" si="15"/>
        <v>-</v>
      </c>
      <c r="B60" s="154" t="str">
        <f t="shared" si="20"/>
        <v/>
      </c>
      <c r="C60" s="153" t="str">
        <f t="shared" si="21"/>
        <v/>
      </c>
      <c r="D60" s="152" t="str">
        <f t="shared" si="16"/>
        <v>-</v>
      </c>
      <c r="E60" s="159" t="str">
        <f>+IF($B60="","",Summary!$P$4)</f>
        <v/>
      </c>
      <c r="F60" s="159" t="str">
        <f>+IF($B60="","",Summary!$P$5)</f>
        <v/>
      </c>
      <c r="G60" s="159" t="str">
        <f>+IF($B60="","",Summary!$P$6)</f>
        <v/>
      </c>
      <c r="H60" s="158" t="str">
        <f t="shared" si="17"/>
        <v/>
      </c>
      <c r="I60" s="156"/>
      <c r="J60" s="157"/>
      <c r="K60" s="156"/>
      <c r="L60" s="156"/>
      <c r="M60" s="156"/>
      <c r="N60" s="157" t="e">
        <f t="shared" si="3"/>
        <v>#REF!</v>
      </c>
      <c r="O60" s="157" t="e">
        <f>COUNTIFS(#REF!,"&gt;="&amp;DATE($C60,$B60,1),#REF!,"&lt;="&amp;EOMONTH(DATE($C60,$B60,1),0),#REF!,"Incident")+
COUNTIFS(#REF!,"&gt;="&amp;DATE($C60,$B60,1),#REF!,"&lt;="&amp;EOMONTH(DATE($C60,$B60,1),0),#REF!,"user_request")</f>
        <v>#REF!</v>
      </c>
      <c r="P60" s="147">
        <f t="shared" si="22"/>
        <v>0</v>
      </c>
      <c r="Q60" s="147">
        <f t="shared" si="23"/>
        <v>0</v>
      </c>
      <c r="R60" s="147">
        <f t="shared" si="24"/>
        <v>0</v>
      </c>
      <c r="S60" s="146" t="e">
        <f t="shared" si="25"/>
        <v>#REF!</v>
      </c>
      <c r="T60" s="146" t="e">
        <f t="shared" si="26"/>
        <v>#REF!</v>
      </c>
      <c r="U60" s="145">
        <f t="shared" si="18"/>
        <v>0</v>
      </c>
      <c r="V60" s="145" t="e">
        <f t="shared" si="19"/>
        <v>#REF!</v>
      </c>
      <c r="W60" s="142">
        <v>45</v>
      </c>
      <c r="X60" s="142" t="str">
        <f>+IF((VLOOKUP(A60,List!B:C,2,0)-VLOOKUP(Summary!$P$7,List!B:C,2,0))=0,1,"")</f>
        <v/>
      </c>
      <c r="Y60" s="198">
        <f>+IF((VLOOKUP(A60,List!B:C,2,0)-VLOOKUP(Summary!$P$7,List!B:C,2,0))&gt;=0,1,"")</f>
        <v>1</v>
      </c>
      <c r="Z60" s="198">
        <f>+IF((VLOOKUP(A60,List!B:C,2,0)-VLOOKUP(Summary!$P$7,List!B:C,2,0))&gt;0,1,"")</f>
        <v>1</v>
      </c>
      <c r="AA60" s="141">
        <f t="shared" si="6"/>
        <v>2</v>
      </c>
      <c r="AB60" s="199" t="str">
        <f>+IF(AA60="","",IF(Summary!$J$7="Fixed Price","",IF(M60="",IF(I60="","",1),"")))</f>
        <v/>
      </c>
      <c r="AC60" s="198">
        <f t="shared" si="14"/>
        <v>0</v>
      </c>
    </row>
    <row r="61" spans="1:29" x14ac:dyDescent="0.2">
      <c r="A61" s="155" t="str">
        <f t="shared" si="15"/>
        <v>-</v>
      </c>
      <c r="B61" s="154" t="str">
        <f t="shared" si="20"/>
        <v/>
      </c>
      <c r="C61" s="153" t="str">
        <f t="shared" si="21"/>
        <v/>
      </c>
      <c r="D61" s="152" t="str">
        <f t="shared" si="16"/>
        <v>-</v>
      </c>
      <c r="E61" s="151" t="str">
        <f>+IF($B61="","",Summary!$P$4)</f>
        <v/>
      </c>
      <c r="F61" s="151" t="str">
        <f>+IF($B61="","",Summary!$P$5)</f>
        <v/>
      </c>
      <c r="G61" s="151" t="str">
        <f>+IF($B61="","",Summary!$P$6)</f>
        <v/>
      </c>
      <c r="H61" s="150" t="str">
        <f t="shared" si="17"/>
        <v/>
      </c>
      <c r="I61" s="148"/>
      <c r="J61" s="149"/>
      <c r="K61" s="148"/>
      <c r="L61" s="148"/>
      <c r="M61" s="148"/>
      <c r="N61" s="149" t="e">
        <f t="shared" si="3"/>
        <v>#REF!</v>
      </c>
      <c r="O61" s="149" t="e">
        <f>COUNTIFS(#REF!,"&gt;="&amp;DATE($C61,$B61,1),#REF!,"&lt;="&amp;EOMONTH(DATE($C61,$B61,1),0),#REF!,"Incident")+
COUNTIFS(#REF!,"&gt;="&amp;DATE($C61,$B61,1),#REF!,"&lt;="&amp;EOMONTH(DATE($C61,$B61,1),0),#REF!,"user_request")</f>
        <v>#REF!</v>
      </c>
      <c r="P61" s="147">
        <f t="shared" si="22"/>
        <v>0</v>
      </c>
      <c r="Q61" s="147">
        <f t="shared" si="23"/>
        <v>0</v>
      </c>
      <c r="R61" s="147">
        <f t="shared" si="24"/>
        <v>0</v>
      </c>
      <c r="S61" s="146" t="e">
        <f t="shared" si="25"/>
        <v>#REF!</v>
      </c>
      <c r="T61" s="146" t="e">
        <f t="shared" si="26"/>
        <v>#REF!</v>
      </c>
      <c r="U61" s="145">
        <f t="shared" si="18"/>
        <v>0</v>
      </c>
      <c r="V61" s="145" t="e">
        <f t="shared" si="19"/>
        <v>#REF!</v>
      </c>
      <c r="W61" s="142">
        <v>46</v>
      </c>
      <c r="X61" s="142" t="str">
        <f>+IF((VLOOKUP(A61,List!B:C,2,0)-VLOOKUP(Summary!$P$7,List!B:C,2,0))=0,1,"")</f>
        <v/>
      </c>
      <c r="Y61" s="198">
        <f>+IF((VLOOKUP(A61,List!B:C,2,0)-VLOOKUP(Summary!$P$7,List!B:C,2,0))&gt;=0,1,"")</f>
        <v>1</v>
      </c>
      <c r="Z61" s="198">
        <f>+IF((VLOOKUP(A61,List!B:C,2,0)-VLOOKUP(Summary!$P$7,List!B:C,2,0))&gt;0,1,"")</f>
        <v>1</v>
      </c>
      <c r="AA61" s="141">
        <f t="shared" si="6"/>
        <v>2</v>
      </c>
      <c r="AB61" s="199" t="str">
        <f>+IF(AA61="","",IF(Summary!$J$7="Fixed Price","",IF(M61="",IF(I61="","",1),"")))</f>
        <v/>
      </c>
      <c r="AC61" s="198">
        <f t="shared" si="14"/>
        <v>0</v>
      </c>
    </row>
    <row r="62" spans="1:29" x14ac:dyDescent="0.2">
      <c r="A62" s="155" t="str">
        <f t="shared" si="15"/>
        <v>-</v>
      </c>
      <c r="B62" s="154" t="str">
        <f t="shared" si="20"/>
        <v/>
      </c>
      <c r="C62" s="153" t="str">
        <f t="shared" si="21"/>
        <v/>
      </c>
      <c r="D62" s="152" t="str">
        <f t="shared" si="16"/>
        <v>-</v>
      </c>
      <c r="E62" s="159" t="str">
        <f>+IF($B62="","",Summary!$P$4)</f>
        <v/>
      </c>
      <c r="F62" s="159" t="str">
        <f>+IF($B62="","",Summary!$P$5)</f>
        <v/>
      </c>
      <c r="G62" s="159" t="str">
        <f>+IF($B62="","",Summary!$P$6)</f>
        <v/>
      </c>
      <c r="H62" s="158" t="str">
        <f t="shared" si="17"/>
        <v/>
      </c>
      <c r="I62" s="156"/>
      <c r="J62" s="157"/>
      <c r="K62" s="156"/>
      <c r="L62" s="156"/>
      <c r="M62" s="156"/>
      <c r="N62" s="157" t="e">
        <f t="shared" si="3"/>
        <v>#REF!</v>
      </c>
      <c r="O62" s="157" t="e">
        <f>COUNTIFS(#REF!,"&gt;="&amp;DATE($C62,$B62,1),#REF!,"&lt;="&amp;EOMONTH(DATE($C62,$B62,1),0),#REF!,"Incident")+
COUNTIFS(#REF!,"&gt;="&amp;DATE($C62,$B62,1),#REF!,"&lt;="&amp;EOMONTH(DATE($C62,$B62,1),0),#REF!,"user_request")</f>
        <v>#REF!</v>
      </c>
      <c r="P62" s="147">
        <f t="shared" si="22"/>
        <v>0</v>
      </c>
      <c r="Q62" s="147">
        <f t="shared" si="23"/>
        <v>0</v>
      </c>
      <c r="R62" s="147">
        <f t="shared" si="24"/>
        <v>0</v>
      </c>
      <c r="S62" s="146" t="e">
        <f t="shared" si="25"/>
        <v>#REF!</v>
      </c>
      <c r="T62" s="146" t="e">
        <f t="shared" si="26"/>
        <v>#REF!</v>
      </c>
      <c r="U62" s="145">
        <f t="shared" si="18"/>
        <v>0</v>
      </c>
      <c r="V62" s="145" t="e">
        <f t="shared" si="19"/>
        <v>#REF!</v>
      </c>
      <c r="W62" s="142">
        <v>47</v>
      </c>
      <c r="X62" s="142" t="str">
        <f>+IF((VLOOKUP(A62,List!B:C,2,0)-VLOOKUP(Summary!$P$7,List!B:C,2,0))=0,1,"")</f>
        <v/>
      </c>
      <c r="Y62" s="198">
        <f>+IF((VLOOKUP(A62,List!B:C,2,0)-VLOOKUP(Summary!$P$7,List!B:C,2,0))&gt;=0,1,"")</f>
        <v>1</v>
      </c>
      <c r="Z62" s="198">
        <f>+IF((VLOOKUP(A62,List!B:C,2,0)-VLOOKUP(Summary!$P$7,List!B:C,2,0))&gt;0,1,"")</f>
        <v>1</v>
      </c>
      <c r="AA62" s="141">
        <f t="shared" si="6"/>
        <v>2</v>
      </c>
      <c r="AB62" s="199" t="str">
        <f>+IF(AA62="","",IF(Summary!$J$7="Fixed Price","",IF(M62="",IF(I62="","",1),"")))</f>
        <v/>
      </c>
      <c r="AC62" s="198">
        <f t="shared" si="14"/>
        <v>0</v>
      </c>
    </row>
    <row r="63" spans="1:29" x14ac:dyDescent="0.2">
      <c r="A63" s="155" t="str">
        <f t="shared" si="15"/>
        <v>-</v>
      </c>
      <c r="B63" s="154" t="str">
        <f t="shared" si="20"/>
        <v/>
      </c>
      <c r="C63" s="153" t="str">
        <f t="shared" si="21"/>
        <v/>
      </c>
      <c r="D63" s="152" t="str">
        <f t="shared" si="16"/>
        <v>-</v>
      </c>
      <c r="E63" s="151" t="str">
        <f>+IF($B63="","",Summary!$P$4)</f>
        <v/>
      </c>
      <c r="F63" s="151" t="str">
        <f>+IF($B63="","",Summary!$P$5)</f>
        <v/>
      </c>
      <c r="G63" s="151" t="str">
        <f>+IF($B63="","",Summary!$P$6)</f>
        <v/>
      </c>
      <c r="H63" s="150" t="str">
        <f t="shared" si="17"/>
        <v/>
      </c>
      <c r="I63" s="148"/>
      <c r="J63" s="149"/>
      <c r="K63" s="148"/>
      <c r="L63" s="148"/>
      <c r="M63" s="148"/>
      <c r="N63" s="149" t="e">
        <f t="shared" si="3"/>
        <v>#REF!</v>
      </c>
      <c r="O63" s="149" t="e">
        <f>COUNTIFS(#REF!,"&gt;="&amp;DATE($C63,$B63,1),#REF!,"&lt;="&amp;EOMONTH(DATE($C63,$B63,1),0),#REF!,"Incident")+
COUNTIFS(#REF!,"&gt;="&amp;DATE($C63,$B63,1),#REF!,"&lt;="&amp;EOMONTH(DATE($C63,$B63,1),0),#REF!,"user_request")</f>
        <v>#REF!</v>
      </c>
      <c r="P63" s="147">
        <f t="shared" si="22"/>
        <v>0</v>
      </c>
      <c r="Q63" s="147">
        <f t="shared" si="23"/>
        <v>0</v>
      </c>
      <c r="R63" s="147">
        <f t="shared" si="24"/>
        <v>0</v>
      </c>
      <c r="S63" s="146" t="e">
        <f t="shared" si="25"/>
        <v>#REF!</v>
      </c>
      <c r="T63" s="146" t="e">
        <f t="shared" si="26"/>
        <v>#REF!</v>
      </c>
      <c r="U63" s="145">
        <f t="shared" si="18"/>
        <v>0</v>
      </c>
      <c r="V63" s="145" t="e">
        <f t="shared" si="19"/>
        <v>#REF!</v>
      </c>
      <c r="W63" s="142">
        <v>48</v>
      </c>
      <c r="X63" s="142" t="str">
        <f>+IF((VLOOKUP(A63,List!B:C,2,0)-VLOOKUP(Summary!$P$7,List!B:C,2,0))=0,1,"")</f>
        <v/>
      </c>
      <c r="Y63" s="198">
        <f>+IF((VLOOKUP(A63,List!B:C,2,0)-VLOOKUP(Summary!$P$7,List!B:C,2,0))&gt;=0,1,"")</f>
        <v>1</v>
      </c>
      <c r="Z63" s="198">
        <f>+IF((VLOOKUP(A63,List!B:C,2,0)-VLOOKUP(Summary!$P$7,List!B:C,2,0))&gt;0,1,"")</f>
        <v>1</v>
      </c>
      <c r="AA63" s="141">
        <f t="shared" si="6"/>
        <v>2</v>
      </c>
      <c r="AB63" s="199" t="str">
        <f>+IF(AA63="","",IF(Summary!$J$7="Fixed Price","",IF(M63="",IF(I63="","",1),"")))</f>
        <v/>
      </c>
      <c r="AC63" s="198">
        <f t="shared" si="14"/>
        <v>0</v>
      </c>
    </row>
  </sheetData>
  <sheetProtection formatColumns="0" formatRows="0" sort="0" autoFilter="0"/>
  <conditionalFormatting sqref="H4:H63">
    <cfRule type="containsText" dxfId="25" priority="4" operator="containsText" text="Green">
      <formula>NOT(ISERROR(SEARCH("Green",H4)))</formula>
    </cfRule>
    <cfRule type="containsText" dxfId="24" priority="5" operator="containsText" text="Amber">
      <formula>NOT(ISERROR(SEARCH("Amber",H4)))</formula>
    </cfRule>
    <cfRule type="containsText" dxfId="23" priority="6" operator="containsText" text="Red">
      <formula>NOT(ISERROR(SEARCH("Red",H4)))</formula>
    </cfRule>
  </conditionalFormatting>
  <conditionalFormatting sqref="I2:O2">
    <cfRule type="cellIs" dxfId="22" priority="1" operator="equal">
      <formula>"Select Report Month"</formula>
    </cfRule>
  </conditionalFormatting>
  <dataValidations count="1">
    <dataValidation type="list" allowBlank="1" showInputMessage="1" showErrorMessage="1" sqref="H4:H63" xr:uid="{00000000-0002-0000-1600-000000000000}">
      <formula1>"Red,Amber,Green"</formula1>
    </dataValidation>
  </dataValidations>
  <pageMargins left="0.7" right="0.7" top="0.75" bottom="0.75" header="0.3" footer="0.3"/>
  <pageSetup orientation="portrait"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AE63"/>
  <sheetViews>
    <sheetView showGridLines="0" topLeftCell="F1" zoomScale="70" zoomScaleNormal="70" workbookViewId="0">
      <selection activeCell="L18" sqref="L18"/>
    </sheetView>
  </sheetViews>
  <sheetFormatPr defaultColWidth="9.28515625" defaultRowHeight="12.75" x14ac:dyDescent="0.2"/>
  <cols>
    <col min="1" max="1" width="10.42578125" style="139" customWidth="1"/>
    <col min="2" max="3" width="7.7109375" style="139" customWidth="1"/>
    <col min="4" max="4" width="11.28515625" style="139" hidden="1" customWidth="1"/>
    <col min="5" max="7" width="14.28515625" style="139" customWidth="1"/>
    <col min="8" max="8" width="12.28515625" style="139" customWidth="1"/>
    <col min="9" max="13" width="11.5703125" style="143" customWidth="1"/>
    <col min="14" max="18" width="13.5703125" style="139" customWidth="1"/>
    <col min="19" max="19" width="9.42578125" style="142" customWidth="1"/>
    <col min="20" max="20" width="9.42578125" style="142" bestFit="1" customWidth="1"/>
    <col min="21" max="21" width="11.7109375" style="142" bestFit="1" customWidth="1"/>
    <col min="22" max="22" width="9.7109375" style="141" bestFit="1" customWidth="1"/>
    <col min="23" max="23" width="9.42578125" style="142" bestFit="1" customWidth="1"/>
    <col min="24" max="24" width="9.42578125" style="142" customWidth="1"/>
    <col min="25" max="31" width="9.28515625" style="141"/>
    <col min="32" max="16384" width="9.28515625" style="139"/>
  </cols>
  <sheetData>
    <row r="1" spans="1:30" ht="60" customHeight="1" x14ac:dyDescent="0.2">
      <c r="A1" s="144"/>
      <c r="B1" s="143"/>
      <c r="C1" s="175" t="s">
        <v>119</v>
      </c>
      <c r="D1" s="175"/>
      <c r="E1" s="175"/>
      <c r="F1" s="175"/>
      <c r="G1" s="175"/>
      <c r="H1" s="175"/>
      <c r="I1" s="176"/>
      <c r="J1" s="176"/>
      <c r="K1" s="176"/>
      <c r="L1" s="176"/>
      <c r="M1" s="176"/>
      <c r="N1" s="176"/>
      <c r="O1" s="176"/>
      <c r="P1" s="175"/>
      <c r="Q1" s="175"/>
      <c r="R1" s="175"/>
      <c r="S1" s="175"/>
      <c r="T1" s="175"/>
      <c r="U1" s="175"/>
      <c r="V1" s="175"/>
      <c r="W1" s="196" t="s">
        <v>135</v>
      </c>
      <c r="X1" s="196" t="s">
        <v>142</v>
      </c>
      <c r="Y1" s="196" t="s">
        <v>137</v>
      </c>
      <c r="Z1" s="196" t="s">
        <v>138</v>
      </c>
      <c r="AA1" s="196" t="s">
        <v>136</v>
      </c>
      <c r="AB1" s="196" t="s">
        <v>139</v>
      </c>
      <c r="AC1" s="196" t="s">
        <v>404</v>
      </c>
      <c r="AD1" s="196" t="s">
        <v>405</v>
      </c>
    </row>
    <row r="2" spans="1:30" ht="32.25" customHeight="1" x14ac:dyDescent="0.2">
      <c r="A2" s="144"/>
      <c r="B2" s="174"/>
      <c r="C2" s="173"/>
      <c r="D2" s="173"/>
      <c r="E2" s="173"/>
      <c r="F2" s="173"/>
      <c r="G2" s="173"/>
      <c r="H2" s="173"/>
      <c r="I2" s="177"/>
      <c r="J2" s="177"/>
      <c r="K2" s="177"/>
      <c r="L2" s="177"/>
      <c r="M2" s="177"/>
      <c r="N2" s="177"/>
      <c r="O2" s="177"/>
      <c r="P2" s="173"/>
      <c r="Q2" s="173"/>
      <c r="R2" s="173"/>
      <c r="S2" s="173"/>
      <c r="T2" s="173"/>
      <c r="U2" s="173"/>
      <c r="V2" s="173"/>
      <c r="W2" s="141">
        <f>(YEAR(Summary!P6)-YEAR(Summary!P4))*12+MONTH(Summary!P6)-MONTH(Summary!P4)+1</f>
        <v>25</v>
      </c>
      <c r="X2" s="141"/>
    </row>
    <row r="3" spans="1:30" s="162" customFormat="1" ht="37.5" customHeight="1" x14ac:dyDescent="0.2">
      <c r="A3" s="172" t="s">
        <v>87</v>
      </c>
      <c r="B3" s="169" t="s">
        <v>25</v>
      </c>
      <c r="C3" s="164" t="s">
        <v>26</v>
      </c>
      <c r="D3" s="164" t="s">
        <v>27</v>
      </c>
      <c r="E3" s="163" t="s">
        <v>101</v>
      </c>
      <c r="F3" s="163" t="s">
        <v>102</v>
      </c>
      <c r="G3" s="163" t="s">
        <v>103</v>
      </c>
      <c r="H3" s="164" t="s">
        <v>28</v>
      </c>
      <c r="I3" s="171" t="s">
        <v>29</v>
      </c>
      <c r="J3" s="171" t="s">
        <v>30</v>
      </c>
      <c r="K3" s="169" t="s">
        <v>31</v>
      </c>
      <c r="L3" s="170" t="s">
        <v>104</v>
      </c>
      <c r="M3" s="169" t="s">
        <v>32</v>
      </c>
      <c r="N3" s="168" t="s">
        <v>374</v>
      </c>
      <c r="O3" s="167" t="s">
        <v>373</v>
      </c>
      <c r="P3" s="163" t="s">
        <v>372</v>
      </c>
      <c r="Q3" s="166" t="s">
        <v>371</v>
      </c>
      <c r="R3" s="163" t="s">
        <v>370</v>
      </c>
      <c r="S3" s="165" t="s">
        <v>369</v>
      </c>
      <c r="T3" s="165" t="s">
        <v>368</v>
      </c>
      <c r="U3" s="164" t="s">
        <v>33</v>
      </c>
      <c r="V3" s="163" t="s">
        <v>367</v>
      </c>
      <c r="W3" s="197" t="s">
        <v>120</v>
      </c>
      <c r="X3" s="197"/>
      <c r="Y3" s="197"/>
      <c r="Z3" s="197"/>
      <c r="AA3" s="197"/>
      <c r="AB3" s="194"/>
      <c r="AC3" s="197"/>
      <c r="AD3" s="197"/>
    </row>
    <row r="4" spans="1:30" x14ac:dyDescent="0.2">
      <c r="A4" s="155" t="str">
        <f t="shared" ref="A4:A35" si="0">CONCATENATE(C4,"-",B4)</f>
        <v>2025-9</v>
      </c>
      <c r="B4" s="154">
        <f>MONTH(Summary!P4)</f>
        <v>9</v>
      </c>
      <c r="C4" s="153">
        <f>YEAR(Summary!P4)</f>
        <v>2025</v>
      </c>
      <c r="D4" s="152" t="str">
        <f t="shared" ref="D4:D35" si="1">CONCATENATE(C4,"-",B4)</f>
        <v>2025-9</v>
      </c>
      <c r="E4" s="159">
        <f>+IF($B4="","",Summary!$P$4)</f>
        <v>45929</v>
      </c>
      <c r="F4" s="159">
        <f>+IF($B4="","",Summary!$P$5)</f>
        <v>46657</v>
      </c>
      <c r="G4" s="159">
        <f>+IF($B4="","",Summary!$P$6)</f>
        <v>46657</v>
      </c>
      <c r="H4" s="158" t="str">
        <f t="shared" ref="H4:H35" si="2">+IF($B4="","",IF(U4&lt;-15%,"Red",IF(U4&lt;0%,"Amber","Green")))</f>
        <v>Green</v>
      </c>
      <c r="I4" s="156"/>
      <c r="J4" s="157"/>
      <c r="K4" s="156"/>
      <c r="L4" s="156"/>
      <c r="M4" s="156"/>
      <c r="N4" s="156" t="e">
        <f t="shared" ref="N4:N63" si="3">O4</f>
        <v>#REF!</v>
      </c>
      <c r="O4" s="156" t="e">
        <f>COUNTIFS(#REF!,"&gt;="&amp;DATE($C4,$B4,1),#REF!,"&lt;="&amp;EOMONTH(DATE($C4,$B4,1),0),#REF!,"Incident")+
COUNTIFS(#REF!,"&gt;="&amp;DATE($C4,$B4,1),#REF!,"&lt;="&amp;EOMONTH(DATE($C4,$B4,1),0),#REF!,"user_request")</f>
        <v>#REF!</v>
      </c>
      <c r="P4" s="147">
        <f>I4</f>
        <v>0</v>
      </c>
      <c r="Q4" s="147">
        <f>J4</f>
        <v>0</v>
      </c>
      <c r="R4" s="147">
        <f>K4</f>
        <v>0</v>
      </c>
      <c r="S4" s="146" t="e">
        <f>N4</f>
        <v>#REF!</v>
      </c>
      <c r="T4" s="146" t="e">
        <f>O4</f>
        <v>#REF!</v>
      </c>
      <c r="U4" s="145">
        <f t="shared" ref="U4:U35" si="4">IF(Q4=0,0,IF(K4&lt;&gt;"",(Q4-(R4+L4))/Q4,U3))</f>
        <v>0</v>
      </c>
      <c r="V4" s="145" t="e">
        <f t="shared" ref="V4:V35" si="5">IF(S4=0,0,IF(O4&lt;&gt;"",(S4-(T4))/S4,V3))</f>
        <v>#REF!</v>
      </c>
      <c r="W4" s="142">
        <v>1</v>
      </c>
      <c r="X4" s="142" t="str">
        <f>+IF((VLOOKUP(A4,List!B:C,2,0)-VLOOKUP(Summary!$P$7,List!B:C,2,0))=0,1,"")</f>
        <v/>
      </c>
      <c r="Y4" s="198" t="str">
        <f>+IF((VLOOKUP(A4,List!B:C,2,0)-VLOOKUP(Summary!$P$7,List!B:C,2,0))&gt;=0,1,"")</f>
        <v/>
      </c>
      <c r="Z4" s="198" t="str">
        <f>+IF((VLOOKUP(A4,List!B:C,2,0)-VLOOKUP(Summary!$P$7,List!B:C,2,0))&gt;0,1,"")</f>
        <v/>
      </c>
      <c r="AA4" s="141" t="str">
        <f t="shared" ref="AA4:AA63" si="6">+IFERROR(IF(Z4="","",IF(YEAR(G4)&gt;C4,1,IF(YEAR(G4)=C4,IF(MONTH(G4)&gt;=B4,1,2)))),2)</f>
        <v/>
      </c>
      <c r="AB4" s="199" t="str">
        <f>+IF(AA4="","",IF(Summary!$J$7="Fixed Price","",IF(M4="",IF(I4="","",1),"")))</f>
        <v/>
      </c>
      <c r="AC4" s="198">
        <f>+IFERROR(I4*AA4,0)</f>
        <v>0</v>
      </c>
      <c r="AD4" s="198" t="e">
        <f>+IF(AA4="",+IF(N4&gt;#REF!,#REF!,IF(N4&gt;#REF!,#REF!,IF(N4&gt;#REF!,#REF!,IF(N4&gt;#REF!,#REF!,IF(N4&gt;#REF!,#REF!,IF(N4&gt;#REF!,#REF!,IF(N4&gt;#REF!,#REF!,IF(N4&gt;#REF!,#REF!,#REF!)))))))),0)</f>
        <v>#REF!</v>
      </c>
    </row>
    <row r="5" spans="1:30" x14ac:dyDescent="0.2">
      <c r="A5" s="155" t="str">
        <f t="shared" si="0"/>
        <v>2025-10</v>
      </c>
      <c r="B5" s="154">
        <f t="shared" ref="B5:B36" si="7">IF(W5&lt;=$W$2,IF(B4&gt;11,1,B4+1),"")</f>
        <v>10</v>
      </c>
      <c r="C5" s="153">
        <f t="shared" ref="C5:C36" si="8">IF(W5&lt;=$W$2,IF(B4&gt;11,C4+1,C4),"")</f>
        <v>2025</v>
      </c>
      <c r="D5" s="152" t="str">
        <f t="shared" si="1"/>
        <v>2025-10</v>
      </c>
      <c r="E5" s="151">
        <f>+IF($B5="","",Summary!$P$4)</f>
        <v>45929</v>
      </c>
      <c r="F5" s="151">
        <f>+IF($B5="","",Summary!$P$5)</f>
        <v>46657</v>
      </c>
      <c r="G5" s="151">
        <f>+IF($B5="","",Summary!$P$6)</f>
        <v>46657</v>
      </c>
      <c r="H5" s="150" t="str">
        <f t="shared" si="2"/>
        <v>Green</v>
      </c>
      <c r="I5" s="148"/>
      <c r="J5" s="149"/>
      <c r="K5" s="148"/>
      <c r="L5" s="148"/>
      <c r="M5" s="148"/>
      <c r="N5" s="148" t="e">
        <f t="shared" si="3"/>
        <v>#REF!</v>
      </c>
      <c r="O5" s="148" t="e">
        <f>COUNTIFS(#REF!,"&gt;="&amp;DATE($C5,$B5,1),#REF!,"&lt;="&amp;EOMONTH(DATE($C5,$B5,1),0),#REF!,"Incident")+
COUNTIFS(#REF!,"&gt;="&amp;DATE($C5,$B5,1),#REF!,"&lt;="&amp;EOMONTH(DATE($C5,$B5,1),0),#REF!,"user_request")</f>
        <v>#REF!</v>
      </c>
      <c r="P5" s="147">
        <f t="shared" ref="P5:P36" si="9">I5+P4</f>
        <v>0</v>
      </c>
      <c r="Q5" s="147">
        <f t="shared" ref="Q5:Q36" si="10">Q4+J5</f>
        <v>0</v>
      </c>
      <c r="R5" s="147">
        <f t="shared" ref="R5:R36" si="11">K5+R4</f>
        <v>0</v>
      </c>
      <c r="S5" s="146" t="e">
        <f t="shared" ref="S5:S36" si="12">N5+S4</f>
        <v>#REF!</v>
      </c>
      <c r="T5" s="146" t="e">
        <f t="shared" ref="T5:T36" si="13">O5+T4</f>
        <v>#REF!</v>
      </c>
      <c r="U5" s="145">
        <f t="shared" si="4"/>
        <v>0</v>
      </c>
      <c r="V5" s="145" t="e">
        <f t="shared" si="5"/>
        <v>#REF!</v>
      </c>
      <c r="W5" s="142">
        <v>2</v>
      </c>
      <c r="X5" s="142" t="str">
        <f>+IF((VLOOKUP(A5,List!B:C,2,0)-VLOOKUP(Summary!$P$7,List!B:C,2,0))=0,1,"")</f>
        <v/>
      </c>
      <c r="Y5" s="198" t="str">
        <f>+IF((VLOOKUP(A5,List!B:C,2,0)-VLOOKUP(Summary!$P$7,List!B:C,2,0))&gt;=0,1,"")</f>
        <v/>
      </c>
      <c r="Z5" s="198" t="str">
        <f>+IF((VLOOKUP(A5,List!B:C,2,0)-VLOOKUP(Summary!$P$7,List!B:C,2,0))&gt;0,1,"")</f>
        <v/>
      </c>
      <c r="AA5" s="141" t="str">
        <f t="shared" si="6"/>
        <v/>
      </c>
      <c r="AB5" s="199" t="str">
        <f>+IF(AA5="","",IF(Summary!$J$7="Fixed Price","",IF(M5="",IF(I5="","",1),"")))</f>
        <v/>
      </c>
      <c r="AC5" s="198">
        <f t="shared" ref="AC5:AC63" si="14">+IFERROR(I5*AA5,0)</f>
        <v>0</v>
      </c>
      <c r="AD5" s="198" t="e">
        <f>+IF(AA5="",+IF(N5&gt;#REF!,#REF!,IF(N5&gt;#REF!,#REF!,IF(N5&gt;#REF!,#REF!,IF(N5&gt;#REF!,#REF!,IF(N5&gt;#REF!,#REF!,IF(N5&gt;#REF!,#REF!,IF(N5&gt;#REF!,#REF!,IF(N5&gt;#REF!,#REF!,#REF!)))))))),0)</f>
        <v>#REF!</v>
      </c>
    </row>
    <row r="6" spans="1:30" x14ac:dyDescent="0.2">
      <c r="A6" s="155" t="str">
        <f t="shared" si="0"/>
        <v>2025-11</v>
      </c>
      <c r="B6" s="154">
        <f t="shared" si="7"/>
        <v>11</v>
      </c>
      <c r="C6" s="153">
        <f t="shared" si="8"/>
        <v>2025</v>
      </c>
      <c r="D6" s="152" t="str">
        <f t="shared" si="1"/>
        <v>2025-11</v>
      </c>
      <c r="E6" s="159">
        <f>+IF($B6="","",Summary!$P$4)</f>
        <v>45929</v>
      </c>
      <c r="F6" s="159">
        <f>+IF($B6="","",Summary!$P$5)</f>
        <v>46657</v>
      </c>
      <c r="G6" s="159">
        <f>+IF($B6="","",Summary!$P$6)</f>
        <v>46657</v>
      </c>
      <c r="H6" s="158" t="str">
        <f t="shared" si="2"/>
        <v>Green</v>
      </c>
      <c r="I6" s="156"/>
      <c r="J6" s="157"/>
      <c r="K6" s="156"/>
      <c r="L6" s="156"/>
      <c r="M6" s="156"/>
      <c r="N6" s="156" t="e">
        <f t="shared" si="3"/>
        <v>#REF!</v>
      </c>
      <c r="O6" s="156" t="e">
        <f>COUNTIFS(#REF!,"&gt;="&amp;DATE($C6,$B6,1),#REF!,"&lt;="&amp;EOMONTH(DATE($C6,$B6,1),0),#REF!,"Incident")+
COUNTIFS(#REF!,"&gt;="&amp;DATE($C6,$B6,1),#REF!,"&lt;="&amp;EOMONTH(DATE($C6,$B6,1),0),#REF!,"user_request")</f>
        <v>#REF!</v>
      </c>
      <c r="P6" s="147">
        <f t="shared" si="9"/>
        <v>0</v>
      </c>
      <c r="Q6" s="147">
        <f t="shared" si="10"/>
        <v>0</v>
      </c>
      <c r="R6" s="147">
        <f t="shared" si="11"/>
        <v>0</v>
      </c>
      <c r="S6" s="146" t="e">
        <f t="shared" si="12"/>
        <v>#REF!</v>
      </c>
      <c r="T6" s="146" t="e">
        <f t="shared" si="13"/>
        <v>#REF!</v>
      </c>
      <c r="U6" s="145">
        <f t="shared" si="4"/>
        <v>0</v>
      </c>
      <c r="V6" s="145" t="e">
        <f t="shared" si="5"/>
        <v>#REF!</v>
      </c>
      <c r="W6" s="142">
        <v>3</v>
      </c>
      <c r="X6" s="142" t="str">
        <f>+IF((VLOOKUP(A6,List!B:C,2,0)-VLOOKUP(Summary!$P$7,List!B:C,2,0))=0,1,"")</f>
        <v/>
      </c>
      <c r="Y6" s="198" t="str">
        <f>+IF((VLOOKUP(A6,List!B:C,2,0)-VLOOKUP(Summary!$P$7,List!B:C,2,0))&gt;=0,1,"")</f>
        <v/>
      </c>
      <c r="Z6" s="198" t="str">
        <f>+IF((VLOOKUP(A6,List!B:C,2,0)-VLOOKUP(Summary!$P$7,List!B:C,2,0))&gt;0,1,"")</f>
        <v/>
      </c>
      <c r="AA6" s="141" t="str">
        <f t="shared" si="6"/>
        <v/>
      </c>
      <c r="AB6" s="199" t="str">
        <f>+IF(AA6="","",IF(Summary!$J$7="Fixed Price","",IF(M6="",IF(I6="","",1),"")))</f>
        <v/>
      </c>
      <c r="AC6" s="198">
        <f t="shared" si="14"/>
        <v>0</v>
      </c>
      <c r="AD6" s="198" t="e">
        <f>+IF(AA6="",+IF(N6&gt;#REF!,#REF!,IF(N6&gt;#REF!,#REF!,IF(N6&gt;#REF!,#REF!,IF(N6&gt;#REF!,#REF!,IF(N6&gt;#REF!,#REF!,IF(N6&gt;#REF!,#REF!,IF(N6&gt;#REF!,#REF!,IF(N6&gt;#REF!,#REF!,#REF!)))))))),0)</f>
        <v>#REF!</v>
      </c>
    </row>
    <row r="7" spans="1:30" x14ac:dyDescent="0.2">
      <c r="A7" s="155" t="str">
        <f t="shared" si="0"/>
        <v>2025-12</v>
      </c>
      <c r="B7" s="154">
        <f t="shared" si="7"/>
        <v>12</v>
      </c>
      <c r="C7" s="153">
        <f t="shared" si="8"/>
        <v>2025</v>
      </c>
      <c r="D7" s="152" t="str">
        <f t="shared" si="1"/>
        <v>2025-12</v>
      </c>
      <c r="E7" s="151">
        <f>+IF($B7="","",Summary!$P$4)</f>
        <v>45929</v>
      </c>
      <c r="F7" s="151">
        <f>+IF($B7="","",Summary!$P$5)</f>
        <v>46657</v>
      </c>
      <c r="G7" s="151">
        <f>+IF($B7="","",Summary!$P$6)</f>
        <v>46657</v>
      </c>
      <c r="H7" s="150" t="str">
        <f t="shared" si="2"/>
        <v>Green</v>
      </c>
      <c r="I7" s="148"/>
      <c r="J7" s="149"/>
      <c r="K7" s="148"/>
      <c r="L7" s="148"/>
      <c r="M7" s="148"/>
      <c r="N7" s="148" t="e">
        <f t="shared" si="3"/>
        <v>#REF!</v>
      </c>
      <c r="O7" s="148" t="e">
        <f>COUNTIFS(#REF!,"&gt;="&amp;DATE($C7,$B7,1),#REF!,"&lt;="&amp;EOMONTH(DATE($C7,$B7,1),0),#REF!,"Incident")+
COUNTIFS(#REF!,"&gt;="&amp;DATE($C7,$B7,1),#REF!,"&lt;="&amp;EOMONTH(DATE($C7,$B7,1),0),#REF!,"user_request")</f>
        <v>#REF!</v>
      </c>
      <c r="P7" s="147">
        <f t="shared" si="9"/>
        <v>0</v>
      </c>
      <c r="Q7" s="147">
        <f t="shared" si="10"/>
        <v>0</v>
      </c>
      <c r="R7" s="147">
        <f t="shared" si="11"/>
        <v>0</v>
      </c>
      <c r="S7" s="146" t="e">
        <f t="shared" si="12"/>
        <v>#REF!</v>
      </c>
      <c r="T7" s="146" t="e">
        <f t="shared" si="13"/>
        <v>#REF!</v>
      </c>
      <c r="U7" s="145">
        <f t="shared" si="4"/>
        <v>0</v>
      </c>
      <c r="V7" s="145" t="e">
        <f t="shared" si="5"/>
        <v>#REF!</v>
      </c>
      <c r="W7" s="142">
        <v>4</v>
      </c>
      <c r="X7" s="142" t="str">
        <f>+IF((VLOOKUP(A7,List!B:C,2,0)-VLOOKUP(Summary!$P$7,List!B:C,2,0))=0,1,"")</f>
        <v/>
      </c>
      <c r="Y7" s="198" t="str">
        <f>+IF((VLOOKUP(A7,List!B:C,2,0)-VLOOKUP(Summary!$P$7,List!B:C,2,0))&gt;=0,1,"")</f>
        <v/>
      </c>
      <c r="Z7" s="198" t="str">
        <f>+IF((VLOOKUP(A7,List!B:C,2,0)-VLOOKUP(Summary!$P$7,List!B:C,2,0))&gt;0,1,"")</f>
        <v/>
      </c>
      <c r="AA7" s="141" t="str">
        <f t="shared" si="6"/>
        <v/>
      </c>
      <c r="AB7" s="199" t="str">
        <f>+IF(AA7="","",IF(Summary!$J$7="Fixed Price","",IF(M7="",IF(I7="","",1),"")))</f>
        <v/>
      </c>
      <c r="AC7" s="198">
        <f t="shared" si="14"/>
        <v>0</v>
      </c>
      <c r="AD7" s="198" t="e">
        <f>+IF(AA7="",+IF(N7&gt;#REF!,#REF!,IF(N7&gt;#REF!,#REF!,IF(N7&gt;#REF!,#REF!,IF(N7&gt;#REF!,#REF!,IF(N7&gt;#REF!,#REF!,IF(N7&gt;#REF!,#REF!,IF(N7&gt;#REF!,#REF!,IF(N7&gt;#REF!,#REF!,#REF!)))))))),0)</f>
        <v>#REF!</v>
      </c>
    </row>
    <row r="8" spans="1:30" x14ac:dyDescent="0.2">
      <c r="A8" s="155" t="str">
        <f t="shared" si="0"/>
        <v>2026-1</v>
      </c>
      <c r="B8" s="154">
        <f t="shared" si="7"/>
        <v>1</v>
      </c>
      <c r="C8" s="153">
        <f t="shared" si="8"/>
        <v>2026</v>
      </c>
      <c r="D8" s="152" t="str">
        <f t="shared" si="1"/>
        <v>2026-1</v>
      </c>
      <c r="E8" s="159">
        <f>+IF($B8="","",Summary!$P$4)</f>
        <v>45929</v>
      </c>
      <c r="F8" s="159">
        <f>+IF($B8="","",Summary!$P$5)</f>
        <v>46657</v>
      </c>
      <c r="G8" s="159">
        <f>+IF($B8="","",Summary!$P$6)</f>
        <v>46657</v>
      </c>
      <c r="H8" s="158" t="str">
        <f t="shared" si="2"/>
        <v>Green</v>
      </c>
      <c r="I8" s="156"/>
      <c r="J8" s="157"/>
      <c r="K8" s="156"/>
      <c r="L8" s="156"/>
      <c r="M8" s="156"/>
      <c r="N8" s="156" t="e">
        <f t="shared" si="3"/>
        <v>#REF!</v>
      </c>
      <c r="O8" s="156" t="e">
        <f>COUNTIFS(#REF!,"&gt;="&amp;DATE($C8,$B8,1),#REF!,"&lt;="&amp;EOMONTH(DATE($C8,$B8,1),0),#REF!,"Incident")+
COUNTIFS(#REF!,"&gt;="&amp;DATE($C8,$B8,1),#REF!,"&lt;="&amp;EOMONTH(DATE($C8,$B8,1),0),#REF!,"user_request")</f>
        <v>#REF!</v>
      </c>
      <c r="P8" s="147">
        <f t="shared" si="9"/>
        <v>0</v>
      </c>
      <c r="Q8" s="147">
        <f t="shared" si="10"/>
        <v>0</v>
      </c>
      <c r="R8" s="147">
        <f t="shared" si="11"/>
        <v>0</v>
      </c>
      <c r="S8" s="146" t="e">
        <f t="shared" si="12"/>
        <v>#REF!</v>
      </c>
      <c r="T8" s="146" t="e">
        <f t="shared" si="13"/>
        <v>#REF!</v>
      </c>
      <c r="U8" s="145">
        <f t="shared" si="4"/>
        <v>0</v>
      </c>
      <c r="V8" s="145" t="e">
        <f t="shared" si="5"/>
        <v>#REF!</v>
      </c>
      <c r="W8" s="142">
        <v>5</v>
      </c>
      <c r="X8" s="142" t="str">
        <f>+IF((VLOOKUP(A8,List!B:C,2,0)-VLOOKUP(Summary!$P$7,List!B:C,2,0))=0,1,"")</f>
        <v/>
      </c>
      <c r="Y8" s="198" t="str">
        <f>+IF((VLOOKUP(A8,List!B:C,2,0)-VLOOKUP(Summary!$P$7,List!B:C,2,0))&gt;=0,1,"")</f>
        <v/>
      </c>
      <c r="Z8" s="198" t="str">
        <f>+IF((VLOOKUP(A8,List!B:C,2,0)-VLOOKUP(Summary!$P$7,List!B:C,2,0))&gt;0,1,"")</f>
        <v/>
      </c>
      <c r="AA8" s="141" t="str">
        <f t="shared" si="6"/>
        <v/>
      </c>
      <c r="AB8" s="199" t="str">
        <f>+IF(AA8="","",IF(Summary!$J$7="Fixed Price","",IF(M8="",IF(I8="","",1),"")))</f>
        <v/>
      </c>
      <c r="AC8" s="198">
        <f t="shared" si="14"/>
        <v>0</v>
      </c>
      <c r="AD8" s="198" t="e">
        <f>+IF(AA8="",+IF(N8&gt;#REF!,#REF!,IF(N8&gt;#REF!,#REF!,IF(N8&gt;#REF!,#REF!,IF(N8&gt;#REF!,#REF!,IF(N8&gt;#REF!,#REF!,IF(N8&gt;#REF!,#REF!,IF(N8&gt;#REF!,#REF!,IF(N8&gt;#REF!,#REF!,#REF!)))))))),0)</f>
        <v>#REF!</v>
      </c>
    </row>
    <row r="9" spans="1:30" x14ac:dyDescent="0.2">
      <c r="A9" s="155" t="str">
        <f t="shared" si="0"/>
        <v>2026-2</v>
      </c>
      <c r="B9" s="154">
        <f t="shared" si="7"/>
        <v>2</v>
      </c>
      <c r="C9" s="153">
        <f t="shared" si="8"/>
        <v>2026</v>
      </c>
      <c r="D9" s="152" t="str">
        <f t="shared" si="1"/>
        <v>2026-2</v>
      </c>
      <c r="E9" s="151">
        <f>+IF($B9="","",Summary!$P$4)</f>
        <v>45929</v>
      </c>
      <c r="F9" s="151">
        <f>+IF($B9="","",Summary!$P$5)</f>
        <v>46657</v>
      </c>
      <c r="G9" s="151">
        <f>+IF($B9="","",Summary!$P$6)</f>
        <v>46657</v>
      </c>
      <c r="H9" s="150" t="str">
        <f t="shared" si="2"/>
        <v>Green</v>
      </c>
      <c r="I9" s="148"/>
      <c r="J9" s="149"/>
      <c r="K9" s="148"/>
      <c r="L9" s="148"/>
      <c r="M9" s="148"/>
      <c r="N9" s="148" t="e">
        <f t="shared" si="3"/>
        <v>#REF!</v>
      </c>
      <c r="O9" s="148" t="e">
        <f>COUNTIFS(#REF!,"&gt;="&amp;DATE($C9,$B9,1),#REF!,"&lt;="&amp;EOMONTH(DATE($C9,$B9,1),0),#REF!,"Incident")+
COUNTIFS(#REF!,"&gt;="&amp;DATE($C9,$B9,1),#REF!,"&lt;="&amp;EOMONTH(DATE($C9,$B9,1),0),#REF!,"user_request")</f>
        <v>#REF!</v>
      </c>
      <c r="P9" s="147">
        <f t="shared" si="9"/>
        <v>0</v>
      </c>
      <c r="Q9" s="147">
        <f t="shared" si="10"/>
        <v>0</v>
      </c>
      <c r="R9" s="147">
        <f t="shared" si="11"/>
        <v>0</v>
      </c>
      <c r="S9" s="146" t="e">
        <f t="shared" si="12"/>
        <v>#REF!</v>
      </c>
      <c r="T9" s="146" t="e">
        <f t="shared" si="13"/>
        <v>#REF!</v>
      </c>
      <c r="U9" s="145">
        <f t="shared" si="4"/>
        <v>0</v>
      </c>
      <c r="V9" s="145" t="e">
        <f t="shared" si="5"/>
        <v>#REF!</v>
      </c>
      <c r="W9" s="142">
        <v>6</v>
      </c>
      <c r="X9" s="142">
        <f>+IF((VLOOKUP(A9,List!B:C,2,0)-VLOOKUP(Summary!$P$7,List!B:C,2,0))=0,1,"")</f>
        <v>1</v>
      </c>
      <c r="Y9" s="198">
        <f>+IF((VLOOKUP(A9,List!B:C,2,0)-VLOOKUP(Summary!$P$7,List!B:C,2,0))&gt;=0,1,"")</f>
        <v>1</v>
      </c>
      <c r="Z9" s="198" t="str">
        <f>+IF((VLOOKUP(A9,List!B:C,2,0)-VLOOKUP(Summary!$P$7,List!B:C,2,0))&gt;0,1,"")</f>
        <v/>
      </c>
      <c r="AA9" s="141" t="str">
        <f t="shared" si="6"/>
        <v/>
      </c>
      <c r="AB9" s="199" t="str">
        <f>+IF(AA9="","",IF(Summary!$J$7="Fixed Price","",IF(M9="",IF(I9="","",1),"")))</f>
        <v/>
      </c>
      <c r="AC9" s="198">
        <f t="shared" si="14"/>
        <v>0</v>
      </c>
      <c r="AD9" s="198" t="e">
        <f>+IF(AA9="",+IF(N9&gt;#REF!,#REF!,IF(N9&gt;#REF!,#REF!,IF(N9&gt;#REF!,#REF!,IF(N9&gt;#REF!,#REF!,IF(N9&gt;#REF!,#REF!,IF(N9&gt;#REF!,#REF!,IF(N9&gt;#REF!,#REF!,IF(N9&gt;#REF!,#REF!,#REF!)))))))),0)</f>
        <v>#REF!</v>
      </c>
    </row>
    <row r="10" spans="1:30" x14ac:dyDescent="0.2">
      <c r="A10" s="155" t="str">
        <f t="shared" si="0"/>
        <v>2026-3</v>
      </c>
      <c r="B10" s="154">
        <f t="shared" si="7"/>
        <v>3</v>
      </c>
      <c r="C10" s="153">
        <f t="shared" si="8"/>
        <v>2026</v>
      </c>
      <c r="D10" s="152" t="str">
        <f t="shared" si="1"/>
        <v>2026-3</v>
      </c>
      <c r="E10" s="159">
        <f>+IF($B10="","",Summary!$P$4)</f>
        <v>45929</v>
      </c>
      <c r="F10" s="159">
        <f>+IF($B10="","",Summary!$P$5)</f>
        <v>46657</v>
      </c>
      <c r="G10" s="159">
        <f>+IF($B10="","",Summary!$P$6)</f>
        <v>46657</v>
      </c>
      <c r="H10" s="158" t="str">
        <f t="shared" si="2"/>
        <v>Green</v>
      </c>
      <c r="I10" s="156"/>
      <c r="J10" s="157"/>
      <c r="K10" s="156"/>
      <c r="L10" s="156"/>
      <c r="M10" s="156"/>
      <c r="N10" s="156" t="e">
        <f t="shared" si="3"/>
        <v>#REF!</v>
      </c>
      <c r="O10" s="156" t="e">
        <f>COUNTIFS(#REF!,"&gt;="&amp;DATE($C10,$B10,1),#REF!,"&lt;="&amp;EOMONTH(DATE($C10,$B10,1),0),#REF!,"Incident")+
COUNTIFS(#REF!,"&gt;="&amp;DATE($C10,$B10,1),#REF!,"&lt;="&amp;EOMONTH(DATE($C10,$B10,1),0),#REF!,"user_request")</f>
        <v>#REF!</v>
      </c>
      <c r="P10" s="147">
        <f t="shared" si="9"/>
        <v>0</v>
      </c>
      <c r="Q10" s="147">
        <f t="shared" si="10"/>
        <v>0</v>
      </c>
      <c r="R10" s="147">
        <f t="shared" si="11"/>
        <v>0</v>
      </c>
      <c r="S10" s="146" t="e">
        <f t="shared" si="12"/>
        <v>#REF!</v>
      </c>
      <c r="T10" s="146" t="e">
        <f t="shared" si="13"/>
        <v>#REF!</v>
      </c>
      <c r="U10" s="145">
        <f t="shared" si="4"/>
        <v>0</v>
      </c>
      <c r="V10" s="145" t="e">
        <f t="shared" si="5"/>
        <v>#REF!</v>
      </c>
      <c r="W10" s="142">
        <v>7</v>
      </c>
      <c r="X10" s="142" t="str">
        <f>+IF((VLOOKUP(A10,List!B:C,2,0)-VLOOKUP(Summary!$P$7,List!B:C,2,0))=0,1,"")</f>
        <v/>
      </c>
      <c r="Y10" s="198">
        <f>+IF((VLOOKUP(A10,List!B:C,2,0)-VLOOKUP(Summary!$P$7,List!B:C,2,0))&gt;=0,1,"")</f>
        <v>1</v>
      </c>
      <c r="Z10" s="198">
        <f>+IF((VLOOKUP(A10,List!B:C,2,0)-VLOOKUP(Summary!$P$7,List!B:C,2,0))&gt;0,1,"")</f>
        <v>1</v>
      </c>
      <c r="AA10" s="141">
        <f t="shared" si="6"/>
        <v>1</v>
      </c>
      <c r="AB10" s="199" t="str">
        <f>+IF(AA10="","",IF(Summary!$J$7="Fixed Price","",IF(M10="",IF(I10="","",1),"")))</f>
        <v/>
      </c>
      <c r="AC10" s="198">
        <f t="shared" si="14"/>
        <v>0</v>
      </c>
      <c r="AD10" s="198">
        <f>+IF(AA10="",+IF(N10&gt;#REF!,#REF!,IF(N10&gt;#REF!,#REF!,IF(N10&gt;#REF!,#REF!,IF(N10&gt;#REF!,#REF!,IF(N10&gt;#REF!,#REF!,IF(N10&gt;#REF!,#REF!,IF(N10&gt;#REF!,#REF!,IF(N10&gt;#REF!,#REF!,#REF!)))))))),0)</f>
        <v>0</v>
      </c>
    </row>
    <row r="11" spans="1:30" x14ac:dyDescent="0.2">
      <c r="A11" s="155" t="str">
        <f t="shared" si="0"/>
        <v>2026-4</v>
      </c>
      <c r="B11" s="154">
        <f t="shared" si="7"/>
        <v>4</v>
      </c>
      <c r="C11" s="153">
        <f t="shared" si="8"/>
        <v>2026</v>
      </c>
      <c r="D11" s="152" t="str">
        <f t="shared" si="1"/>
        <v>2026-4</v>
      </c>
      <c r="E11" s="151">
        <f>+IF($B11="","",Summary!$P$4)</f>
        <v>45929</v>
      </c>
      <c r="F11" s="151">
        <f>+IF($B11="","",Summary!$P$5)</f>
        <v>46657</v>
      </c>
      <c r="G11" s="151">
        <f>+IF($B11="","",Summary!$P$6)</f>
        <v>46657</v>
      </c>
      <c r="H11" s="150" t="str">
        <f t="shared" si="2"/>
        <v>Green</v>
      </c>
      <c r="I11" s="148"/>
      <c r="J11" s="149"/>
      <c r="K11" s="148"/>
      <c r="L11" s="148"/>
      <c r="M11" s="148"/>
      <c r="N11" s="148" t="e">
        <f t="shared" si="3"/>
        <v>#REF!</v>
      </c>
      <c r="O11" s="148" t="e">
        <f>COUNTIFS(#REF!,"&gt;="&amp;DATE($C11,$B11,1),#REF!,"&lt;="&amp;EOMONTH(DATE($C11,$B11,1),0),#REF!,"Incident")+
COUNTIFS(#REF!,"&gt;="&amp;DATE($C11,$B11,1),#REF!,"&lt;="&amp;EOMONTH(DATE($C11,$B11,1),0),#REF!,"user_request")</f>
        <v>#REF!</v>
      </c>
      <c r="P11" s="147">
        <f t="shared" si="9"/>
        <v>0</v>
      </c>
      <c r="Q11" s="147">
        <f t="shared" si="10"/>
        <v>0</v>
      </c>
      <c r="R11" s="147">
        <f t="shared" si="11"/>
        <v>0</v>
      </c>
      <c r="S11" s="146" t="e">
        <f t="shared" si="12"/>
        <v>#REF!</v>
      </c>
      <c r="T11" s="146" t="e">
        <f t="shared" si="13"/>
        <v>#REF!</v>
      </c>
      <c r="U11" s="145">
        <f t="shared" si="4"/>
        <v>0</v>
      </c>
      <c r="V11" s="145" t="e">
        <f t="shared" si="5"/>
        <v>#REF!</v>
      </c>
      <c r="W11" s="142">
        <v>8</v>
      </c>
      <c r="X11" s="142" t="str">
        <f>+IF((VLOOKUP(A11,List!B:C,2,0)-VLOOKUP(Summary!$P$7,List!B:C,2,0))=0,1,"")</f>
        <v/>
      </c>
      <c r="Y11" s="198">
        <f>+IF((VLOOKUP(A11,List!B:C,2,0)-VLOOKUP(Summary!$P$7,List!B:C,2,0))&gt;=0,1,"")</f>
        <v>1</v>
      </c>
      <c r="Z11" s="198">
        <f>+IF((VLOOKUP(A11,List!B:C,2,0)-VLOOKUP(Summary!$P$7,List!B:C,2,0))&gt;0,1,"")</f>
        <v>1</v>
      </c>
      <c r="AA11" s="141">
        <f t="shared" si="6"/>
        <v>1</v>
      </c>
      <c r="AB11" s="199" t="str">
        <f>+IF(AA11="","",IF(Summary!$J$7="Fixed Price","",IF(M11="",IF(I11="","",1),"")))</f>
        <v/>
      </c>
      <c r="AC11" s="198">
        <f t="shared" si="14"/>
        <v>0</v>
      </c>
      <c r="AD11" s="198">
        <f>+IF(AA11="",+IF(N11&gt;#REF!,#REF!,IF(N11&gt;#REF!,#REF!,IF(N11&gt;#REF!,#REF!,IF(N11&gt;#REF!,#REF!,IF(N11&gt;#REF!,#REF!,IF(N11&gt;#REF!,#REF!,IF(N11&gt;#REF!,#REF!,IF(N11&gt;#REF!,#REF!,#REF!)))))))),0)</f>
        <v>0</v>
      </c>
    </row>
    <row r="12" spans="1:30" x14ac:dyDescent="0.2">
      <c r="A12" s="155" t="str">
        <f t="shared" si="0"/>
        <v>2026-5</v>
      </c>
      <c r="B12" s="154">
        <f t="shared" si="7"/>
        <v>5</v>
      </c>
      <c r="C12" s="153">
        <f t="shared" si="8"/>
        <v>2026</v>
      </c>
      <c r="D12" s="152" t="str">
        <f t="shared" si="1"/>
        <v>2026-5</v>
      </c>
      <c r="E12" s="159">
        <f>+IF($B12="","",Summary!$P$4)</f>
        <v>45929</v>
      </c>
      <c r="F12" s="159">
        <f>+IF($B12="","",Summary!$P$5)</f>
        <v>46657</v>
      </c>
      <c r="G12" s="159">
        <f>+IF($B12="","",Summary!$P$6)</f>
        <v>46657</v>
      </c>
      <c r="H12" s="158" t="str">
        <f t="shared" si="2"/>
        <v>Green</v>
      </c>
      <c r="I12" s="156"/>
      <c r="J12" s="157"/>
      <c r="K12" s="156"/>
      <c r="L12" s="156"/>
      <c r="M12" s="156"/>
      <c r="N12" s="156" t="e">
        <f t="shared" si="3"/>
        <v>#REF!</v>
      </c>
      <c r="O12" s="156" t="e">
        <f>COUNTIFS(#REF!,"&gt;="&amp;DATE($C12,$B12,1),#REF!,"&lt;="&amp;EOMONTH(DATE($C12,$B12,1),0),#REF!,"Incident")+
COUNTIFS(#REF!,"&gt;="&amp;DATE($C12,$B12,1),#REF!,"&lt;="&amp;EOMONTH(DATE($C12,$B12,1),0),#REF!,"user_request")</f>
        <v>#REF!</v>
      </c>
      <c r="P12" s="147">
        <f t="shared" si="9"/>
        <v>0</v>
      </c>
      <c r="Q12" s="147">
        <f t="shared" si="10"/>
        <v>0</v>
      </c>
      <c r="R12" s="147">
        <f t="shared" si="11"/>
        <v>0</v>
      </c>
      <c r="S12" s="146" t="e">
        <f t="shared" si="12"/>
        <v>#REF!</v>
      </c>
      <c r="T12" s="146" t="e">
        <f t="shared" si="13"/>
        <v>#REF!</v>
      </c>
      <c r="U12" s="145">
        <f t="shared" si="4"/>
        <v>0</v>
      </c>
      <c r="V12" s="145" t="e">
        <f t="shared" si="5"/>
        <v>#REF!</v>
      </c>
      <c r="W12" s="142">
        <v>9</v>
      </c>
      <c r="X12" s="142" t="str">
        <f>+IF((VLOOKUP(A12,List!B:C,2,0)-VLOOKUP(Summary!$P$7,List!B:C,2,0))=0,1,"")</f>
        <v/>
      </c>
      <c r="Y12" s="198">
        <f>+IF((VLOOKUP(A12,List!B:C,2,0)-VLOOKUP(Summary!$P$7,List!B:C,2,0))&gt;=0,1,"")</f>
        <v>1</v>
      </c>
      <c r="Z12" s="198">
        <f>+IF((VLOOKUP(A12,List!B:C,2,0)-VLOOKUP(Summary!$P$7,List!B:C,2,0))&gt;0,1,"")</f>
        <v>1</v>
      </c>
      <c r="AA12" s="141">
        <f t="shared" si="6"/>
        <v>1</v>
      </c>
      <c r="AB12" s="199" t="str">
        <f>+IF(AA12="","",IF(Summary!$J$7="Fixed Price","",IF(M12="",IF(I12="","",1),"")))</f>
        <v/>
      </c>
      <c r="AC12" s="198">
        <f t="shared" si="14"/>
        <v>0</v>
      </c>
      <c r="AD12" s="198">
        <f>+IF(AA12="",+IF(N12&gt;#REF!,#REF!,IF(N12&gt;#REF!,#REF!,IF(N12&gt;#REF!,#REF!,IF(N12&gt;#REF!,#REF!,IF(N12&gt;#REF!,#REF!,IF(N12&gt;#REF!,#REF!,IF(N12&gt;#REF!,#REF!,IF(N12&gt;#REF!,#REF!,#REF!)))))))),0)</f>
        <v>0</v>
      </c>
    </row>
    <row r="13" spans="1:30" x14ac:dyDescent="0.2">
      <c r="A13" s="155" t="str">
        <f t="shared" si="0"/>
        <v>2026-6</v>
      </c>
      <c r="B13" s="154">
        <f t="shared" si="7"/>
        <v>6</v>
      </c>
      <c r="C13" s="153">
        <f t="shared" si="8"/>
        <v>2026</v>
      </c>
      <c r="D13" s="152" t="str">
        <f t="shared" si="1"/>
        <v>2026-6</v>
      </c>
      <c r="E13" s="151">
        <f>+IF($B13="","",Summary!$P$4)</f>
        <v>45929</v>
      </c>
      <c r="F13" s="151">
        <f>+IF($B13="","",Summary!$P$5)</f>
        <v>46657</v>
      </c>
      <c r="G13" s="151">
        <f>+IF($B13="","",Summary!$P$6)</f>
        <v>46657</v>
      </c>
      <c r="H13" s="150" t="str">
        <f t="shared" si="2"/>
        <v>Green</v>
      </c>
      <c r="I13" s="148"/>
      <c r="J13" s="149"/>
      <c r="K13" s="148"/>
      <c r="L13" s="148"/>
      <c r="M13" s="148"/>
      <c r="N13" s="148" t="e">
        <f t="shared" si="3"/>
        <v>#REF!</v>
      </c>
      <c r="O13" s="148" t="e">
        <f>COUNTIFS(#REF!,"&gt;="&amp;DATE($C13,$B13,1),#REF!,"&lt;="&amp;EOMONTH(DATE($C13,$B13,1),0),#REF!,"Incident")+
COUNTIFS(#REF!,"&gt;="&amp;DATE($C13,$B13,1),#REF!,"&lt;="&amp;EOMONTH(DATE($C13,$B13,1),0),#REF!,"user_request")</f>
        <v>#REF!</v>
      </c>
      <c r="P13" s="147">
        <f t="shared" si="9"/>
        <v>0</v>
      </c>
      <c r="Q13" s="147">
        <f t="shared" si="10"/>
        <v>0</v>
      </c>
      <c r="R13" s="147">
        <f t="shared" si="11"/>
        <v>0</v>
      </c>
      <c r="S13" s="146" t="e">
        <f t="shared" si="12"/>
        <v>#REF!</v>
      </c>
      <c r="T13" s="146" t="e">
        <f t="shared" si="13"/>
        <v>#REF!</v>
      </c>
      <c r="U13" s="145">
        <f t="shared" si="4"/>
        <v>0</v>
      </c>
      <c r="V13" s="145" t="e">
        <f t="shared" si="5"/>
        <v>#REF!</v>
      </c>
      <c r="W13" s="142">
        <v>10</v>
      </c>
      <c r="X13" s="142" t="str">
        <f>+IF((VLOOKUP(A13,List!B:C,2,0)-VLOOKUP(Summary!$P$7,List!B:C,2,0))=0,1,"")</f>
        <v/>
      </c>
      <c r="Y13" s="198">
        <f>+IF((VLOOKUP(A13,List!B:C,2,0)-VLOOKUP(Summary!$P$7,List!B:C,2,0))&gt;=0,1,"")</f>
        <v>1</v>
      </c>
      <c r="Z13" s="198">
        <f>+IF((VLOOKUP(A13,List!B:C,2,0)-VLOOKUP(Summary!$P$7,List!B:C,2,0))&gt;0,1,"")</f>
        <v>1</v>
      </c>
      <c r="AA13" s="141">
        <f t="shared" si="6"/>
        <v>1</v>
      </c>
      <c r="AB13" s="199" t="str">
        <f>+IF(AA13="","",IF(Summary!$J$7="Fixed Price","",IF(M13="",IF(I13="","",1),"")))</f>
        <v/>
      </c>
      <c r="AC13" s="198">
        <f t="shared" si="14"/>
        <v>0</v>
      </c>
      <c r="AD13" s="198">
        <f>+IF(AA13="",+IF(N13&gt;#REF!,#REF!,IF(N13&gt;#REF!,#REF!,IF(N13&gt;#REF!,#REF!,IF(N13&gt;#REF!,#REF!,IF(N13&gt;#REF!,#REF!,IF(N13&gt;#REF!,#REF!,IF(N13&gt;#REF!,#REF!,IF(N13&gt;#REF!,#REF!,#REF!)))))))),0)</f>
        <v>0</v>
      </c>
    </row>
    <row r="14" spans="1:30" x14ac:dyDescent="0.2">
      <c r="A14" s="155" t="str">
        <f t="shared" si="0"/>
        <v>2026-7</v>
      </c>
      <c r="B14" s="154">
        <f t="shared" si="7"/>
        <v>7</v>
      </c>
      <c r="C14" s="153">
        <f t="shared" si="8"/>
        <v>2026</v>
      </c>
      <c r="D14" s="152" t="str">
        <f t="shared" si="1"/>
        <v>2026-7</v>
      </c>
      <c r="E14" s="159">
        <f>+IF($B14="","",Summary!$P$4)</f>
        <v>45929</v>
      </c>
      <c r="F14" s="159">
        <f>+IF($B14="","",Summary!$P$5)</f>
        <v>46657</v>
      </c>
      <c r="G14" s="159">
        <f>+IF($B14="","",Summary!$P$6)</f>
        <v>46657</v>
      </c>
      <c r="H14" s="158" t="str">
        <f t="shared" si="2"/>
        <v>Green</v>
      </c>
      <c r="I14" s="156"/>
      <c r="J14" s="157"/>
      <c r="K14" s="156"/>
      <c r="L14" s="156"/>
      <c r="M14" s="156"/>
      <c r="N14" s="156" t="e">
        <f t="shared" si="3"/>
        <v>#REF!</v>
      </c>
      <c r="O14" s="156" t="e">
        <f>COUNTIFS(#REF!,"&gt;="&amp;DATE($C14,$B14,1),#REF!,"&lt;="&amp;EOMONTH(DATE($C14,$B14,1),0),#REF!,"Incident")+
COUNTIFS(#REF!,"&gt;="&amp;DATE($C14,$B14,1),#REF!,"&lt;="&amp;EOMONTH(DATE($C14,$B14,1),0),#REF!,"user_request")</f>
        <v>#REF!</v>
      </c>
      <c r="P14" s="147">
        <f t="shared" si="9"/>
        <v>0</v>
      </c>
      <c r="Q14" s="147">
        <f t="shared" si="10"/>
        <v>0</v>
      </c>
      <c r="R14" s="147">
        <f t="shared" si="11"/>
        <v>0</v>
      </c>
      <c r="S14" s="146" t="e">
        <f t="shared" si="12"/>
        <v>#REF!</v>
      </c>
      <c r="T14" s="146" t="e">
        <f t="shared" si="13"/>
        <v>#REF!</v>
      </c>
      <c r="U14" s="145">
        <f t="shared" si="4"/>
        <v>0</v>
      </c>
      <c r="V14" s="145" t="e">
        <f t="shared" si="5"/>
        <v>#REF!</v>
      </c>
      <c r="W14" s="142">
        <v>11</v>
      </c>
      <c r="X14" s="142" t="str">
        <f>+IF((VLOOKUP(A14,List!B:C,2,0)-VLOOKUP(Summary!$P$7,List!B:C,2,0))=0,1,"")</f>
        <v/>
      </c>
      <c r="Y14" s="198">
        <f>+IF((VLOOKUP(A14,List!B:C,2,0)-VLOOKUP(Summary!$P$7,List!B:C,2,0))&gt;=0,1,"")</f>
        <v>1</v>
      </c>
      <c r="Z14" s="198">
        <f>+IF((VLOOKUP(A14,List!B:C,2,0)-VLOOKUP(Summary!$P$7,List!B:C,2,0))&gt;0,1,"")</f>
        <v>1</v>
      </c>
      <c r="AA14" s="141">
        <f t="shared" si="6"/>
        <v>1</v>
      </c>
      <c r="AB14" s="199" t="str">
        <f>+IF(AA14="","",IF(Summary!$J$7="Fixed Price","",IF(M14="",IF(I14="","",1),"")))</f>
        <v/>
      </c>
      <c r="AC14" s="198">
        <f t="shared" si="14"/>
        <v>0</v>
      </c>
      <c r="AD14" s="198">
        <f>+IF(AA14="",+IF(N14&gt;#REF!,#REF!,IF(N14&gt;#REF!,#REF!,IF(N14&gt;#REF!,#REF!,IF(N14&gt;#REF!,#REF!,IF(N14&gt;#REF!,#REF!,IF(N14&gt;#REF!,#REF!,IF(N14&gt;#REF!,#REF!,IF(N14&gt;#REF!,#REF!,#REF!)))))))),0)</f>
        <v>0</v>
      </c>
    </row>
    <row r="15" spans="1:30" x14ac:dyDescent="0.2">
      <c r="A15" s="155" t="str">
        <f t="shared" si="0"/>
        <v>2026-8</v>
      </c>
      <c r="B15" s="154">
        <f t="shared" si="7"/>
        <v>8</v>
      </c>
      <c r="C15" s="153">
        <f t="shared" si="8"/>
        <v>2026</v>
      </c>
      <c r="D15" s="152" t="str">
        <f t="shared" si="1"/>
        <v>2026-8</v>
      </c>
      <c r="E15" s="151">
        <f>+IF($B15="","",Summary!$P$4)</f>
        <v>45929</v>
      </c>
      <c r="F15" s="151">
        <f>+IF($B15="","",Summary!$P$5)</f>
        <v>46657</v>
      </c>
      <c r="G15" s="151">
        <f>+IF($B15="","",Summary!$P$6)</f>
        <v>46657</v>
      </c>
      <c r="H15" s="150" t="str">
        <f t="shared" si="2"/>
        <v>Green</v>
      </c>
      <c r="I15" s="148"/>
      <c r="J15" s="149"/>
      <c r="K15" s="148"/>
      <c r="L15" s="148"/>
      <c r="M15" s="148"/>
      <c r="N15" s="148" t="e">
        <f t="shared" si="3"/>
        <v>#REF!</v>
      </c>
      <c r="O15" s="148" t="e">
        <f>COUNTIFS(#REF!,"&gt;="&amp;DATE($C15,$B15,1),#REF!,"&lt;="&amp;EOMONTH(DATE($C15,$B15,1),0),#REF!,"Incident")+
COUNTIFS(#REF!,"&gt;="&amp;DATE($C15,$B15,1),#REF!,"&lt;="&amp;EOMONTH(DATE($C15,$B15,1),0),#REF!,"user_request")</f>
        <v>#REF!</v>
      </c>
      <c r="P15" s="147">
        <f t="shared" si="9"/>
        <v>0</v>
      </c>
      <c r="Q15" s="147">
        <f t="shared" si="10"/>
        <v>0</v>
      </c>
      <c r="R15" s="147">
        <f t="shared" si="11"/>
        <v>0</v>
      </c>
      <c r="S15" s="146" t="e">
        <f t="shared" si="12"/>
        <v>#REF!</v>
      </c>
      <c r="T15" s="146" t="e">
        <f t="shared" si="13"/>
        <v>#REF!</v>
      </c>
      <c r="U15" s="145">
        <f t="shared" si="4"/>
        <v>0</v>
      </c>
      <c r="V15" s="145" t="e">
        <f t="shared" si="5"/>
        <v>#REF!</v>
      </c>
      <c r="W15" s="142">
        <v>12</v>
      </c>
      <c r="X15" s="142" t="str">
        <f>+IF((VLOOKUP(A15,List!B:C,2,0)-VLOOKUP(Summary!$P$7,List!B:C,2,0))=0,1,"")</f>
        <v/>
      </c>
      <c r="Y15" s="198">
        <f>+IF((VLOOKUP(A15,List!B:C,2,0)-VLOOKUP(Summary!$P$7,List!B:C,2,0))&gt;=0,1,"")</f>
        <v>1</v>
      </c>
      <c r="Z15" s="198">
        <f>+IF((VLOOKUP(A15,List!B:C,2,0)-VLOOKUP(Summary!$P$7,List!B:C,2,0))&gt;0,1,"")</f>
        <v>1</v>
      </c>
      <c r="AA15" s="141">
        <f t="shared" si="6"/>
        <v>1</v>
      </c>
      <c r="AB15" s="199" t="str">
        <f>+IF(AA15="","",IF(Summary!$J$7="Fixed Price","",IF(M15="",IF(I15="","",1),"")))</f>
        <v/>
      </c>
      <c r="AC15" s="198">
        <f t="shared" si="14"/>
        <v>0</v>
      </c>
      <c r="AD15" s="198">
        <f>+IF(AA15="",+IF(N15&gt;#REF!,#REF!,IF(N15&gt;#REF!,#REF!,IF(N15&gt;#REF!,#REF!,IF(N15&gt;#REF!,#REF!,IF(N15&gt;#REF!,#REF!,IF(N15&gt;#REF!,#REF!,IF(N15&gt;#REF!,#REF!,IF(N15&gt;#REF!,#REF!,#REF!)))))))),0)</f>
        <v>0</v>
      </c>
    </row>
    <row r="16" spans="1:30" x14ac:dyDescent="0.2">
      <c r="A16" s="155" t="str">
        <f t="shared" si="0"/>
        <v>2026-9</v>
      </c>
      <c r="B16" s="154">
        <f t="shared" si="7"/>
        <v>9</v>
      </c>
      <c r="C16" s="153">
        <f t="shared" si="8"/>
        <v>2026</v>
      </c>
      <c r="D16" s="152" t="str">
        <f t="shared" si="1"/>
        <v>2026-9</v>
      </c>
      <c r="E16" s="159">
        <f>+IF($B16="","",Summary!$P$4)</f>
        <v>45929</v>
      </c>
      <c r="F16" s="159">
        <f>+IF($B16="","",Summary!$P$5)</f>
        <v>46657</v>
      </c>
      <c r="G16" s="159">
        <f>+IF($B16="","",Summary!$P$6)</f>
        <v>46657</v>
      </c>
      <c r="H16" s="158" t="str">
        <f t="shared" si="2"/>
        <v>Green</v>
      </c>
      <c r="I16" s="156"/>
      <c r="J16" s="160"/>
      <c r="K16" s="156"/>
      <c r="L16" s="156"/>
      <c r="M16" s="156"/>
      <c r="N16" s="156" t="e">
        <f t="shared" si="3"/>
        <v>#REF!</v>
      </c>
      <c r="O16" s="156" t="e">
        <f>COUNTIFS(#REF!,"&gt;="&amp;DATE($C16,$B16,1),#REF!,"&lt;="&amp;EOMONTH(DATE($C16,$B16,1),0),#REF!,"Incident")+
COUNTIFS(#REF!,"&gt;="&amp;DATE($C16,$B16,1),#REF!,"&lt;="&amp;EOMONTH(DATE($C16,$B16,1),0),#REF!,"user_request")</f>
        <v>#REF!</v>
      </c>
      <c r="P16" s="147">
        <f t="shared" si="9"/>
        <v>0</v>
      </c>
      <c r="Q16" s="147">
        <f t="shared" si="10"/>
        <v>0</v>
      </c>
      <c r="R16" s="147">
        <f t="shared" si="11"/>
        <v>0</v>
      </c>
      <c r="S16" s="146" t="e">
        <f t="shared" si="12"/>
        <v>#REF!</v>
      </c>
      <c r="T16" s="146" t="e">
        <f t="shared" si="13"/>
        <v>#REF!</v>
      </c>
      <c r="U16" s="145">
        <f t="shared" si="4"/>
        <v>0</v>
      </c>
      <c r="V16" s="145" t="e">
        <f t="shared" si="5"/>
        <v>#REF!</v>
      </c>
      <c r="W16" s="142">
        <v>13</v>
      </c>
      <c r="X16" s="142" t="str">
        <f>+IF((VLOOKUP(A16,List!B:C,2,0)-VLOOKUP(Summary!$P$7,List!B:C,2,0))=0,1,"")</f>
        <v/>
      </c>
      <c r="Y16" s="198">
        <f>+IF((VLOOKUP(A16,List!B:C,2,0)-VLOOKUP(Summary!$P$7,List!B:C,2,0))&gt;=0,1,"")</f>
        <v>1</v>
      </c>
      <c r="Z16" s="198">
        <f>+IF((VLOOKUP(A16,List!B:C,2,0)-VLOOKUP(Summary!$P$7,List!B:C,2,0))&gt;0,1,"")</f>
        <v>1</v>
      </c>
      <c r="AA16" s="141">
        <f t="shared" si="6"/>
        <v>1</v>
      </c>
      <c r="AB16" s="199" t="str">
        <f>+IF(AA16="","",IF(Summary!$J$7="Fixed Price","",IF(M16="",IF(I16="","",1),"")))</f>
        <v/>
      </c>
      <c r="AC16" s="198">
        <f t="shared" si="14"/>
        <v>0</v>
      </c>
      <c r="AD16" s="198">
        <f>+IF(AA16="",+IF(N16&gt;#REF!,#REF!,IF(N16&gt;#REF!,#REF!,IF(N16&gt;#REF!,#REF!,IF(N16&gt;#REF!,#REF!,IF(N16&gt;#REF!,#REF!,IF(N16&gt;#REF!,#REF!,IF(N16&gt;#REF!,#REF!,IF(N16&gt;#REF!,#REF!,#REF!)))))))),0)</f>
        <v>0</v>
      </c>
    </row>
    <row r="17" spans="1:30" x14ac:dyDescent="0.2">
      <c r="A17" s="155" t="str">
        <f t="shared" si="0"/>
        <v>2026-10</v>
      </c>
      <c r="B17" s="154">
        <f t="shared" si="7"/>
        <v>10</v>
      </c>
      <c r="C17" s="153">
        <f t="shared" si="8"/>
        <v>2026</v>
      </c>
      <c r="D17" s="152" t="str">
        <f t="shared" si="1"/>
        <v>2026-10</v>
      </c>
      <c r="E17" s="151">
        <f>+IF($B17="","",Summary!$P$4)</f>
        <v>45929</v>
      </c>
      <c r="F17" s="151">
        <f>+IF($B17="","",Summary!$P$5)</f>
        <v>46657</v>
      </c>
      <c r="G17" s="151">
        <f>+IF($B17="","",Summary!$P$6)</f>
        <v>46657</v>
      </c>
      <c r="H17" s="150" t="str">
        <f t="shared" si="2"/>
        <v>Green</v>
      </c>
      <c r="I17" s="148"/>
      <c r="J17" s="161"/>
      <c r="K17" s="148"/>
      <c r="L17" s="148"/>
      <c r="M17" s="148"/>
      <c r="N17" s="148" t="e">
        <f t="shared" si="3"/>
        <v>#REF!</v>
      </c>
      <c r="O17" s="148" t="e">
        <f>COUNTIFS(#REF!,"&gt;="&amp;DATE($C17,$B17,1),#REF!,"&lt;="&amp;EOMONTH(DATE($C17,$B17,1),0),#REF!,"Incident")+
COUNTIFS(#REF!,"&gt;="&amp;DATE($C17,$B17,1),#REF!,"&lt;="&amp;EOMONTH(DATE($C17,$B17,1),0),#REF!,"user_request")</f>
        <v>#REF!</v>
      </c>
      <c r="P17" s="147">
        <f t="shared" si="9"/>
        <v>0</v>
      </c>
      <c r="Q17" s="147">
        <f t="shared" si="10"/>
        <v>0</v>
      </c>
      <c r="R17" s="147">
        <f t="shared" si="11"/>
        <v>0</v>
      </c>
      <c r="S17" s="146" t="e">
        <f t="shared" si="12"/>
        <v>#REF!</v>
      </c>
      <c r="T17" s="146" t="e">
        <f t="shared" si="13"/>
        <v>#REF!</v>
      </c>
      <c r="U17" s="145">
        <f t="shared" si="4"/>
        <v>0</v>
      </c>
      <c r="V17" s="145" t="e">
        <f t="shared" si="5"/>
        <v>#REF!</v>
      </c>
      <c r="W17" s="142">
        <v>14</v>
      </c>
      <c r="X17" s="142" t="str">
        <f>+IF((VLOOKUP(A17,List!B:C,2,0)-VLOOKUP(Summary!$P$7,List!B:C,2,0))=0,1,"")</f>
        <v/>
      </c>
      <c r="Y17" s="198">
        <f>+IF((VLOOKUP(A17,List!B:C,2,0)-VLOOKUP(Summary!$P$7,List!B:C,2,0))&gt;=0,1,"")</f>
        <v>1</v>
      </c>
      <c r="Z17" s="198">
        <f>+IF((VLOOKUP(A17,List!B:C,2,0)-VLOOKUP(Summary!$P$7,List!B:C,2,0))&gt;0,1,"")</f>
        <v>1</v>
      </c>
      <c r="AA17" s="141">
        <f t="shared" si="6"/>
        <v>1</v>
      </c>
      <c r="AB17" s="199" t="str">
        <f>+IF(AA17="","",IF(Summary!$J$7="Fixed Price","",IF(M17="",IF(I17="","",1),"")))</f>
        <v/>
      </c>
      <c r="AC17" s="198">
        <f t="shared" si="14"/>
        <v>0</v>
      </c>
      <c r="AD17" s="198">
        <f>+IF(AA17="",+IF(N17&gt;#REF!,#REF!,IF(N17&gt;#REF!,#REF!,IF(N17&gt;#REF!,#REF!,IF(N17&gt;#REF!,#REF!,IF(N17&gt;#REF!,#REF!,IF(N17&gt;#REF!,#REF!,IF(N17&gt;#REF!,#REF!,IF(N17&gt;#REF!,#REF!,#REF!)))))))),0)</f>
        <v>0</v>
      </c>
    </row>
    <row r="18" spans="1:30" x14ac:dyDescent="0.2">
      <c r="A18" s="155" t="str">
        <f t="shared" si="0"/>
        <v>2026-11</v>
      </c>
      <c r="B18" s="154">
        <f t="shared" si="7"/>
        <v>11</v>
      </c>
      <c r="C18" s="153">
        <f t="shared" si="8"/>
        <v>2026</v>
      </c>
      <c r="D18" s="152" t="str">
        <f t="shared" si="1"/>
        <v>2026-11</v>
      </c>
      <c r="E18" s="159">
        <f>+IF($B18="","",Summary!$P$4)</f>
        <v>45929</v>
      </c>
      <c r="F18" s="159">
        <f>+IF($B18="","",Summary!$P$5)</f>
        <v>46657</v>
      </c>
      <c r="G18" s="159">
        <f>+IF($B18="","",Summary!$P$6)</f>
        <v>46657</v>
      </c>
      <c r="H18" s="158" t="str">
        <f t="shared" si="2"/>
        <v>Green</v>
      </c>
      <c r="I18" s="156"/>
      <c r="J18" s="160"/>
      <c r="K18" s="156"/>
      <c r="L18" s="156"/>
      <c r="M18" s="156"/>
      <c r="N18" s="156" t="e">
        <f t="shared" si="3"/>
        <v>#REF!</v>
      </c>
      <c r="O18" s="156" t="e">
        <f>COUNTIFS(#REF!,"&gt;="&amp;DATE($C18,$B18,1),#REF!,"&lt;="&amp;EOMONTH(DATE($C18,$B18,1),0),#REF!,"Incident")+
COUNTIFS(#REF!,"&gt;="&amp;DATE($C18,$B18,1),#REF!,"&lt;="&amp;EOMONTH(DATE($C18,$B18,1),0),#REF!,"user_request")</f>
        <v>#REF!</v>
      </c>
      <c r="P18" s="147">
        <f t="shared" si="9"/>
        <v>0</v>
      </c>
      <c r="Q18" s="147">
        <f t="shared" si="10"/>
        <v>0</v>
      </c>
      <c r="R18" s="147">
        <f t="shared" si="11"/>
        <v>0</v>
      </c>
      <c r="S18" s="146" t="e">
        <f t="shared" si="12"/>
        <v>#REF!</v>
      </c>
      <c r="T18" s="146" t="e">
        <f t="shared" si="13"/>
        <v>#REF!</v>
      </c>
      <c r="U18" s="145">
        <f t="shared" si="4"/>
        <v>0</v>
      </c>
      <c r="V18" s="145" t="e">
        <f t="shared" si="5"/>
        <v>#REF!</v>
      </c>
      <c r="W18" s="142">
        <v>15</v>
      </c>
      <c r="X18" s="142" t="str">
        <f>+IF((VLOOKUP(A18,List!B:C,2,0)-VLOOKUP(Summary!$P$7,List!B:C,2,0))=0,1,"")</f>
        <v/>
      </c>
      <c r="Y18" s="198">
        <f>+IF((VLOOKUP(A18,List!B:C,2,0)-VLOOKUP(Summary!$P$7,List!B:C,2,0))&gt;=0,1,"")</f>
        <v>1</v>
      </c>
      <c r="Z18" s="198">
        <f>+IF((VLOOKUP(A18,List!B:C,2,0)-VLOOKUP(Summary!$P$7,List!B:C,2,0))&gt;0,1,"")</f>
        <v>1</v>
      </c>
      <c r="AA18" s="141">
        <f t="shared" si="6"/>
        <v>1</v>
      </c>
      <c r="AB18" s="199" t="str">
        <f>+IF(AA18="","",IF(Summary!$J$7="Fixed Price","",IF(M18="",IF(I18="","",1),"")))</f>
        <v/>
      </c>
      <c r="AC18" s="198">
        <f t="shared" si="14"/>
        <v>0</v>
      </c>
      <c r="AD18" s="198">
        <f>+IF(AA18="",+IF(N18&gt;#REF!,#REF!,IF(N18&gt;#REF!,#REF!,IF(N18&gt;#REF!,#REF!,IF(N18&gt;#REF!,#REF!,IF(N18&gt;#REF!,#REF!,IF(N18&gt;#REF!,#REF!,IF(N18&gt;#REF!,#REF!,IF(N18&gt;#REF!,#REF!,#REF!)))))))),0)</f>
        <v>0</v>
      </c>
    </row>
    <row r="19" spans="1:30" x14ac:dyDescent="0.2">
      <c r="A19" s="155" t="str">
        <f t="shared" si="0"/>
        <v>2026-12</v>
      </c>
      <c r="B19" s="154">
        <f t="shared" si="7"/>
        <v>12</v>
      </c>
      <c r="C19" s="153">
        <f t="shared" si="8"/>
        <v>2026</v>
      </c>
      <c r="D19" s="152" t="str">
        <f t="shared" si="1"/>
        <v>2026-12</v>
      </c>
      <c r="E19" s="151">
        <f>+IF($B19="","",Summary!$P$4)</f>
        <v>45929</v>
      </c>
      <c r="F19" s="151">
        <f>+IF($B19="","",Summary!$P$5)</f>
        <v>46657</v>
      </c>
      <c r="G19" s="151">
        <f>+IF($B19="","",Summary!$P$6)</f>
        <v>46657</v>
      </c>
      <c r="H19" s="150" t="str">
        <f t="shared" si="2"/>
        <v>Green</v>
      </c>
      <c r="I19" s="148"/>
      <c r="J19" s="161"/>
      <c r="K19" s="148"/>
      <c r="L19" s="148"/>
      <c r="M19" s="148"/>
      <c r="N19" s="148" t="e">
        <f t="shared" si="3"/>
        <v>#REF!</v>
      </c>
      <c r="O19" s="148" t="e">
        <f>COUNTIFS(#REF!,"&gt;="&amp;DATE($C19,$B19,1),#REF!,"&lt;="&amp;EOMONTH(DATE($C19,$B19,1),0),#REF!,"Incident")+
COUNTIFS(#REF!,"&gt;="&amp;DATE($C19,$B19,1),#REF!,"&lt;="&amp;EOMONTH(DATE($C19,$B19,1),0),#REF!,"user_request")</f>
        <v>#REF!</v>
      </c>
      <c r="P19" s="147">
        <f t="shared" si="9"/>
        <v>0</v>
      </c>
      <c r="Q19" s="147">
        <f t="shared" si="10"/>
        <v>0</v>
      </c>
      <c r="R19" s="147">
        <f t="shared" si="11"/>
        <v>0</v>
      </c>
      <c r="S19" s="146" t="e">
        <f t="shared" si="12"/>
        <v>#REF!</v>
      </c>
      <c r="T19" s="146" t="e">
        <f t="shared" si="13"/>
        <v>#REF!</v>
      </c>
      <c r="U19" s="145">
        <f t="shared" si="4"/>
        <v>0</v>
      </c>
      <c r="V19" s="145" t="e">
        <f t="shared" si="5"/>
        <v>#REF!</v>
      </c>
      <c r="W19" s="142">
        <v>16</v>
      </c>
      <c r="X19" s="142" t="str">
        <f>+IF((VLOOKUP(A19,List!B:C,2,0)-VLOOKUP(Summary!$P$7,List!B:C,2,0))=0,1,"")</f>
        <v/>
      </c>
      <c r="Y19" s="198">
        <f>+IF((VLOOKUP(A19,List!B:C,2,0)-VLOOKUP(Summary!$P$7,List!B:C,2,0))&gt;=0,1,"")</f>
        <v>1</v>
      </c>
      <c r="Z19" s="198">
        <f>+IF((VLOOKUP(A19,List!B:C,2,0)-VLOOKUP(Summary!$P$7,List!B:C,2,0))&gt;0,1,"")</f>
        <v>1</v>
      </c>
      <c r="AA19" s="141">
        <f t="shared" si="6"/>
        <v>1</v>
      </c>
      <c r="AB19" s="199" t="str">
        <f>+IF(AA19="","",IF(Summary!$J$7="Fixed Price","",IF(M19="",IF(I19="","",1),"")))</f>
        <v/>
      </c>
      <c r="AC19" s="198">
        <f t="shared" si="14"/>
        <v>0</v>
      </c>
      <c r="AD19" s="198">
        <f>+IF(AA19="",+IF(N19&gt;#REF!,#REF!,IF(N19&gt;#REF!,#REF!,IF(N19&gt;#REF!,#REF!,IF(N19&gt;#REF!,#REF!,IF(N19&gt;#REF!,#REF!,IF(N19&gt;#REF!,#REF!,IF(N19&gt;#REF!,#REF!,IF(N19&gt;#REF!,#REF!,#REF!)))))))),0)</f>
        <v>0</v>
      </c>
    </row>
    <row r="20" spans="1:30" x14ac:dyDescent="0.2">
      <c r="A20" s="155" t="str">
        <f t="shared" si="0"/>
        <v>2027-1</v>
      </c>
      <c r="B20" s="154">
        <f t="shared" si="7"/>
        <v>1</v>
      </c>
      <c r="C20" s="153">
        <f t="shared" si="8"/>
        <v>2027</v>
      </c>
      <c r="D20" s="152" t="str">
        <f t="shared" si="1"/>
        <v>2027-1</v>
      </c>
      <c r="E20" s="159">
        <f>+IF($B20="","",Summary!$P$4)</f>
        <v>45929</v>
      </c>
      <c r="F20" s="159">
        <f>+IF($B20="","",Summary!$P$5)</f>
        <v>46657</v>
      </c>
      <c r="G20" s="159">
        <f>+IF($B20="","",Summary!$P$6)</f>
        <v>46657</v>
      </c>
      <c r="H20" s="158" t="str">
        <f t="shared" si="2"/>
        <v>Green</v>
      </c>
      <c r="I20" s="156"/>
      <c r="J20" s="160"/>
      <c r="K20" s="156"/>
      <c r="L20" s="156"/>
      <c r="M20" s="156"/>
      <c r="N20" s="156" t="e">
        <f t="shared" si="3"/>
        <v>#REF!</v>
      </c>
      <c r="O20" s="156" t="e">
        <f>COUNTIFS(#REF!,"&gt;="&amp;DATE($C20,$B20,1),#REF!,"&lt;="&amp;EOMONTH(DATE($C20,$B20,1),0),#REF!,"Incident")+
COUNTIFS(#REF!,"&gt;="&amp;DATE($C20,$B20,1),#REF!,"&lt;="&amp;EOMONTH(DATE($C20,$B20,1),0),#REF!,"user_request")</f>
        <v>#REF!</v>
      </c>
      <c r="P20" s="147">
        <f t="shared" si="9"/>
        <v>0</v>
      </c>
      <c r="Q20" s="147">
        <f t="shared" si="10"/>
        <v>0</v>
      </c>
      <c r="R20" s="147">
        <f t="shared" si="11"/>
        <v>0</v>
      </c>
      <c r="S20" s="146" t="e">
        <f t="shared" si="12"/>
        <v>#REF!</v>
      </c>
      <c r="T20" s="146" t="e">
        <f t="shared" si="13"/>
        <v>#REF!</v>
      </c>
      <c r="U20" s="145">
        <f t="shared" si="4"/>
        <v>0</v>
      </c>
      <c r="V20" s="145" t="e">
        <f t="shared" si="5"/>
        <v>#REF!</v>
      </c>
      <c r="W20" s="142">
        <v>17</v>
      </c>
      <c r="X20" s="142" t="str">
        <f>+IF((VLOOKUP(A20,List!B:C,2,0)-VLOOKUP(Summary!$P$7,List!B:C,2,0))=0,1,"")</f>
        <v/>
      </c>
      <c r="Y20" s="198">
        <f>+IF((VLOOKUP(A20,List!B:C,2,0)-VLOOKUP(Summary!$P$7,List!B:C,2,0))&gt;=0,1,"")</f>
        <v>1</v>
      </c>
      <c r="Z20" s="198">
        <f>+IF((VLOOKUP(A20,List!B:C,2,0)-VLOOKUP(Summary!$P$7,List!B:C,2,0))&gt;0,1,"")</f>
        <v>1</v>
      </c>
      <c r="AA20" s="141">
        <f t="shared" si="6"/>
        <v>1</v>
      </c>
      <c r="AB20" s="199" t="str">
        <f>+IF(AA20="","",IF(Summary!$J$7="Fixed Price","",IF(M20="",IF(I20="","",1),"")))</f>
        <v/>
      </c>
      <c r="AC20" s="198">
        <f t="shared" si="14"/>
        <v>0</v>
      </c>
      <c r="AD20" s="198">
        <f>+IF(AA20="",+IF(N20&gt;#REF!,#REF!,IF(N20&gt;#REF!,#REF!,IF(N20&gt;#REF!,#REF!,IF(N20&gt;#REF!,#REF!,IF(N20&gt;#REF!,#REF!,IF(N20&gt;#REF!,#REF!,IF(N20&gt;#REF!,#REF!,IF(N20&gt;#REF!,#REF!,#REF!)))))))),0)</f>
        <v>0</v>
      </c>
    </row>
    <row r="21" spans="1:30" x14ac:dyDescent="0.2">
      <c r="A21" s="155" t="str">
        <f t="shared" si="0"/>
        <v>2027-2</v>
      </c>
      <c r="B21" s="154">
        <f t="shared" si="7"/>
        <v>2</v>
      </c>
      <c r="C21" s="153">
        <f t="shared" si="8"/>
        <v>2027</v>
      </c>
      <c r="D21" s="152" t="str">
        <f t="shared" si="1"/>
        <v>2027-2</v>
      </c>
      <c r="E21" s="151">
        <f>+IF($B21="","",Summary!$P$4)</f>
        <v>45929</v>
      </c>
      <c r="F21" s="151">
        <f>+IF($B21="","",Summary!$P$5)</f>
        <v>46657</v>
      </c>
      <c r="G21" s="151">
        <f>+IF($B21="","",Summary!$P$6)</f>
        <v>46657</v>
      </c>
      <c r="H21" s="150" t="str">
        <f t="shared" si="2"/>
        <v>Green</v>
      </c>
      <c r="I21" s="148"/>
      <c r="J21" s="161"/>
      <c r="K21" s="148"/>
      <c r="L21" s="148"/>
      <c r="M21" s="148"/>
      <c r="N21" s="148" t="e">
        <f t="shared" si="3"/>
        <v>#REF!</v>
      </c>
      <c r="O21" s="148" t="e">
        <f>COUNTIFS(#REF!,"&gt;="&amp;DATE($C21,$B21,1),#REF!,"&lt;="&amp;EOMONTH(DATE($C21,$B21,1),0),#REF!,"Incident")+
COUNTIFS(#REF!,"&gt;="&amp;DATE($C21,$B21,1),#REF!,"&lt;="&amp;EOMONTH(DATE($C21,$B21,1),0),#REF!,"user_request")</f>
        <v>#REF!</v>
      </c>
      <c r="P21" s="147">
        <f t="shared" si="9"/>
        <v>0</v>
      </c>
      <c r="Q21" s="147">
        <f t="shared" si="10"/>
        <v>0</v>
      </c>
      <c r="R21" s="147">
        <f t="shared" si="11"/>
        <v>0</v>
      </c>
      <c r="S21" s="146" t="e">
        <f t="shared" si="12"/>
        <v>#REF!</v>
      </c>
      <c r="T21" s="146" t="e">
        <f t="shared" si="13"/>
        <v>#REF!</v>
      </c>
      <c r="U21" s="145">
        <f t="shared" si="4"/>
        <v>0</v>
      </c>
      <c r="V21" s="145" t="e">
        <f t="shared" si="5"/>
        <v>#REF!</v>
      </c>
      <c r="W21" s="142">
        <v>18</v>
      </c>
      <c r="X21" s="142" t="str">
        <f>+IF((VLOOKUP(A21,List!B:C,2,0)-VLOOKUP(Summary!$P$7,List!B:C,2,0))=0,1,"")</f>
        <v/>
      </c>
      <c r="Y21" s="198">
        <f>+IF((VLOOKUP(A21,List!B:C,2,0)-VLOOKUP(Summary!$P$7,List!B:C,2,0))&gt;=0,1,"")</f>
        <v>1</v>
      </c>
      <c r="Z21" s="198">
        <f>+IF((VLOOKUP(A21,List!B:C,2,0)-VLOOKUP(Summary!$P$7,List!B:C,2,0))&gt;0,1,"")</f>
        <v>1</v>
      </c>
      <c r="AA21" s="141">
        <f t="shared" si="6"/>
        <v>1</v>
      </c>
      <c r="AB21" s="199" t="str">
        <f>+IF(AA21="","",IF(Summary!$J$7="Fixed Price","",IF(M21="",IF(I21="","",1),"")))</f>
        <v/>
      </c>
      <c r="AC21" s="198">
        <f t="shared" si="14"/>
        <v>0</v>
      </c>
      <c r="AD21" s="198">
        <f>+IF(AA21="",+IF(N21&gt;#REF!,#REF!,IF(N21&gt;#REF!,#REF!,IF(N21&gt;#REF!,#REF!,IF(N21&gt;#REF!,#REF!,IF(N21&gt;#REF!,#REF!,IF(N21&gt;#REF!,#REF!,IF(N21&gt;#REF!,#REF!,IF(N21&gt;#REF!,#REF!,#REF!)))))))),0)</f>
        <v>0</v>
      </c>
    </row>
    <row r="22" spans="1:30" x14ac:dyDescent="0.2">
      <c r="A22" s="155" t="str">
        <f t="shared" si="0"/>
        <v>2027-3</v>
      </c>
      <c r="B22" s="154">
        <f t="shared" si="7"/>
        <v>3</v>
      </c>
      <c r="C22" s="153">
        <f t="shared" si="8"/>
        <v>2027</v>
      </c>
      <c r="D22" s="152" t="str">
        <f t="shared" si="1"/>
        <v>2027-3</v>
      </c>
      <c r="E22" s="159">
        <f>+IF($B22="","",Summary!$P$4)</f>
        <v>45929</v>
      </c>
      <c r="F22" s="159">
        <f>+IF($B22="","",Summary!$P$5)</f>
        <v>46657</v>
      </c>
      <c r="G22" s="159">
        <f>+IF($B22="","",Summary!$P$6)</f>
        <v>46657</v>
      </c>
      <c r="H22" s="158" t="str">
        <f t="shared" si="2"/>
        <v>Green</v>
      </c>
      <c r="I22" s="156"/>
      <c r="J22" s="160"/>
      <c r="K22" s="156"/>
      <c r="L22" s="156"/>
      <c r="M22" s="156"/>
      <c r="N22" s="156" t="e">
        <f t="shared" si="3"/>
        <v>#REF!</v>
      </c>
      <c r="O22" s="156" t="e">
        <f>COUNTIFS(#REF!,"&gt;="&amp;DATE($C22,$B22,1),#REF!,"&lt;="&amp;EOMONTH(DATE($C22,$B22,1),0),#REF!,"Incident")+
COUNTIFS(#REF!,"&gt;="&amp;DATE($C22,$B22,1),#REF!,"&lt;="&amp;EOMONTH(DATE($C22,$B22,1),0),#REF!,"user_request")</f>
        <v>#REF!</v>
      </c>
      <c r="P22" s="147">
        <f t="shared" si="9"/>
        <v>0</v>
      </c>
      <c r="Q22" s="147">
        <f t="shared" si="10"/>
        <v>0</v>
      </c>
      <c r="R22" s="147">
        <f t="shared" si="11"/>
        <v>0</v>
      </c>
      <c r="S22" s="146" t="e">
        <f t="shared" si="12"/>
        <v>#REF!</v>
      </c>
      <c r="T22" s="146" t="e">
        <f t="shared" si="13"/>
        <v>#REF!</v>
      </c>
      <c r="U22" s="145">
        <f t="shared" si="4"/>
        <v>0</v>
      </c>
      <c r="V22" s="145" t="e">
        <f t="shared" si="5"/>
        <v>#REF!</v>
      </c>
      <c r="W22" s="142">
        <v>19</v>
      </c>
      <c r="X22" s="142" t="str">
        <f>+IF((VLOOKUP(A22,List!B:C,2,0)-VLOOKUP(Summary!$P$7,List!B:C,2,0))=0,1,"")</f>
        <v/>
      </c>
      <c r="Y22" s="198">
        <f>+IF((VLOOKUP(A22,List!B:C,2,0)-VLOOKUP(Summary!$P$7,List!B:C,2,0))&gt;=0,1,"")</f>
        <v>1</v>
      </c>
      <c r="Z22" s="198">
        <f>+IF((VLOOKUP(A22,List!B:C,2,0)-VLOOKUP(Summary!$P$7,List!B:C,2,0))&gt;0,1,"")</f>
        <v>1</v>
      </c>
      <c r="AA22" s="141">
        <f t="shared" si="6"/>
        <v>1</v>
      </c>
      <c r="AB22" s="199" t="str">
        <f>+IF(AA22="","",IF(Summary!$J$7="Fixed Price","",IF(M22="",IF(I22="","",1),"")))</f>
        <v/>
      </c>
      <c r="AC22" s="198">
        <f t="shared" si="14"/>
        <v>0</v>
      </c>
      <c r="AD22" s="198">
        <f>+IF(AA22="",+IF(N22&gt;#REF!,#REF!,IF(N22&gt;#REF!,#REF!,IF(N22&gt;#REF!,#REF!,IF(N22&gt;#REF!,#REF!,IF(N22&gt;#REF!,#REF!,IF(N22&gt;#REF!,#REF!,IF(N22&gt;#REF!,#REF!,IF(N22&gt;#REF!,#REF!,#REF!)))))))),0)</f>
        <v>0</v>
      </c>
    </row>
    <row r="23" spans="1:30" x14ac:dyDescent="0.2">
      <c r="A23" s="155" t="str">
        <f t="shared" si="0"/>
        <v>2027-4</v>
      </c>
      <c r="B23" s="154">
        <f t="shared" si="7"/>
        <v>4</v>
      </c>
      <c r="C23" s="153">
        <f t="shared" si="8"/>
        <v>2027</v>
      </c>
      <c r="D23" s="152" t="str">
        <f t="shared" si="1"/>
        <v>2027-4</v>
      </c>
      <c r="E23" s="151">
        <f>+IF($B23="","",Summary!$P$4)</f>
        <v>45929</v>
      </c>
      <c r="F23" s="151">
        <f>+IF($B23="","",Summary!$P$5)</f>
        <v>46657</v>
      </c>
      <c r="G23" s="151">
        <f>+IF($B23="","",Summary!$P$6)</f>
        <v>46657</v>
      </c>
      <c r="H23" s="150" t="str">
        <f t="shared" si="2"/>
        <v>Green</v>
      </c>
      <c r="I23" s="148"/>
      <c r="J23" s="148"/>
      <c r="K23" s="148"/>
      <c r="L23" s="148"/>
      <c r="M23" s="148"/>
      <c r="N23" s="148" t="e">
        <f t="shared" si="3"/>
        <v>#REF!</v>
      </c>
      <c r="O23" s="148" t="e">
        <f>COUNTIFS(#REF!,"&gt;="&amp;DATE($C23,$B23,1),#REF!,"&lt;="&amp;EOMONTH(DATE($C23,$B23,1),0),#REF!,"Incident")+
COUNTIFS(#REF!,"&gt;="&amp;DATE($C23,$B23,1),#REF!,"&lt;="&amp;EOMONTH(DATE($C23,$B23,1),0),#REF!,"user_request")</f>
        <v>#REF!</v>
      </c>
      <c r="P23" s="147">
        <f t="shared" si="9"/>
        <v>0</v>
      </c>
      <c r="Q23" s="147">
        <f t="shared" si="10"/>
        <v>0</v>
      </c>
      <c r="R23" s="147">
        <f t="shared" si="11"/>
        <v>0</v>
      </c>
      <c r="S23" s="146" t="e">
        <f t="shared" si="12"/>
        <v>#REF!</v>
      </c>
      <c r="T23" s="146" t="e">
        <f t="shared" si="13"/>
        <v>#REF!</v>
      </c>
      <c r="U23" s="145">
        <f t="shared" si="4"/>
        <v>0</v>
      </c>
      <c r="V23" s="145" t="e">
        <f t="shared" si="5"/>
        <v>#REF!</v>
      </c>
      <c r="W23" s="142">
        <v>20</v>
      </c>
      <c r="X23" s="142" t="str">
        <f>+IF((VLOOKUP(A23,List!B:C,2,0)-VLOOKUP(Summary!$P$7,List!B:C,2,0))=0,1,"")</f>
        <v/>
      </c>
      <c r="Y23" s="198">
        <f>+IF((VLOOKUP(A23,List!B:C,2,0)-VLOOKUP(Summary!$P$7,List!B:C,2,0))&gt;=0,1,"")</f>
        <v>1</v>
      </c>
      <c r="Z23" s="198">
        <f>+IF((VLOOKUP(A23,List!B:C,2,0)-VLOOKUP(Summary!$P$7,List!B:C,2,0))&gt;0,1,"")</f>
        <v>1</v>
      </c>
      <c r="AA23" s="141">
        <f t="shared" si="6"/>
        <v>1</v>
      </c>
      <c r="AB23" s="199" t="str">
        <f>+IF(AA23="","",IF(Summary!$J$7="Fixed Price","",IF(M23="",IF(I23="","",1),"")))</f>
        <v/>
      </c>
      <c r="AC23" s="198">
        <f t="shared" si="14"/>
        <v>0</v>
      </c>
      <c r="AD23" s="198">
        <f>+IF(AA23="",+IF(N23&gt;#REF!,#REF!,IF(N23&gt;#REF!,#REF!,IF(N23&gt;#REF!,#REF!,IF(N23&gt;#REF!,#REF!,IF(N23&gt;#REF!,#REF!,IF(N23&gt;#REF!,#REF!,IF(N23&gt;#REF!,#REF!,IF(N23&gt;#REF!,#REF!,#REF!)))))))),0)</f>
        <v>0</v>
      </c>
    </row>
    <row r="24" spans="1:30" x14ac:dyDescent="0.2">
      <c r="A24" s="155" t="str">
        <f t="shared" si="0"/>
        <v>2027-5</v>
      </c>
      <c r="B24" s="154">
        <f t="shared" si="7"/>
        <v>5</v>
      </c>
      <c r="C24" s="153">
        <f t="shared" si="8"/>
        <v>2027</v>
      </c>
      <c r="D24" s="152" t="str">
        <f t="shared" si="1"/>
        <v>2027-5</v>
      </c>
      <c r="E24" s="159">
        <f>+IF($B24="","",Summary!$P$4)</f>
        <v>45929</v>
      </c>
      <c r="F24" s="159">
        <f>+IF($B24="","",Summary!$P$5)</f>
        <v>46657</v>
      </c>
      <c r="G24" s="159">
        <f>+IF($B24="","",Summary!$P$6)</f>
        <v>46657</v>
      </c>
      <c r="H24" s="158" t="str">
        <f t="shared" si="2"/>
        <v>Green</v>
      </c>
      <c r="I24" s="156"/>
      <c r="J24" s="156"/>
      <c r="K24" s="156"/>
      <c r="L24" s="156"/>
      <c r="M24" s="156"/>
      <c r="N24" s="156" t="e">
        <f t="shared" si="3"/>
        <v>#REF!</v>
      </c>
      <c r="O24" s="156" t="e">
        <f>COUNTIFS(#REF!,"&gt;="&amp;DATE($C24,$B24,1),#REF!,"&lt;="&amp;EOMONTH(DATE($C24,$B24,1),0),#REF!,"Incident")+
COUNTIFS(#REF!,"&gt;="&amp;DATE($C24,$B24,1),#REF!,"&lt;="&amp;EOMONTH(DATE($C24,$B24,1),0),#REF!,"user_request")</f>
        <v>#REF!</v>
      </c>
      <c r="P24" s="147">
        <f t="shared" si="9"/>
        <v>0</v>
      </c>
      <c r="Q24" s="147">
        <f t="shared" si="10"/>
        <v>0</v>
      </c>
      <c r="R24" s="147">
        <f t="shared" si="11"/>
        <v>0</v>
      </c>
      <c r="S24" s="146" t="e">
        <f t="shared" si="12"/>
        <v>#REF!</v>
      </c>
      <c r="T24" s="146" t="e">
        <f t="shared" si="13"/>
        <v>#REF!</v>
      </c>
      <c r="U24" s="145">
        <f t="shared" si="4"/>
        <v>0</v>
      </c>
      <c r="V24" s="145" t="e">
        <f t="shared" si="5"/>
        <v>#REF!</v>
      </c>
      <c r="W24" s="142">
        <v>21</v>
      </c>
      <c r="X24" s="142" t="str">
        <f>+IF((VLOOKUP(A24,List!B:C,2,0)-VLOOKUP(Summary!$P$7,List!B:C,2,0))=0,1,"")</f>
        <v/>
      </c>
      <c r="Y24" s="198">
        <f>+IF((VLOOKUP(A24,List!B:C,2,0)-VLOOKUP(Summary!$P$7,List!B:C,2,0))&gt;=0,1,"")</f>
        <v>1</v>
      </c>
      <c r="Z24" s="198">
        <f>+IF((VLOOKUP(A24,List!B:C,2,0)-VLOOKUP(Summary!$P$7,List!B:C,2,0))&gt;0,1,"")</f>
        <v>1</v>
      </c>
      <c r="AA24" s="141">
        <f t="shared" si="6"/>
        <v>1</v>
      </c>
      <c r="AB24" s="199" t="str">
        <f>+IF(AA24="","",IF(Summary!$J$7="Fixed Price","",IF(M24="",IF(I24="","",1),"")))</f>
        <v/>
      </c>
      <c r="AC24" s="198">
        <f t="shared" si="14"/>
        <v>0</v>
      </c>
      <c r="AD24" s="198">
        <f>+IF(AA24="",+IF(N24&gt;#REF!,#REF!,IF(N24&gt;#REF!,#REF!,IF(N24&gt;#REF!,#REF!,IF(N24&gt;#REF!,#REF!,IF(N24&gt;#REF!,#REF!,IF(N24&gt;#REF!,#REF!,IF(N24&gt;#REF!,#REF!,IF(N24&gt;#REF!,#REF!,#REF!)))))))),0)</f>
        <v>0</v>
      </c>
    </row>
    <row r="25" spans="1:30" x14ac:dyDescent="0.2">
      <c r="A25" s="155" t="str">
        <f t="shared" si="0"/>
        <v>2027-6</v>
      </c>
      <c r="B25" s="154">
        <f t="shared" si="7"/>
        <v>6</v>
      </c>
      <c r="C25" s="153">
        <f t="shared" si="8"/>
        <v>2027</v>
      </c>
      <c r="D25" s="152" t="str">
        <f t="shared" si="1"/>
        <v>2027-6</v>
      </c>
      <c r="E25" s="151">
        <f>+IF($B25="","",Summary!$P$4)</f>
        <v>45929</v>
      </c>
      <c r="F25" s="151">
        <f>+IF($B25="","",Summary!$P$5)</f>
        <v>46657</v>
      </c>
      <c r="G25" s="151">
        <f>+IF($B25="","",Summary!$P$6)</f>
        <v>46657</v>
      </c>
      <c r="H25" s="150" t="str">
        <f t="shared" si="2"/>
        <v>Green</v>
      </c>
      <c r="I25" s="148"/>
      <c r="J25" s="148"/>
      <c r="K25" s="148"/>
      <c r="L25" s="148"/>
      <c r="M25" s="148"/>
      <c r="N25" s="148" t="e">
        <f t="shared" si="3"/>
        <v>#REF!</v>
      </c>
      <c r="O25" s="148" t="e">
        <f>COUNTIFS(#REF!,"&gt;="&amp;DATE($C25,$B25,1),#REF!,"&lt;="&amp;EOMONTH(DATE($C25,$B25,1),0),#REF!,"Incident")+
COUNTIFS(#REF!,"&gt;="&amp;DATE($C25,$B25,1),#REF!,"&lt;="&amp;EOMONTH(DATE($C25,$B25,1),0),#REF!,"user_request")</f>
        <v>#REF!</v>
      </c>
      <c r="P25" s="147">
        <f t="shared" si="9"/>
        <v>0</v>
      </c>
      <c r="Q25" s="147">
        <f t="shared" si="10"/>
        <v>0</v>
      </c>
      <c r="R25" s="147">
        <f t="shared" si="11"/>
        <v>0</v>
      </c>
      <c r="S25" s="146" t="e">
        <f t="shared" si="12"/>
        <v>#REF!</v>
      </c>
      <c r="T25" s="146" t="e">
        <f t="shared" si="13"/>
        <v>#REF!</v>
      </c>
      <c r="U25" s="145">
        <f t="shared" si="4"/>
        <v>0</v>
      </c>
      <c r="V25" s="145" t="e">
        <f t="shared" si="5"/>
        <v>#REF!</v>
      </c>
      <c r="W25" s="142">
        <v>22</v>
      </c>
      <c r="X25" s="142" t="str">
        <f>+IF((VLOOKUP(A25,List!B:C,2,0)-VLOOKUP(Summary!$P$7,List!B:C,2,0))=0,1,"")</f>
        <v/>
      </c>
      <c r="Y25" s="198">
        <f>+IF((VLOOKUP(A25,List!B:C,2,0)-VLOOKUP(Summary!$P$7,List!B:C,2,0))&gt;=0,1,"")</f>
        <v>1</v>
      </c>
      <c r="Z25" s="198">
        <f>+IF((VLOOKUP(A25,List!B:C,2,0)-VLOOKUP(Summary!$P$7,List!B:C,2,0))&gt;0,1,"")</f>
        <v>1</v>
      </c>
      <c r="AA25" s="141">
        <f t="shared" si="6"/>
        <v>1</v>
      </c>
      <c r="AB25" s="199" t="str">
        <f>+IF(AA25="","",IF(Summary!$J$7="Fixed Price","",IF(M25="",IF(I25="","",1),"")))</f>
        <v/>
      </c>
      <c r="AC25" s="198">
        <f t="shared" si="14"/>
        <v>0</v>
      </c>
      <c r="AD25" s="198">
        <f>+IF(AA25="",+IF(N25&gt;#REF!,#REF!,IF(N25&gt;#REF!,#REF!,IF(N25&gt;#REF!,#REF!,IF(N25&gt;#REF!,#REF!,IF(N25&gt;#REF!,#REF!,IF(N25&gt;#REF!,#REF!,IF(N25&gt;#REF!,#REF!,IF(N25&gt;#REF!,#REF!,#REF!)))))))),0)</f>
        <v>0</v>
      </c>
    </row>
    <row r="26" spans="1:30" x14ac:dyDescent="0.2">
      <c r="A26" s="155" t="str">
        <f t="shared" si="0"/>
        <v>2027-7</v>
      </c>
      <c r="B26" s="154">
        <f t="shared" si="7"/>
        <v>7</v>
      </c>
      <c r="C26" s="153">
        <f t="shared" si="8"/>
        <v>2027</v>
      </c>
      <c r="D26" s="152" t="str">
        <f t="shared" si="1"/>
        <v>2027-7</v>
      </c>
      <c r="E26" s="159">
        <f>+IF($B26="","",Summary!$P$4)</f>
        <v>45929</v>
      </c>
      <c r="F26" s="159">
        <f>+IF($B26="","",Summary!$P$5)</f>
        <v>46657</v>
      </c>
      <c r="G26" s="159">
        <f>+IF($B26="","",Summary!$P$6)</f>
        <v>46657</v>
      </c>
      <c r="H26" s="158" t="str">
        <f t="shared" si="2"/>
        <v>Green</v>
      </c>
      <c r="I26" s="156"/>
      <c r="J26" s="156"/>
      <c r="K26" s="156"/>
      <c r="L26" s="156"/>
      <c r="M26" s="156"/>
      <c r="N26" s="156" t="e">
        <f t="shared" si="3"/>
        <v>#REF!</v>
      </c>
      <c r="O26" s="156" t="e">
        <f>COUNTIFS(#REF!,"&gt;="&amp;DATE($C26,$B26,1),#REF!,"&lt;="&amp;EOMONTH(DATE($C26,$B26,1),0),#REF!,"Incident")+
COUNTIFS(#REF!,"&gt;="&amp;DATE($C26,$B26,1),#REF!,"&lt;="&amp;EOMONTH(DATE($C26,$B26,1),0),#REF!,"user_request")</f>
        <v>#REF!</v>
      </c>
      <c r="P26" s="147">
        <f t="shared" si="9"/>
        <v>0</v>
      </c>
      <c r="Q26" s="147">
        <f t="shared" si="10"/>
        <v>0</v>
      </c>
      <c r="R26" s="147">
        <f t="shared" si="11"/>
        <v>0</v>
      </c>
      <c r="S26" s="146" t="e">
        <f t="shared" si="12"/>
        <v>#REF!</v>
      </c>
      <c r="T26" s="146" t="e">
        <f t="shared" si="13"/>
        <v>#REF!</v>
      </c>
      <c r="U26" s="145">
        <f t="shared" si="4"/>
        <v>0</v>
      </c>
      <c r="V26" s="145" t="e">
        <f t="shared" si="5"/>
        <v>#REF!</v>
      </c>
      <c r="W26" s="142">
        <v>23</v>
      </c>
      <c r="X26" s="142" t="str">
        <f>+IF((VLOOKUP(A26,List!B:C,2,0)-VLOOKUP(Summary!$P$7,List!B:C,2,0))=0,1,"")</f>
        <v/>
      </c>
      <c r="Y26" s="198">
        <f>+IF((VLOOKUP(A26,List!B:C,2,0)-VLOOKUP(Summary!$P$7,List!B:C,2,0))&gt;=0,1,"")</f>
        <v>1</v>
      </c>
      <c r="Z26" s="198">
        <f>+IF((VLOOKUP(A26,List!B:C,2,0)-VLOOKUP(Summary!$P$7,List!B:C,2,0))&gt;0,1,"")</f>
        <v>1</v>
      </c>
      <c r="AA26" s="141">
        <f t="shared" si="6"/>
        <v>1</v>
      </c>
      <c r="AB26" s="199" t="str">
        <f>+IF(AA26="","",IF(Summary!$J$7="Fixed Price","",IF(M26="",IF(I26="","",1),"")))</f>
        <v/>
      </c>
      <c r="AC26" s="198">
        <f t="shared" si="14"/>
        <v>0</v>
      </c>
      <c r="AD26" s="198">
        <f>+IF(AA26="",+IF(N26&gt;#REF!,#REF!,IF(N26&gt;#REF!,#REF!,IF(N26&gt;#REF!,#REF!,IF(N26&gt;#REF!,#REF!,IF(N26&gt;#REF!,#REF!,IF(N26&gt;#REF!,#REF!,IF(N26&gt;#REF!,#REF!,IF(N26&gt;#REF!,#REF!,#REF!)))))))),0)</f>
        <v>0</v>
      </c>
    </row>
    <row r="27" spans="1:30" x14ac:dyDescent="0.2">
      <c r="A27" s="155" t="str">
        <f t="shared" si="0"/>
        <v>2027-8</v>
      </c>
      <c r="B27" s="154">
        <f t="shared" si="7"/>
        <v>8</v>
      </c>
      <c r="C27" s="153">
        <f t="shared" si="8"/>
        <v>2027</v>
      </c>
      <c r="D27" s="152" t="str">
        <f t="shared" si="1"/>
        <v>2027-8</v>
      </c>
      <c r="E27" s="151">
        <f>+IF($B27="","",Summary!$P$4)</f>
        <v>45929</v>
      </c>
      <c r="F27" s="151">
        <f>+IF($B27="","",Summary!$P$5)</f>
        <v>46657</v>
      </c>
      <c r="G27" s="151">
        <f>+IF($B27="","",Summary!$P$6)</f>
        <v>46657</v>
      </c>
      <c r="H27" s="150" t="str">
        <f t="shared" si="2"/>
        <v>Green</v>
      </c>
      <c r="I27" s="148"/>
      <c r="J27" s="148"/>
      <c r="K27" s="148"/>
      <c r="L27" s="148"/>
      <c r="M27" s="148"/>
      <c r="N27" s="148" t="e">
        <f t="shared" si="3"/>
        <v>#REF!</v>
      </c>
      <c r="O27" s="148" t="e">
        <f>COUNTIFS(#REF!,"&gt;="&amp;DATE($C27,$B27,1),#REF!,"&lt;="&amp;EOMONTH(DATE($C27,$B27,1),0),#REF!,"Incident")+
COUNTIFS(#REF!,"&gt;="&amp;DATE($C27,$B27,1),#REF!,"&lt;="&amp;EOMONTH(DATE($C27,$B27,1),0),#REF!,"user_request")</f>
        <v>#REF!</v>
      </c>
      <c r="P27" s="147">
        <f t="shared" si="9"/>
        <v>0</v>
      </c>
      <c r="Q27" s="147">
        <f t="shared" si="10"/>
        <v>0</v>
      </c>
      <c r="R27" s="147">
        <f t="shared" si="11"/>
        <v>0</v>
      </c>
      <c r="S27" s="146" t="e">
        <f t="shared" si="12"/>
        <v>#REF!</v>
      </c>
      <c r="T27" s="146" t="e">
        <f t="shared" si="13"/>
        <v>#REF!</v>
      </c>
      <c r="U27" s="145">
        <f t="shared" si="4"/>
        <v>0</v>
      </c>
      <c r="V27" s="145" t="e">
        <f t="shared" si="5"/>
        <v>#REF!</v>
      </c>
      <c r="W27" s="142">
        <v>24</v>
      </c>
      <c r="X27" s="142" t="str">
        <f>+IF((VLOOKUP(A27,List!B:C,2,0)-VLOOKUP(Summary!$P$7,List!B:C,2,0))=0,1,"")</f>
        <v/>
      </c>
      <c r="Y27" s="198">
        <f>+IF((VLOOKUP(A27,List!B:C,2,0)-VLOOKUP(Summary!$P$7,List!B:C,2,0))&gt;=0,1,"")</f>
        <v>1</v>
      </c>
      <c r="Z27" s="198">
        <f>+IF((VLOOKUP(A27,List!B:C,2,0)-VLOOKUP(Summary!$P$7,List!B:C,2,0))&gt;0,1,"")</f>
        <v>1</v>
      </c>
      <c r="AA27" s="141">
        <f t="shared" si="6"/>
        <v>1</v>
      </c>
      <c r="AB27" s="199" t="str">
        <f>+IF(AA27="","",IF(Summary!$J$7="Fixed Price","",IF(M27="",IF(I27="","",1),"")))</f>
        <v/>
      </c>
      <c r="AC27" s="198">
        <f t="shared" si="14"/>
        <v>0</v>
      </c>
      <c r="AD27" s="198">
        <f>+IF(AA27="",+IF(N27&gt;#REF!,#REF!,IF(N27&gt;#REF!,#REF!,IF(N27&gt;#REF!,#REF!,IF(N27&gt;#REF!,#REF!,IF(N27&gt;#REF!,#REF!,IF(N27&gt;#REF!,#REF!,IF(N27&gt;#REF!,#REF!,IF(N27&gt;#REF!,#REF!,#REF!)))))))),0)</f>
        <v>0</v>
      </c>
    </row>
    <row r="28" spans="1:30" x14ac:dyDescent="0.2">
      <c r="A28" s="155" t="str">
        <f t="shared" si="0"/>
        <v>2027-9</v>
      </c>
      <c r="B28" s="154">
        <f t="shared" si="7"/>
        <v>9</v>
      </c>
      <c r="C28" s="153">
        <f t="shared" si="8"/>
        <v>2027</v>
      </c>
      <c r="D28" s="152" t="str">
        <f t="shared" si="1"/>
        <v>2027-9</v>
      </c>
      <c r="E28" s="159">
        <f>+IF($B28="","",Summary!$P$4)</f>
        <v>45929</v>
      </c>
      <c r="F28" s="159">
        <f>+IF($B28="","",Summary!$P$5)</f>
        <v>46657</v>
      </c>
      <c r="G28" s="159">
        <f>+IF($B28="","",Summary!$P$6)</f>
        <v>46657</v>
      </c>
      <c r="H28" s="158" t="str">
        <f t="shared" si="2"/>
        <v>Green</v>
      </c>
      <c r="I28" s="156"/>
      <c r="J28" s="156"/>
      <c r="K28" s="156"/>
      <c r="L28" s="156"/>
      <c r="M28" s="156"/>
      <c r="N28" s="156" t="e">
        <f t="shared" si="3"/>
        <v>#REF!</v>
      </c>
      <c r="O28" s="156" t="e">
        <f>COUNTIFS(#REF!,"&gt;="&amp;DATE($C28,$B28,1),#REF!,"&lt;="&amp;EOMONTH(DATE($C28,$B28,1),0),#REF!,"Incident")+
COUNTIFS(#REF!,"&gt;="&amp;DATE($C28,$B28,1),#REF!,"&lt;="&amp;EOMONTH(DATE($C28,$B28,1),0),#REF!,"user_request")</f>
        <v>#REF!</v>
      </c>
      <c r="P28" s="147">
        <f t="shared" si="9"/>
        <v>0</v>
      </c>
      <c r="Q28" s="147">
        <f t="shared" si="10"/>
        <v>0</v>
      </c>
      <c r="R28" s="147">
        <f t="shared" si="11"/>
        <v>0</v>
      </c>
      <c r="S28" s="146" t="e">
        <f t="shared" si="12"/>
        <v>#REF!</v>
      </c>
      <c r="T28" s="146" t="e">
        <f t="shared" si="13"/>
        <v>#REF!</v>
      </c>
      <c r="U28" s="145">
        <f t="shared" si="4"/>
        <v>0</v>
      </c>
      <c r="V28" s="145" t="e">
        <f t="shared" si="5"/>
        <v>#REF!</v>
      </c>
      <c r="W28" s="142">
        <v>25</v>
      </c>
      <c r="X28" s="142" t="str">
        <f>+IF((VLOOKUP(A28,List!B:C,2,0)-VLOOKUP(Summary!$P$7,List!B:C,2,0))=0,1,"")</f>
        <v/>
      </c>
      <c r="Y28" s="198">
        <f>+IF((VLOOKUP(A28,List!B:C,2,0)-VLOOKUP(Summary!$P$7,List!B:C,2,0))&gt;=0,1,"")</f>
        <v>1</v>
      </c>
      <c r="Z28" s="198">
        <f>+IF((VLOOKUP(A28,List!B:C,2,0)-VLOOKUP(Summary!$P$7,List!B:C,2,0))&gt;0,1,"")</f>
        <v>1</v>
      </c>
      <c r="AA28" s="141">
        <f t="shared" si="6"/>
        <v>1</v>
      </c>
      <c r="AB28" s="199" t="str">
        <f>+IF(AA28="","",IF(Summary!$J$7="Fixed Price","",IF(M28="",IF(I28="","",1),"")))</f>
        <v/>
      </c>
      <c r="AC28" s="198">
        <f t="shared" si="14"/>
        <v>0</v>
      </c>
      <c r="AD28" s="198">
        <f>+IF(AA28="",+IF(N28&gt;#REF!,#REF!,IF(N28&gt;#REF!,#REF!,IF(N28&gt;#REF!,#REF!,IF(N28&gt;#REF!,#REF!,IF(N28&gt;#REF!,#REF!,IF(N28&gt;#REF!,#REF!,IF(N28&gt;#REF!,#REF!,IF(N28&gt;#REF!,#REF!,#REF!)))))))),0)</f>
        <v>0</v>
      </c>
    </row>
    <row r="29" spans="1:30" x14ac:dyDescent="0.2">
      <c r="A29" s="155" t="str">
        <f t="shared" si="0"/>
        <v>-</v>
      </c>
      <c r="B29" s="154" t="str">
        <f t="shared" si="7"/>
        <v/>
      </c>
      <c r="C29" s="153" t="str">
        <f t="shared" si="8"/>
        <v/>
      </c>
      <c r="D29" s="152" t="str">
        <f t="shared" si="1"/>
        <v>-</v>
      </c>
      <c r="E29" s="151" t="str">
        <f>+IF($B29="","",Summary!$P$4)</f>
        <v/>
      </c>
      <c r="F29" s="151" t="str">
        <f>+IF($B29="","",Summary!$P$5)</f>
        <v/>
      </c>
      <c r="G29" s="151" t="str">
        <f>+IF($B29="","",Summary!$P$6)</f>
        <v/>
      </c>
      <c r="H29" s="150" t="str">
        <f t="shared" si="2"/>
        <v/>
      </c>
      <c r="I29" s="148"/>
      <c r="J29" s="148"/>
      <c r="K29" s="148"/>
      <c r="L29" s="148"/>
      <c r="M29" s="148"/>
      <c r="N29" s="148" t="e">
        <f t="shared" si="3"/>
        <v>#REF!</v>
      </c>
      <c r="O29" s="148" t="e">
        <f>COUNTIFS(#REF!,"&gt;="&amp;DATE($C29,$B29,1),#REF!,"&lt;="&amp;EOMONTH(DATE($C29,$B29,1),0),#REF!,"Incident")+
COUNTIFS(#REF!,"&gt;="&amp;DATE($C29,$B29,1),#REF!,"&lt;="&amp;EOMONTH(DATE($C29,$B29,1),0),#REF!,"user_request")</f>
        <v>#REF!</v>
      </c>
      <c r="P29" s="147">
        <f t="shared" si="9"/>
        <v>0</v>
      </c>
      <c r="Q29" s="147">
        <f t="shared" si="10"/>
        <v>0</v>
      </c>
      <c r="R29" s="147">
        <f t="shared" si="11"/>
        <v>0</v>
      </c>
      <c r="S29" s="146" t="e">
        <f t="shared" si="12"/>
        <v>#REF!</v>
      </c>
      <c r="T29" s="146" t="e">
        <f t="shared" si="13"/>
        <v>#REF!</v>
      </c>
      <c r="U29" s="145">
        <f t="shared" si="4"/>
        <v>0</v>
      </c>
      <c r="V29" s="145" t="e">
        <f t="shared" si="5"/>
        <v>#REF!</v>
      </c>
      <c r="W29" s="142">
        <v>26</v>
      </c>
      <c r="X29" s="142" t="str">
        <f>+IF((VLOOKUP(A29,List!B:C,2,0)-VLOOKUP(Summary!$P$7,List!B:C,2,0))=0,1,"")</f>
        <v/>
      </c>
      <c r="Y29" s="198">
        <f>+IF((VLOOKUP(A29,List!B:C,2,0)-VLOOKUP(Summary!$P$7,List!B:C,2,0))&gt;=0,1,"")</f>
        <v>1</v>
      </c>
      <c r="Z29" s="198">
        <f>+IF((VLOOKUP(A29,List!B:C,2,0)-VLOOKUP(Summary!$P$7,List!B:C,2,0))&gt;0,1,"")</f>
        <v>1</v>
      </c>
      <c r="AA29" s="141">
        <f t="shared" si="6"/>
        <v>2</v>
      </c>
      <c r="AB29" s="199" t="str">
        <f>+IF(AA29="","",IF(Summary!$J$7="Fixed Price","",IF(M29="",IF(I29="","",1),"")))</f>
        <v/>
      </c>
      <c r="AC29" s="198">
        <f t="shared" si="14"/>
        <v>0</v>
      </c>
      <c r="AD29" s="198">
        <f>+IF(AA29="",+IF(N29&gt;#REF!,#REF!,IF(N29&gt;#REF!,#REF!,IF(N29&gt;#REF!,#REF!,IF(N29&gt;#REF!,#REF!,IF(N29&gt;#REF!,#REF!,IF(N29&gt;#REF!,#REF!,IF(N29&gt;#REF!,#REF!,IF(N29&gt;#REF!,#REF!,#REF!)))))))),0)</f>
        <v>0</v>
      </c>
    </row>
    <row r="30" spans="1:30" x14ac:dyDescent="0.2">
      <c r="A30" s="155" t="str">
        <f t="shared" si="0"/>
        <v>-</v>
      </c>
      <c r="B30" s="154" t="str">
        <f t="shared" si="7"/>
        <v/>
      </c>
      <c r="C30" s="153" t="str">
        <f t="shared" si="8"/>
        <v/>
      </c>
      <c r="D30" s="152" t="str">
        <f t="shared" si="1"/>
        <v>-</v>
      </c>
      <c r="E30" s="159" t="str">
        <f>+IF($B30="","",Summary!$P$4)</f>
        <v/>
      </c>
      <c r="F30" s="159" t="str">
        <f>+IF($B30="","",Summary!$P$5)</f>
        <v/>
      </c>
      <c r="G30" s="159" t="str">
        <f>+IF($B30="","",Summary!$P$6)</f>
        <v/>
      </c>
      <c r="H30" s="158" t="str">
        <f t="shared" si="2"/>
        <v/>
      </c>
      <c r="I30" s="156"/>
      <c r="J30" s="156"/>
      <c r="K30" s="156"/>
      <c r="L30" s="156"/>
      <c r="M30" s="156"/>
      <c r="N30" s="156" t="e">
        <f t="shared" si="3"/>
        <v>#REF!</v>
      </c>
      <c r="O30" s="156" t="e">
        <f>COUNTIFS(#REF!,"&gt;="&amp;DATE($C30,$B30,1),#REF!,"&lt;="&amp;EOMONTH(DATE($C30,$B30,1),0),#REF!,"Incident")+
COUNTIFS(#REF!,"&gt;="&amp;DATE($C30,$B30,1),#REF!,"&lt;="&amp;EOMONTH(DATE($C30,$B30,1),0),#REF!,"user_request")</f>
        <v>#REF!</v>
      </c>
      <c r="P30" s="147">
        <f t="shared" si="9"/>
        <v>0</v>
      </c>
      <c r="Q30" s="147">
        <f t="shared" si="10"/>
        <v>0</v>
      </c>
      <c r="R30" s="147">
        <f t="shared" si="11"/>
        <v>0</v>
      </c>
      <c r="S30" s="146" t="e">
        <f t="shared" si="12"/>
        <v>#REF!</v>
      </c>
      <c r="T30" s="146" t="e">
        <f t="shared" si="13"/>
        <v>#REF!</v>
      </c>
      <c r="U30" s="145">
        <f t="shared" si="4"/>
        <v>0</v>
      </c>
      <c r="V30" s="145" t="e">
        <f t="shared" si="5"/>
        <v>#REF!</v>
      </c>
      <c r="W30" s="142">
        <v>27</v>
      </c>
      <c r="X30" s="142" t="str">
        <f>+IF((VLOOKUP(A30,List!B:C,2,0)-VLOOKUP(Summary!$P$7,List!B:C,2,0))=0,1,"")</f>
        <v/>
      </c>
      <c r="Y30" s="198">
        <f>+IF((VLOOKUP(A30,List!B:C,2,0)-VLOOKUP(Summary!$P$7,List!B:C,2,0))&gt;=0,1,"")</f>
        <v>1</v>
      </c>
      <c r="Z30" s="198">
        <f>+IF((VLOOKUP(A30,List!B:C,2,0)-VLOOKUP(Summary!$P$7,List!B:C,2,0))&gt;0,1,"")</f>
        <v>1</v>
      </c>
      <c r="AA30" s="141">
        <f t="shared" si="6"/>
        <v>2</v>
      </c>
      <c r="AB30" s="199" t="str">
        <f>+IF(AA30="","",IF(Summary!$J$7="Fixed Price","",IF(M30="",IF(I30="","",1),"")))</f>
        <v/>
      </c>
      <c r="AC30" s="198">
        <f t="shared" si="14"/>
        <v>0</v>
      </c>
      <c r="AD30" s="198">
        <f>+IF(AA30="",+IF(N30&gt;#REF!,#REF!,IF(N30&gt;#REF!,#REF!,IF(N30&gt;#REF!,#REF!,IF(N30&gt;#REF!,#REF!,IF(N30&gt;#REF!,#REF!,IF(N30&gt;#REF!,#REF!,IF(N30&gt;#REF!,#REF!,IF(N30&gt;#REF!,#REF!,#REF!)))))))),0)</f>
        <v>0</v>
      </c>
    </row>
    <row r="31" spans="1:30" x14ac:dyDescent="0.2">
      <c r="A31" s="155" t="str">
        <f t="shared" si="0"/>
        <v>-</v>
      </c>
      <c r="B31" s="154" t="str">
        <f t="shared" si="7"/>
        <v/>
      </c>
      <c r="C31" s="153" t="str">
        <f t="shared" si="8"/>
        <v/>
      </c>
      <c r="D31" s="152" t="str">
        <f t="shared" si="1"/>
        <v>-</v>
      </c>
      <c r="E31" s="151" t="str">
        <f>+IF($B31="","",Summary!$P$4)</f>
        <v/>
      </c>
      <c r="F31" s="151" t="str">
        <f>+IF($B31="","",Summary!$P$5)</f>
        <v/>
      </c>
      <c r="G31" s="151" t="str">
        <f>+IF($B31="","",Summary!$P$6)</f>
        <v/>
      </c>
      <c r="H31" s="150" t="str">
        <f t="shared" si="2"/>
        <v/>
      </c>
      <c r="I31" s="148"/>
      <c r="J31" s="148"/>
      <c r="K31" s="148"/>
      <c r="L31" s="148"/>
      <c r="M31" s="148"/>
      <c r="N31" s="148" t="e">
        <f t="shared" si="3"/>
        <v>#REF!</v>
      </c>
      <c r="O31" s="148" t="e">
        <f>COUNTIFS(#REF!,"&gt;="&amp;DATE($C31,$B31,1),#REF!,"&lt;="&amp;EOMONTH(DATE($C31,$B31,1),0),#REF!,"Incident")+
COUNTIFS(#REF!,"&gt;="&amp;DATE($C31,$B31,1),#REF!,"&lt;="&amp;EOMONTH(DATE($C31,$B31,1),0),#REF!,"user_request")</f>
        <v>#REF!</v>
      </c>
      <c r="P31" s="147">
        <f t="shared" si="9"/>
        <v>0</v>
      </c>
      <c r="Q31" s="147">
        <f t="shared" si="10"/>
        <v>0</v>
      </c>
      <c r="R31" s="147">
        <f t="shared" si="11"/>
        <v>0</v>
      </c>
      <c r="S31" s="146" t="e">
        <f t="shared" si="12"/>
        <v>#REF!</v>
      </c>
      <c r="T31" s="146" t="e">
        <f t="shared" si="13"/>
        <v>#REF!</v>
      </c>
      <c r="U31" s="145">
        <f t="shared" si="4"/>
        <v>0</v>
      </c>
      <c r="V31" s="145" t="e">
        <f t="shared" si="5"/>
        <v>#REF!</v>
      </c>
      <c r="W31" s="142">
        <v>28</v>
      </c>
      <c r="X31" s="142" t="str">
        <f>+IF((VLOOKUP(A31,List!B:C,2,0)-VLOOKUP(Summary!$P$7,List!B:C,2,0))=0,1,"")</f>
        <v/>
      </c>
      <c r="Y31" s="198">
        <f>+IF((VLOOKUP(A31,List!B:C,2,0)-VLOOKUP(Summary!$P$7,List!B:C,2,0))&gt;=0,1,"")</f>
        <v>1</v>
      </c>
      <c r="Z31" s="198">
        <f>+IF((VLOOKUP(A31,List!B:C,2,0)-VLOOKUP(Summary!$P$7,List!B:C,2,0))&gt;0,1,"")</f>
        <v>1</v>
      </c>
      <c r="AA31" s="141">
        <f t="shared" si="6"/>
        <v>2</v>
      </c>
      <c r="AB31" s="199" t="str">
        <f>+IF(AA31="","",IF(Summary!$J$7="Fixed Price","",IF(M31="",IF(I31="","",1),"")))</f>
        <v/>
      </c>
      <c r="AC31" s="198">
        <f t="shared" si="14"/>
        <v>0</v>
      </c>
      <c r="AD31" s="198">
        <f>+IF(AA31="",+IF(N31&gt;#REF!,#REF!,IF(N31&gt;#REF!,#REF!,IF(N31&gt;#REF!,#REF!,IF(N31&gt;#REF!,#REF!,IF(N31&gt;#REF!,#REF!,IF(N31&gt;#REF!,#REF!,IF(N31&gt;#REF!,#REF!,IF(N31&gt;#REF!,#REF!,#REF!)))))))),0)</f>
        <v>0</v>
      </c>
    </row>
    <row r="32" spans="1:30" x14ac:dyDescent="0.2">
      <c r="A32" s="155" t="str">
        <f t="shared" si="0"/>
        <v>-</v>
      </c>
      <c r="B32" s="154" t="str">
        <f t="shared" si="7"/>
        <v/>
      </c>
      <c r="C32" s="153" t="str">
        <f t="shared" si="8"/>
        <v/>
      </c>
      <c r="D32" s="152" t="str">
        <f t="shared" si="1"/>
        <v>-</v>
      </c>
      <c r="E32" s="159" t="str">
        <f>+IF($B32="","",Summary!$P$4)</f>
        <v/>
      </c>
      <c r="F32" s="159" t="str">
        <f>+IF($B32="","",Summary!$P$5)</f>
        <v/>
      </c>
      <c r="G32" s="159" t="str">
        <f>+IF($B32="","",Summary!$P$6)</f>
        <v/>
      </c>
      <c r="H32" s="158" t="str">
        <f t="shared" si="2"/>
        <v/>
      </c>
      <c r="I32" s="156"/>
      <c r="J32" s="156"/>
      <c r="K32" s="156"/>
      <c r="L32" s="156"/>
      <c r="M32" s="156"/>
      <c r="N32" s="156" t="e">
        <f t="shared" si="3"/>
        <v>#REF!</v>
      </c>
      <c r="O32" s="156" t="e">
        <f>COUNTIFS(#REF!,"&gt;="&amp;DATE($C32,$B32,1),#REF!,"&lt;="&amp;EOMONTH(DATE($C32,$B32,1),0),#REF!,"Incident")+
COUNTIFS(#REF!,"&gt;="&amp;DATE($C32,$B32,1),#REF!,"&lt;="&amp;EOMONTH(DATE($C32,$B32,1),0),#REF!,"user_request")</f>
        <v>#REF!</v>
      </c>
      <c r="P32" s="147">
        <f t="shared" si="9"/>
        <v>0</v>
      </c>
      <c r="Q32" s="147">
        <f t="shared" si="10"/>
        <v>0</v>
      </c>
      <c r="R32" s="147">
        <f t="shared" si="11"/>
        <v>0</v>
      </c>
      <c r="S32" s="146" t="e">
        <f t="shared" si="12"/>
        <v>#REF!</v>
      </c>
      <c r="T32" s="146" t="e">
        <f t="shared" si="13"/>
        <v>#REF!</v>
      </c>
      <c r="U32" s="145">
        <f t="shared" si="4"/>
        <v>0</v>
      </c>
      <c r="V32" s="145" t="e">
        <f t="shared" si="5"/>
        <v>#REF!</v>
      </c>
      <c r="W32" s="142">
        <v>29</v>
      </c>
      <c r="X32" s="142" t="str">
        <f>+IF((VLOOKUP(A32,List!B:C,2,0)-VLOOKUP(Summary!$P$7,List!B:C,2,0))=0,1,"")</f>
        <v/>
      </c>
      <c r="Y32" s="198">
        <f>+IF((VLOOKUP(A32,List!B:C,2,0)-VLOOKUP(Summary!$P$7,List!B:C,2,0))&gt;=0,1,"")</f>
        <v>1</v>
      </c>
      <c r="Z32" s="198">
        <f>+IF((VLOOKUP(A32,List!B:C,2,0)-VLOOKUP(Summary!$P$7,List!B:C,2,0))&gt;0,1,"")</f>
        <v>1</v>
      </c>
      <c r="AA32" s="141">
        <f t="shared" si="6"/>
        <v>2</v>
      </c>
      <c r="AB32" s="199" t="str">
        <f>+IF(AA32="","",IF(Summary!$J$7="Fixed Price","",IF(M32="",IF(I32="","",1),"")))</f>
        <v/>
      </c>
      <c r="AC32" s="198">
        <f t="shared" si="14"/>
        <v>0</v>
      </c>
    </row>
    <row r="33" spans="1:29" x14ac:dyDescent="0.2">
      <c r="A33" s="155" t="str">
        <f t="shared" si="0"/>
        <v>-</v>
      </c>
      <c r="B33" s="154" t="str">
        <f t="shared" si="7"/>
        <v/>
      </c>
      <c r="C33" s="153" t="str">
        <f t="shared" si="8"/>
        <v/>
      </c>
      <c r="D33" s="152" t="str">
        <f t="shared" si="1"/>
        <v>-</v>
      </c>
      <c r="E33" s="151" t="str">
        <f>+IF($B33="","",Summary!$P$4)</f>
        <v/>
      </c>
      <c r="F33" s="151" t="str">
        <f>+IF($B33="","",Summary!$P$5)</f>
        <v/>
      </c>
      <c r="G33" s="151" t="str">
        <f>+IF($B33="","",Summary!$P$6)</f>
        <v/>
      </c>
      <c r="H33" s="150" t="str">
        <f t="shared" si="2"/>
        <v/>
      </c>
      <c r="I33" s="148"/>
      <c r="J33" s="148"/>
      <c r="K33" s="148"/>
      <c r="L33" s="148"/>
      <c r="M33" s="148"/>
      <c r="N33" s="148" t="e">
        <f t="shared" si="3"/>
        <v>#REF!</v>
      </c>
      <c r="O33" s="148" t="e">
        <f>COUNTIFS(#REF!,"&gt;="&amp;DATE($C33,$B33,1),#REF!,"&lt;="&amp;EOMONTH(DATE($C33,$B33,1),0),#REF!,"Incident")+
COUNTIFS(#REF!,"&gt;="&amp;DATE($C33,$B33,1),#REF!,"&lt;="&amp;EOMONTH(DATE($C33,$B33,1),0),#REF!,"user_request")</f>
        <v>#REF!</v>
      </c>
      <c r="P33" s="147">
        <f t="shared" si="9"/>
        <v>0</v>
      </c>
      <c r="Q33" s="147">
        <f t="shared" si="10"/>
        <v>0</v>
      </c>
      <c r="R33" s="147">
        <f t="shared" si="11"/>
        <v>0</v>
      </c>
      <c r="S33" s="146" t="e">
        <f t="shared" si="12"/>
        <v>#REF!</v>
      </c>
      <c r="T33" s="146" t="e">
        <f t="shared" si="13"/>
        <v>#REF!</v>
      </c>
      <c r="U33" s="145">
        <f t="shared" si="4"/>
        <v>0</v>
      </c>
      <c r="V33" s="145" t="e">
        <f t="shared" si="5"/>
        <v>#REF!</v>
      </c>
      <c r="W33" s="142">
        <v>30</v>
      </c>
      <c r="X33" s="142" t="str">
        <f>+IF((VLOOKUP(A33,List!B:C,2,0)-VLOOKUP(Summary!$P$7,List!B:C,2,0))=0,1,"")</f>
        <v/>
      </c>
      <c r="Y33" s="198">
        <f>+IF((VLOOKUP(A33,List!B:C,2,0)-VLOOKUP(Summary!$P$7,List!B:C,2,0))&gt;=0,1,"")</f>
        <v>1</v>
      </c>
      <c r="Z33" s="198">
        <f>+IF((VLOOKUP(A33,List!B:C,2,0)-VLOOKUP(Summary!$P$7,List!B:C,2,0))&gt;0,1,"")</f>
        <v>1</v>
      </c>
      <c r="AA33" s="141">
        <f t="shared" si="6"/>
        <v>2</v>
      </c>
      <c r="AB33" s="199" t="str">
        <f>+IF(AA33="","",IF(Summary!$J$7="Fixed Price","",IF(M33="",IF(I33="","",1),"")))</f>
        <v/>
      </c>
      <c r="AC33" s="198">
        <f t="shared" si="14"/>
        <v>0</v>
      </c>
    </row>
    <row r="34" spans="1:29" x14ac:dyDescent="0.2">
      <c r="A34" s="155" t="str">
        <f t="shared" si="0"/>
        <v>-</v>
      </c>
      <c r="B34" s="154" t="str">
        <f t="shared" si="7"/>
        <v/>
      </c>
      <c r="C34" s="153" t="str">
        <f t="shared" si="8"/>
        <v/>
      </c>
      <c r="D34" s="152" t="str">
        <f t="shared" si="1"/>
        <v>-</v>
      </c>
      <c r="E34" s="159" t="str">
        <f>+IF($B34="","",Summary!$P$4)</f>
        <v/>
      </c>
      <c r="F34" s="159" t="str">
        <f>+IF($B34="","",Summary!$P$5)</f>
        <v/>
      </c>
      <c r="G34" s="159" t="str">
        <f>+IF($B34="","",Summary!$P$6)</f>
        <v/>
      </c>
      <c r="H34" s="158" t="str">
        <f t="shared" si="2"/>
        <v/>
      </c>
      <c r="I34" s="156"/>
      <c r="J34" s="156"/>
      <c r="K34" s="156"/>
      <c r="L34" s="156"/>
      <c r="M34" s="156"/>
      <c r="N34" s="156" t="e">
        <f t="shared" si="3"/>
        <v>#REF!</v>
      </c>
      <c r="O34" s="156" t="e">
        <f>COUNTIFS(#REF!,"&gt;="&amp;DATE($C34,$B34,1),#REF!,"&lt;="&amp;EOMONTH(DATE($C34,$B34,1),0),#REF!,"Incident")+
COUNTIFS(#REF!,"&gt;="&amp;DATE($C34,$B34,1),#REF!,"&lt;="&amp;EOMONTH(DATE($C34,$B34,1),0),#REF!,"user_request")</f>
        <v>#REF!</v>
      </c>
      <c r="P34" s="147">
        <f t="shared" si="9"/>
        <v>0</v>
      </c>
      <c r="Q34" s="147">
        <f t="shared" si="10"/>
        <v>0</v>
      </c>
      <c r="R34" s="147">
        <f t="shared" si="11"/>
        <v>0</v>
      </c>
      <c r="S34" s="146" t="e">
        <f t="shared" si="12"/>
        <v>#REF!</v>
      </c>
      <c r="T34" s="146" t="e">
        <f t="shared" si="13"/>
        <v>#REF!</v>
      </c>
      <c r="U34" s="145">
        <f t="shared" si="4"/>
        <v>0</v>
      </c>
      <c r="V34" s="145" t="e">
        <f t="shared" si="5"/>
        <v>#REF!</v>
      </c>
      <c r="W34" s="142">
        <v>31</v>
      </c>
      <c r="X34" s="142" t="str">
        <f>+IF((VLOOKUP(A34,List!B:C,2,0)-VLOOKUP(Summary!$P$7,List!B:C,2,0))=0,1,"")</f>
        <v/>
      </c>
      <c r="Y34" s="198">
        <f>+IF((VLOOKUP(A34,List!B:C,2,0)-VLOOKUP(Summary!$P$7,List!B:C,2,0))&gt;=0,1,"")</f>
        <v>1</v>
      </c>
      <c r="Z34" s="198">
        <f>+IF((VLOOKUP(A34,List!B:C,2,0)-VLOOKUP(Summary!$P$7,List!B:C,2,0))&gt;0,1,"")</f>
        <v>1</v>
      </c>
      <c r="AA34" s="141">
        <f t="shared" si="6"/>
        <v>2</v>
      </c>
      <c r="AB34" s="199" t="str">
        <f>+IF(AA34="","",IF(Summary!$J$7="Fixed Price","",IF(M34="",IF(I34="","",1),"")))</f>
        <v/>
      </c>
      <c r="AC34" s="198">
        <f t="shared" si="14"/>
        <v>0</v>
      </c>
    </row>
    <row r="35" spans="1:29" x14ac:dyDescent="0.2">
      <c r="A35" s="155" t="str">
        <f t="shared" si="0"/>
        <v>-</v>
      </c>
      <c r="B35" s="154" t="str">
        <f t="shared" si="7"/>
        <v/>
      </c>
      <c r="C35" s="153" t="str">
        <f t="shared" si="8"/>
        <v/>
      </c>
      <c r="D35" s="152" t="str">
        <f t="shared" si="1"/>
        <v>-</v>
      </c>
      <c r="E35" s="151" t="str">
        <f>+IF($B35="","",Summary!$P$4)</f>
        <v/>
      </c>
      <c r="F35" s="151" t="str">
        <f>+IF($B35="","",Summary!$P$5)</f>
        <v/>
      </c>
      <c r="G35" s="151" t="str">
        <f>+IF($B35="","",Summary!$P$6)</f>
        <v/>
      </c>
      <c r="H35" s="150" t="str">
        <f t="shared" si="2"/>
        <v/>
      </c>
      <c r="I35" s="148"/>
      <c r="J35" s="148"/>
      <c r="K35" s="148"/>
      <c r="L35" s="148"/>
      <c r="M35" s="148"/>
      <c r="N35" s="148" t="e">
        <f t="shared" si="3"/>
        <v>#REF!</v>
      </c>
      <c r="O35" s="148" t="e">
        <f>COUNTIFS(#REF!,"&gt;="&amp;DATE($C35,$B35,1),#REF!,"&lt;="&amp;EOMONTH(DATE($C35,$B35,1),0),#REF!,"Incident")+
COUNTIFS(#REF!,"&gt;="&amp;DATE($C35,$B35,1),#REF!,"&lt;="&amp;EOMONTH(DATE($C35,$B35,1),0),#REF!,"user_request")</f>
        <v>#REF!</v>
      </c>
      <c r="P35" s="147">
        <f t="shared" si="9"/>
        <v>0</v>
      </c>
      <c r="Q35" s="147">
        <f t="shared" si="10"/>
        <v>0</v>
      </c>
      <c r="R35" s="147">
        <f t="shared" si="11"/>
        <v>0</v>
      </c>
      <c r="S35" s="146" t="e">
        <f t="shared" si="12"/>
        <v>#REF!</v>
      </c>
      <c r="T35" s="146" t="e">
        <f t="shared" si="13"/>
        <v>#REF!</v>
      </c>
      <c r="U35" s="145">
        <f t="shared" si="4"/>
        <v>0</v>
      </c>
      <c r="V35" s="145" t="e">
        <f t="shared" si="5"/>
        <v>#REF!</v>
      </c>
      <c r="W35" s="142">
        <v>32</v>
      </c>
      <c r="X35" s="142" t="str">
        <f>+IF((VLOOKUP(A35,List!B:C,2,0)-VLOOKUP(Summary!$P$7,List!B:C,2,0))=0,1,"")</f>
        <v/>
      </c>
      <c r="Y35" s="198">
        <f>+IF((VLOOKUP(A35,List!B:C,2,0)-VLOOKUP(Summary!$P$7,List!B:C,2,0))&gt;=0,1,"")</f>
        <v>1</v>
      </c>
      <c r="Z35" s="198">
        <f>+IF((VLOOKUP(A35,List!B:C,2,0)-VLOOKUP(Summary!$P$7,List!B:C,2,0))&gt;0,1,"")</f>
        <v>1</v>
      </c>
      <c r="AA35" s="141">
        <f t="shared" si="6"/>
        <v>2</v>
      </c>
      <c r="AB35" s="199" t="str">
        <f>+IF(AA35="","",IF(Summary!$J$7="Fixed Price","",IF(M35="",IF(I35="","",1),"")))</f>
        <v/>
      </c>
      <c r="AC35" s="198">
        <f t="shared" si="14"/>
        <v>0</v>
      </c>
    </row>
    <row r="36" spans="1:29" x14ac:dyDescent="0.2">
      <c r="A36" s="155" t="str">
        <f t="shared" ref="A36:A63" si="15">CONCATENATE(C36,"-",B36)</f>
        <v>-</v>
      </c>
      <c r="B36" s="154" t="str">
        <f t="shared" si="7"/>
        <v/>
      </c>
      <c r="C36" s="153" t="str">
        <f t="shared" si="8"/>
        <v/>
      </c>
      <c r="D36" s="152" t="str">
        <f t="shared" ref="D36:D63" si="16">CONCATENATE(C36,"-",B36)</f>
        <v>-</v>
      </c>
      <c r="E36" s="159" t="str">
        <f>+IF($B36="","",Summary!$P$4)</f>
        <v/>
      </c>
      <c r="F36" s="159" t="str">
        <f>+IF($B36="","",Summary!$P$5)</f>
        <v/>
      </c>
      <c r="G36" s="159" t="str">
        <f>+IF($B36="","",Summary!$P$6)</f>
        <v/>
      </c>
      <c r="H36" s="158" t="str">
        <f t="shared" ref="H36:H63" si="17">+IF($B36="","",IF(U36&lt;-15%,"Red",IF(U36&lt;0%,"Amber","Green")))</f>
        <v/>
      </c>
      <c r="I36" s="156"/>
      <c r="J36" s="156"/>
      <c r="K36" s="156"/>
      <c r="L36" s="156"/>
      <c r="M36" s="156"/>
      <c r="N36" s="156" t="e">
        <f t="shared" si="3"/>
        <v>#REF!</v>
      </c>
      <c r="O36" s="156" t="e">
        <f>COUNTIFS(#REF!,"&gt;="&amp;DATE($C36,$B36,1),#REF!,"&lt;="&amp;EOMONTH(DATE($C36,$B36,1),0),#REF!,"Incident")+
COUNTIFS(#REF!,"&gt;="&amp;DATE($C36,$B36,1),#REF!,"&lt;="&amp;EOMONTH(DATE($C36,$B36,1),0),#REF!,"user_request")</f>
        <v>#REF!</v>
      </c>
      <c r="P36" s="147">
        <f t="shared" si="9"/>
        <v>0</v>
      </c>
      <c r="Q36" s="147">
        <f t="shared" si="10"/>
        <v>0</v>
      </c>
      <c r="R36" s="147">
        <f t="shared" si="11"/>
        <v>0</v>
      </c>
      <c r="S36" s="146" t="e">
        <f t="shared" si="12"/>
        <v>#REF!</v>
      </c>
      <c r="T36" s="146" t="e">
        <f t="shared" si="13"/>
        <v>#REF!</v>
      </c>
      <c r="U36" s="145">
        <f t="shared" ref="U36:U63" si="18">IF(Q36=0,0,IF(K36&lt;&gt;"",(Q36-(R36+L36))/Q36,U35))</f>
        <v>0</v>
      </c>
      <c r="V36" s="145" t="e">
        <f t="shared" ref="V36:V63" si="19">IF(S36=0,0,IF(O36&lt;&gt;"",(S36-(T36))/S36,V35))</f>
        <v>#REF!</v>
      </c>
      <c r="W36" s="142">
        <v>33</v>
      </c>
      <c r="X36" s="142" t="str">
        <f>+IF((VLOOKUP(A36,List!B:C,2,0)-VLOOKUP(Summary!$P$7,List!B:C,2,0))=0,1,"")</f>
        <v/>
      </c>
      <c r="Y36" s="198">
        <f>+IF((VLOOKUP(A36,List!B:C,2,0)-VLOOKUP(Summary!$P$7,List!B:C,2,0))&gt;=0,1,"")</f>
        <v>1</v>
      </c>
      <c r="Z36" s="198">
        <f>+IF((VLOOKUP(A36,List!B:C,2,0)-VLOOKUP(Summary!$P$7,List!B:C,2,0))&gt;0,1,"")</f>
        <v>1</v>
      </c>
      <c r="AA36" s="141">
        <f t="shared" si="6"/>
        <v>2</v>
      </c>
      <c r="AB36" s="199" t="str">
        <f>+IF(AA36="","",IF(Summary!$J$7="Fixed Price","",IF(M36="",IF(I36="","",1),"")))</f>
        <v/>
      </c>
      <c r="AC36" s="198">
        <f t="shared" si="14"/>
        <v>0</v>
      </c>
    </row>
    <row r="37" spans="1:29" x14ac:dyDescent="0.2">
      <c r="A37" s="155" t="str">
        <f t="shared" si="15"/>
        <v>-</v>
      </c>
      <c r="B37" s="154" t="str">
        <f t="shared" ref="B37:B63" si="20">IF(W37&lt;=$W$2,IF(B36&gt;11,1,B36+1),"")</f>
        <v/>
      </c>
      <c r="C37" s="153" t="str">
        <f t="shared" ref="C37:C63" si="21">IF(W37&lt;=$W$2,IF(B36&gt;11,C36+1,C36),"")</f>
        <v/>
      </c>
      <c r="D37" s="152" t="str">
        <f t="shared" si="16"/>
        <v>-</v>
      </c>
      <c r="E37" s="151" t="str">
        <f>+IF($B37="","",Summary!$P$4)</f>
        <v/>
      </c>
      <c r="F37" s="151" t="str">
        <f>+IF($B37="","",Summary!$P$5)</f>
        <v/>
      </c>
      <c r="G37" s="151" t="str">
        <f>+IF($B37="","",Summary!$P$6)</f>
        <v/>
      </c>
      <c r="H37" s="150" t="str">
        <f t="shared" si="17"/>
        <v/>
      </c>
      <c r="I37" s="148"/>
      <c r="J37" s="148"/>
      <c r="K37" s="148"/>
      <c r="L37" s="148"/>
      <c r="M37" s="148"/>
      <c r="N37" s="148" t="e">
        <f t="shared" si="3"/>
        <v>#REF!</v>
      </c>
      <c r="O37" s="148" t="e">
        <f>COUNTIFS(#REF!,"&gt;="&amp;DATE($C37,$B37,1),#REF!,"&lt;="&amp;EOMONTH(DATE($C37,$B37,1),0),#REF!,"Incident")+
COUNTIFS(#REF!,"&gt;="&amp;DATE($C37,$B37,1),#REF!,"&lt;="&amp;EOMONTH(DATE($C37,$B37,1),0),#REF!,"user_request")</f>
        <v>#REF!</v>
      </c>
      <c r="P37" s="147">
        <f t="shared" ref="P37:P63" si="22">I37+P36</f>
        <v>0</v>
      </c>
      <c r="Q37" s="147">
        <f t="shared" ref="Q37:Q63" si="23">Q36+J37</f>
        <v>0</v>
      </c>
      <c r="R37" s="147">
        <f t="shared" ref="R37:R63" si="24">K37+R36</f>
        <v>0</v>
      </c>
      <c r="S37" s="146" t="e">
        <f t="shared" ref="S37:S63" si="25">N37+S36</f>
        <v>#REF!</v>
      </c>
      <c r="T37" s="146" t="e">
        <f t="shared" ref="T37:T63" si="26">O37+T36</f>
        <v>#REF!</v>
      </c>
      <c r="U37" s="145">
        <f t="shared" si="18"/>
        <v>0</v>
      </c>
      <c r="V37" s="145" t="e">
        <f t="shared" si="19"/>
        <v>#REF!</v>
      </c>
      <c r="W37" s="142">
        <v>34</v>
      </c>
      <c r="X37" s="142" t="str">
        <f>+IF((VLOOKUP(A37,List!B:C,2,0)-VLOOKUP(Summary!$P$7,List!B:C,2,0))=0,1,"")</f>
        <v/>
      </c>
      <c r="Y37" s="198">
        <f>+IF((VLOOKUP(A37,List!B:C,2,0)-VLOOKUP(Summary!$P$7,List!B:C,2,0))&gt;=0,1,"")</f>
        <v>1</v>
      </c>
      <c r="Z37" s="198">
        <f>+IF((VLOOKUP(A37,List!B:C,2,0)-VLOOKUP(Summary!$P$7,List!B:C,2,0))&gt;0,1,"")</f>
        <v>1</v>
      </c>
      <c r="AA37" s="141">
        <f t="shared" si="6"/>
        <v>2</v>
      </c>
      <c r="AB37" s="199" t="str">
        <f>+IF(AA37="","",IF(Summary!$J$7="Fixed Price","",IF(M37="",IF(I37="","",1),"")))</f>
        <v/>
      </c>
      <c r="AC37" s="198">
        <f t="shared" si="14"/>
        <v>0</v>
      </c>
    </row>
    <row r="38" spans="1:29" x14ac:dyDescent="0.2">
      <c r="A38" s="155" t="str">
        <f t="shared" si="15"/>
        <v>-</v>
      </c>
      <c r="B38" s="154" t="str">
        <f t="shared" si="20"/>
        <v/>
      </c>
      <c r="C38" s="153" t="str">
        <f t="shared" si="21"/>
        <v/>
      </c>
      <c r="D38" s="152" t="str">
        <f t="shared" si="16"/>
        <v>-</v>
      </c>
      <c r="E38" s="159" t="str">
        <f>+IF($B38="","",Summary!$P$4)</f>
        <v/>
      </c>
      <c r="F38" s="159" t="str">
        <f>+IF($B38="","",Summary!$P$5)</f>
        <v/>
      </c>
      <c r="G38" s="159" t="str">
        <f>+IF($B38="","",Summary!$P$6)</f>
        <v/>
      </c>
      <c r="H38" s="158" t="str">
        <f t="shared" si="17"/>
        <v/>
      </c>
      <c r="I38" s="156"/>
      <c r="J38" s="156"/>
      <c r="K38" s="156"/>
      <c r="L38" s="156"/>
      <c r="M38" s="156"/>
      <c r="N38" s="156" t="e">
        <f t="shared" si="3"/>
        <v>#REF!</v>
      </c>
      <c r="O38" s="156" t="e">
        <f>COUNTIFS(#REF!,"&gt;="&amp;DATE($C38,$B38,1),#REF!,"&lt;="&amp;EOMONTH(DATE($C38,$B38,1),0),#REF!,"Incident")+
COUNTIFS(#REF!,"&gt;="&amp;DATE($C38,$B38,1),#REF!,"&lt;="&amp;EOMONTH(DATE($C38,$B38,1),0),#REF!,"user_request")</f>
        <v>#REF!</v>
      </c>
      <c r="P38" s="147">
        <f t="shared" si="22"/>
        <v>0</v>
      </c>
      <c r="Q38" s="147">
        <f t="shared" si="23"/>
        <v>0</v>
      </c>
      <c r="R38" s="147">
        <f t="shared" si="24"/>
        <v>0</v>
      </c>
      <c r="S38" s="146" t="e">
        <f t="shared" si="25"/>
        <v>#REF!</v>
      </c>
      <c r="T38" s="146" t="e">
        <f t="shared" si="26"/>
        <v>#REF!</v>
      </c>
      <c r="U38" s="145">
        <f t="shared" si="18"/>
        <v>0</v>
      </c>
      <c r="V38" s="145" t="e">
        <f t="shared" si="19"/>
        <v>#REF!</v>
      </c>
      <c r="W38" s="142">
        <v>35</v>
      </c>
      <c r="X38" s="142" t="str">
        <f>+IF((VLOOKUP(A38,List!B:C,2,0)-VLOOKUP(Summary!$P$7,List!B:C,2,0))=0,1,"")</f>
        <v/>
      </c>
      <c r="Y38" s="198">
        <f>+IF((VLOOKUP(A38,List!B:C,2,0)-VLOOKUP(Summary!$P$7,List!B:C,2,0))&gt;=0,1,"")</f>
        <v>1</v>
      </c>
      <c r="Z38" s="198">
        <f>+IF((VLOOKUP(A38,List!B:C,2,0)-VLOOKUP(Summary!$P$7,List!B:C,2,0))&gt;0,1,"")</f>
        <v>1</v>
      </c>
      <c r="AA38" s="141">
        <f t="shared" si="6"/>
        <v>2</v>
      </c>
      <c r="AB38" s="199" t="str">
        <f>+IF(AA38="","",IF(Summary!$J$7="Fixed Price","",IF(M38="",IF(I38="","",1),"")))</f>
        <v/>
      </c>
      <c r="AC38" s="198">
        <f t="shared" si="14"/>
        <v>0</v>
      </c>
    </row>
    <row r="39" spans="1:29" x14ac:dyDescent="0.2">
      <c r="A39" s="155" t="str">
        <f t="shared" si="15"/>
        <v>-</v>
      </c>
      <c r="B39" s="154" t="str">
        <f t="shared" si="20"/>
        <v/>
      </c>
      <c r="C39" s="153" t="str">
        <f t="shared" si="21"/>
        <v/>
      </c>
      <c r="D39" s="152" t="str">
        <f t="shared" si="16"/>
        <v>-</v>
      </c>
      <c r="E39" s="151" t="str">
        <f>+IF($B39="","",Summary!$P$4)</f>
        <v/>
      </c>
      <c r="F39" s="151" t="str">
        <f>+IF($B39="","",Summary!$P$5)</f>
        <v/>
      </c>
      <c r="G39" s="151" t="str">
        <f>+IF($B39="","",Summary!$P$6)</f>
        <v/>
      </c>
      <c r="H39" s="150" t="str">
        <f t="shared" si="17"/>
        <v/>
      </c>
      <c r="I39" s="148"/>
      <c r="J39" s="148"/>
      <c r="K39" s="148"/>
      <c r="L39" s="148"/>
      <c r="M39" s="148"/>
      <c r="N39" s="148" t="e">
        <f t="shared" si="3"/>
        <v>#REF!</v>
      </c>
      <c r="O39" s="148" t="e">
        <f>COUNTIFS(#REF!,"&gt;="&amp;DATE($C39,$B39,1),#REF!,"&lt;="&amp;EOMONTH(DATE($C39,$B39,1),0),#REF!,"Incident")+
COUNTIFS(#REF!,"&gt;="&amp;DATE($C39,$B39,1),#REF!,"&lt;="&amp;EOMONTH(DATE($C39,$B39,1),0),#REF!,"user_request")</f>
        <v>#REF!</v>
      </c>
      <c r="P39" s="147">
        <f t="shared" si="22"/>
        <v>0</v>
      </c>
      <c r="Q39" s="147">
        <f t="shared" si="23"/>
        <v>0</v>
      </c>
      <c r="R39" s="147">
        <f t="shared" si="24"/>
        <v>0</v>
      </c>
      <c r="S39" s="146" t="e">
        <f t="shared" si="25"/>
        <v>#REF!</v>
      </c>
      <c r="T39" s="146" t="e">
        <f t="shared" si="26"/>
        <v>#REF!</v>
      </c>
      <c r="U39" s="145">
        <f t="shared" si="18"/>
        <v>0</v>
      </c>
      <c r="V39" s="145" t="e">
        <f t="shared" si="19"/>
        <v>#REF!</v>
      </c>
      <c r="W39" s="142">
        <v>36</v>
      </c>
      <c r="X39" s="142" t="str">
        <f>+IF((VLOOKUP(A39,List!B:C,2,0)-VLOOKUP(Summary!$P$7,List!B:C,2,0))=0,1,"")</f>
        <v/>
      </c>
      <c r="Y39" s="198">
        <f>+IF((VLOOKUP(A39,List!B:C,2,0)-VLOOKUP(Summary!$P$7,List!B:C,2,0))&gt;=0,1,"")</f>
        <v>1</v>
      </c>
      <c r="Z39" s="198">
        <f>+IF((VLOOKUP(A39,List!B:C,2,0)-VLOOKUP(Summary!$P$7,List!B:C,2,0))&gt;0,1,"")</f>
        <v>1</v>
      </c>
      <c r="AA39" s="141">
        <f t="shared" si="6"/>
        <v>2</v>
      </c>
      <c r="AB39" s="199" t="str">
        <f>+IF(AA39="","",IF(Summary!$J$7="Fixed Price","",IF(M39="",IF(I39="","",1),"")))</f>
        <v/>
      </c>
      <c r="AC39" s="198">
        <f t="shared" si="14"/>
        <v>0</v>
      </c>
    </row>
    <row r="40" spans="1:29" x14ac:dyDescent="0.2">
      <c r="A40" s="155" t="str">
        <f t="shared" si="15"/>
        <v>-</v>
      </c>
      <c r="B40" s="154" t="str">
        <f t="shared" si="20"/>
        <v/>
      </c>
      <c r="C40" s="153" t="str">
        <f t="shared" si="21"/>
        <v/>
      </c>
      <c r="D40" s="152" t="str">
        <f t="shared" si="16"/>
        <v>-</v>
      </c>
      <c r="E40" s="159" t="str">
        <f>+IF($B40="","",Summary!$P$4)</f>
        <v/>
      </c>
      <c r="F40" s="159" t="str">
        <f>+IF($B40="","",Summary!$P$5)</f>
        <v/>
      </c>
      <c r="G40" s="159" t="str">
        <f>+IF($B40="","",Summary!$P$6)</f>
        <v/>
      </c>
      <c r="H40" s="158" t="str">
        <f t="shared" si="17"/>
        <v/>
      </c>
      <c r="I40" s="156"/>
      <c r="J40" s="157"/>
      <c r="K40" s="156"/>
      <c r="L40" s="156"/>
      <c r="M40" s="156"/>
      <c r="N40" s="157" t="e">
        <f t="shared" si="3"/>
        <v>#REF!</v>
      </c>
      <c r="O40" s="157" t="e">
        <f>COUNTIFS(#REF!,"&gt;="&amp;DATE($C40,$B40,1),#REF!,"&lt;="&amp;EOMONTH(DATE($C40,$B40,1),0),#REF!,"Incident")+
COUNTIFS(#REF!,"&gt;="&amp;DATE($C40,$B40,1),#REF!,"&lt;="&amp;EOMONTH(DATE($C40,$B40,1),0),#REF!,"user_request")</f>
        <v>#REF!</v>
      </c>
      <c r="P40" s="147">
        <f t="shared" si="22"/>
        <v>0</v>
      </c>
      <c r="Q40" s="147">
        <f t="shared" si="23"/>
        <v>0</v>
      </c>
      <c r="R40" s="147">
        <f t="shared" si="24"/>
        <v>0</v>
      </c>
      <c r="S40" s="146" t="e">
        <f t="shared" si="25"/>
        <v>#REF!</v>
      </c>
      <c r="T40" s="146" t="e">
        <f t="shared" si="26"/>
        <v>#REF!</v>
      </c>
      <c r="U40" s="145">
        <f t="shared" si="18"/>
        <v>0</v>
      </c>
      <c r="V40" s="145" t="e">
        <f t="shared" si="19"/>
        <v>#REF!</v>
      </c>
      <c r="W40" s="142">
        <v>37</v>
      </c>
      <c r="X40" s="142" t="str">
        <f>+IF((VLOOKUP(A40,List!B:C,2,0)-VLOOKUP(Summary!$P$7,List!B:C,2,0))=0,1,"")</f>
        <v/>
      </c>
      <c r="Y40" s="198">
        <f>+IF((VLOOKUP(A40,List!B:C,2,0)-VLOOKUP(Summary!$P$7,List!B:C,2,0))&gt;=0,1,"")</f>
        <v>1</v>
      </c>
      <c r="Z40" s="198">
        <f>+IF((VLOOKUP(A40,List!B:C,2,0)-VLOOKUP(Summary!$P$7,List!B:C,2,0))&gt;0,1,"")</f>
        <v>1</v>
      </c>
      <c r="AA40" s="141">
        <f t="shared" si="6"/>
        <v>2</v>
      </c>
      <c r="AB40" s="199" t="str">
        <f>+IF(AA40="","",IF(Summary!$J$7="Fixed Price","",IF(M40="",IF(I40="","",1),"")))</f>
        <v/>
      </c>
      <c r="AC40" s="198">
        <f t="shared" si="14"/>
        <v>0</v>
      </c>
    </row>
    <row r="41" spans="1:29" x14ac:dyDescent="0.2">
      <c r="A41" s="155" t="str">
        <f t="shared" si="15"/>
        <v>-</v>
      </c>
      <c r="B41" s="154" t="str">
        <f t="shared" si="20"/>
        <v/>
      </c>
      <c r="C41" s="153" t="str">
        <f t="shared" si="21"/>
        <v/>
      </c>
      <c r="D41" s="152" t="str">
        <f t="shared" si="16"/>
        <v>-</v>
      </c>
      <c r="E41" s="151" t="str">
        <f>+IF($B41="","",Summary!$P$4)</f>
        <v/>
      </c>
      <c r="F41" s="151" t="str">
        <f>+IF($B41="","",Summary!$P$5)</f>
        <v/>
      </c>
      <c r="G41" s="151" t="str">
        <f>+IF($B41="","",Summary!$P$6)</f>
        <v/>
      </c>
      <c r="H41" s="150" t="str">
        <f t="shared" si="17"/>
        <v/>
      </c>
      <c r="I41" s="148"/>
      <c r="J41" s="149"/>
      <c r="K41" s="148"/>
      <c r="L41" s="148"/>
      <c r="M41" s="148"/>
      <c r="N41" s="149" t="e">
        <f t="shared" si="3"/>
        <v>#REF!</v>
      </c>
      <c r="O41" s="149" t="e">
        <f>COUNTIFS(#REF!,"&gt;="&amp;DATE($C41,$B41,1),#REF!,"&lt;="&amp;EOMONTH(DATE($C41,$B41,1),0),#REF!,"Incident")+
COUNTIFS(#REF!,"&gt;="&amp;DATE($C41,$B41,1),#REF!,"&lt;="&amp;EOMONTH(DATE($C41,$B41,1),0),#REF!,"user_request")</f>
        <v>#REF!</v>
      </c>
      <c r="P41" s="147">
        <f t="shared" si="22"/>
        <v>0</v>
      </c>
      <c r="Q41" s="147">
        <f t="shared" si="23"/>
        <v>0</v>
      </c>
      <c r="R41" s="147">
        <f t="shared" si="24"/>
        <v>0</v>
      </c>
      <c r="S41" s="146" t="e">
        <f t="shared" si="25"/>
        <v>#REF!</v>
      </c>
      <c r="T41" s="146" t="e">
        <f t="shared" si="26"/>
        <v>#REF!</v>
      </c>
      <c r="U41" s="145">
        <f t="shared" si="18"/>
        <v>0</v>
      </c>
      <c r="V41" s="145" t="e">
        <f t="shared" si="19"/>
        <v>#REF!</v>
      </c>
      <c r="W41" s="142">
        <v>38</v>
      </c>
      <c r="X41" s="142" t="str">
        <f>+IF((VLOOKUP(A41,List!B:C,2,0)-VLOOKUP(Summary!$P$7,List!B:C,2,0))=0,1,"")</f>
        <v/>
      </c>
      <c r="Y41" s="198">
        <f>+IF((VLOOKUP(A41,List!B:C,2,0)-VLOOKUP(Summary!$P$7,List!B:C,2,0))&gt;=0,1,"")</f>
        <v>1</v>
      </c>
      <c r="Z41" s="198">
        <f>+IF((VLOOKUP(A41,List!B:C,2,0)-VLOOKUP(Summary!$P$7,List!B:C,2,0))&gt;0,1,"")</f>
        <v>1</v>
      </c>
      <c r="AA41" s="141">
        <f t="shared" si="6"/>
        <v>2</v>
      </c>
      <c r="AB41" s="199" t="str">
        <f>+IF(AA41="","",IF(Summary!$J$7="Fixed Price","",IF(M41="",IF(I41="","",1),"")))</f>
        <v/>
      </c>
      <c r="AC41" s="198">
        <f t="shared" si="14"/>
        <v>0</v>
      </c>
    </row>
    <row r="42" spans="1:29" x14ac:dyDescent="0.2">
      <c r="A42" s="155" t="str">
        <f t="shared" si="15"/>
        <v>-</v>
      </c>
      <c r="B42" s="154" t="str">
        <f t="shared" si="20"/>
        <v/>
      </c>
      <c r="C42" s="153" t="str">
        <f t="shared" si="21"/>
        <v/>
      </c>
      <c r="D42" s="152" t="str">
        <f t="shared" si="16"/>
        <v>-</v>
      </c>
      <c r="E42" s="159" t="str">
        <f>+IF($B42="","",Summary!$P$4)</f>
        <v/>
      </c>
      <c r="F42" s="159" t="str">
        <f>+IF($B42="","",Summary!$P$5)</f>
        <v/>
      </c>
      <c r="G42" s="159" t="str">
        <f>+IF($B42="","",Summary!$P$6)</f>
        <v/>
      </c>
      <c r="H42" s="158" t="str">
        <f t="shared" si="17"/>
        <v/>
      </c>
      <c r="I42" s="156"/>
      <c r="J42" s="157"/>
      <c r="K42" s="156"/>
      <c r="L42" s="156"/>
      <c r="M42" s="156"/>
      <c r="N42" s="157" t="e">
        <f t="shared" si="3"/>
        <v>#REF!</v>
      </c>
      <c r="O42" s="157" t="e">
        <f>COUNTIFS(#REF!,"&gt;="&amp;DATE($C42,$B42,1),#REF!,"&lt;="&amp;EOMONTH(DATE($C42,$B42,1),0),#REF!,"Incident")+
COUNTIFS(#REF!,"&gt;="&amp;DATE($C42,$B42,1),#REF!,"&lt;="&amp;EOMONTH(DATE($C42,$B42,1),0),#REF!,"user_request")</f>
        <v>#REF!</v>
      </c>
      <c r="P42" s="147">
        <f t="shared" si="22"/>
        <v>0</v>
      </c>
      <c r="Q42" s="147">
        <f t="shared" si="23"/>
        <v>0</v>
      </c>
      <c r="R42" s="147">
        <f t="shared" si="24"/>
        <v>0</v>
      </c>
      <c r="S42" s="146" t="e">
        <f t="shared" si="25"/>
        <v>#REF!</v>
      </c>
      <c r="T42" s="146" t="e">
        <f t="shared" si="26"/>
        <v>#REF!</v>
      </c>
      <c r="U42" s="145">
        <f t="shared" si="18"/>
        <v>0</v>
      </c>
      <c r="V42" s="145" t="e">
        <f t="shared" si="19"/>
        <v>#REF!</v>
      </c>
      <c r="W42" s="142">
        <v>39</v>
      </c>
      <c r="X42" s="142" t="str">
        <f>+IF((VLOOKUP(A42,List!B:C,2,0)-VLOOKUP(Summary!$P$7,List!B:C,2,0))=0,1,"")</f>
        <v/>
      </c>
      <c r="Y42" s="198">
        <f>+IF((VLOOKUP(A42,List!B:C,2,0)-VLOOKUP(Summary!$P$7,List!B:C,2,0))&gt;=0,1,"")</f>
        <v>1</v>
      </c>
      <c r="Z42" s="198">
        <f>+IF((VLOOKUP(A42,List!B:C,2,0)-VLOOKUP(Summary!$P$7,List!B:C,2,0))&gt;0,1,"")</f>
        <v>1</v>
      </c>
      <c r="AA42" s="141">
        <f t="shared" si="6"/>
        <v>2</v>
      </c>
      <c r="AB42" s="199" t="str">
        <f>+IF(AA42="","",IF(Summary!$J$7="Fixed Price","",IF(M42="",IF(I42="","",1),"")))</f>
        <v/>
      </c>
      <c r="AC42" s="198">
        <f t="shared" si="14"/>
        <v>0</v>
      </c>
    </row>
    <row r="43" spans="1:29" x14ac:dyDescent="0.2">
      <c r="A43" s="155" t="str">
        <f t="shared" si="15"/>
        <v>-</v>
      </c>
      <c r="B43" s="154" t="str">
        <f t="shared" si="20"/>
        <v/>
      </c>
      <c r="C43" s="153" t="str">
        <f t="shared" si="21"/>
        <v/>
      </c>
      <c r="D43" s="152" t="str">
        <f t="shared" si="16"/>
        <v>-</v>
      </c>
      <c r="E43" s="151" t="str">
        <f>+IF($B43="","",Summary!$P$4)</f>
        <v/>
      </c>
      <c r="F43" s="151" t="str">
        <f>+IF($B43="","",Summary!$P$5)</f>
        <v/>
      </c>
      <c r="G43" s="151" t="str">
        <f>+IF($B43="","",Summary!$P$6)</f>
        <v/>
      </c>
      <c r="H43" s="150" t="str">
        <f t="shared" si="17"/>
        <v/>
      </c>
      <c r="I43" s="148"/>
      <c r="J43" s="149"/>
      <c r="K43" s="148"/>
      <c r="L43" s="148"/>
      <c r="M43" s="148"/>
      <c r="N43" s="149" t="e">
        <f t="shared" si="3"/>
        <v>#REF!</v>
      </c>
      <c r="O43" s="149" t="e">
        <f>COUNTIFS(#REF!,"&gt;="&amp;DATE($C43,$B43,1),#REF!,"&lt;="&amp;EOMONTH(DATE($C43,$B43,1),0),#REF!,"Incident")+
COUNTIFS(#REF!,"&gt;="&amp;DATE($C43,$B43,1),#REF!,"&lt;="&amp;EOMONTH(DATE($C43,$B43,1),0),#REF!,"user_request")</f>
        <v>#REF!</v>
      </c>
      <c r="P43" s="147">
        <f t="shared" si="22"/>
        <v>0</v>
      </c>
      <c r="Q43" s="147">
        <f t="shared" si="23"/>
        <v>0</v>
      </c>
      <c r="R43" s="147">
        <f t="shared" si="24"/>
        <v>0</v>
      </c>
      <c r="S43" s="146" t="e">
        <f t="shared" si="25"/>
        <v>#REF!</v>
      </c>
      <c r="T43" s="146" t="e">
        <f t="shared" si="26"/>
        <v>#REF!</v>
      </c>
      <c r="U43" s="145">
        <f t="shared" si="18"/>
        <v>0</v>
      </c>
      <c r="V43" s="145" t="e">
        <f t="shared" si="19"/>
        <v>#REF!</v>
      </c>
      <c r="W43" s="142">
        <v>40</v>
      </c>
      <c r="X43" s="142" t="str">
        <f>+IF((VLOOKUP(A43,List!B:C,2,0)-VLOOKUP(Summary!$P$7,List!B:C,2,0))=0,1,"")</f>
        <v/>
      </c>
      <c r="Y43" s="198">
        <f>+IF((VLOOKUP(A43,List!B:C,2,0)-VLOOKUP(Summary!$P$7,List!B:C,2,0))&gt;=0,1,"")</f>
        <v>1</v>
      </c>
      <c r="Z43" s="198">
        <f>+IF((VLOOKUP(A43,List!B:C,2,0)-VLOOKUP(Summary!$P$7,List!B:C,2,0))&gt;0,1,"")</f>
        <v>1</v>
      </c>
      <c r="AA43" s="141">
        <f t="shared" si="6"/>
        <v>2</v>
      </c>
      <c r="AB43" s="199" t="str">
        <f>+IF(AA43="","",IF(Summary!$J$7="Fixed Price","",IF(M43="",IF(I43="","",1),"")))</f>
        <v/>
      </c>
      <c r="AC43" s="198">
        <f t="shared" si="14"/>
        <v>0</v>
      </c>
    </row>
    <row r="44" spans="1:29" x14ac:dyDescent="0.2">
      <c r="A44" s="155" t="str">
        <f t="shared" si="15"/>
        <v>-</v>
      </c>
      <c r="B44" s="154" t="str">
        <f t="shared" si="20"/>
        <v/>
      </c>
      <c r="C44" s="153" t="str">
        <f t="shared" si="21"/>
        <v/>
      </c>
      <c r="D44" s="152" t="str">
        <f t="shared" si="16"/>
        <v>-</v>
      </c>
      <c r="E44" s="159" t="str">
        <f>+IF($B44="","",Summary!$P$4)</f>
        <v/>
      </c>
      <c r="F44" s="159" t="str">
        <f>+IF($B44="","",Summary!$P$5)</f>
        <v/>
      </c>
      <c r="G44" s="159" t="str">
        <f>+IF($B44="","",Summary!$P$6)</f>
        <v/>
      </c>
      <c r="H44" s="158" t="str">
        <f t="shared" si="17"/>
        <v/>
      </c>
      <c r="I44" s="156"/>
      <c r="J44" s="157"/>
      <c r="K44" s="156"/>
      <c r="L44" s="156"/>
      <c r="M44" s="156"/>
      <c r="N44" s="157" t="e">
        <f t="shared" si="3"/>
        <v>#REF!</v>
      </c>
      <c r="O44" s="157" t="e">
        <f>COUNTIFS(#REF!,"&gt;="&amp;DATE($C44,$B44,1),#REF!,"&lt;="&amp;EOMONTH(DATE($C44,$B44,1),0),#REF!,"Incident")+
COUNTIFS(#REF!,"&gt;="&amp;DATE($C44,$B44,1),#REF!,"&lt;="&amp;EOMONTH(DATE($C44,$B44,1),0),#REF!,"user_request")</f>
        <v>#REF!</v>
      </c>
      <c r="P44" s="147">
        <f t="shared" si="22"/>
        <v>0</v>
      </c>
      <c r="Q44" s="147">
        <f t="shared" si="23"/>
        <v>0</v>
      </c>
      <c r="R44" s="147">
        <f t="shared" si="24"/>
        <v>0</v>
      </c>
      <c r="S44" s="146" t="e">
        <f t="shared" si="25"/>
        <v>#REF!</v>
      </c>
      <c r="T44" s="146" t="e">
        <f t="shared" si="26"/>
        <v>#REF!</v>
      </c>
      <c r="U44" s="145">
        <f t="shared" si="18"/>
        <v>0</v>
      </c>
      <c r="V44" s="145" t="e">
        <f t="shared" si="19"/>
        <v>#REF!</v>
      </c>
      <c r="W44" s="142">
        <v>41</v>
      </c>
      <c r="X44" s="142" t="str">
        <f>+IF((VLOOKUP(A44,List!B:C,2,0)-VLOOKUP(Summary!$P$7,List!B:C,2,0))=0,1,"")</f>
        <v/>
      </c>
      <c r="Y44" s="198">
        <f>+IF((VLOOKUP(A44,List!B:C,2,0)-VLOOKUP(Summary!$P$7,List!B:C,2,0))&gt;=0,1,"")</f>
        <v>1</v>
      </c>
      <c r="Z44" s="198">
        <f>+IF((VLOOKUP(A44,List!B:C,2,0)-VLOOKUP(Summary!$P$7,List!B:C,2,0))&gt;0,1,"")</f>
        <v>1</v>
      </c>
      <c r="AA44" s="141">
        <f t="shared" si="6"/>
        <v>2</v>
      </c>
      <c r="AB44" s="199" t="str">
        <f>+IF(AA44="","",IF(Summary!$J$7="Fixed Price","",IF(M44="",IF(I44="","",1),"")))</f>
        <v/>
      </c>
      <c r="AC44" s="198">
        <f t="shared" si="14"/>
        <v>0</v>
      </c>
    </row>
    <row r="45" spans="1:29" x14ac:dyDescent="0.2">
      <c r="A45" s="155" t="str">
        <f t="shared" si="15"/>
        <v>-</v>
      </c>
      <c r="B45" s="154" t="str">
        <f t="shared" si="20"/>
        <v/>
      </c>
      <c r="C45" s="153" t="str">
        <f t="shared" si="21"/>
        <v/>
      </c>
      <c r="D45" s="152" t="str">
        <f t="shared" si="16"/>
        <v>-</v>
      </c>
      <c r="E45" s="151" t="str">
        <f>+IF($B45="","",Summary!$P$4)</f>
        <v/>
      </c>
      <c r="F45" s="151" t="str">
        <f>+IF($B45="","",Summary!$P$5)</f>
        <v/>
      </c>
      <c r="G45" s="151" t="str">
        <f>+IF($B45="","",Summary!$P$6)</f>
        <v/>
      </c>
      <c r="H45" s="150" t="str">
        <f t="shared" si="17"/>
        <v/>
      </c>
      <c r="I45" s="148"/>
      <c r="J45" s="149"/>
      <c r="K45" s="148"/>
      <c r="L45" s="148"/>
      <c r="M45" s="148"/>
      <c r="N45" s="149" t="e">
        <f t="shared" si="3"/>
        <v>#REF!</v>
      </c>
      <c r="O45" s="149" t="e">
        <f>COUNTIFS(#REF!,"&gt;="&amp;DATE($C45,$B45,1),#REF!,"&lt;="&amp;EOMONTH(DATE($C45,$B45,1),0),#REF!,"Incident")+
COUNTIFS(#REF!,"&gt;="&amp;DATE($C45,$B45,1),#REF!,"&lt;="&amp;EOMONTH(DATE($C45,$B45,1),0),#REF!,"user_request")</f>
        <v>#REF!</v>
      </c>
      <c r="P45" s="147">
        <f t="shared" si="22"/>
        <v>0</v>
      </c>
      <c r="Q45" s="147">
        <f t="shared" si="23"/>
        <v>0</v>
      </c>
      <c r="R45" s="147">
        <f t="shared" si="24"/>
        <v>0</v>
      </c>
      <c r="S45" s="146" t="e">
        <f t="shared" si="25"/>
        <v>#REF!</v>
      </c>
      <c r="T45" s="146" t="e">
        <f t="shared" si="26"/>
        <v>#REF!</v>
      </c>
      <c r="U45" s="145">
        <f t="shared" si="18"/>
        <v>0</v>
      </c>
      <c r="V45" s="145" t="e">
        <f t="shared" si="19"/>
        <v>#REF!</v>
      </c>
      <c r="W45" s="142">
        <v>42</v>
      </c>
      <c r="X45" s="142" t="str">
        <f>+IF((VLOOKUP(A45,List!B:C,2,0)-VLOOKUP(Summary!$P$7,List!B:C,2,0))=0,1,"")</f>
        <v/>
      </c>
      <c r="Y45" s="198">
        <f>+IF((VLOOKUP(A45,List!B:C,2,0)-VLOOKUP(Summary!$P$7,List!B:C,2,0))&gt;=0,1,"")</f>
        <v>1</v>
      </c>
      <c r="Z45" s="198">
        <f>+IF((VLOOKUP(A45,List!B:C,2,0)-VLOOKUP(Summary!$P$7,List!B:C,2,0))&gt;0,1,"")</f>
        <v>1</v>
      </c>
      <c r="AA45" s="141">
        <f t="shared" si="6"/>
        <v>2</v>
      </c>
      <c r="AB45" s="199" t="str">
        <f>+IF(AA45="","",IF(Summary!$J$7="Fixed Price","",IF(M45="",IF(I45="","",1),"")))</f>
        <v/>
      </c>
      <c r="AC45" s="198">
        <f t="shared" si="14"/>
        <v>0</v>
      </c>
    </row>
    <row r="46" spans="1:29" x14ac:dyDescent="0.2">
      <c r="A46" s="155" t="str">
        <f t="shared" si="15"/>
        <v>-</v>
      </c>
      <c r="B46" s="154" t="str">
        <f t="shared" si="20"/>
        <v/>
      </c>
      <c r="C46" s="153" t="str">
        <f t="shared" si="21"/>
        <v/>
      </c>
      <c r="D46" s="152" t="str">
        <f t="shared" si="16"/>
        <v>-</v>
      </c>
      <c r="E46" s="159" t="str">
        <f>+IF($B46="","",Summary!$P$4)</f>
        <v/>
      </c>
      <c r="F46" s="159" t="str">
        <f>+IF($B46="","",Summary!$P$5)</f>
        <v/>
      </c>
      <c r="G46" s="159" t="str">
        <f>+IF($B46="","",Summary!$P$6)</f>
        <v/>
      </c>
      <c r="H46" s="158" t="str">
        <f t="shared" si="17"/>
        <v/>
      </c>
      <c r="I46" s="156"/>
      <c r="J46" s="157"/>
      <c r="K46" s="156"/>
      <c r="L46" s="156"/>
      <c r="M46" s="156"/>
      <c r="N46" s="157" t="e">
        <f t="shared" si="3"/>
        <v>#REF!</v>
      </c>
      <c r="O46" s="157" t="e">
        <f>COUNTIFS(#REF!,"&gt;="&amp;DATE($C46,$B46,1),#REF!,"&lt;="&amp;EOMONTH(DATE($C46,$B46,1),0),#REF!,"Incident")+
COUNTIFS(#REF!,"&gt;="&amp;DATE($C46,$B46,1),#REF!,"&lt;="&amp;EOMONTH(DATE($C46,$B46,1),0),#REF!,"user_request")</f>
        <v>#REF!</v>
      </c>
      <c r="P46" s="147">
        <f t="shared" si="22"/>
        <v>0</v>
      </c>
      <c r="Q46" s="147">
        <f t="shared" si="23"/>
        <v>0</v>
      </c>
      <c r="R46" s="147">
        <f t="shared" si="24"/>
        <v>0</v>
      </c>
      <c r="S46" s="146" t="e">
        <f t="shared" si="25"/>
        <v>#REF!</v>
      </c>
      <c r="T46" s="146" t="e">
        <f t="shared" si="26"/>
        <v>#REF!</v>
      </c>
      <c r="U46" s="145">
        <f t="shared" si="18"/>
        <v>0</v>
      </c>
      <c r="V46" s="145" t="e">
        <f t="shared" si="19"/>
        <v>#REF!</v>
      </c>
      <c r="W46" s="142">
        <v>43</v>
      </c>
      <c r="X46" s="142" t="str">
        <f>+IF((VLOOKUP(A46,List!B:C,2,0)-VLOOKUP(Summary!$P$7,List!B:C,2,0))=0,1,"")</f>
        <v/>
      </c>
      <c r="Y46" s="198">
        <f>+IF((VLOOKUP(A46,List!B:C,2,0)-VLOOKUP(Summary!$P$7,List!B:C,2,0))&gt;=0,1,"")</f>
        <v>1</v>
      </c>
      <c r="Z46" s="198">
        <f>+IF((VLOOKUP(A46,List!B:C,2,0)-VLOOKUP(Summary!$P$7,List!B:C,2,0))&gt;0,1,"")</f>
        <v>1</v>
      </c>
      <c r="AA46" s="141">
        <f t="shared" si="6"/>
        <v>2</v>
      </c>
      <c r="AB46" s="199" t="str">
        <f>+IF(AA46="","",IF(Summary!$J$7="Fixed Price","",IF(M46="",IF(I46="","",1),"")))</f>
        <v/>
      </c>
      <c r="AC46" s="198">
        <f t="shared" si="14"/>
        <v>0</v>
      </c>
    </row>
    <row r="47" spans="1:29" x14ac:dyDescent="0.2">
      <c r="A47" s="155" t="str">
        <f t="shared" si="15"/>
        <v>-</v>
      </c>
      <c r="B47" s="154" t="str">
        <f t="shared" si="20"/>
        <v/>
      </c>
      <c r="C47" s="153" t="str">
        <f t="shared" si="21"/>
        <v/>
      </c>
      <c r="D47" s="152" t="str">
        <f t="shared" si="16"/>
        <v>-</v>
      </c>
      <c r="E47" s="151" t="str">
        <f>+IF($B47="","",Summary!$P$4)</f>
        <v/>
      </c>
      <c r="F47" s="151" t="str">
        <f>+IF($B47="","",Summary!$P$5)</f>
        <v/>
      </c>
      <c r="G47" s="151" t="str">
        <f>+IF($B47="","",Summary!$P$6)</f>
        <v/>
      </c>
      <c r="H47" s="150" t="str">
        <f t="shared" si="17"/>
        <v/>
      </c>
      <c r="I47" s="148"/>
      <c r="J47" s="149"/>
      <c r="K47" s="148"/>
      <c r="L47" s="148"/>
      <c r="M47" s="148"/>
      <c r="N47" s="149" t="e">
        <f t="shared" si="3"/>
        <v>#REF!</v>
      </c>
      <c r="O47" s="149" t="e">
        <f>COUNTIFS(#REF!,"&gt;="&amp;DATE($C47,$B47,1),#REF!,"&lt;="&amp;EOMONTH(DATE($C47,$B47,1),0),#REF!,"Incident")+
COUNTIFS(#REF!,"&gt;="&amp;DATE($C47,$B47,1),#REF!,"&lt;="&amp;EOMONTH(DATE($C47,$B47,1),0),#REF!,"user_request")</f>
        <v>#REF!</v>
      </c>
      <c r="P47" s="147">
        <f t="shared" si="22"/>
        <v>0</v>
      </c>
      <c r="Q47" s="147">
        <f t="shared" si="23"/>
        <v>0</v>
      </c>
      <c r="R47" s="147">
        <f t="shared" si="24"/>
        <v>0</v>
      </c>
      <c r="S47" s="146" t="e">
        <f t="shared" si="25"/>
        <v>#REF!</v>
      </c>
      <c r="T47" s="146" t="e">
        <f t="shared" si="26"/>
        <v>#REF!</v>
      </c>
      <c r="U47" s="145">
        <f t="shared" si="18"/>
        <v>0</v>
      </c>
      <c r="V47" s="145" t="e">
        <f t="shared" si="19"/>
        <v>#REF!</v>
      </c>
      <c r="W47" s="142">
        <v>44</v>
      </c>
      <c r="X47" s="142" t="str">
        <f>+IF((VLOOKUP(A47,List!B:C,2,0)-VLOOKUP(Summary!$P$7,List!B:C,2,0))=0,1,"")</f>
        <v/>
      </c>
      <c r="Y47" s="198">
        <f>+IF((VLOOKUP(A47,List!B:C,2,0)-VLOOKUP(Summary!$P$7,List!B:C,2,0))&gt;=0,1,"")</f>
        <v>1</v>
      </c>
      <c r="Z47" s="198">
        <f>+IF((VLOOKUP(A47,List!B:C,2,0)-VLOOKUP(Summary!$P$7,List!B:C,2,0))&gt;0,1,"")</f>
        <v>1</v>
      </c>
      <c r="AA47" s="141">
        <f t="shared" si="6"/>
        <v>2</v>
      </c>
      <c r="AB47" s="199" t="str">
        <f>+IF(AA47="","",IF(Summary!$J$7="Fixed Price","",IF(M47="",IF(I47="","",1),"")))</f>
        <v/>
      </c>
      <c r="AC47" s="198">
        <f t="shared" si="14"/>
        <v>0</v>
      </c>
    </row>
    <row r="48" spans="1:29" x14ac:dyDescent="0.2">
      <c r="A48" s="155" t="str">
        <f t="shared" si="15"/>
        <v>-</v>
      </c>
      <c r="B48" s="154" t="str">
        <f t="shared" si="20"/>
        <v/>
      </c>
      <c r="C48" s="153" t="str">
        <f t="shared" si="21"/>
        <v/>
      </c>
      <c r="D48" s="152" t="str">
        <f t="shared" si="16"/>
        <v>-</v>
      </c>
      <c r="E48" s="159" t="str">
        <f>+IF($B48="","",Summary!$P$4)</f>
        <v/>
      </c>
      <c r="F48" s="159" t="str">
        <f>+IF($B48="","",Summary!$P$5)</f>
        <v/>
      </c>
      <c r="G48" s="159" t="str">
        <f>+IF($B48="","",Summary!$P$6)</f>
        <v/>
      </c>
      <c r="H48" s="158" t="str">
        <f t="shared" si="17"/>
        <v/>
      </c>
      <c r="I48" s="156"/>
      <c r="J48" s="157"/>
      <c r="K48" s="156"/>
      <c r="L48" s="156"/>
      <c r="M48" s="156"/>
      <c r="N48" s="157" t="e">
        <f t="shared" si="3"/>
        <v>#REF!</v>
      </c>
      <c r="O48" s="157" t="e">
        <f>COUNTIFS(#REF!,"&gt;="&amp;DATE($C48,$B48,1),#REF!,"&lt;="&amp;EOMONTH(DATE($C48,$B48,1),0),#REF!,"Incident")+
COUNTIFS(#REF!,"&gt;="&amp;DATE($C48,$B48,1),#REF!,"&lt;="&amp;EOMONTH(DATE($C48,$B48,1),0),#REF!,"user_request")</f>
        <v>#REF!</v>
      </c>
      <c r="P48" s="147">
        <f t="shared" si="22"/>
        <v>0</v>
      </c>
      <c r="Q48" s="147">
        <f t="shared" si="23"/>
        <v>0</v>
      </c>
      <c r="R48" s="147">
        <f t="shared" si="24"/>
        <v>0</v>
      </c>
      <c r="S48" s="146" t="e">
        <f t="shared" si="25"/>
        <v>#REF!</v>
      </c>
      <c r="T48" s="146" t="e">
        <f t="shared" si="26"/>
        <v>#REF!</v>
      </c>
      <c r="U48" s="145">
        <f t="shared" si="18"/>
        <v>0</v>
      </c>
      <c r="V48" s="145" t="e">
        <f t="shared" si="19"/>
        <v>#REF!</v>
      </c>
      <c r="W48" s="142">
        <v>45</v>
      </c>
      <c r="X48" s="142" t="str">
        <f>+IF((VLOOKUP(A48,List!B:C,2,0)-VLOOKUP(Summary!$P$7,List!B:C,2,0))=0,1,"")</f>
        <v/>
      </c>
      <c r="Y48" s="198">
        <f>+IF((VLOOKUP(A48,List!B:C,2,0)-VLOOKUP(Summary!$P$7,List!B:C,2,0))&gt;=0,1,"")</f>
        <v>1</v>
      </c>
      <c r="Z48" s="198">
        <f>+IF((VLOOKUP(A48,List!B:C,2,0)-VLOOKUP(Summary!$P$7,List!B:C,2,0))&gt;0,1,"")</f>
        <v>1</v>
      </c>
      <c r="AA48" s="141">
        <f t="shared" si="6"/>
        <v>2</v>
      </c>
      <c r="AB48" s="199" t="str">
        <f>+IF(AA48="","",IF(Summary!$J$7="Fixed Price","",IF(M48="",IF(I48="","",1),"")))</f>
        <v/>
      </c>
      <c r="AC48" s="198">
        <f t="shared" si="14"/>
        <v>0</v>
      </c>
    </row>
    <row r="49" spans="1:29" x14ac:dyDescent="0.2">
      <c r="A49" s="155" t="str">
        <f t="shared" si="15"/>
        <v>-</v>
      </c>
      <c r="B49" s="154" t="str">
        <f t="shared" si="20"/>
        <v/>
      </c>
      <c r="C49" s="153" t="str">
        <f t="shared" si="21"/>
        <v/>
      </c>
      <c r="D49" s="152" t="str">
        <f t="shared" si="16"/>
        <v>-</v>
      </c>
      <c r="E49" s="151" t="str">
        <f>+IF($B49="","",Summary!$P$4)</f>
        <v/>
      </c>
      <c r="F49" s="151" t="str">
        <f>+IF($B49="","",Summary!$P$5)</f>
        <v/>
      </c>
      <c r="G49" s="151" t="str">
        <f>+IF($B49="","",Summary!$P$6)</f>
        <v/>
      </c>
      <c r="H49" s="150" t="str">
        <f t="shared" si="17"/>
        <v/>
      </c>
      <c r="I49" s="148"/>
      <c r="J49" s="149"/>
      <c r="K49" s="148"/>
      <c r="L49" s="148"/>
      <c r="M49" s="148"/>
      <c r="N49" s="149" t="e">
        <f t="shared" si="3"/>
        <v>#REF!</v>
      </c>
      <c r="O49" s="149" t="e">
        <f>COUNTIFS(#REF!,"&gt;="&amp;DATE($C49,$B49,1),#REF!,"&lt;="&amp;EOMONTH(DATE($C49,$B49,1),0),#REF!,"Incident")+
COUNTIFS(#REF!,"&gt;="&amp;DATE($C49,$B49,1),#REF!,"&lt;="&amp;EOMONTH(DATE($C49,$B49,1),0),#REF!,"user_request")</f>
        <v>#REF!</v>
      </c>
      <c r="P49" s="147">
        <f t="shared" si="22"/>
        <v>0</v>
      </c>
      <c r="Q49" s="147">
        <f t="shared" si="23"/>
        <v>0</v>
      </c>
      <c r="R49" s="147">
        <f t="shared" si="24"/>
        <v>0</v>
      </c>
      <c r="S49" s="146" t="e">
        <f t="shared" si="25"/>
        <v>#REF!</v>
      </c>
      <c r="T49" s="146" t="e">
        <f t="shared" si="26"/>
        <v>#REF!</v>
      </c>
      <c r="U49" s="145">
        <f t="shared" si="18"/>
        <v>0</v>
      </c>
      <c r="V49" s="145" t="e">
        <f t="shared" si="19"/>
        <v>#REF!</v>
      </c>
      <c r="W49" s="142">
        <v>46</v>
      </c>
      <c r="X49" s="142" t="str">
        <f>+IF((VLOOKUP(A49,List!B:C,2,0)-VLOOKUP(Summary!$P$7,List!B:C,2,0))=0,1,"")</f>
        <v/>
      </c>
      <c r="Y49" s="198">
        <f>+IF((VLOOKUP(A49,List!B:C,2,0)-VLOOKUP(Summary!$P$7,List!B:C,2,0))&gt;=0,1,"")</f>
        <v>1</v>
      </c>
      <c r="Z49" s="198">
        <f>+IF((VLOOKUP(A49,List!B:C,2,0)-VLOOKUP(Summary!$P$7,List!B:C,2,0))&gt;0,1,"")</f>
        <v>1</v>
      </c>
      <c r="AA49" s="141">
        <f t="shared" si="6"/>
        <v>2</v>
      </c>
      <c r="AB49" s="199" t="str">
        <f>+IF(AA49="","",IF(Summary!$J$7="Fixed Price","",IF(M49="",IF(I49="","",1),"")))</f>
        <v/>
      </c>
      <c r="AC49" s="198">
        <f t="shared" si="14"/>
        <v>0</v>
      </c>
    </row>
    <row r="50" spans="1:29" x14ac:dyDescent="0.2">
      <c r="A50" s="155" t="str">
        <f t="shared" si="15"/>
        <v>-</v>
      </c>
      <c r="B50" s="154" t="str">
        <f t="shared" si="20"/>
        <v/>
      </c>
      <c r="C50" s="153" t="str">
        <f t="shared" si="21"/>
        <v/>
      </c>
      <c r="D50" s="152" t="str">
        <f t="shared" si="16"/>
        <v>-</v>
      </c>
      <c r="E50" s="159" t="str">
        <f>+IF($B50="","",Summary!$P$4)</f>
        <v/>
      </c>
      <c r="F50" s="159" t="str">
        <f>+IF($B50="","",Summary!$P$5)</f>
        <v/>
      </c>
      <c r="G50" s="159" t="str">
        <f>+IF($B50="","",Summary!$P$6)</f>
        <v/>
      </c>
      <c r="H50" s="158" t="str">
        <f t="shared" si="17"/>
        <v/>
      </c>
      <c r="I50" s="156"/>
      <c r="J50" s="157"/>
      <c r="K50" s="156"/>
      <c r="L50" s="156"/>
      <c r="M50" s="156"/>
      <c r="N50" s="157" t="e">
        <f t="shared" si="3"/>
        <v>#REF!</v>
      </c>
      <c r="O50" s="157" t="e">
        <f>COUNTIFS(#REF!,"&gt;="&amp;DATE($C50,$B50,1),#REF!,"&lt;="&amp;EOMONTH(DATE($C50,$B50,1),0),#REF!,"Incident")+
COUNTIFS(#REF!,"&gt;="&amp;DATE($C50,$B50,1),#REF!,"&lt;="&amp;EOMONTH(DATE($C50,$B50,1),0),#REF!,"user_request")</f>
        <v>#REF!</v>
      </c>
      <c r="P50" s="147">
        <f t="shared" si="22"/>
        <v>0</v>
      </c>
      <c r="Q50" s="147">
        <f t="shared" si="23"/>
        <v>0</v>
      </c>
      <c r="R50" s="147">
        <f t="shared" si="24"/>
        <v>0</v>
      </c>
      <c r="S50" s="146" t="e">
        <f t="shared" si="25"/>
        <v>#REF!</v>
      </c>
      <c r="T50" s="146" t="e">
        <f t="shared" si="26"/>
        <v>#REF!</v>
      </c>
      <c r="U50" s="145">
        <f t="shared" si="18"/>
        <v>0</v>
      </c>
      <c r="V50" s="145" t="e">
        <f t="shared" si="19"/>
        <v>#REF!</v>
      </c>
      <c r="W50" s="142">
        <v>47</v>
      </c>
      <c r="X50" s="142" t="str">
        <f>+IF((VLOOKUP(A50,List!B:C,2,0)-VLOOKUP(Summary!$P$7,List!B:C,2,0))=0,1,"")</f>
        <v/>
      </c>
      <c r="Y50" s="198">
        <f>+IF((VLOOKUP(A50,List!B:C,2,0)-VLOOKUP(Summary!$P$7,List!B:C,2,0))&gt;=0,1,"")</f>
        <v>1</v>
      </c>
      <c r="Z50" s="198">
        <f>+IF((VLOOKUP(A50,List!B:C,2,0)-VLOOKUP(Summary!$P$7,List!B:C,2,0))&gt;0,1,"")</f>
        <v>1</v>
      </c>
      <c r="AA50" s="141">
        <f t="shared" si="6"/>
        <v>2</v>
      </c>
      <c r="AB50" s="199" t="str">
        <f>+IF(AA50="","",IF(Summary!$J$7="Fixed Price","",IF(M50="",IF(I50="","",1),"")))</f>
        <v/>
      </c>
      <c r="AC50" s="198">
        <f t="shared" si="14"/>
        <v>0</v>
      </c>
    </row>
    <row r="51" spans="1:29" x14ac:dyDescent="0.2">
      <c r="A51" s="155" t="str">
        <f t="shared" si="15"/>
        <v>-</v>
      </c>
      <c r="B51" s="154" t="str">
        <f t="shared" si="20"/>
        <v/>
      </c>
      <c r="C51" s="153" t="str">
        <f t="shared" si="21"/>
        <v/>
      </c>
      <c r="D51" s="152" t="str">
        <f t="shared" si="16"/>
        <v>-</v>
      </c>
      <c r="E51" s="151" t="str">
        <f>+IF($B51="","",Summary!$P$4)</f>
        <v/>
      </c>
      <c r="F51" s="151" t="str">
        <f>+IF($B51="","",Summary!$P$5)</f>
        <v/>
      </c>
      <c r="G51" s="151" t="str">
        <f>+IF($B51="","",Summary!$P$6)</f>
        <v/>
      </c>
      <c r="H51" s="150" t="str">
        <f t="shared" si="17"/>
        <v/>
      </c>
      <c r="I51" s="148"/>
      <c r="J51" s="149"/>
      <c r="K51" s="148"/>
      <c r="L51" s="148"/>
      <c r="M51" s="148"/>
      <c r="N51" s="149" t="e">
        <f t="shared" si="3"/>
        <v>#REF!</v>
      </c>
      <c r="O51" s="149" t="e">
        <f>COUNTIFS(#REF!,"&gt;="&amp;DATE($C51,$B51,1),#REF!,"&lt;="&amp;EOMONTH(DATE($C51,$B51,1),0),#REF!,"Incident")+
COUNTIFS(#REF!,"&gt;="&amp;DATE($C51,$B51,1),#REF!,"&lt;="&amp;EOMONTH(DATE($C51,$B51,1),0),#REF!,"user_request")</f>
        <v>#REF!</v>
      </c>
      <c r="P51" s="147">
        <f t="shared" si="22"/>
        <v>0</v>
      </c>
      <c r="Q51" s="147">
        <f t="shared" si="23"/>
        <v>0</v>
      </c>
      <c r="R51" s="147">
        <f t="shared" si="24"/>
        <v>0</v>
      </c>
      <c r="S51" s="146" t="e">
        <f t="shared" si="25"/>
        <v>#REF!</v>
      </c>
      <c r="T51" s="146" t="e">
        <f t="shared" si="26"/>
        <v>#REF!</v>
      </c>
      <c r="U51" s="145">
        <f t="shared" si="18"/>
        <v>0</v>
      </c>
      <c r="V51" s="145" t="e">
        <f t="shared" si="19"/>
        <v>#REF!</v>
      </c>
      <c r="W51" s="142">
        <v>48</v>
      </c>
      <c r="X51" s="142" t="str">
        <f>+IF((VLOOKUP(A51,List!B:C,2,0)-VLOOKUP(Summary!$P$7,List!B:C,2,0))=0,1,"")</f>
        <v/>
      </c>
      <c r="Y51" s="198">
        <f>+IF((VLOOKUP(A51,List!B:C,2,0)-VLOOKUP(Summary!$P$7,List!B:C,2,0))&gt;=0,1,"")</f>
        <v>1</v>
      </c>
      <c r="Z51" s="198">
        <f>+IF((VLOOKUP(A51,List!B:C,2,0)-VLOOKUP(Summary!$P$7,List!B:C,2,0))&gt;0,1,"")</f>
        <v>1</v>
      </c>
      <c r="AA51" s="141">
        <f t="shared" si="6"/>
        <v>2</v>
      </c>
      <c r="AB51" s="199" t="str">
        <f>+IF(AA51="","",IF(Summary!$J$7="Fixed Price","",IF(M51="",IF(I51="","",1),"")))</f>
        <v/>
      </c>
      <c r="AC51" s="198">
        <f t="shared" si="14"/>
        <v>0</v>
      </c>
    </row>
    <row r="52" spans="1:29" x14ac:dyDescent="0.2">
      <c r="A52" s="155" t="str">
        <f t="shared" si="15"/>
        <v>-</v>
      </c>
      <c r="B52" s="154" t="str">
        <f t="shared" si="20"/>
        <v/>
      </c>
      <c r="C52" s="153" t="str">
        <f t="shared" si="21"/>
        <v/>
      </c>
      <c r="D52" s="152" t="str">
        <f t="shared" si="16"/>
        <v>-</v>
      </c>
      <c r="E52" s="159" t="str">
        <f>+IF($B52="","",Summary!$P$4)</f>
        <v/>
      </c>
      <c r="F52" s="159" t="str">
        <f>+IF($B52="","",Summary!$P$5)</f>
        <v/>
      </c>
      <c r="G52" s="159" t="str">
        <f>+IF($B52="","",Summary!$P$6)</f>
        <v/>
      </c>
      <c r="H52" s="158" t="str">
        <f t="shared" si="17"/>
        <v/>
      </c>
      <c r="I52" s="156"/>
      <c r="J52" s="157"/>
      <c r="K52" s="156"/>
      <c r="L52" s="156"/>
      <c r="M52" s="156"/>
      <c r="N52" s="157" t="e">
        <f t="shared" si="3"/>
        <v>#REF!</v>
      </c>
      <c r="O52" s="157" t="e">
        <f>COUNTIFS(#REF!,"&gt;="&amp;DATE($C52,$B52,1),#REF!,"&lt;="&amp;EOMONTH(DATE($C52,$B52,1),0),#REF!,"Incident")+
COUNTIFS(#REF!,"&gt;="&amp;DATE($C52,$B52,1),#REF!,"&lt;="&amp;EOMONTH(DATE($C52,$B52,1),0),#REF!,"user_request")</f>
        <v>#REF!</v>
      </c>
      <c r="P52" s="147">
        <f t="shared" si="22"/>
        <v>0</v>
      </c>
      <c r="Q52" s="147">
        <f t="shared" si="23"/>
        <v>0</v>
      </c>
      <c r="R52" s="147">
        <f t="shared" si="24"/>
        <v>0</v>
      </c>
      <c r="S52" s="146" t="e">
        <f t="shared" si="25"/>
        <v>#REF!</v>
      </c>
      <c r="T52" s="146" t="e">
        <f t="shared" si="26"/>
        <v>#REF!</v>
      </c>
      <c r="U52" s="145">
        <f t="shared" si="18"/>
        <v>0</v>
      </c>
      <c r="V52" s="145" t="e">
        <f t="shared" si="19"/>
        <v>#REF!</v>
      </c>
      <c r="W52" s="142">
        <v>45</v>
      </c>
      <c r="X52" s="142" t="str">
        <f>+IF((VLOOKUP(A52,List!B:C,2,0)-VLOOKUP(Summary!$P$7,List!B:C,2,0))=0,1,"")</f>
        <v/>
      </c>
      <c r="Y52" s="198">
        <f>+IF((VLOOKUP(A52,List!B:C,2,0)-VLOOKUP(Summary!$P$7,List!B:C,2,0))&gt;=0,1,"")</f>
        <v>1</v>
      </c>
      <c r="Z52" s="198">
        <f>+IF((VLOOKUP(A52,List!B:C,2,0)-VLOOKUP(Summary!$P$7,List!B:C,2,0))&gt;0,1,"")</f>
        <v>1</v>
      </c>
      <c r="AA52" s="141">
        <f t="shared" si="6"/>
        <v>2</v>
      </c>
      <c r="AB52" s="199" t="str">
        <f>+IF(AA52="","",IF(Summary!$J$7="Fixed Price","",IF(M52="",IF(I52="","",1),"")))</f>
        <v/>
      </c>
      <c r="AC52" s="198">
        <f t="shared" si="14"/>
        <v>0</v>
      </c>
    </row>
    <row r="53" spans="1:29" x14ac:dyDescent="0.2">
      <c r="A53" s="155" t="str">
        <f t="shared" si="15"/>
        <v>-</v>
      </c>
      <c r="B53" s="154" t="str">
        <f t="shared" si="20"/>
        <v/>
      </c>
      <c r="C53" s="153" t="str">
        <f t="shared" si="21"/>
        <v/>
      </c>
      <c r="D53" s="152" t="str">
        <f t="shared" si="16"/>
        <v>-</v>
      </c>
      <c r="E53" s="151" t="str">
        <f>+IF($B53="","",Summary!$P$4)</f>
        <v/>
      </c>
      <c r="F53" s="151" t="str">
        <f>+IF($B53="","",Summary!$P$5)</f>
        <v/>
      </c>
      <c r="G53" s="151" t="str">
        <f>+IF($B53="","",Summary!$P$6)</f>
        <v/>
      </c>
      <c r="H53" s="150" t="str">
        <f t="shared" si="17"/>
        <v/>
      </c>
      <c r="I53" s="148"/>
      <c r="J53" s="149"/>
      <c r="K53" s="148"/>
      <c r="L53" s="148"/>
      <c r="M53" s="148"/>
      <c r="N53" s="149" t="e">
        <f t="shared" si="3"/>
        <v>#REF!</v>
      </c>
      <c r="O53" s="149" t="e">
        <f>COUNTIFS(#REF!,"&gt;="&amp;DATE($C53,$B53,1),#REF!,"&lt;="&amp;EOMONTH(DATE($C53,$B53,1),0),#REF!,"Incident")+
COUNTIFS(#REF!,"&gt;="&amp;DATE($C53,$B53,1),#REF!,"&lt;="&amp;EOMONTH(DATE($C53,$B53,1),0),#REF!,"user_request")</f>
        <v>#REF!</v>
      </c>
      <c r="P53" s="147">
        <f t="shared" si="22"/>
        <v>0</v>
      </c>
      <c r="Q53" s="147">
        <f t="shared" si="23"/>
        <v>0</v>
      </c>
      <c r="R53" s="147">
        <f t="shared" si="24"/>
        <v>0</v>
      </c>
      <c r="S53" s="146" t="e">
        <f t="shared" si="25"/>
        <v>#REF!</v>
      </c>
      <c r="T53" s="146" t="e">
        <f t="shared" si="26"/>
        <v>#REF!</v>
      </c>
      <c r="U53" s="145">
        <f t="shared" si="18"/>
        <v>0</v>
      </c>
      <c r="V53" s="145" t="e">
        <f t="shared" si="19"/>
        <v>#REF!</v>
      </c>
      <c r="W53" s="142">
        <v>46</v>
      </c>
      <c r="X53" s="142" t="str">
        <f>+IF((VLOOKUP(A53,List!B:C,2,0)-VLOOKUP(Summary!$P$7,List!B:C,2,0))=0,1,"")</f>
        <v/>
      </c>
      <c r="Y53" s="198">
        <f>+IF((VLOOKUP(A53,List!B:C,2,0)-VLOOKUP(Summary!$P$7,List!B:C,2,0))&gt;=0,1,"")</f>
        <v>1</v>
      </c>
      <c r="Z53" s="198">
        <f>+IF((VLOOKUP(A53,List!B:C,2,0)-VLOOKUP(Summary!$P$7,List!B:C,2,0))&gt;0,1,"")</f>
        <v>1</v>
      </c>
      <c r="AA53" s="141">
        <f t="shared" si="6"/>
        <v>2</v>
      </c>
      <c r="AB53" s="199" t="str">
        <f>+IF(AA53="","",IF(Summary!$J$7="Fixed Price","",IF(M53="",IF(I53="","",1),"")))</f>
        <v/>
      </c>
      <c r="AC53" s="198">
        <f t="shared" si="14"/>
        <v>0</v>
      </c>
    </row>
    <row r="54" spans="1:29" x14ac:dyDescent="0.2">
      <c r="A54" s="155" t="str">
        <f t="shared" si="15"/>
        <v>-</v>
      </c>
      <c r="B54" s="154" t="str">
        <f t="shared" si="20"/>
        <v/>
      </c>
      <c r="C54" s="153" t="str">
        <f t="shared" si="21"/>
        <v/>
      </c>
      <c r="D54" s="152" t="str">
        <f t="shared" si="16"/>
        <v>-</v>
      </c>
      <c r="E54" s="159" t="str">
        <f>+IF($B54="","",Summary!$P$4)</f>
        <v/>
      </c>
      <c r="F54" s="159" t="str">
        <f>+IF($B54="","",Summary!$P$5)</f>
        <v/>
      </c>
      <c r="G54" s="159" t="str">
        <f>+IF($B54="","",Summary!$P$6)</f>
        <v/>
      </c>
      <c r="H54" s="158" t="str">
        <f t="shared" si="17"/>
        <v/>
      </c>
      <c r="I54" s="156"/>
      <c r="J54" s="157"/>
      <c r="K54" s="156"/>
      <c r="L54" s="156"/>
      <c r="M54" s="156"/>
      <c r="N54" s="157" t="e">
        <f t="shared" si="3"/>
        <v>#REF!</v>
      </c>
      <c r="O54" s="157" t="e">
        <f>COUNTIFS(#REF!,"&gt;="&amp;DATE($C54,$B54,1),#REF!,"&lt;="&amp;EOMONTH(DATE($C54,$B54,1),0),#REF!,"Incident")+
COUNTIFS(#REF!,"&gt;="&amp;DATE($C54,$B54,1),#REF!,"&lt;="&amp;EOMONTH(DATE($C54,$B54,1),0),#REF!,"user_request")</f>
        <v>#REF!</v>
      </c>
      <c r="P54" s="147">
        <f t="shared" si="22"/>
        <v>0</v>
      </c>
      <c r="Q54" s="147">
        <f t="shared" si="23"/>
        <v>0</v>
      </c>
      <c r="R54" s="147">
        <f t="shared" si="24"/>
        <v>0</v>
      </c>
      <c r="S54" s="146" t="e">
        <f t="shared" si="25"/>
        <v>#REF!</v>
      </c>
      <c r="T54" s="146" t="e">
        <f t="shared" si="26"/>
        <v>#REF!</v>
      </c>
      <c r="U54" s="145">
        <f t="shared" si="18"/>
        <v>0</v>
      </c>
      <c r="V54" s="145" t="e">
        <f t="shared" si="19"/>
        <v>#REF!</v>
      </c>
      <c r="W54" s="142">
        <v>47</v>
      </c>
      <c r="X54" s="142" t="str">
        <f>+IF((VLOOKUP(A54,List!B:C,2,0)-VLOOKUP(Summary!$P$7,List!B:C,2,0))=0,1,"")</f>
        <v/>
      </c>
      <c r="Y54" s="198">
        <f>+IF((VLOOKUP(A54,List!B:C,2,0)-VLOOKUP(Summary!$P$7,List!B:C,2,0))&gt;=0,1,"")</f>
        <v>1</v>
      </c>
      <c r="Z54" s="198">
        <f>+IF((VLOOKUP(A54,List!B:C,2,0)-VLOOKUP(Summary!$P$7,List!B:C,2,0))&gt;0,1,"")</f>
        <v>1</v>
      </c>
      <c r="AA54" s="141">
        <f t="shared" si="6"/>
        <v>2</v>
      </c>
      <c r="AB54" s="199" t="str">
        <f>+IF(AA54="","",IF(Summary!$J$7="Fixed Price","",IF(M54="",IF(I54="","",1),"")))</f>
        <v/>
      </c>
      <c r="AC54" s="198">
        <f t="shared" si="14"/>
        <v>0</v>
      </c>
    </row>
    <row r="55" spans="1:29" x14ac:dyDescent="0.2">
      <c r="A55" s="155" t="str">
        <f t="shared" si="15"/>
        <v>-</v>
      </c>
      <c r="B55" s="154" t="str">
        <f t="shared" si="20"/>
        <v/>
      </c>
      <c r="C55" s="153" t="str">
        <f t="shared" si="21"/>
        <v/>
      </c>
      <c r="D55" s="152" t="str">
        <f t="shared" si="16"/>
        <v>-</v>
      </c>
      <c r="E55" s="151" t="str">
        <f>+IF($B55="","",Summary!$P$4)</f>
        <v/>
      </c>
      <c r="F55" s="151" t="str">
        <f>+IF($B55="","",Summary!$P$5)</f>
        <v/>
      </c>
      <c r="G55" s="151" t="str">
        <f>+IF($B55="","",Summary!$P$6)</f>
        <v/>
      </c>
      <c r="H55" s="150" t="str">
        <f t="shared" si="17"/>
        <v/>
      </c>
      <c r="I55" s="148"/>
      <c r="J55" s="149"/>
      <c r="K55" s="148"/>
      <c r="L55" s="148"/>
      <c r="M55" s="148"/>
      <c r="N55" s="149" t="e">
        <f t="shared" si="3"/>
        <v>#REF!</v>
      </c>
      <c r="O55" s="149" t="e">
        <f>COUNTIFS(#REF!,"&gt;="&amp;DATE($C55,$B55,1),#REF!,"&lt;="&amp;EOMONTH(DATE($C55,$B55,1),0),#REF!,"Incident")+
COUNTIFS(#REF!,"&gt;="&amp;DATE($C55,$B55,1),#REF!,"&lt;="&amp;EOMONTH(DATE($C55,$B55,1),0),#REF!,"user_request")</f>
        <v>#REF!</v>
      </c>
      <c r="P55" s="147">
        <f t="shared" si="22"/>
        <v>0</v>
      </c>
      <c r="Q55" s="147">
        <f t="shared" si="23"/>
        <v>0</v>
      </c>
      <c r="R55" s="147">
        <f t="shared" si="24"/>
        <v>0</v>
      </c>
      <c r="S55" s="146" t="e">
        <f t="shared" si="25"/>
        <v>#REF!</v>
      </c>
      <c r="T55" s="146" t="e">
        <f t="shared" si="26"/>
        <v>#REF!</v>
      </c>
      <c r="U55" s="145">
        <f t="shared" si="18"/>
        <v>0</v>
      </c>
      <c r="V55" s="145" t="e">
        <f t="shared" si="19"/>
        <v>#REF!</v>
      </c>
      <c r="W55" s="142">
        <v>48</v>
      </c>
      <c r="X55" s="142" t="str">
        <f>+IF((VLOOKUP(A55,List!B:C,2,0)-VLOOKUP(Summary!$P$7,List!B:C,2,0))=0,1,"")</f>
        <v/>
      </c>
      <c r="Y55" s="198">
        <f>+IF((VLOOKUP(A55,List!B:C,2,0)-VLOOKUP(Summary!$P$7,List!B:C,2,0))&gt;=0,1,"")</f>
        <v>1</v>
      </c>
      <c r="Z55" s="198">
        <f>+IF((VLOOKUP(A55,List!B:C,2,0)-VLOOKUP(Summary!$P$7,List!B:C,2,0))&gt;0,1,"")</f>
        <v>1</v>
      </c>
      <c r="AA55" s="141">
        <f t="shared" si="6"/>
        <v>2</v>
      </c>
      <c r="AB55" s="199" t="str">
        <f>+IF(AA55="","",IF(Summary!$J$7="Fixed Price","",IF(M55="",IF(I55="","",1),"")))</f>
        <v/>
      </c>
      <c r="AC55" s="198">
        <f t="shared" si="14"/>
        <v>0</v>
      </c>
    </row>
    <row r="56" spans="1:29" x14ac:dyDescent="0.2">
      <c r="A56" s="155" t="str">
        <f t="shared" si="15"/>
        <v>-</v>
      </c>
      <c r="B56" s="154" t="str">
        <f t="shared" si="20"/>
        <v/>
      </c>
      <c r="C56" s="153" t="str">
        <f t="shared" si="21"/>
        <v/>
      </c>
      <c r="D56" s="152" t="str">
        <f t="shared" si="16"/>
        <v>-</v>
      </c>
      <c r="E56" s="159" t="str">
        <f>+IF($B56="","",Summary!$P$4)</f>
        <v/>
      </c>
      <c r="F56" s="159" t="str">
        <f>+IF($B56="","",Summary!$P$5)</f>
        <v/>
      </c>
      <c r="G56" s="159" t="str">
        <f>+IF($B56="","",Summary!$P$6)</f>
        <v/>
      </c>
      <c r="H56" s="158" t="str">
        <f t="shared" si="17"/>
        <v/>
      </c>
      <c r="I56" s="156"/>
      <c r="J56" s="157"/>
      <c r="K56" s="156"/>
      <c r="L56" s="156"/>
      <c r="M56" s="156"/>
      <c r="N56" s="157" t="e">
        <f t="shared" si="3"/>
        <v>#REF!</v>
      </c>
      <c r="O56" s="157" t="e">
        <f>COUNTIFS(#REF!,"&gt;="&amp;DATE($C56,$B56,1),#REF!,"&lt;="&amp;EOMONTH(DATE($C56,$B56,1),0),#REF!,"Incident")+
COUNTIFS(#REF!,"&gt;="&amp;DATE($C56,$B56,1),#REF!,"&lt;="&amp;EOMONTH(DATE($C56,$B56,1),0),#REF!,"user_request")</f>
        <v>#REF!</v>
      </c>
      <c r="P56" s="147">
        <f t="shared" si="22"/>
        <v>0</v>
      </c>
      <c r="Q56" s="147">
        <f t="shared" si="23"/>
        <v>0</v>
      </c>
      <c r="R56" s="147">
        <f t="shared" si="24"/>
        <v>0</v>
      </c>
      <c r="S56" s="146" t="e">
        <f t="shared" si="25"/>
        <v>#REF!</v>
      </c>
      <c r="T56" s="146" t="e">
        <f t="shared" si="26"/>
        <v>#REF!</v>
      </c>
      <c r="U56" s="145">
        <f t="shared" si="18"/>
        <v>0</v>
      </c>
      <c r="V56" s="145" t="e">
        <f t="shared" si="19"/>
        <v>#REF!</v>
      </c>
      <c r="W56" s="142">
        <v>45</v>
      </c>
      <c r="X56" s="142" t="str">
        <f>+IF((VLOOKUP(A56,List!B:C,2,0)-VLOOKUP(Summary!$P$7,List!B:C,2,0))=0,1,"")</f>
        <v/>
      </c>
      <c r="Y56" s="198">
        <f>+IF((VLOOKUP(A56,List!B:C,2,0)-VLOOKUP(Summary!$P$7,List!B:C,2,0))&gt;=0,1,"")</f>
        <v>1</v>
      </c>
      <c r="Z56" s="198">
        <f>+IF((VLOOKUP(A56,List!B:C,2,0)-VLOOKUP(Summary!$P$7,List!B:C,2,0))&gt;0,1,"")</f>
        <v>1</v>
      </c>
      <c r="AA56" s="141">
        <f t="shared" si="6"/>
        <v>2</v>
      </c>
      <c r="AB56" s="199" t="str">
        <f>+IF(AA56="","",IF(Summary!$J$7="Fixed Price","",IF(M56="",IF(I56="","",1),"")))</f>
        <v/>
      </c>
      <c r="AC56" s="198">
        <f t="shared" si="14"/>
        <v>0</v>
      </c>
    </row>
    <row r="57" spans="1:29" x14ac:dyDescent="0.2">
      <c r="A57" s="155" t="str">
        <f t="shared" si="15"/>
        <v>-</v>
      </c>
      <c r="B57" s="154" t="str">
        <f t="shared" si="20"/>
        <v/>
      </c>
      <c r="C57" s="153" t="str">
        <f t="shared" si="21"/>
        <v/>
      </c>
      <c r="D57" s="152" t="str">
        <f t="shared" si="16"/>
        <v>-</v>
      </c>
      <c r="E57" s="151" t="str">
        <f>+IF($B57="","",Summary!$P$4)</f>
        <v/>
      </c>
      <c r="F57" s="151" t="str">
        <f>+IF($B57="","",Summary!$P$5)</f>
        <v/>
      </c>
      <c r="G57" s="151" t="str">
        <f>+IF($B57="","",Summary!$P$6)</f>
        <v/>
      </c>
      <c r="H57" s="150" t="str">
        <f t="shared" si="17"/>
        <v/>
      </c>
      <c r="I57" s="148"/>
      <c r="J57" s="149"/>
      <c r="K57" s="148"/>
      <c r="L57" s="148"/>
      <c r="M57" s="148"/>
      <c r="N57" s="149" t="e">
        <f t="shared" si="3"/>
        <v>#REF!</v>
      </c>
      <c r="O57" s="149" t="e">
        <f>COUNTIFS(#REF!,"&gt;="&amp;DATE($C57,$B57,1),#REF!,"&lt;="&amp;EOMONTH(DATE($C57,$B57,1),0),#REF!,"Incident")+
COUNTIFS(#REF!,"&gt;="&amp;DATE($C57,$B57,1),#REF!,"&lt;="&amp;EOMONTH(DATE($C57,$B57,1),0),#REF!,"user_request")</f>
        <v>#REF!</v>
      </c>
      <c r="P57" s="147">
        <f t="shared" si="22"/>
        <v>0</v>
      </c>
      <c r="Q57" s="147">
        <f t="shared" si="23"/>
        <v>0</v>
      </c>
      <c r="R57" s="147">
        <f t="shared" si="24"/>
        <v>0</v>
      </c>
      <c r="S57" s="146" t="e">
        <f t="shared" si="25"/>
        <v>#REF!</v>
      </c>
      <c r="T57" s="146" t="e">
        <f t="shared" si="26"/>
        <v>#REF!</v>
      </c>
      <c r="U57" s="145">
        <f t="shared" si="18"/>
        <v>0</v>
      </c>
      <c r="V57" s="145" t="e">
        <f t="shared" si="19"/>
        <v>#REF!</v>
      </c>
      <c r="W57" s="142">
        <v>46</v>
      </c>
      <c r="X57" s="142" t="str">
        <f>+IF((VLOOKUP(A57,List!B:C,2,0)-VLOOKUP(Summary!$P$7,List!B:C,2,0))=0,1,"")</f>
        <v/>
      </c>
      <c r="Y57" s="198">
        <f>+IF((VLOOKUP(A57,List!B:C,2,0)-VLOOKUP(Summary!$P$7,List!B:C,2,0))&gt;=0,1,"")</f>
        <v>1</v>
      </c>
      <c r="Z57" s="198">
        <f>+IF((VLOOKUP(A57,List!B:C,2,0)-VLOOKUP(Summary!$P$7,List!B:C,2,0))&gt;0,1,"")</f>
        <v>1</v>
      </c>
      <c r="AA57" s="141">
        <f t="shared" si="6"/>
        <v>2</v>
      </c>
      <c r="AB57" s="199" t="str">
        <f>+IF(AA57="","",IF(Summary!$J$7="Fixed Price","",IF(M57="",IF(I57="","",1),"")))</f>
        <v/>
      </c>
      <c r="AC57" s="198">
        <f t="shared" si="14"/>
        <v>0</v>
      </c>
    </row>
    <row r="58" spans="1:29" x14ac:dyDescent="0.2">
      <c r="A58" s="155" t="str">
        <f t="shared" si="15"/>
        <v>-</v>
      </c>
      <c r="B58" s="154" t="str">
        <f t="shared" si="20"/>
        <v/>
      </c>
      <c r="C58" s="153" t="str">
        <f t="shared" si="21"/>
        <v/>
      </c>
      <c r="D58" s="152" t="str">
        <f t="shared" si="16"/>
        <v>-</v>
      </c>
      <c r="E58" s="159" t="str">
        <f>+IF($B58="","",Summary!$P$4)</f>
        <v/>
      </c>
      <c r="F58" s="159" t="str">
        <f>+IF($B58="","",Summary!$P$5)</f>
        <v/>
      </c>
      <c r="G58" s="159" t="str">
        <f>+IF($B58="","",Summary!$P$6)</f>
        <v/>
      </c>
      <c r="H58" s="158" t="str">
        <f t="shared" si="17"/>
        <v/>
      </c>
      <c r="I58" s="156"/>
      <c r="J58" s="157"/>
      <c r="K58" s="156"/>
      <c r="L58" s="156"/>
      <c r="M58" s="156"/>
      <c r="N58" s="157" t="e">
        <f t="shared" si="3"/>
        <v>#REF!</v>
      </c>
      <c r="O58" s="157" t="e">
        <f>COUNTIFS(#REF!,"&gt;="&amp;DATE($C58,$B58,1),#REF!,"&lt;="&amp;EOMONTH(DATE($C58,$B58,1),0),#REF!,"Incident")+
COUNTIFS(#REF!,"&gt;="&amp;DATE($C58,$B58,1),#REF!,"&lt;="&amp;EOMONTH(DATE($C58,$B58,1),0),#REF!,"user_request")</f>
        <v>#REF!</v>
      </c>
      <c r="P58" s="147">
        <f t="shared" si="22"/>
        <v>0</v>
      </c>
      <c r="Q58" s="147">
        <f t="shared" si="23"/>
        <v>0</v>
      </c>
      <c r="R58" s="147">
        <f t="shared" si="24"/>
        <v>0</v>
      </c>
      <c r="S58" s="146" t="e">
        <f t="shared" si="25"/>
        <v>#REF!</v>
      </c>
      <c r="T58" s="146" t="e">
        <f t="shared" si="26"/>
        <v>#REF!</v>
      </c>
      <c r="U58" s="145">
        <f t="shared" si="18"/>
        <v>0</v>
      </c>
      <c r="V58" s="145" t="e">
        <f t="shared" si="19"/>
        <v>#REF!</v>
      </c>
      <c r="W58" s="142">
        <v>47</v>
      </c>
      <c r="X58" s="142" t="str">
        <f>+IF((VLOOKUP(A58,List!B:C,2,0)-VLOOKUP(Summary!$P$7,List!B:C,2,0))=0,1,"")</f>
        <v/>
      </c>
      <c r="Y58" s="198">
        <f>+IF((VLOOKUP(A58,List!B:C,2,0)-VLOOKUP(Summary!$P$7,List!B:C,2,0))&gt;=0,1,"")</f>
        <v>1</v>
      </c>
      <c r="Z58" s="198">
        <f>+IF((VLOOKUP(A58,List!B:C,2,0)-VLOOKUP(Summary!$P$7,List!B:C,2,0))&gt;0,1,"")</f>
        <v>1</v>
      </c>
      <c r="AA58" s="141">
        <f t="shared" si="6"/>
        <v>2</v>
      </c>
      <c r="AB58" s="199" t="str">
        <f>+IF(AA58="","",IF(Summary!$J$7="Fixed Price","",IF(M58="",IF(I58="","",1),"")))</f>
        <v/>
      </c>
      <c r="AC58" s="198">
        <f t="shared" si="14"/>
        <v>0</v>
      </c>
    </row>
    <row r="59" spans="1:29" x14ac:dyDescent="0.2">
      <c r="A59" s="155" t="str">
        <f t="shared" si="15"/>
        <v>-</v>
      </c>
      <c r="B59" s="154" t="str">
        <f t="shared" si="20"/>
        <v/>
      </c>
      <c r="C59" s="153" t="str">
        <f t="shared" si="21"/>
        <v/>
      </c>
      <c r="D59" s="152" t="str">
        <f t="shared" si="16"/>
        <v>-</v>
      </c>
      <c r="E59" s="151" t="str">
        <f>+IF($B59="","",Summary!$P$4)</f>
        <v/>
      </c>
      <c r="F59" s="151" t="str">
        <f>+IF($B59="","",Summary!$P$5)</f>
        <v/>
      </c>
      <c r="G59" s="151" t="str">
        <f>+IF($B59="","",Summary!$P$6)</f>
        <v/>
      </c>
      <c r="H59" s="150" t="str">
        <f t="shared" si="17"/>
        <v/>
      </c>
      <c r="I59" s="148"/>
      <c r="J59" s="149"/>
      <c r="K59" s="148"/>
      <c r="L59" s="148"/>
      <c r="M59" s="148"/>
      <c r="N59" s="149" t="e">
        <f t="shared" si="3"/>
        <v>#REF!</v>
      </c>
      <c r="O59" s="149" t="e">
        <f>COUNTIFS(#REF!,"&gt;="&amp;DATE($C59,$B59,1),#REF!,"&lt;="&amp;EOMONTH(DATE($C59,$B59,1),0),#REF!,"Incident")+
COUNTIFS(#REF!,"&gt;="&amp;DATE($C59,$B59,1),#REF!,"&lt;="&amp;EOMONTH(DATE($C59,$B59,1),0),#REF!,"user_request")</f>
        <v>#REF!</v>
      </c>
      <c r="P59" s="147">
        <f t="shared" si="22"/>
        <v>0</v>
      </c>
      <c r="Q59" s="147">
        <f t="shared" si="23"/>
        <v>0</v>
      </c>
      <c r="R59" s="147">
        <f t="shared" si="24"/>
        <v>0</v>
      </c>
      <c r="S59" s="146" t="e">
        <f t="shared" si="25"/>
        <v>#REF!</v>
      </c>
      <c r="T59" s="146" t="e">
        <f t="shared" si="26"/>
        <v>#REF!</v>
      </c>
      <c r="U59" s="145">
        <f t="shared" si="18"/>
        <v>0</v>
      </c>
      <c r="V59" s="145" t="e">
        <f t="shared" si="19"/>
        <v>#REF!</v>
      </c>
      <c r="W59" s="142">
        <v>48</v>
      </c>
      <c r="X59" s="142" t="str">
        <f>+IF((VLOOKUP(A59,List!B:C,2,0)-VLOOKUP(Summary!$P$7,List!B:C,2,0))=0,1,"")</f>
        <v/>
      </c>
      <c r="Y59" s="198">
        <f>+IF((VLOOKUP(A59,List!B:C,2,0)-VLOOKUP(Summary!$P$7,List!B:C,2,0))&gt;=0,1,"")</f>
        <v>1</v>
      </c>
      <c r="Z59" s="198">
        <f>+IF((VLOOKUP(A59,List!B:C,2,0)-VLOOKUP(Summary!$P$7,List!B:C,2,0))&gt;0,1,"")</f>
        <v>1</v>
      </c>
      <c r="AA59" s="141">
        <f t="shared" si="6"/>
        <v>2</v>
      </c>
      <c r="AB59" s="199" t="str">
        <f>+IF(AA59="","",IF(Summary!$J$7="Fixed Price","",IF(M59="",IF(I59="","",1),"")))</f>
        <v/>
      </c>
      <c r="AC59" s="198">
        <f t="shared" si="14"/>
        <v>0</v>
      </c>
    </row>
    <row r="60" spans="1:29" x14ac:dyDescent="0.2">
      <c r="A60" s="155" t="str">
        <f t="shared" si="15"/>
        <v>-</v>
      </c>
      <c r="B60" s="154" t="str">
        <f t="shared" si="20"/>
        <v/>
      </c>
      <c r="C60" s="153" t="str">
        <f t="shared" si="21"/>
        <v/>
      </c>
      <c r="D60" s="152" t="str">
        <f t="shared" si="16"/>
        <v>-</v>
      </c>
      <c r="E60" s="159" t="str">
        <f>+IF($B60="","",Summary!$P$4)</f>
        <v/>
      </c>
      <c r="F60" s="159" t="str">
        <f>+IF($B60="","",Summary!$P$5)</f>
        <v/>
      </c>
      <c r="G60" s="159" t="str">
        <f>+IF($B60="","",Summary!$P$6)</f>
        <v/>
      </c>
      <c r="H60" s="158" t="str">
        <f t="shared" si="17"/>
        <v/>
      </c>
      <c r="I60" s="156"/>
      <c r="J60" s="157"/>
      <c r="K60" s="156"/>
      <c r="L60" s="156"/>
      <c r="M60" s="156"/>
      <c r="N60" s="157" t="e">
        <f t="shared" si="3"/>
        <v>#REF!</v>
      </c>
      <c r="O60" s="157" t="e">
        <f>COUNTIFS(#REF!,"&gt;="&amp;DATE($C60,$B60,1),#REF!,"&lt;="&amp;EOMONTH(DATE($C60,$B60,1),0),#REF!,"Incident")+
COUNTIFS(#REF!,"&gt;="&amp;DATE($C60,$B60,1),#REF!,"&lt;="&amp;EOMONTH(DATE($C60,$B60,1),0),#REF!,"user_request")</f>
        <v>#REF!</v>
      </c>
      <c r="P60" s="147">
        <f t="shared" si="22"/>
        <v>0</v>
      </c>
      <c r="Q60" s="147">
        <f t="shared" si="23"/>
        <v>0</v>
      </c>
      <c r="R60" s="147">
        <f t="shared" si="24"/>
        <v>0</v>
      </c>
      <c r="S60" s="146" t="e">
        <f t="shared" si="25"/>
        <v>#REF!</v>
      </c>
      <c r="T60" s="146" t="e">
        <f t="shared" si="26"/>
        <v>#REF!</v>
      </c>
      <c r="U60" s="145">
        <f t="shared" si="18"/>
        <v>0</v>
      </c>
      <c r="V60" s="145" t="e">
        <f t="shared" si="19"/>
        <v>#REF!</v>
      </c>
      <c r="W60" s="142">
        <v>45</v>
      </c>
      <c r="X60" s="142" t="str">
        <f>+IF((VLOOKUP(A60,List!B:C,2,0)-VLOOKUP(Summary!$P$7,List!B:C,2,0))=0,1,"")</f>
        <v/>
      </c>
      <c r="Y60" s="198">
        <f>+IF((VLOOKUP(A60,List!B:C,2,0)-VLOOKUP(Summary!$P$7,List!B:C,2,0))&gt;=0,1,"")</f>
        <v>1</v>
      </c>
      <c r="Z60" s="198">
        <f>+IF((VLOOKUP(A60,List!B:C,2,0)-VLOOKUP(Summary!$P$7,List!B:C,2,0))&gt;0,1,"")</f>
        <v>1</v>
      </c>
      <c r="AA60" s="141">
        <f t="shared" si="6"/>
        <v>2</v>
      </c>
      <c r="AB60" s="199" t="str">
        <f>+IF(AA60="","",IF(Summary!$J$7="Fixed Price","",IF(M60="",IF(I60="","",1),"")))</f>
        <v/>
      </c>
      <c r="AC60" s="198">
        <f t="shared" si="14"/>
        <v>0</v>
      </c>
    </row>
    <row r="61" spans="1:29" x14ac:dyDescent="0.2">
      <c r="A61" s="155" t="str">
        <f t="shared" si="15"/>
        <v>-</v>
      </c>
      <c r="B61" s="154" t="str">
        <f t="shared" si="20"/>
        <v/>
      </c>
      <c r="C61" s="153" t="str">
        <f t="shared" si="21"/>
        <v/>
      </c>
      <c r="D61" s="152" t="str">
        <f t="shared" si="16"/>
        <v>-</v>
      </c>
      <c r="E61" s="151" t="str">
        <f>+IF($B61="","",Summary!$P$4)</f>
        <v/>
      </c>
      <c r="F61" s="151" t="str">
        <f>+IF($B61="","",Summary!$P$5)</f>
        <v/>
      </c>
      <c r="G61" s="151" t="str">
        <f>+IF($B61="","",Summary!$P$6)</f>
        <v/>
      </c>
      <c r="H61" s="150" t="str">
        <f t="shared" si="17"/>
        <v/>
      </c>
      <c r="I61" s="148"/>
      <c r="J61" s="149"/>
      <c r="K61" s="148"/>
      <c r="L61" s="148"/>
      <c r="M61" s="148"/>
      <c r="N61" s="149" t="e">
        <f t="shared" si="3"/>
        <v>#REF!</v>
      </c>
      <c r="O61" s="149" t="e">
        <f>COUNTIFS(#REF!,"&gt;="&amp;DATE($C61,$B61,1),#REF!,"&lt;="&amp;EOMONTH(DATE($C61,$B61,1),0),#REF!,"Incident")+
COUNTIFS(#REF!,"&gt;="&amp;DATE($C61,$B61,1),#REF!,"&lt;="&amp;EOMONTH(DATE($C61,$B61,1),0),#REF!,"user_request")</f>
        <v>#REF!</v>
      </c>
      <c r="P61" s="147">
        <f t="shared" si="22"/>
        <v>0</v>
      </c>
      <c r="Q61" s="147">
        <f t="shared" si="23"/>
        <v>0</v>
      </c>
      <c r="R61" s="147">
        <f t="shared" si="24"/>
        <v>0</v>
      </c>
      <c r="S61" s="146" t="e">
        <f t="shared" si="25"/>
        <v>#REF!</v>
      </c>
      <c r="T61" s="146" t="e">
        <f t="shared" si="26"/>
        <v>#REF!</v>
      </c>
      <c r="U61" s="145">
        <f t="shared" si="18"/>
        <v>0</v>
      </c>
      <c r="V61" s="145" t="e">
        <f t="shared" si="19"/>
        <v>#REF!</v>
      </c>
      <c r="W61" s="142">
        <v>46</v>
      </c>
      <c r="X61" s="142" t="str">
        <f>+IF((VLOOKUP(A61,List!B:C,2,0)-VLOOKUP(Summary!$P$7,List!B:C,2,0))=0,1,"")</f>
        <v/>
      </c>
      <c r="Y61" s="198">
        <f>+IF((VLOOKUP(A61,List!B:C,2,0)-VLOOKUP(Summary!$P$7,List!B:C,2,0))&gt;=0,1,"")</f>
        <v>1</v>
      </c>
      <c r="Z61" s="198">
        <f>+IF((VLOOKUP(A61,List!B:C,2,0)-VLOOKUP(Summary!$P$7,List!B:C,2,0))&gt;0,1,"")</f>
        <v>1</v>
      </c>
      <c r="AA61" s="141">
        <f t="shared" si="6"/>
        <v>2</v>
      </c>
      <c r="AB61" s="199" t="str">
        <f>+IF(AA61="","",IF(Summary!$J$7="Fixed Price","",IF(M61="",IF(I61="","",1),"")))</f>
        <v/>
      </c>
      <c r="AC61" s="198">
        <f t="shared" si="14"/>
        <v>0</v>
      </c>
    </row>
    <row r="62" spans="1:29" x14ac:dyDescent="0.2">
      <c r="A62" s="155" t="str">
        <f t="shared" si="15"/>
        <v>-</v>
      </c>
      <c r="B62" s="154" t="str">
        <f t="shared" si="20"/>
        <v/>
      </c>
      <c r="C62" s="153" t="str">
        <f t="shared" si="21"/>
        <v/>
      </c>
      <c r="D62" s="152" t="str">
        <f t="shared" si="16"/>
        <v>-</v>
      </c>
      <c r="E62" s="159" t="str">
        <f>+IF($B62="","",Summary!$P$4)</f>
        <v/>
      </c>
      <c r="F62" s="159" t="str">
        <f>+IF($B62="","",Summary!$P$5)</f>
        <v/>
      </c>
      <c r="G62" s="159" t="str">
        <f>+IF($B62="","",Summary!$P$6)</f>
        <v/>
      </c>
      <c r="H62" s="158" t="str">
        <f t="shared" si="17"/>
        <v/>
      </c>
      <c r="I62" s="156"/>
      <c r="J62" s="157"/>
      <c r="K62" s="156"/>
      <c r="L62" s="156"/>
      <c r="M62" s="156"/>
      <c r="N62" s="157" t="e">
        <f t="shared" si="3"/>
        <v>#REF!</v>
      </c>
      <c r="O62" s="157" t="e">
        <f>COUNTIFS(#REF!,"&gt;="&amp;DATE($C62,$B62,1),#REF!,"&lt;="&amp;EOMONTH(DATE($C62,$B62,1),0),#REF!,"Incident")+
COUNTIFS(#REF!,"&gt;="&amp;DATE($C62,$B62,1),#REF!,"&lt;="&amp;EOMONTH(DATE($C62,$B62,1),0),#REF!,"user_request")</f>
        <v>#REF!</v>
      </c>
      <c r="P62" s="147">
        <f t="shared" si="22"/>
        <v>0</v>
      </c>
      <c r="Q62" s="147">
        <f t="shared" si="23"/>
        <v>0</v>
      </c>
      <c r="R62" s="147">
        <f t="shared" si="24"/>
        <v>0</v>
      </c>
      <c r="S62" s="146" t="e">
        <f t="shared" si="25"/>
        <v>#REF!</v>
      </c>
      <c r="T62" s="146" t="e">
        <f t="shared" si="26"/>
        <v>#REF!</v>
      </c>
      <c r="U62" s="145">
        <f t="shared" si="18"/>
        <v>0</v>
      </c>
      <c r="V62" s="145" t="e">
        <f t="shared" si="19"/>
        <v>#REF!</v>
      </c>
      <c r="W62" s="142">
        <v>47</v>
      </c>
      <c r="X62" s="142" t="str">
        <f>+IF((VLOOKUP(A62,List!B:C,2,0)-VLOOKUP(Summary!$P$7,List!B:C,2,0))=0,1,"")</f>
        <v/>
      </c>
      <c r="Y62" s="198">
        <f>+IF((VLOOKUP(A62,List!B:C,2,0)-VLOOKUP(Summary!$P$7,List!B:C,2,0))&gt;=0,1,"")</f>
        <v>1</v>
      </c>
      <c r="Z62" s="198">
        <f>+IF((VLOOKUP(A62,List!B:C,2,0)-VLOOKUP(Summary!$P$7,List!B:C,2,0))&gt;0,1,"")</f>
        <v>1</v>
      </c>
      <c r="AA62" s="141">
        <f t="shared" si="6"/>
        <v>2</v>
      </c>
      <c r="AB62" s="199" t="str">
        <f>+IF(AA62="","",IF(Summary!$J$7="Fixed Price","",IF(M62="",IF(I62="","",1),"")))</f>
        <v/>
      </c>
      <c r="AC62" s="198">
        <f t="shared" si="14"/>
        <v>0</v>
      </c>
    </row>
    <row r="63" spans="1:29" x14ac:dyDescent="0.2">
      <c r="A63" s="155" t="str">
        <f t="shared" si="15"/>
        <v>-</v>
      </c>
      <c r="B63" s="154" t="str">
        <f t="shared" si="20"/>
        <v/>
      </c>
      <c r="C63" s="153" t="str">
        <f t="shared" si="21"/>
        <v/>
      </c>
      <c r="D63" s="152" t="str">
        <f t="shared" si="16"/>
        <v>-</v>
      </c>
      <c r="E63" s="151" t="str">
        <f>+IF($B63="","",Summary!$P$4)</f>
        <v/>
      </c>
      <c r="F63" s="151" t="str">
        <f>+IF($B63="","",Summary!$P$5)</f>
        <v/>
      </c>
      <c r="G63" s="151" t="str">
        <f>+IF($B63="","",Summary!$P$6)</f>
        <v/>
      </c>
      <c r="H63" s="150" t="str">
        <f t="shared" si="17"/>
        <v/>
      </c>
      <c r="I63" s="148"/>
      <c r="J63" s="149"/>
      <c r="K63" s="148"/>
      <c r="L63" s="148"/>
      <c r="M63" s="148"/>
      <c r="N63" s="149" t="e">
        <f t="shared" si="3"/>
        <v>#REF!</v>
      </c>
      <c r="O63" s="149" t="e">
        <f>COUNTIFS(#REF!,"&gt;="&amp;DATE($C63,$B63,1),#REF!,"&lt;="&amp;EOMONTH(DATE($C63,$B63,1),0),#REF!,"Incident")+
COUNTIFS(#REF!,"&gt;="&amp;DATE($C63,$B63,1),#REF!,"&lt;="&amp;EOMONTH(DATE($C63,$B63,1),0),#REF!,"user_request")</f>
        <v>#REF!</v>
      </c>
      <c r="P63" s="147">
        <f t="shared" si="22"/>
        <v>0</v>
      </c>
      <c r="Q63" s="147">
        <f t="shared" si="23"/>
        <v>0</v>
      </c>
      <c r="R63" s="147">
        <f t="shared" si="24"/>
        <v>0</v>
      </c>
      <c r="S63" s="146" t="e">
        <f t="shared" si="25"/>
        <v>#REF!</v>
      </c>
      <c r="T63" s="146" t="e">
        <f t="shared" si="26"/>
        <v>#REF!</v>
      </c>
      <c r="U63" s="145">
        <f t="shared" si="18"/>
        <v>0</v>
      </c>
      <c r="V63" s="145" t="e">
        <f t="shared" si="19"/>
        <v>#REF!</v>
      </c>
      <c r="W63" s="142">
        <v>48</v>
      </c>
      <c r="X63" s="142" t="str">
        <f>+IF((VLOOKUP(A63,List!B:C,2,0)-VLOOKUP(Summary!$P$7,List!B:C,2,0))=0,1,"")</f>
        <v/>
      </c>
      <c r="Y63" s="198">
        <f>+IF((VLOOKUP(A63,List!B:C,2,0)-VLOOKUP(Summary!$P$7,List!B:C,2,0))&gt;=0,1,"")</f>
        <v>1</v>
      </c>
      <c r="Z63" s="198">
        <f>+IF((VLOOKUP(A63,List!B:C,2,0)-VLOOKUP(Summary!$P$7,List!B:C,2,0))&gt;0,1,"")</f>
        <v>1</v>
      </c>
      <c r="AA63" s="141">
        <f t="shared" si="6"/>
        <v>2</v>
      </c>
      <c r="AB63" s="199" t="str">
        <f>+IF(AA63="","",IF(Summary!$J$7="Fixed Price","",IF(M63="",IF(I63="","",1),"")))</f>
        <v/>
      </c>
      <c r="AC63" s="198">
        <f t="shared" si="14"/>
        <v>0</v>
      </c>
    </row>
  </sheetData>
  <sheetProtection formatColumns="0" formatRows="0" sort="0" autoFilter="0"/>
  <conditionalFormatting sqref="H4:H63">
    <cfRule type="containsText" dxfId="21" priority="4" operator="containsText" text="Green">
      <formula>NOT(ISERROR(SEARCH("Green",H4)))</formula>
    </cfRule>
    <cfRule type="containsText" dxfId="20" priority="5" operator="containsText" text="Amber">
      <formula>NOT(ISERROR(SEARCH("Amber",H4)))</formula>
    </cfRule>
    <cfRule type="containsText" dxfId="19" priority="6" operator="containsText" text="Red">
      <formula>NOT(ISERROR(SEARCH("Red",H4)))</formula>
    </cfRule>
  </conditionalFormatting>
  <conditionalFormatting sqref="I2:O2">
    <cfRule type="cellIs" dxfId="18" priority="1" operator="equal">
      <formula>"Select Report Month"</formula>
    </cfRule>
  </conditionalFormatting>
  <dataValidations count="1">
    <dataValidation type="list" allowBlank="1" showInputMessage="1" showErrorMessage="1" sqref="H4:H63" xr:uid="{00000000-0002-0000-1700-000000000000}">
      <formula1>"Red,Amber,Green"</formula1>
    </dataValidation>
  </dataValidations>
  <pageMargins left="0.7" right="0.7" top="0.75" bottom="0.75" header="0.3" footer="0.3"/>
  <pageSetup orientation="portrait"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tabColor rgb="FFFF6B00"/>
  </sheetPr>
  <dimension ref="B1:W9"/>
  <sheetViews>
    <sheetView showGridLines="0" workbookViewId="0"/>
  </sheetViews>
  <sheetFormatPr defaultColWidth="8.7109375" defaultRowHeight="12" x14ac:dyDescent="0.2"/>
  <cols>
    <col min="1" max="1" width="2.42578125" style="77" customWidth="1"/>
    <col min="2" max="11" width="8.7109375" style="77" hidden="1" customWidth="1"/>
    <col min="12" max="19" width="8.7109375" style="77"/>
    <col min="20" max="20" width="2.7109375" style="77" customWidth="1"/>
    <col min="21" max="21" width="23.28515625" style="77" bestFit="1" customWidth="1"/>
    <col min="22" max="22" width="65.42578125" style="77" bestFit="1" customWidth="1"/>
    <col min="23" max="23" width="48" style="90" customWidth="1"/>
    <col min="24" max="16384" width="8.7109375" style="77"/>
  </cols>
  <sheetData>
    <row r="1" spans="2:23" ht="12.75" x14ac:dyDescent="0.2">
      <c r="C1" s="81" t="s">
        <v>1</v>
      </c>
      <c r="D1" s="81" t="s">
        <v>2</v>
      </c>
      <c r="E1" s="81" t="s">
        <v>21</v>
      </c>
      <c r="F1" s="81" t="s">
        <v>108</v>
      </c>
      <c r="G1" s="81" t="s">
        <v>22</v>
      </c>
      <c r="H1" s="81" t="s">
        <v>23</v>
      </c>
      <c r="I1" s="81" t="s">
        <v>118</v>
      </c>
      <c r="J1" s="81" t="s">
        <v>406</v>
      </c>
      <c r="K1" s="88"/>
      <c r="L1" s="81" t="s">
        <v>1</v>
      </c>
      <c r="M1" s="81" t="s">
        <v>2</v>
      </c>
      <c r="N1" s="81" t="s">
        <v>21</v>
      </c>
      <c r="O1" s="81" t="s">
        <v>108</v>
      </c>
      <c r="P1" s="81" t="s">
        <v>22</v>
      </c>
      <c r="Q1" s="81" t="s">
        <v>23</v>
      </c>
      <c r="R1" s="81" t="s">
        <v>118</v>
      </c>
      <c r="S1" s="81" t="s">
        <v>406</v>
      </c>
      <c r="T1" s="89"/>
      <c r="U1" s="82" t="s">
        <v>40</v>
      </c>
      <c r="V1" s="82" t="s">
        <v>131</v>
      </c>
      <c r="W1" s="91" t="s">
        <v>130</v>
      </c>
    </row>
    <row r="2" spans="2:23" x14ac:dyDescent="0.2">
      <c r="B2" s="93" t="str">
        <f ca="1">+IF(SUM(C2:J2)=0,"",SUM(C2:J2))</f>
        <v/>
      </c>
      <c r="C2" s="94">
        <f ca="1">+IF(Summary!$J$7="Fixed Price",0,IF((SUM(INDIRECT("'"&amp;C$1&amp;"'!L:L")))=0,0,1))</f>
        <v>0</v>
      </c>
      <c r="D2" s="94">
        <f ca="1">+IF(Summary!$J$7="Fixed Price",0,IF((SUM(INDIRECT("'"&amp;D$1&amp;"'!L:L")))=0,0,1))</f>
        <v>0</v>
      </c>
      <c r="E2" s="94">
        <f ca="1">+IF(Summary!$J$7="Fixed Price",0,IF((SUM(INDIRECT("'"&amp;E$1&amp;"'!L:L")))=0,0,1))</f>
        <v>0</v>
      </c>
      <c r="F2" s="94">
        <f ca="1">+IF(Summary!$J$7="Fixed Price",0,IF((SUM(INDIRECT("'"&amp;F$1&amp;"'!L:L")))=0,0,1))</f>
        <v>0</v>
      </c>
      <c r="G2" s="94">
        <f ca="1">+IF(Summary!$J$7="Fixed Price",0,IF((SUM(INDIRECT("'"&amp;G$1&amp;"'!L:L")))=0,0,1))</f>
        <v>0</v>
      </c>
      <c r="H2" s="94">
        <f ca="1">+IF(Summary!$J$7="Fixed Price",0,IF((SUM(INDIRECT("'"&amp;H$1&amp;"'!L:L")))=0,0,1))</f>
        <v>0</v>
      </c>
      <c r="I2" s="94">
        <f ca="1">+IF(Summary!$J$7="Fixed Price",0,IF((SUM(INDIRECT("'"&amp;I$1&amp;"'!L:L")))=0,0,1))</f>
        <v>0</v>
      </c>
      <c r="J2" s="94">
        <f ca="1">+IF(Summary!$J$7="Fixed Price",0,IF((SUM(INDIRECT("'"&amp;J$1&amp;"'!L:L")))=0,0,1))</f>
        <v>0</v>
      </c>
      <c r="K2" s="94">
        <v>1</v>
      </c>
      <c r="L2" s="95" t="str">
        <f t="shared" ref="L2:S9" ca="1" si="0">+IF(C2=0,"","Check")</f>
        <v/>
      </c>
      <c r="M2" s="95" t="str">
        <f t="shared" ca="1" si="0"/>
        <v/>
      </c>
      <c r="N2" s="95" t="str">
        <f t="shared" ca="1" si="0"/>
        <v/>
      </c>
      <c r="O2" s="95" t="str">
        <f t="shared" ca="1" si="0"/>
        <v/>
      </c>
      <c r="P2" s="95" t="str">
        <f t="shared" ca="1" si="0"/>
        <v/>
      </c>
      <c r="Q2" s="95" t="str">
        <f t="shared" ca="1" si="0"/>
        <v/>
      </c>
      <c r="R2" s="95" t="str">
        <f t="shared" ca="1" si="0"/>
        <v/>
      </c>
      <c r="S2" s="95" t="str">
        <f t="shared" ca="1" si="0"/>
        <v/>
      </c>
      <c r="U2" s="95" t="str">
        <f ca="1">+IF($B2="","",Checklist!C2)</f>
        <v/>
      </c>
      <c r="V2" s="95" t="str">
        <f ca="1">+IF($B2="","",Checklist!D2)</f>
        <v/>
      </c>
      <c r="W2" s="92"/>
    </row>
    <row r="3" spans="2:23" x14ac:dyDescent="0.2">
      <c r="B3" s="93" t="str">
        <f t="shared" ref="B3:B8" ca="1" si="1">+IF(SUM(C3:J3)=0,"",SUM(C3:J3))</f>
        <v/>
      </c>
      <c r="C3" s="94">
        <f ca="1">+IF(Summary!$J$7="Fixed Price",0,IF(Summary!$J$7="CMS",0,IF(Summary!$J$7="Time and Material",IF((SUM(INDIRECT("'"&amp;C$1&amp;"'!R:R")))=0,0,1))))</f>
        <v>0</v>
      </c>
      <c r="D3" s="94">
        <f ca="1">+IF(Summary!$J$7="Fixed Price",0,IF(Summary!$J$7="CMS",0,IF(Summary!$J$7="Time and Material",IF((SUM(INDIRECT("'"&amp;D$1&amp;"'!R:R")))=0,0,1))))</f>
        <v>0</v>
      </c>
      <c r="E3" s="94">
        <f ca="1">+IF(Summary!$J$7="Fixed Price",0,IF(Summary!$J$7="CMS",0,IF(Summary!$J$7="Time and Material",IF((SUM(INDIRECT("'"&amp;E$1&amp;"'!R:R")))=0,0,1))))</f>
        <v>0</v>
      </c>
      <c r="F3" s="94">
        <f ca="1">+IF(Summary!$J$7="Fixed Price",0,IF(Summary!$J$7="CMS",0,IF(Summary!$J$7="Time and Material",IF((SUM(INDIRECT("'"&amp;F$1&amp;"'!R:R")))=0,0,1))))</f>
        <v>0</v>
      </c>
      <c r="G3" s="94">
        <f ca="1">+IF(Summary!$J$7="Fixed Price",0,IF(Summary!$J$7="CMS",0,IF(Summary!$J$7="Time and Material",IF((SUM(INDIRECT("'"&amp;G$1&amp;"'!R:R")))=0,0,1))))</f>
        <v>0</v>
      </c>
      <c r="H3" s="94">
        <f ca="1">+IF(Summary!$J$7="Fixed Price",0,IF(Summary!$J$7="CMS",0,IF(Summary!$J$7="Time and Material",IF((SUM(INDIRECT("'"&amp;H$1&amp;"'!R:R")))=0,0,1))))</f>
        <v>0</v>
      </c>
      <c r="I3" s="94">
        <f ca="1">+IF(Summary!$J$7="Fixed Price",0,IF(Summary!$J$7="CMS",0,IF(Summary!$J$7="Time and Material",IF((SUM(INDIRECT("'"&amp;I$1&amp;"'!R:R")))=0,0,1))))</f>
        <v>0</v>
      </c>
      <c r="J3" s="94">
        <f ca="1">+IF(Summary!$J$7="Fixed Price",0,IF(Summary!$J$7="CMS",0,IF(Summary!$J$7="Time and Material",IF((SUM(INDIRECT("'"&amp;J$1&amp;"'!R:R")))=0,0,1))))</f>
        <v>0</v>
      </c>
      <c r="K3" s="94">
        <f>+K2+1</f>
        <v>2</v>
      </c>
      <c r="L3" s="95" t="str">
        <f t="shared" ca="1" si="0"/>
        <v/>
      </c>
      <c r="M3" s="95" t="str">
        <f ca="1">+IF(D3=0,"","Check")</f>
        <v/>
      </c>
      <c r="N3" s="95" t="str">
        <f ca="1">+IF(E3=0,"","Check")</f>
        <v/>
      </c>
      <c r="O3" s="95" t="str">
        <f ca="1">+IF(F3=0,"","Check")</f>
        <v/>
      </c>
      <c r="P3" s="95" t="str">
        <f ca="1">+IF(G3=0,"","Check")</f>
        <v/>
      </c>
      <c r="Q3" s="95" t="str">
        <f ca="1">+IF(H3=0,"","Check")</f>
        <v/>
      </c>
      <c r="R3" s="95" t="str">
        <f t="shared" ca="1" si="0"/>
        <v/>
      </c>
      <c r="S3" s="95" t="str">
        <f t="shared" ca="1" si="0"/>
        <v/>
      </c>
      <c r="U3" s="95" t="str">
        <f ca="1">+IF($B3="","",Checklist!C3)</f>
        <v/>
      </c>
      <c r="V3" s="95" t="str">
        <f ca="1">+IF($B3="","",Checklist!D3)</f>
        <v/>
      </c>
      <c r="W3" s="92"/>
    </row>
    <row r="4" spans="2:23" x14ac:dyDescent="0.2">
      <c r="B4" s="93" t="str">
        <f t="shared" ca="1" si="1"/>
        <v/>
      </c>
      <c r="C4" s="94">
        <f ca="1">+IF(SUM(INDIRECT("'"&amp;C$1&amp;"'!I:I"))=0,0,IF((SUMIFS(INDIRECT("'"&amp;C$1&amp;"'!W:W"),INDIRECT("'"&amp;C$1&amp;"'!W:W"),"1",INDIRECT("'"&amp;C$1&amp;"'!G:G"),""))&gt;0,1,0)+IF(SUMIF(INDIRECT("'"&amp;C$1&amp;"'!W:W"),"2",INDIRECT("'"&amp;C$1&amp;"'!M:M"))&gt;0,1,0))</f>
        <v>0</v>
      </c>
      <c r="D4" s="94">
        <f t="shared" ref="D4:J4" ca="1" si="2">+IF(SUM(INDIRECT("'"&amp;D$1&amp;"'!I:I"))=0,0,IF((SUMIFS(INDIRECT("'"&amp;D$1&amp;"'!W:W"),INDIRECT("'"&amp;D$1&amp;"'!W:W"),"1",INDIRECT("'"&amp;D$1&amp;"'!G:G"),""))&gt;0,1,0)+IF(SUMIF(INDIRECT("'"&amp;D$1&amp;"'!W:W"),"2",INDIRECT("'"&amp;D$1&amp;"'!M:M"))&gt;0,1,0))</f>
        <v>0</v>
      </c>
      <c r="E4" s="94">
        <f t="shared" ca="1" si="2"/>
        <v>0</v>
      </c>
      <c r="F4" s="94">
        <f t="shared" ca="1" si="2"/>
        <v>0</v>
      </c>
      <c r="G4" s="94">
        <f t="shared" ca="1" si="2"/>
        <v>0</v>
      </c>
      <c r="H4" s="94">
        <f t="shared" ca="1" si="2"/>
        <v>0</v>
      </c>
      <c r="I4" s="94">
        <f t="shared" ca="1" si="2"/>
        <v>0</v>
      </c>
      <c r="J4" s="94">
        <f t="shared" ca="1" si="2"/>
        <v>0</v>
      </c>
      <c r="K4" s="94">
        <f t="shared" ref="K4:K9" si="3">+K3+1</f>
        <v>3</v>
      </c>
      <c r="L4" s="95" t="str">
        <f ca="1">+IF(C4=0,"",IF(L1=Summary!$E$7,"Check",""))</f>
        <v/>
      </c>
      <c r="M4" s="95" t="str">
        <f ca="1">+IF(D4=0,"",IF(M1=Summary!$E$7,"Check",""))</f>
        <v/>
      </c>
      <c r="N4" s="95" t="str">
        <f ca="1">+IF(E4=0,"",IF(N1=Summary!$E$7,"Check",""))</f>
        <v/>
      </c>
      <c r="O4" s="95" t="str">
        <f ca="1">+IF(F4=0,"",IF(O1=Summary!$E$7,"Check",""))</f>
        <v/>
      </c>
      <c r="P4" s="95" t="str">
        <f ca="1">+IF(G4=0,"",IF(P1=Summary!$E$7,"Check",""))</f>
        <v/>
      </c>
      <c r="Q4" s="95" t="str">
        <f ca="1">+IF(H4=0,"",IF(Q1=Summary!$E$7,"Check",""))</f>
        <v/>
      </c>
      <c r="R4" s="95" t="str">
        <f ca="1">+IF(I4=0,"",IF(R1=Summary!$E$7,"Check",""))</f>
        <v/>
      </c>
      <c r="S4" s="95" t="str">
        <f ca="1">+IF(J4=0,"",IF(S1=Summary!$E$7,"Check",""))</f>
        <v/>
      </c>
      <c r="U4" s="95" t="str">
        <f ca="1">+IF($B4="","",Checklist!C4)</f>
        <v/>
      </c>
      <c r="V4" s="95" t="str">
        <f ca="1">+IF($B4="","",Checklist!D4)</f>
        <v/>
      </c>
      <c r="W4" s="92"/>
    </row>
    <row r="5" spans="2:23" x14ac:dyDescent="0.2">
      <c r="B5" s="93">
        <f t="shared" ca="1" si="1"/>
        <v>7</v>
      </c>
      <c r="C5" s="94">
        <f ca="1">+(SUMIFS((INDIRECT("'"&amp;C$1&amp;"'!X:X")),(INDIRECT("'"&amp;C$1&amp;"'!I:I")),"",(INDIRECT("'"&amp;C$1&amp;"'!X:X")),1))</f>
        <v>1</v>
      </c>
      <c r="D5" s="94">
        <f t="shared" ref="D5:J5" ca="1" si="4">+(SUMIFS((INDIRECT("'"&amp;D$1&amp;"'!X:X")),(INDIRECT("'"&amp;D$1&amp;"'!I:I")),"",(INDIRECT("'"&amp;D$1&amp;"'!X:X")),1))</f>
        <v>1</v>
      </c>
      <c r="E5" s="94">
        <f t="shared" ca="1" si="4"/>
        <v>1</v>
      </c>
      <c r="F5" s="94">
        <f t="shared" ca="1" si="4"/>
        <v>1</v>
      </c>
      <c r="G5" s="94">
        <f t="shared" ca="1" si="4"/>
        <v>1</v>
      </c>
      <c r="H5" s="94">
        <f t="shared" ca="1" si="4"/>
        <v>0</v>
      </c>
      <c r="I5" s="94">
        <f t="shared" ca="1" si="4"/>
        <v>1</v>
      </c>
      <c r="J5" s="94">
        <f t="shared" ca="1" si="4"/>
        <v>1</v>
      </c>
      <c r="K5" s="94">
        <f t="shared" si="3"/>
        <v>4</v>
      </c>
      <c r="L5" s="95" t="str">
        <f t="shared" ca="1" si="0"/>
        <v>Check</v>
      </c>
      <c r="M5" s="95" t="str">
        <f t="shared" ca="1" si="0"/>
        <v>Check</v>
      </c>
      <c r="N5" s="95" t="str">
        <f t="shared" ca="1" si="0"/>
        <v>Check</v>
      </c>
      <c r="O5" s="95" t="str">
        <f t="shared" ca="1" si="0"/>
        <v>Check</v>
      </c>
      <c r="P5" s="95" t="str">
        <f t="shared" ca="1" si="0"/>
        <v>Check</v>
      </c>
      <c r="Q5" s="95" t="str">
        <f t="shared" ca="1" si="0"/>
        <v/>
      </c>
      <c r="R5" s="95" t="str">
        <f t="shared" ca="1" si="0"/>
        <v>Check</v>
      </c>
      <c r="S5" s="95" t="str">
        <f t="shared" ca="1" si="0"/>
        <v>Check</v>
      </c>
      <c r="U5" s="95" t="str">
        <f ca="1">+IF($B5="","",Checklist!C5)</f>
        <v>Sell Value or Allocations</v>
      </c>
      <c r="V5" s="95" t="str">
        <f ca="1">+IF($B5="","",Checklist!D5)</f>
        <v>As project is T&amp;M or CMS please put value in the timesheet and in the allocations</v>
      </c>
      <c r="W5" s="92"/>
    </row>
    <row r="6" spans="2:23" x14ac:dyDescent="0.2">
      <c r="B6" s="93" t="str">
        <f t="shared" ca="1" si="1"/>
        <v/>
      </c>
      <c r="C6" s="94">
        <f ca="1">++IF(Summary!$J$7="Fixed Price",IF(((SUMIF(INDIRECT("'"&amp;C$1&amp;"'!T:T"),"1",INDIRECT("'"&amp;C$1&amp;"'!I:I"))))&gt;0,((SUMIF(INDIRECT("'"&amp;C$1&amp;"'!T:T"),"1",INDIRECT("'"&amp;C$1&amp;"'!I:I")))),0),0)</f>
        <v>0</v>
      </c>
      <c r="D6" s="94">
        <f ca="1">++IF(Summary!$J$7="Fixed Price",IF(((SUMIF(INDIRECT("'"&amp;D$1&amp;"'!T:T"),"1",INDIRECT("'"&amp;D$1&amp;"'!I:I"))))&gt;0,((SUMIF(INDIRECT("'"&amp;D$1&amp;"'!T:T"),"1",INDIRECT("'"&amp;D$1&amp;"'!I:I")))),0),0)</f>
        <v>0</v>
      </c>
      <c r="E6" s="94">
        <f ca="1">++IF(Summary!$J$7="Fixed Price",IF(((SUMIF(INDIRECT("'"&amp;E$1&amp;"'!T:T"),"1",INDIRECT("'"&amp;E$1&amp;"'!I:I"))))&gt;0,((SUMIF(INDIRECT("'"&amp;E$1&amp;"'!T:T"),"1",INDIRECT("'"&amp;E$1&amp;"'!I:I")))),0),0)</f>
        <v>0</v>
      </c>
      <c r="F6" s="94">
        <f ca="1">++IF(Summary!$J$7="Fixed Price",IF(((SUMIF(INDIRECT("'"&amp;F$1&amp;"'!T:T"),"1",INDIRECT("'"&amp;F$1&amp;"'!I:I"))))&gt;0,((SUMIF(INDIRECT("'"&amp;F$1&amp;"'!T:T"),"1",INDIRECT("'"&amp;F$1&amp;"'!I:I")))),0),0)</f>
        <v>0</v>
      </c>
      <c r="G6" s="94">
        <f ca="1">++IF(Summary!$J$7="Fixed Price",IF(((SUMIF(INDIRECT("'"&amp;G$1&amp;"'!T:T"),"1",INDIRECT("'"&amp;G$1&amp;"'!I:I"))))&gt;0,((SUMIF(INDIRECT("'"&amp;G$1&amp;"'!T:T"),"1",INDIRECT("'"&amp;G$1&amp;"'!I:I")))),0),0)</f>
        <v>0</v>
      </c>
      <c r="H6" s="94">
        <f ca="1">++IF(Summary!$J$7="Fixed Price",IF(((SUMIF(INDIRECT("'"&amp;H$1&amp;"'!T:T"),"1",INDIRECT("'"&amp;H$1&amp;"'!I:I"))))&gt;0,((SUMIF(INDIRECT("'"&amp;H$1&amp;"'!T:T"),"1",INDIRECT("'"&amp;H$1&amp;"'!I:I")))),0),0)</f>
        <v>0</v>
      </c>
      <c r="I6" s="94">
        <f ca="1">++IF(Summary!$J$7="Fixed Price",IF(((SUMIF(INDIRECT("'"&amp;I$1&amp;"'!T:T"),"1",INDIRECT("'"&amp;I$1&amp;"'!I:I"))))&gt;0,((SUMIF(INDIRECT("'"&amp;I$1&amp;"'!T:T"),"1",INDIRECT("'"&amp;I$1&amp;"'!I:I")))),0),0)</f>
        <v>0</v>
      </c>
      <c r="J6" s="94">
        <f ca="1">++IF(Summary!$J$7="Fixed Price",IF(((SUMIF(INDIRECT("'"&amp;J$1&amp;"'!T:T"),"1",INDIRECT("'"&amp;J$1&amp;"'!I:I"))))&gt;0,((SUMIF(INDIRECT("'"&amp;J$1&amp;"'!T:T"),"1",INDIRECT("'"&amp;J$1&amp;"'!I:I")))),0),0)</f>
        <v>0</v>
      </c>
      <c r="K6" s="94">
        <f t="shared" si="3"/>
        <v>5</v>
      </c>
      <c r="L6" s="95" t="str">
        <f t="shared" ca="1" si="0"/>
        <v/>
      </c>
      <c r="M6" s="95" t="str">
        <f t="shared" ca="1" si="0"/>
        <v/>
      </c>
      <c r="N6" s="95" t="str">
        <f t="shared" ca="1" si="0"/>
        <v/>
      </c>
      <c r="O6" s="95" t="str">
        <f t="shared" ca="1" si="0"/>
        <v/>
      </c>
      <c r="P6" s="95" t="str">
        <f t="shared" ca="1" si="0"/>
        <v/>
      </c>
      <c r="Q6" s="95" t="str">
        <f t="shared" ca="1" si="0"/>
        <v/>
      </c>
      <c r="R6" s="95" t="str">
        <f t="shared" ca="1" si="0"/>
        <v/>
      </c>
      <c r="S6" s="95" t="str">
        <f t="shared" ca="1" si="0"/>
        <v/>
      </c>
      <c r="U6" s="95" t="str">
        <f ca="1">+IF($B6="","",Checklist!C6)</f>
        <v/>
      </c>
      <c r="V6" s="95" t="str">
        <f ca="1">+IF($B6="","",Checklist!D6)</f>
        <v/>
      </c>
      <c r="W6" s="92"/>
    </row>
    <row r="7" spans="2:23" x14ac:dyDescent="0.2">
      <c r="B7" s="93" t="str">
        <f>+IF(SUM(C7:J7)=0,"",SUM(C7:J7))</f>
        <v/>
      </c>
      <c r="C7" s="94">
        <f>+IF(VLOOKUP(Summary!$P$7,PT!$A$4:$X$63,24,0)=1,IF(VLOOKUP(Summary!$P$7,PT!$A$4:$I$63,9,0)=0,0,IF(IFERROR(VLOOKUP(Summary!$P$7,PT!$A$4:$I$63,9,0)/(PT!$N$63-VLOOKUP(Summary!$P$7,PT!$A$4:$I$63,9,0)),0)&gt;30%,1,0)))</f>
        <v>0</v>
      </c>
      <c r="D7" s="94">
        <f>+IF(VLOOKUP(Summary!$P$7,PT!$A$4:$X$63,24,0)=1,IF(VLOOKUP(Summary!$P$7,PT!$A$4:$I$63,9,0)=0,0,IF(IFERROR(VLOOKUP(Summary!$P$7,PT!$A$4:$I$63,9,0)/(PT!$N$63-VLOOKUP(Summary!$P$7,PT!$A$4:$I$63,9,0)),0)&gt;30%,1,0)))</f>
        <v>0</v>
      </c>
      <c r="E7" s="94">
        <f>+IF(VLOOKUP(Summary!$P$7,PT!$A$4:$X$63,24,0)=1,IF(VLOOKUP(Summary!$P$7,PT!$A$4:$I$63,9,0)=0,0,IF(IFERROR(VLOOKUP(Summary!$P$7,PT!$A$4:$I$63,9,0)/(PT!$N$63-VLOOKUP(Summary!$P$7,PT!$A$4:$I$63,9,0)),0)&gt;30%,1,0)))</f>
        <v>0</v>
      </c>
      <c r="F7" s="94">
        <f>+IF(VLOOKUP(Summary!$P$7,PT!$A$4:$X$63,24,0)=1,IF(VLOOKUP(Summary!$P$7,PT!$A$4:$I$63,9,0)=0,0,IF(IFERROR(VLOOKUP(Summary!$P$7,PT!$A$4:$I$63,9,0)/(PT!$N$63-VLOOKUP(Summary!$P$7,PT!$A$4:$I$63,9,0)),0)&gt;30%,1,0)))</f>
        <v>0</v>
      </c>
      <c r="G7" s="94">
        <f>+IF(VLOOKUP(Summary!$P$7,PT!$A$4:$X$63,24,0)=1,IF(VLOOKUP(Summary!$P$7,PT!$A$4:$I$63,9,0)=0,0,IF(IFERROR(VLOOKUP(Summary!$P$7,PT!$A$4:$I$63,9,0)/(PT!$N$63-VLOOKUP(Summary!$P$7,PT!$A$4:$I$63,9,0)),0)&gt;30%,1,0)))</f>
        <v>0</v>
      </c>
      <c r="H7" s="94">
        <f>+IF(VLOOKUP(Summary!$P$7,PT!$A$4:$X$63,24,0)=1,IF(VLOOKUP(Summary!$P$7,PT!$A$4:$I$63,9,0)=0,0,IF(IFERROR(VLOOKUP(Summary!$P$7,PT!$A$4:$I$63,9,0)/(PT!$N$63-VLOOKUP(Summary!$P$7,PT!$A$4:$I$63,9,0)),0)&gt;30%,1,0)))</f>
        <v>0</v>
      </c>
      <c r="I7" s="94">
        <f>+IF(VLOOKUP(Summary!$P$7,PT!$A$4:$X$63,24,0)=1,IF(VLOOKUP(Summary!$P$7,PT!$A$4:$I$63,9,0)=0,0,IF(IFERROR(VLOOKUP(Summary!$P$7,PT!$A$4:$I$63,9,0)/(PT!$N$63-VLOOKUP(Summary!$P$7,PT!$A$4:$I$63,9,0)),0)&gt;30%,1,0)))</f>
        <v>0</v>
      </c>
      <c r="J7" s="94">
        <f>+IF(VLOOKUP(Summary!$P$7,PT!$A$4:$X$63,24,0)=1,IF(VLOOKUP(Summary!$P$7,PT!$A$4:$I$63,9,0)=0,0,IF(IFERROR(VLOOKUP(Summary!$P$7,PT!$A$4:$I$63,9,0)/(PT!$N$63-VLOOKUP(Summary!$P$7,PT!$A$4:$I$63,9,0)),0)&gt;30%,1,0)))</f>
        <v>0</v>
      </c>
      <c r="K7" s="94">
        <f t="shared" si="3"/>
        <v>6</v>
      </c>
      <c r="L7" s="95" t="str">
        <f t="shared" si="0"/>
        <v/>
      </c>
      <c r="M7" s="95" t="str">
        <f t="shared" si="0"/>
        <v/>
      </c>
      <c r="N7" s="95" t="str">
        <f t="shared" si="0"/>
        <v/>
      </c>
      <c r="O7" s="95" t="str">
        <f t="shared" si="0"/>
        <v/>
      </c>
      <c r="P7" s="95" t="str">
        <f t="shared" si="0"/>
        <v/>
      </c>
      <c r="Q7" s="95" t="str">
        <f t="shared" si="0"/>
        <v/>
      </c>
      <c r="R7" s="95" t="str">
        <f t="shared" si="0"/>
        <v/>
      </c>
      <c r="S7" s="95" t="str">
        <f t="shared" si="0"/>
        <v/>
      </c>
      <c r="U7" s="95" t="str">
        <f>+IF($B7="","",Checklist!C7)</f>
        <v/>
      </c>
      <c r="V7" s="95" t="str">
        <f>+IF($B7="","",Checklist!D7)</f>
        <v/>
      </c>
      <c r="W7" s="92"/>
    </row>
    <row r="8" spans="2:23" x14ac:dyDescent="0.2">
      <c r="B8" s="93" t="str">
        <f t="shared" ca="1" si="1"/>
        <v/>
      </c>
      <c r="C8" s="94">
        <f ca="1">+COUNT(INDIRECT("'"&amp;C$1&amp;"'!I:I"))-COUNT(INDIRECT("'"&amp;C$1&amp;"'!J:J"))</f>
        <v>0</v>
      </c>
      <c r="D8" s="94">
        <f t="shared" ref="D8:J8" ca="1" si="5">+COUNT(INDIRECT("'"&amp;D$1&amp;"'!I:I"))-COUNT(INDIRECT("'"&amp;D$1&amp;"'!J:J"))</f>
        <v>0</v>
      </c>
      <c r="E8" s="94">
        <f t="shared" ca="1" si="5"/>
        <v>0</v>
      </c>
      <c r="F8" s="94">
        <f t="shared" ca="1" si="5"/>
        <v>0</v>
      </c>
      <c r="G8" s="94">
        <f t="shared" ca="1" si="5"/>
        <v>0</v>
      </c>
      <c r="H8" s="94">
        <f t="shared" ca="1" si="5"/>
        <v>0</v>
      </c>
      <c r="I8" s="94">
        <f t="shared" ca="1" si="5"/>
        <v>0</v>
      </c>
      <c r="J8" s="94">
        <f t="shared" ca="1" si="5"/>
        <v>0</v>
      </c>
      <c r="K8" s="94">
        <f t="shared" si="3"/>
        <v>7</v>
      </c>
      <c r="L8" s="95" t="str">
        <f t="shared" ca="1" si="0"/>
        <v/>
      </c>
      <c r="M8" s="95" t="str">
        <f t="shared" ca="1" si="0"/>
        <v/>
      </c>
      <c r="N8" s="95" t="str">
        <f t="shared" ca="1" si="0"/>
        <v/>
      </c>
      <c r="O8" s="95" t="str">
        <f t="shared" ca="1" si="0"/>
        <v/>
      </c>
      <c r="P8" s="95" t="str">
        <f t="shared" ca="1" si="0"/>
        <v/>
      </c>
      <c r="Q8" s="95" t="str">
        <f t="shared" ca="1" si="0"/>
        <v/>
      </c>
      <c r="R8" s="95" t="str">
        <f t="shared" ca="1" si="0"/>
        <v/>
      </c>
      <c r="S8" s="95" t="str">
        <f t="shared" ca="1" si="0"/>
        <v/>
      </c>
      <c r="U8" s="95" t="str">
        <f ca="1">+IF($B8="","",Checklist!C8)</f>
        <v/>
      </c>
      <c r="V8" s="95" t="str">
        <f ca="1">+IF($B8="","",Checklist!D8)</f>
        <v/>
      </c>
      <c r="W8" s="92"/>
    </row>
    <row r="9" spans="2:23" x14ac:dyDescent="0.2">
      <c r="B9" s="93">
        <f t="shared" ref="B9" si="6">+IF(SUM(C9:J9)=0,"",SUM(C9:J9))</f>
        <v>1</v>
      </c>
      <c r="C9" s="94">
        <f>+IF(ABS(PT!$R$63)&gt;40%,1,0)</f>
        <v>0</v>
      </c>
      <c r="D9" s="94">
        <f>+IF(ABS(BR!$R$63)&gt;40%,1,0)</f>
        <v>0</v>
      </c>
      <c r="E9" s="94">
        <f>+IF(ABS(US!$R$63)&gt;40%,1,0)</f>
        <v>0</v>
      </c>
      <c r="F9" s="94">
        <f>+IF(ABS(DE!$R$63)&gt;40%,1,0)</f>
        <v>0</v>
      </c>
      <c r="G9" s="94">
        <f>+IF(ABS(MT!$R$63)&gt;40%,1,0)</f>
        <v>0</v>
      </c>
      <c r="H9" s="94">
        <f>+IF(ABS(MX!$R$63)&gt;40%,1,0)</f>
        <v>1</v>
      </c>
      <c r="I9" s="94">
        <f>+IF(ABS(CL!$R$63)&gt;40%,1,0)</f>
        <v>0</v>
      </c>
      <c r="J9" s="94">
        <f>+IF(ABS(CL!$R$63)&gt;40%,1,0)</f>
        <v>0</v>
      </c>
      <c r="K9" s="94">
        <f t="shared" si="3"/>
        <v>8</v>
      </c>
      <c r="L9" s="95" t="str">
        <f t="shared" si="0"/>
        <v/>
      </c>
      <c r="M9" s="95" t="str">
        <f t="shared" si="0"/>
        <v/>
      </c>
      <c r="N9" s="95" t="str">
        <f t="shared" si="0"/>
        <v/>
      </c>
      <c r="O9" s="95" t="str">
        <f t="shared" si="0"/>
        <v/>
      </c>
      <c r="P9" s="95" t="str">
        <f t="shared" si="0"/>
        <v/>
      </c>
      <c r="Q9" s="95" t="str">
        <f t="shared" si="0"/>
        <v>Check</v>
      </c>
      <c r="R9" s="95" t="str">
        <f t="shared" si="0"/>
        <v/>
      </c>
      <c r="S9" s="95" t="str">
        <f t="shared" si="0"/>
        <v/>
      </c>
      <c r="U9" s="95" t="str">
        <f>+IF($B9="","",Checklist!C9)</f>
        <v>Dev</v>
      </c>
      <c r="V9" s="95" t="str">
        <f>+IF($B9="","",Checklist!D9)</f>
        <v>Dev is too high</v>
      </c>
      <c r="W9" s="92"/>
    </row>
  </sheetData>
  <sheetProtection algorithmName="SHA-512" hashValue="ULMo9D91g9kySL7JGUpgRO8nkhlo2OtofL6m6jrTTfn8aLc5KyVjnK1euAZ7VmJYWdM2gpttzqEmkszYQusBSg==" saltValue="XoO9xi166U1SOmFd/TFHbg==" spinCount="100000" sheet="1" objects="1" scenarios="1"/>
  <conditionalFormatting sqref="L2:S9">
    <cfRule type="containsText" dxfId="17" priority="1" operator="containsText" text="Check">
      <formula>NOT(ISERROR(SEARCH("Check",L2)))</formula>
    </cfRule>
  </conditionalFormatting>
  <pageMargins left="0.7" right="0.7" top="0.75" bottom="0.75" header="0.3" footer="0.3"/>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B3:D87"/>
  <sheetViews>
    <sheetView zoomScale="55" zoomScaleNormal="55" workbookViewId="0"/>
  </sheetViews>
  <sheetFormatPr defaultColWidth="8.7109375" defaultRowHeight="15" x14ac:dyDescent="0.25"/>
  <cols>
    <col min="1" max="1" width="8.7109375" style="115"/>
    <col min="2" max="2" width="9.7109375" style="115" customWidth="1"/>
    <col min="3" max="3" width="21.7109375" style="115" customWidth="1"/>
    <col min="4" max="4" width="122" style="115" bestFit="1" customWidth="1"/>
    <col min="5" max="5" width="76.5703125" style="115" customWidth="1"/>
    <col min="6" max="6" width="11.7109375" style="115" customWidth="1"/>
    <col min="7" max="16384" width="8.7109375" style="115"/>
  </cols>
  <sheetData>
    <row r="3" spans="2:4" x14ac:dyDescent="0.25">
      <c r="B3" s="237" t="s">
        <v>34</v>
      </c>
      <c r="C3" s="238"/>
      <c r="D3" s="238"/>
    </row>
    <row r="4" spans="2:4" x14ac:dyDescent="0.25">
      <c r="B4" s="120" t="s">
        <v>35</v>
      </c>
      <c r="C4" s="121" t="s">
        <v>339</v>
      </c>
      <c r="D4" s="122"/>
    </row>
    <row r="5" spans="2:4" x14ac:dyDescent="0.25">
      <c r="B5" s="123" t="s">
        <v>36</v>
      </c>
      <c r="C5" s="137" t="s">
        <v>340</v>
      </c>
      <c r="D5" s="138"/>
    </row>
    <row r="6" spans="2:4" x14ac:dyDescent="0.25">
      <c r="B6" s="123"/>
      <c r="C6" s="137" t="s">
        <v>37</v>
      </c>
      <c r="D6" s="138"/>
    </row>
    <row r="7" spans="2:4" x14ac:dyDescent="0.25">
      <c r="B7" s="123" t="s">
        <v>38</v>
      </c>
      <c r="C7" s="137" t="s">
        <v>39</v>
      </c>
      <c r="D7" s="138"/>
    </row>
    <row r="8" spans="2:4" x14ac:dyDescent="0.25">
      <c r="B8" s="123"/>
      <c r="C8" s="137" t="s">
        <v>338</v>
      </c>
      <c r="D8" s="138"/>
    </row>
    <row r="9" spans="2:4" x14ac:dyDescent="0.25">
      <c r="B9" s="123">
        <v>4</v>
      </c>
      <c r="C9" s="137" t="s">
        <v>152</v>
      </c>
      <c r="D9" s="138"/>
    </row>
    <row r="10" spans="2:4" x14ac:dyDescent="0.25">
      <c r="B10" s="128"/>
      <c r="C10" s="126"/>
      <c r="D10" s="127"/>
    </row>
    <row r="11" spans="2:4" x14ac:dyDescent="0.25">
      <c r="B11" s="124" t="s">
        <v>66</v>
      </c>
      <c r="C11" s="137"/>
      <c r="D11" s="138"/>
    </row>
    <row r="12" spans="2:4" ht="14.65" customHeight="1" x14ac:dyDescent="0.25">
      <c r="B12" s="124"/>
      <c r="C12" s="239" t="s">
        <v>341</v>
      </c>
      <c r="D12" s="240"/>
    </row>
    <row r="13" spans="2:4" ht="14.65" customHeight="1" x14ac:dyDescent="0.25">
      <c r="B13" s="124"/>
      <c r="C13" s="135"/>
      <c r="D13" s="136"/>
    </row>
    <row r="14" spans="2:4" x14ac:dyDescent="0.25">
      <c r="B14" s="125"/>
      <c r="C14" s="1" t="s">
        <v>42</v>
      </c>
      <c r="D14" s="138" t="s">
        <v>43</v>
      </c>
    </row>
    <row r="15" spans="2:4" x14ac:dyDescent="0.25">
      <c r="B15" s="125"/>
      <c r="C15" s="2" t="s">
        <v>44</v>
      </c>
      <c r="D15" s="138" t="s">
        <v>45</v>
      </c>
    </row>
    <row r="16" spans="2:4" x14ac:dyDescent="0.25">
      <c r="B16" s="125"/>
      <c r="C16" s="2" t="s">
        <v>46</v>
      </c>
      <c r="D16" s="138" t="s">
        <v>342</v>
      </c>
    </row>
    <row r="17" spans="2:4" x14ac:dyDescent="0.25">
      <c r="B17" s="125"/>
      <c r="C17" s="2" t="s">
        <v>417</v>
      </c>
      <c r="D17" s="138" t="s">
        <v>418</v>
      </c>
    </row>
    <row r="18" spans="2:4" x14ac:dyDescent="0.25">
      <c r="B18" s="125"/>
      <c r="C18" s="2" t="s">
        <v>294</v>
      </c>
      <c r="D18" s="138" t="s">
        <v>343</v>
      </c>
    </row>
    <row r="19" spans="2:4" x14ac:dyDescent="0.25">
      <c r="B19" s="125"/>
      <c r="C19" s="2" t="s">
        <v>47</v>
      </c>
      <c r="D19" s="138" t="s">
        <v>344</v>
      </c>
    </row>
    <row r="20" spans="2:4" x14ac:dyDescent="0.25">
      <c r="B20" s="125"/>
      <c r="C20" s="2" t="s">
        <v>48</v>
      </c>
      <c r="D20" s="138" t="s">
        <v>345</v>
      </c>
    </row>
    <row r="21" spans="2:4" x14ac:dyDescent="0.25">
      <c r="B21" s="125"/>
      <c r="C21" s="2" t="s">
        <v>49</v>
      </c>
      <c r="D21" s="138" t="s">
        <v>346</v>
      </c>
    </row>
    <row r="22" spans="2:4" x14ac:dyDescent="0.25">
      <c r="B22" s="125"/>
      <c r="C22" s="2" t="s">
        <v>50</v>
      </c>
      <c r="D22" s="138" t="s">
        <v>419</v>
      </c>
    </row>
    <row r="23" spans="2:4" x14ac:dyDescent="0.25">
      <c r="B23" s="125"/>
      <c r="C23" s="2" t="s">
        <v>51</v>
      </c>
      <c r="D23" s="138" t="s">
        <v>347</v>
      </c>
    </row>
    <row r="24" spans="2:4" x14ac:dyDescent="0.25">
      <c r="B24" s="125"/>
      <c r="C24" s="2" t="s">
        <v>315</v>
      </c>
      <c r="D24" s="138" t="s">
        <v>317</v>
      </c>
    </row>
    <row r="25" spans="2:4" x14ac:dyDescent="0.25">
      <c r="B25" s="125"/>
      <c r="C25" s="2" t="s">
        <v>316</v>
      </c>
      <c r="D25" s="138" t="s">
        <v>356</v>
      </c>
    </row>
    <row r="26" spans="2:4" x14ac:dyDescent="0.25">
      <c r="B26" s="125"/>
      <c r="C26" s="2" t="s">
        <v>52</v>
      </c>
      <c r="D26" s="138" t="s">
        <v>348</v>
      </c>
    </row>
    <row r="27" spans="2:4" x14ac:dyDescent="0.25">
      <c r="B27" s="125"/>
      <c r="C27" s="2" t="s">
        <v>310</v>
      </c>
      <c r="D27" s="138" t="s">
        <v>349</v>
      </c>
    </row>
    <row r="28" spans="2:4" x14ac:dyDescent="0.25">
      <c r="B28" s="125"/>
      <c r="C28" s="2" t="s">
        <v>311</v>
      </c>
      <c r="D28" s="138" t="s">
        <v>350</v>
      </c>
    </row>
    <row r="29" spans="2:4" x14ac:dyDescent="0.25">
      <c r="B29" s="125"/>
      <c r="C29" s="2" t="s">
        <v>309</v>
      </c>
      <c r="D29" s="138" t="s">
        <v>318</v>
      </c>
    </row>
    <row r="30" spans="2:4" x14ac:dyDescent="0.25">
      <c r="B30" s="125"/>
      <c r="C30" s="200"/>
      <c r="D30" s="127"/>
    </row>
    <row r="31" spans="2:4" ht="14.65" customHeight="1" x14ac:dyDescent="0.25">
      <c r="B31" s="125"/>
      <c r="C31" s="239" t="s">
        <v>351</v>
      </c>
      <c r="D31" s="240"/>
    </row>
    <row r="32" spans="2:4" ht="14.65" customHeight="1" x14ac:dyDescent="0.25">
      <c r="B32" s="125"/>
      <c r="C32" s="135"/>
      <c r="D32" s="136"/>
    </row>
    <row r="33" spans="2:4" x14ac:dyDescent="0.25">
      <c r="B33" s="125"/>
      <c r="C33" s="1" t="s">
        <v>40</v>
      </c>
      <c r="D33" s="136" t="s">
        <v>41</v>
      </c>
    </row>
    <row r="34" spans="2:4" ht="123" customHeight="1" x14ac:dyDescent="0.25">
      <c r="B34" s="125"/>
      <c r="C34" s="2" t="s">
        <v>53</v>
      </c>
      <c r="D34" s="136" t="s">
        <v>352</v>
      </c>
    </row>
    <row r="35" spans="2:4" ht="28.5" x14ac:dyDescent="0.25">
      <c r="B35" s="125"/>
      <c r="C35" s="2" t="s">
        <v>30</v>
      </c>
      <c r="D35" s="136" t="s">
        <v>353</v>
      </c>
    </row>
    <row r="36" spans="2:4" ht="85.5" x14ac:dyDescent="0.25">
      <c r="B36" s="125"/>
      <c r="C36" s="2" t="s">
        <v>295</v>
      </c>
      <c r="D36" s="136" t="s">
        <v>357</v>
      </c>
    </row>
    <row r="37" spans="2:4" x14ac:dyDescent="0.25">
      <c r="B37" s="125"/>
      <c r="C37" s="130"/>
      <c r="D37" s="127"/>
    </row>
    <row r="38" spans="2:4" ht="61.9" customHeight="1" x14ac:dyDescent="0.25">
      <c r="B38" s="125"/>
      <c r="C38" s="239" t="s">
        <v>358</v>
      </c>
      <c r="D38" s="236"/>
    </row>
    <row r="39" spans="2:4" x14ac:dyDescent="0.25">
      <c r="B39" s="125"/>
      <c r="C39" s="130"/>
      <c r="D39" s="127"/>
    </row>
    <row r="40" spans="2:4" ht="30" customHeight="1" x14ac:dyDescent="0.25">
      <c r="B40" s="125"/>
      <c r="C40" s="239" t="s">
        <v>354</v>
      </c>
      <c r="D40" s="240"/>
    </row>
    <row r="41" spans="2:4" x14ac:dyDescent="0.25">
      <c r="B41" s="125"/>
      <c r="C41" s="135"/>
      <c r="D41" s="136"/>
    </row>
    <row r="42" spans="2:4" x14ac:dyDescent="0.25">
      <c r="B42" s="125"/>
      <c r="C42" s="1" t="s">
        <v>40</v>
      </c>
      <c r="D42" s="136" t="s">
        <v>41</v>
      </c>
    </row>
    <row r="43" spans="2:4" x14ac:dyDescent="0.25">
      <c r="B43" s="125"/>
      <c r="C43" s="2" t="s">
        <v>313</v>
      </c>
      <c r="D43" s="138" t="s">
        <v>355</v>
      </c>
    </row>
    <row r="44" spans="2:4" x14ac:dyDescent="0.25">
      <c r="B44" s="125"/>
      <c r="C44" s="2" t="s">
        <v>54</v>
      </c>
      <c r="D44" s="138" t="s">
        <v>55</v>
      </c>
    </row>
    <row r="45" spans="2:4" x14ac:dyDescent="0.25">
      <c r="B45" s="125"/>
      <c r="C45" s="2" t="s">
        <v>28</v>
      </c>
      <c r="D45" s="138" t="s">
        <v>56</v>
      </c>
    </row>
    <row r="46" spans="2:4" ht="139.9" customHeight="1" x14ac:dyDescent="0.25">
      <c r="B46" s="125"/>
      <c r="C46" s="2" t="s">
        <v>312</v>
      </c>
      <c r="D46" s="136" t="s">
        <v>359</v>
      </c>
    </row>
    <row r="47" spans="2:4" x14ac:dyDescent="0.25">
      <c r="B47" s="125"/>
      <c r="C47" s="2" t="s">
        <v>19</v>
      </c>
      <c r="D47" s="138" t="s">
        <v>314</v>
      </c>
    </row>
    <row r="48" spans="2:4" ht="22.15" customHeight="1" x14ac:dyDescent="0.25">
      <c r="B48" s="125"/>
      <c r="C48" s="130"/>
      <c r="D48" s="127"/>
    </row>
    <row r="49" spans="2:4" ht="42" customHeight="1" x14ac:dyDescent="0.25">
      <c r="B49" s="125"/>
      <c r="C49" s="239" t="s">
        <v>360</v>
      </c>
      <c r="D49" s="240"/>
    </row>
    <row r="50" spans="2:4" x14ac:dyDescent="0.25">
      <c r="B50" s="125"/>
      <c r="C50" s="2" t="s">
        <v>332</v>
      </c>
      <c r="D50" s="136" t="s">
        <v>333</v>
      </c>
    </row>
    <row r="51" spans="2:4" x14ac:dyDescent="0.25">
      <c r="B51" s="125"/>
      <c r="C51" s="2" t="s">
        <v>124</v>
      </c>
      <c r="D51" s="137" t="s">
        <v>334</v>
      </c>
    </row>
    <row r="52" spans="2:4" x14ac:dyDescent="0.25">
      <c r="B52" s="125"/>
      <c r="C52" s="2" t="s">
        <v>337</v>
      </c>
      <c r="D52" s="137" t="s">
        <v>361</v>
      </c>
    </row>
    <row r="53" spans="2:4" x14ac:dyDescent="0.25">
      <c r="B53" s="125"/>
      <c r="C53" s="1" t="s">
        <v>335</v>
      </c>
      <c r="D53" s="138" t="s">
        <v>336</v>
      </c>
    </row>
    <row r="54" spans="2:4" x14ac:dyDescent="0.25">
      <c r="B54" s="125"/>
      <c r="C54" s="130"/>
      <c r="D54" s="127"/>
    </row>
    <row r="55" spans="2:4" ht="42" customHeight="1" x14ac:dyDescent="0.25">
      <c r="B55" s="125"/>
      <c r="C55" s="239" t="s">
        <v>362</v>
      </c>
      <c r="D55" s="236"/>
    </row>
    <row r="56" spans="2:4" x14ac:dyDescent="0.25">
      <c r="B56" s="129"/>
      <c r="C56" s="130"/>
      <c r="D56" s="127"/>
    </row>
    <row r="57" spans="2:4" x14ac:dyDescent="0.25">
      <c r="B57" s="129"/>
      <c r="C57" s="130"/>
      <c r="D57" s="127"/>
    </row>
    <row r="58" spans="2:4" x14ac:dyDescent="0.25">
      <c r="B58" s="124" t="s">
        <v>68</v>
      </c>
      <c r="C58" s="137"/>
      <c r="D58" s="138"/>
    </row>
    <row r="59" spans="2:4" x14ac:dyDescent="0.25">
      <c r="B59" s="124"/>
      <c r="C59" s="239" t="s">
        <v>69</v>
      </c>
      <c r="D59" s="240"/>
    </row>
    <row r="60" spans="2:4" ht="14.65" customHeight="1" x14ac:dyDescent="0.25">
      <c r="B60" s="125"/>
      <c r="C60" s="1"/>
      <c r="D60" s="138" t="s">
        <v>105</v>
      </c>
    </row>
    <row r="61" spans="2:4" x14ac:dyDescent="0.25">
      <c r="B61" s="125"/>
      <c r="C61" s="1" t="s">
        <v>40</v>
      </c>
      <c r="D61" s="136" t="s">
        <v>41</v>
      </c>
    </row>
    <row r="62" spans="2:4" x14ac:dyDescent="0.25">
      <c r="B62" s="125"/>
      <c r="C62" s="2" t="s">
        <v>73</v>
      </c>
      <c r="D62" s="138" t="s">
        <v>74</v>
      </c>
    </row>
    <row r="63" spans="2:4" x14ac:dyDescent="0.25">
      <c r="B63" s="125"/>
      <c r="C63" s="2" t="s">
        <v>75</v>
      </c>
      <c r="D63" s="138" t="s">
        <v>77</v>
      </c>
    </row>
    <row r="64" spans="2:4" x14ac:dyDescent="0.25">
      <c r="B64" s="125"/>
      <c r="C64" s="2" t="s">
        <v>76</v>
      </c>
      <c r="D64" s="138" t="s">
        <v>78</v>
      </c>
    </row>
    <row r="65" spans="2:4" x14ac:dyDescent="0.25">
      <c r="B65" s="129"/>
      <c r="C65" s="130"/>
      <c r="D65" s="127"/>
    </row>
    <row r="66" spans="2:4" x14ac:dyDescent="0.25">
      <c r="B66" s="124" t="s">
        <v>82</v>
      </c>
      <c r="C66" s="137"/>
      <c r="D66" s="138"/>
    </row>
    <row r="67" spans="2:4" x14ac:dyDescent="0.25">
      <c r="B67" s="124"/>
      <c r="C67" s="239" t="s">
        <v>83</v>
      </c>
      <c r="D67" s="240"/>
    </row>
    <row r="68" spans="2:4" x14ac:dyDescent="0.25">
      <c r="B68" s="124"/>
      <c r="C68" s="135"/>
      <c r="D68" s="136" t="s">
        <v>86</v>
      </c>
    </row>
    <row r="69" spans="2:4" x14ac:dyDescent="0.25">
      <c r="B69" s="124"/>
      <c r="C69" s="1" t="s">
        <v>40</v>
      </c>
      <c r="D69" s="136" t="s">
        <v>41</v>
      </c>
    </row>
    <row r="70" spans="2:4" x14ac:dyDescent="0.25">
      <c r="B70" s="124"/>
      <c r="C70" s="2" t="s">
        <v>84</v>
      </c>
      <c r="D70" s="138" t="s">
        <v>80</v>
      </c>
    </row>
    <row r="71" spans="2:4" x14ac:dyDescent="0.25">
      <c r="B71" s="125"/>
      <c r="C71" s="2" t="s">
        <v>85</v>
      </c>
      <c r="D71" s="138" t="s">
        <v>363</v>
      </c>
    </row>
    <row r="72" spans="2:4" x14ac:dyDescent="0.25">
      <c r="B72" s="125"/>
      <c r="C72" s="2" t="s">
        <v>79</v>
      </c>
      <c r="D72" s="138" t="s">
        <v>81</v>
      </c>
    </row>
    <row r="73" spans="2:4" x14ac:dyDescent="0.25">
      <c r="B73" s="131"/>
      <c r="C73" s="132"/>
      <c r="D73" s="133"/>
    </row>
    <row r="74" spans="2:4" x14ac:dyDescent="0.25">
      <c r="B74" s="124" t="s">
        <v>109</v>
      </c>
      <c r="C74" s="137"/>
      <c r="D74" s="138"/>
    </row>
    <row r="75" spans="2:4" x14ac:dyDescent="0.25">
      <c r="B75" s="123"/>
      <c r="C75" s="235" t="s">
        <v>57</v>
      </c>
      <c r="D75" s="236"/>
    </row>
    <row r="76" spans="2:4" x14ac:dyDescent="0.25">
      <c r="B76" s="123"/>
      <c r="C76" s="1" t="s">
        <v>40</v>
      </c>
      <c r="D76" s="136" t="s">
        <v>41</v>
      </c>
    </row>
    <row r="77" spans="2:4" x14ac:dyDescent="0.25">
      <c r="B77" s="123"/>
      <c r="C77" s="1" t="s">
        <v>115</v>
      </c>
      <c r="D77" s="136" t="s">
        <v>148</v>
      </c>
    </row>
    <row r="78" spans="2:4" x14ac:dyDescent="0.25">
      <c r="B78" s="123"/>
      <c r="C78" s="2" t="s">
        <v>116</v>
      </c>
      <c r="D78" s="136" t="s">
        <v>149</v>
      </c>
    </row>
    <row r="79" spans="2:4" x14ac:dyDescent="0.25">
      <c r="B79" s="123"/>
      <c r="C79" s="2" t="s">
        <v>146</v>
      </c>
      <c r="D79" s="136" t="s">
        <v>150</v>
      </c>
    </row>
    <row r="80" spans="2:4" x14ac:dyDescent="0.25">
      <c r="B80" s="123"/>
      <c r="C80" s="2" t="s">
        <v>58</v>
      </c>
      <c r="D80" s="136" t="s">
        <v>364</v>
      </c>
    </row>
    <row r="81" spans="2:4" x14ac:dyDescent="0.25">
      <c r="B81" s="123"/>
      <c r="C81" s="2" t="s">
        <v>59</v>
      </c>
      <c r="D81" s="138" t="s">
        <v>60</v>
      </c>
    </row>
    <row r="82" spans="2:4" x14ac:dyDescent="0.25">
      <c r="B82" s="123"/>
      <c r="C82" s="2" t="s">
        <v>61</v>
      </c>
      <c r="D82" s="138" t="s">
        <v>62</v>
      </c>
    </row>
    <row r="83" spans="2:4" ht="28.5" x14ac:dyDescent="0.25">
      <c r="B83" s="123"/>
      <c r="C83" s="2" t="s">
        <v>63</v>
      </c>
      <c r="D83" s="136" t="s">
        <v>147</v>
      </c>
    </row>
    <row r="84" spans="2:4" ht="98.25" x14ac:dyDescent="0.25">
      <c r="B84" s="123"/>
      <c r="C84" s="2" t="s">
        <v>64</v>
      </c>
      <c r="D84" s="136" t="s">
        <v>117</v>
      </c>
    </row>
    <row r="85" spans="2:4" ht="84" x14ac:dyDescent="0.25">
      <c r="B85" s="123"/>
      <c r="C85" s="2" t="s">
        <v>65</v>
      </c>
      <c r="D85" s="136" t="s">
        <v>67</v>
      </c>
    </row>
    <row r="86" spans="2:4" x14ac:dyDescent="0.25">
      <c r="B86" s="123"/>
      <c r="C86" s="137"/>
      <c r="D86" s="138"/>
    </row>
    <row r="87" spans="2:4" x14ac:dyDescent="0.25">
      <c r="B87" s="201"/>
      <c r="C87" s="126"/>
      <c r="D87" s="127"/>
    </row>
  </sheetData>
  <mergeCells count="10">
    <mergeCell ref="C75:D75"/>
    <mergeCell ref="B3:D3"/>
    <mergeCell ref="C40:D40"/>
    <mergeCell ref="C12:D12"/>
    <mergeCell ref="C31:D31"/>
    <mergeCell ref="C38:D38"/>
    <mergeCell ref="C49:D49"/>
    <mergeCell ref="C55:D55"/>
    <mergeCell ref="C59:D59"/>
    <mergeCell ref="C67:D67"/>
  </mergeCells>
  <pageMargins left="0.7" right="0.7" top="0.75" bottom="0.75" header="0.3" footer="0.3"/>
  <pageSetup orientation="portrait" r:id="rId1"/>
  <drawing r:id="rId2"/>
  <legacyDrawing r:id="rId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1:BR26"/>
  <sheetViews>
    <sheetView showGridLines="0" zoomScale="90" zoomScaleNormal="90" workbookViewId="0">
      <pane xSplit="10" ySplit="5" topLeftCell="K6" activePane="bottomRight" state="frozen"/>
      <selection activeCell="K8" sqref="K8:M8"/>
      <selection pane="topRight" activeCell="K8" sqref="K8:M8"/>
      <selection pane="bottomLeft" activeCell="K8" sqref="K8:M8"/>
      <selection pane="bottomRight" activeCell="D8" sqref="D8"/>
    </sheetView>
  </sheetViews>
  <sheetFormatPr defaultColWidth="2.7109375" defaultRowHeight="16.5" x14ac:dyDescent="0.25"/>
  <cols>
    <col min="1" max="2" width="2.7109375" style="5" customWidth="1"/>
    <col min="3" max="3" width="17.28515625" style="23" customWidth="1"/>
    <col min="4" max="4" width="11.42578125" style="8" customWidth="1"/>
    <col min="5" max="5" width="10" style="8" customWidth="1"/>
    <col min="6" max="6" width="7.7109375" style="4" customWidth="1"/>
    <col min="7" max="7" width="5.28515625" style="4" customWidth="1"/>
    <col min="8" max="8" width="4" style="27" customWidth="1"/>
    <col min="9" max="9" width="7.7109375" style="4" hidden="1" customWidth="1"/>
    <col min="10" max="10" width="8.42578125" style="8" hidden="1" customWidth="1"/>
    <col min="11" max="30" width="3.28515625" style="8" customWidth="1"/>
    <col min="31" max="70" width="3.28515625" style="5" customWidth="1"/>
    <col min="71" max="16384" width="2.7109375" style="5"/>
  </cols>
  <sheetData>
    <row r="1" spans="2:70" ht="28.9" customHeight="1" x14ac:dyDescent="0.6">
      <c r="C1" s="6"/>
      <c r="D1" s="6"/>
      <c r="E1" s="6"/>
      <c r="F1" s="7"/>
      <c r="G1" s="7"/>
      <c r="H1" s="25"/>
      <c r="I1" s="7"/>
      <c r="AE1" s="8"/>
      <c r="AF1" s="8"/>
      <c r="AG1" s="8"/>
      <c r="AH1" s="8"/>
      <c r="AI1" s="8"/>
      <c r="AJ1" s="8"/>
      <c r="AK1" s="8"/>
      <c r="AL1" s="8"/>
      <c r="AM1" s="8"/>
      <c r="AN1" s="8"/>
      <c r="AO1" s="8"/>
    </row>
    <row r="2" spans="2:70" s="9" customFormat="1" ht="18.75" customHeight="1" x14ac:dyDescent="0.6">
      <c r="B2" s="245" t="s">
        <v>6</v>
      </c>
      <c r="C2" s="245"/>
      <c r="D2" s="248">
        <f>Summary!Q4</f>
        <v>0</v>
      </c>
      <c r="E2" s="248"/>
      <c r="F2" s="24"/>
      <c r="G2" s="24"/>
      <c r="H2" s="26"/>
      <c r="I2" s="3"/>
      <c r="J2" s="8"/>
      <c r="K2" s="244">
        <f>D2</f>
        <v>0</v>
      </c>
      <c r="L2" s="244">
        <f>IF(K2="","",K2+7)</f>
        <v>7</v>
      </c>
      <c r="M2" s="244">
        <f t="shared" ref="M2:BR2" si="0">IF(L2="","",L2+7)</f>
        <v>14</v>
      </c>
      <c r="N2" s="244">
        <f t="shared" si="0"/>
        <v>21</v>
      </c>
      <c r="O2" s="244">
        <f t="shared" si="0"/>
        <v>28</v>
      </c>
      <c r="P2" s="244">
        <f t="shared" si="0"/>
        <v>35</v>
      </c>
      <c r="Q2" s="244">
        <f t="shared" si="0"/>
        <v>42</v>
      </c>
      <c r="R2" s="244">
        <f t="shared" si="0"/>
        <v>49</v>
      </c>
      <c r="S2" s="244">
        <f t="shared" si="0"/>
        <v>56</v>
      </c>
      <c r="T2" s="244">
        <f t="shared" si="0"/>
        <v>63</v>
      </c>
      <c r="U2" s="244">
        <f t="shared" si="0"/>
        <v>70</v>
      </c>
      <c r="V2" s="244">
        <f t="shared" si="0"/>
        <v>77</v>
      </c>
      <c r="W2" s="244">
        <f t="shared" si="0"/>
        <v>84</v>
      </c>
      <c r="X2" s="244">
        <f t="shared" si="0"/>
        <v>91</v>
      </c>
      <c r="Y2" s="244">
        <f t="shared" si="0"/>
        <v>98</v>
      </c>
      <c r="Z2" s="244">
        <f t="shared" si="0"/>
        <v>105</v>
      </c>
      <c r="AA2" s="244">
        <f t="shared" si="0"/>
        <v>112</v>
      </c>
      <c r="AB2" s="244">
        <f t="shared" si="0"/>
        <v>119</v>
      </c>
      <c r="AC2" s="244">
        <f t="shared" si="0"/>
        <v>126</v>
      </c>
      <c r="AD2" s="244">
        <f t="shared" si="0"/>
        <v>133</v>
      </c>
      <c r="AE2" s="244">
        <f t="shared" si="0"/>
        <v>140</v>
      </c>
      <c r="AF2" s="244">
        <f t="shared" si="0"/>
        <v>147</v>
      </c>
      <c r="AG2" s="244">
        <f t="shared" si="0"/>
        <v>154</v>
      </c>
      <c r="AH2" s="244">
        <f t="shared" si="0"/>
        <v>161</v>
      </c>
      <c r="AI2" s="244">
        <f t="shared" si="0"/>
        <v>168</v>
      </c>
      <c r="AJ2" s="244">
        <f t="shared" si="0"/>
        <v>175</v>
      </c>
      <c r="AK2" s="244">
        <f t="shared" si="0"/>
        <v>182</v>
      </c>
      <c r="AL2" s="244">
        <f t="shared" si="0"/>
        <v>189</v>
      </c>
      <c r="AM2" s="244">
        <f t="shared" si="0"/>
        <v>196</v>
      </c>
      <c r="AN2" s="244">
        <f t="shared" si="0"/>
        <v>203</v>
      </c>
      <c r="AO2" s="244">
        <f t="shared" si="0"/>
        <v>210</v>
      </c>
      <c r="AP2" s="244">
        <f t="shared" si="0"/>
        <v>217</v>
      </c>
      <c r="AQ2" s="244">
        <f t="shared" si="0"/>
        <v>224</v>
      </c>
      <c r="AR2" s="244">
        <f t="shared" si="0"/>
        <v>231</v>
      </c>
      <c r="AS2" s="244">
        <f t="shared" si="0"/>
        <v>238</v>
      </c>
      <c r="AT2" s="244">
        <f t="shared" si="0"/>
        <v>245</v>
      </c>
      <c r="AU2" s="244">
        <f t="shared" si="0"/>
        <v>252</v>
      </c>
      <c r="AV2" s="244">
        <f t="shared" si="0"/>
        <v>259</v>
      </c>
      <c r="AW2" s="244">
        <f t="shared" si="0"/>
        <v>266</v>
      </c>
      <c r="AX2" s="244">
        <f t="shared" si="0"/>
        <v>273</v>
      </c>
      <c r="AY2" s="244">
        <f t="shared" si="0"/>
        <v>280</v>
      </c>
      <c r="AZ2" s="244">
        <f t="shared" si="0"/>
        <v>287</v>
      </c>
      <c r="BA2" s="244">
        <f t="shared" si="0"/>
        <v>294</v>
      </c>
      <c r="BB2" s="244">
        <f t="shared" si="0"/>
        <v>301</v>
      </c>
      <c r="BC2" s="244">
        <f t="shared" si="0"/>
        <v>308</v>
      </c>
      <c r="BD2" s="244">
        <f t="shared" si="0"/>
        <v>315</v>
      </c>
      <c r="BE2" s="244">
        <f t="shared" si="0"/>
        <v>322</v>
      </c>
      <c r="BF2" s="244">
        <f t="shared" si="0"/>
        <v>329</v>
      </c>
      <c r="BG2" s="244">
        <f t="shared" si="0"/>
        <v>336</v>
      </c>
      <c r="BH2" s="244">
        <f t="shared" si="0"/>
        <v>343</v>
      </c>
      <c r="BI2" s="244">
        <f t="shared" si="0"/>
        <v>350</v>
      </c>
      <c r="BJ2" s="244">
        <f t="shared" si="0"/>
        <v>357</v>
      </c>
      <c r="BK2" s="244">
        <f t="shared" si="0"/>
        <v>364</v>
      </c>
      <c r="BL2" s="244">
        <f t="shared" si="0"/>
        <v>371</v>
      </c>
      <c r="BM2" s="244">
        <f t="shared" si="0"/>
        <v>378</v>
      </c>
      <c r="BN2" s="244">
        <f t="shared" si="0"/>
        <v>385</v>
      </c>
      <c r="BO2" s="244">
        <f t="shared" si="0"/>
        <v>392</v>
      </c>
      <c r="BP2" s="244">
        <f t="shared" si="0"/>
        <v>399</v>
      </c>
      <c r="BQ2" s="244">
        <f t="shared" si="0"/>
        <v>406</v>
      </c>
      <c r="BR2" s="244">
        <f t="shared" si="0"/>
        <v>413</v>
      </c>
    </row>
    <row r="3" spans="2:70" ht="18.75" customHeight="1" x14ac:dyDescent="0.2">
      <c r="B3" s="245" t="s">
        <v>7</v>
      </c>
      <c r="C3" s="245"/>
      <c r="D3" s="246">
        <f>Summary!E7</f>
        <v>0</v>
      </c>
      <c r="E3" s="246"/>
      <c r="K3" s="244"/>
      <c r="L3" s="244"/>
      <c r="M3" s="244"/>
      <c r="N3" s="244"/>
      <c r="O3" s="244"/>
      <c r="P3" s="244"/>
      <c r="Q3" s="244"/>
      <c r="R3" s="244"/>
      <c r="S3" s="244"/>
      <c r="T3" s="244"/>
      <c r="U3" s="244"/>
      <c r="V3" s="244"/>
      <c r="W3" s="244"/>
      <c r="X3" s="244"/>
      <c r="Y3" s="244"/>
      <c r="Z3" s="244"/>
      <c r="AA3" s="244"/>
      <c r="AB3" s="244"/>
      <c r="AC3" s="244"/>
      <c r="AD3" s="244"/>
      <c r="AE3" s="244"/>
      <c r="AF3" s="244"/>
      <c r="AG3" s="244"/>
      <c r="AH3" s="244"/>
      <c r="AI3" s="244"/>
      <c r="AJ3" s="244"/>
      <c r="AK3" s="244"/>
      <c r="AL3" s="244"/>
      <c r="AM3" s="244"/>
      <c r="AN3" s="244"/>
      <c r="AO3" s="244"/>
      <c r="AP3" s="244"/>
      <c r="AQ3" s="244"/>
      <c r="AR3" s="244"/>
      <c r="AS3" s="244"/>
      <c r="AT3" s="244"/>
      <c r="AU3" s="244"/>
      <c r="AV3" s="244"/>
      <c r="AW3" s="244"/>
      <c r="AX3" s="244"/>
      <c r="AY3" s="244"/>
      <c r="AZ3" s="244"/>
      <c r="BA3" s="244"/>
      <c r="BB3" s="244"/>
      <c r="BC3" s="244"/>
      <c r="BD3" s="244"/>
      <c r="BE3" s="244"/>
      <c r="BF3" s="244"/>
      <c r="BG3" s="244"/>
      <c r="BH3" s="244"/>
      <c r="BI3" s="244"/>
      <c r="BJ3" s="244"/>
      <c r="BK3" s="244"/>
      <c r="BL3" s="244"/>
      <c r="BM3" s="244"/>
      <c r="BN3" s="244"/>
      <c r="BO3" s="244"/>
      <c r="BP3" s="244"/>
      <c r="BQ3" s="244"/>
      <c r="BR3" s="244"/>
    </row>
    <row r="4" spans="2:70" ht="18.75" customHeight="1" x14ac:dyDescent="0.2">
      <c r="B4" s="245" t="s">
        <v>8</v>
      </c>
      <c r="C4" s="245"/>
      <c r="D4" s="247">
        <f>Summary!E5</f>
        <v>0</v>
      </c>
      <c r="E4" s="247"/>
      <c r="F4" s="247"/>
      <c r="G4" s="247"/>
      <c r="H4" s="28"/>
      <c r="I4" s="10"/>
      <c r="J4" s="10"/>
      <c r="K4" s="244"/>
      <c r="L4" s="244"/>
      <c r="M4" s="244"/>
      <c r="N4" s="244"/>
      <c r="O4" s="244"/>
      <c r="P4" s="244"/>
      <c r="Q4" s="244"/>
      <c r="R4" s="244"/>
      <c r="S4" s="244"/>
      <c r="T4" s="244"/>
      <c r="U4" s="244"/>
      <c r="V4" s="244"/>
      <c r="W4" s="244"/>
      <c r="X4" s="244"/>
      <c r="Y4" s="244"/>
      <c r="Z4" s="244"/>
      <c r="AA4" s="244"/>
      <c r="AB4" s="244"/>
      <c r="AC4" s="244"/>
      <c r="AD4" s="244"/>
      <c r="AE4" s="244"/>
      <c r="AF4" s="244"/>
      <c r="AG4" s="244"/>
      <c r="AH4" s="244"/>
      <c r="AI4" s="244"/>
      <c r="AJ4" s="244"/>
      <c r="AK4" s="244"/>
      <c r="AL4" s="244"/>
      <c r="AM4" s="244"/>
      <c r="AN4" s="244"/>
      <c r="AO4" s="244"/>
      <c r="AP4" s="244"/>
      <c r="AQ4" s="244"/>
      <c r="AR4" s="244"/>
      <c r="AS4" s="244"/>
      <c r="AT4" s="244"/>
      <c r="AU4" s="244"/>
      <c r="AV4" s="244"/>
      <c r="AW4" s="244"/>
      <c r="AX4" s="244"/>
      <c r="AY4" s="244"/>
      <c r="AZ4" s="244"/>
      <c r="BA4" s="244"/>
      <c r="BB4" s="244"/>
      <c r="BC4" s="244"/>
      <c r="BD4" s="244"/>
      <c r="BE4" s="244"/>
      <c r="BF4" s="244"/>
      <c r="BG4" s="244"/>
      <c r="BH4" s="244"/>
      <c r="BI4" s="244"/>
      <c r="BJ4" s="244"/>
      <c r="BK4" s="244"/>
      <c r="BL4" s="244"/>
      <c r="BM4" s="244"/>
      <c r="BN4" s="244"/>
      <c r="BO4" s="244"/>
      <c r="BP4" s="244"/>
      <c r="BQ4" s="244"/>
      <c r="BR4" s="244"/>
    </row>
    <row r="5" spans="2:70" ht="20.65" customHeight="1" x14ac:dyDescent="0.25">
      <c r="B5" s="11"/>
      <c r="C5" s="12"/>
      <c r="D5" s="12"/>
      <c r="E5" s="12"/>
      <c r="F5" s="13"/>
      <c r="G5" s="13"/>
      <c r="H5" s="29"/>
      <c r="I5" s="13"/>
      <c r="J5" s="14"/>
      <c r="K5" s="12">
        <v>1</v>
      </c>
      <c r="L5" s="12">
        <v>2</v>
      </c>
      <c r="M5" s="12">
        <v>3</v>
      </c>
      <c r="N5" s="12">
        <v>4</v>
      </c>
      <c r="O5" s="12">
        <v>5</v>
      </c>
      <c r="P5" s="12">
        <v>6</v>
      </c>
      <c r="Q5" s="12">
        <v>7</v>
      </c>
      <c r="R5" s="12">
        <v>8</v>
      </c>
      <c r="S5" s="12">
        <v>9</v>
      </c>
      <c r="T5" s="12">
        <v>10</v>
      </c>
      <c r="U5" s="12">
        <v>11</v>
      </c>
      <c r="V5" s="12">
        <v>12</v>
      </c>
      <c r="W5" s="12">
        <v>13</v>
      </c>
      <c r="X5" s="12">
        <v>14</v>
      </c>
      <c r="Y5" s="12">
        <v>15</v>
      </c>
      <c r="Z5" s="12">
        <v>16</v>
      </c>
      <c r="AA5" s="12">
        <v>17</v>
      </c>
      <c r="AB5" s="12">
        <v>18</v>
      </c>
      <c r="AC5" s="12">
        <v>19</v>
      </c>
      <c r="AD5" s="12">
        <v>20</v>
      </c>
      <c r="AE5" s="12">
        <v>21</v>
      </c>
      <c r="AF5" s="12">
        <v>22</v>
      </c>
      <c r="AG5" s="12">
        <v>23</v>
      </c>
      <c r="AH5" s="12">
        <v>24</v>
      </c>
      <c r="AI5" s="12">
        <v>25</v>
      </c>
      <c r="AJ5" s="12">
        <v>26</v>
      </c>
      <c r="AK5" s="12">
        <v>27</v>
      </c>
      <c r="AL5" s="12">
        <v>28</v>
      </c>
      <c r="AM5" s="12">
        <v>29</v>
      </c>
      <c r="AN5" s="12">
        <v>30</v>
      </c>
      <c r="AO5" s="12">
        <v>31</v>
      </c>
      <c r="AP5" s="12">
        <v>32</v>
      </c>
      <c r="AQ5" s="12">
        <v>33</v>
      </c>
      <c r="AR5" s="12">
        <v>34</v>
      </c>
      <c r="AS5" s="12">
        <v>35</v>
      </c>
      <c r="AT5" s="12">
        <v>36</v>
      </c>
      <c r="AU5" s="12">
        <v>37</v>
      </c>
      <c r="AV5" s="12">
        <v>38</v>
      </c>
      <c r="AW5" s="12">
        <v>39</v>
      </c>
      <c r="AX5" s="12">
        <v>40</v>
      </c>
      <c r="AY5" s="12">
        <v>41</v>
      </c>
      <c r="AZ5" s="12">
        <v>42</v>
      </c>
      <c r="BA5" s="12">
        <v>43</v>
      </c>
      <c r="BB5" s="12">
        <v>44</v>
      </c>
      <c r="BC5" s="12">
        <v>45</v>
      </c>
      <c r="BD5" s="12">
        <v>46</v>
      </c>
      <c r="BE5" s="12">
        <v>47</v>
      </c>
      <c r="BF5" s="12">
        <v>48</v>
      </c>
      <c r="BG5" s="12">
        <v>49</v>
      </c>
      <c r="BH5" s="12">
        <v>50</v>
      </c>
      <c r="BI5" s="12">
        <v>51</v>
      </c>
      <c r="BJ5" s="12">
        <v>52</v>
      </c>
      <c r="BK5" s="12">
        <v>53</v>
      </c>
      <c r="BL5" s="12">
        <v>54</v>
      </c>
      <c r="BM5" s="12">
        <v>55</v>
      </c>
      <c r="BN5" s="12">
        <v>56</v>
      </c>
      <c r="BO5" s="12">
        <v>57</v>
      </c>
      <c r="BP5" s="12">
        <v>58</v>
      </c>
      <c r="BQ5" s="12">
        <v>59</v>
      </c>
      <c r="BR5" s="12">
        <v>60</v>
      </c>
    </row>
    <row r="6" spans="2:70" ht="15.75" customHeight="1" x14ac:dyDescent="0.25">
      <c r="B6" s="15" t="s">
        <v>3</v>
      </c>
      <c r="C6" s="16"/>
      <c r="D6" s="17" t="s">
        <v>70</v>
      </c>
      <c r="E6" s="17" t="s">
        <v>71</v>
      </c>
      <c r="F6" s="242" t="s">
        <v>72</v>
      </c>
      <c r="G6" s="242"/>
      <c r="H6" s="30"/>
      <c r="I6" s="18"/>
      <c r="J6" s="19"/>
      <c r="K6" s="19"/>
      <c r="L6" s="19"/>
      <c r="M6" s="19"/>
      <c r="N6" s="19"/>
      <c r="O6" s="19"/>
      <c r="P6" s="19"/>
      <c r="Q6" s="19"/>
      <c r="R6" s="19"/>
      <c r="S6" s="19"/>
      <c r="T6" s="19"/>
      <c r="U6" s="19"/>
      <c r="V6" s="19"/>
      <c r="W6" s="19"/>
      <c r="X6" s="19"/>
      <c r="Y6" s="19"/>
      <c r="Z6" s="19"/>
      <c r="AA6" s="19"/>
      <c r="AB6" s="19"/>
      <c r="AC6" s="19"/>
      <c r="AD6" s="19"/>
      <c r="AE6" s="19"/>
      <c r="AF6" s="19"/>
      <c r="AG6" s="19"/>
      <c r="AH6" s="19"/>
      <c r="AI6" s="19"/>
      <c r="AJ6" s="19"/>
      <c r="AK6" s="19"/>
      <c r="AL6" s="19"/>
      <c r="AM6" s="19"/>
      <c r="AN6" s="19"/>
      <c r="AO6" s="19"/>
      <c r="AP6" s="19"/>
      <c r="AQ6" s="19"/>
      <c r="AR6" s="19"/>
      <c r="AS6" s="19"/>
      <c r="AT6" s="19"/>
      <c r="AU6" s="19"/>
      <c r="AV6" s="19"/>
      <c r="AW6" s="19"/>
      <c r="AX6" s="19"/>
      <c r="AY6" s="19"/>
      <c r="AZ6" s="19"/>
      <c r="BA6" s="19"/>
      <c r="BB6" s="19"/>
      <c r="BC6" s="19"/>
      <c r="BD6" s="19"/>
      <c r="BE6" s="19"/>
      <c r="BF6" s="19"/>
      <c r="BG6" s="19"/>
      <c r="BH6" s="19"/>
      <c r="BI6" s="19"/>
      <c r="BJ6" s="19"/>
      <c r="BK6" s="19"/>
      <c r="BL6" s="19"/>
      <c r="BM6" s="19"/>
      <c r="BN6" s="19"/>
      <c r="BO6" s="19"/>
      <c r="BP6" s="19"/>
      <c r="BQ6" s="19"/>
      <c r="BR6" s="19"/>
    </row>
    <row r="7" spans="2:70" s="20" customFormat="1" ht="16.350000000000001" customHeight="1" x14ac:dyDescent="0.2">
      <c r="C7" s="36" t="s">
        <v>386</v>
      </c>
      <c r="D7" s="37"/>
      <c r="E7" s="37"/>
      <c r="F7" s="243">
        <f t="shared" ref="F7:F26" si="1">IF(E7+D7-1&lt;0,0,E7+D7-1)</f>
        <v>0</v>
      </c>
      <c r="G7" s="243"/>
      <c r="H7" s="38"/>
      <c r="I7" s="21"/>
      <c r="J7" s="22"/>
      <c r="K7" s="22"/>
      <c r="L7" s="22"/>
      <c r="M7" s="22"/>
      <c r="N7" s="22"/>
      <c r="O7" s="22"/>
      <c r="P7" s="22"/>
      <c r="Q7" s="22"/>
      <c r="R7" s="22"/>
      <c r="S7" s="22"/>
      <c r="T7" s="22"/>
      <c r="U7" s="22"/>
      <c r="V7" s="22"/>
      <c r="W7" s="22"/>
      <c r="X7" s="22"/>
      <c r="Y7" s="22"/>
      <c r="Z7" s="22"/>
      <c r="AA7" s="22"/>
      <c r="AB7" s="22"/>
      <c r="AC7" s="22"/>
      <c r="AD7" s="22"/>
    </row>
    <row r="8" spans="2:70" s="20" customFormat="1" ht="16.350000000000001" customHeight="1" x14ac:dyDescent="0.2">
      <c r="C8" s="34" t="s">
        <v>387</v>
      </c>
      <c r="D8" s="35"/>
      <c r="E8" s="35"/>
      <c r="F8" s="241">
        <f t="shared" si="1"/>
        <v>0</v>
      </c>
      <c r="G8" s="241"/>
      <c r="H8" s="39"/>
      <c r="I8" s="21"/>
      <c r="J8" s="22"/>
      <c r="K8" s="22"/>
      <c r="L8" s="22"/>
      <c r="M8" s="22"/>
      <c r="N8" s="22"/>
      <c r="O8" s="22"/>
      <c r="P8" s="22"/>
      <c r="Q8" s="22"/>
      <c r="R8" s="22"/>
      <c r="S8" s="22"/>
      <c r="T8" s="22"/>
      <c r="U8" s="22"/>
      <c r="V8" s="22"/>
      <c r="W8" s="22"/>
      <c r="X8" s="22"/>
      <c r="Y8" s="22"/>
      <c r="Z8" s="22"/>
      <c r="AA8" s="22"/>
      <c r="AB8" s="22"/>
      <c r="AC8" s="22"/>
      <c r="AD8" s="22"/>
    </row>
    <row r="9" spans="2:70" s="20" customFormat="1" ht="16.350000000000001" customHeight="1" x14ac:dyDescent="0.2">
      <c r="C9" s="36" t="s">
        <v>385</v>
      </c>
      <c r="D9" s="37"/>
      <c r="E9" s="37"/>
      <c r="F9" s="241">
        <f t="shared" si="1"/>
        <v>0</v>
      </c>
      <c r="G9" s="241"/>
      <c r="H9" s="38"/>
      <c r="I9" s="21"/>
      <c r="J9" s="22"/>
      <c r="K9" s="22"/>
      <c r="L9" s="22"/>
      <c r="M9" s="22"/>
      <c r="N9" s="22"/>
      <c r="O9" s="22"/>
      <c r="P9" s="22"/>
      <c r="Q9" s="22"/>
      <c r="R9" s="22"/>
      <c r="S9" s="22"/>
      <c r="T9" s="22"/>
      <c r="U9" s="22"/>
      <c r="V9" s="22"/>
      <c r="W9" s="22"/>
      <c r="X9" s="22"/>
      <c r="Y9" s="22"/>
      <c r="Z9" s="22"/>
      <c r="AA9" s="22"/>
      <c r="AB9" s="22"/>
      <c r="AC9" s="22"/>
      <c r="AD9" s="22"/>
    </row>
    <row r="10" spans="2:70" s="20" customFormat="1" ht="16.350000000000001" customHeight="1" x14ac:dyDescent="0.2">
      <c r="C10" s="34" t="s">
        <v>384</v>
      </c>
      <c r="D10" s="35"/>
      <c r="E10" s="35"/>
      <c r="F10" s="241">
        <f t="shared" si="1"/>
        <v>0</v>
      </c>
      <c r="G10" s="241"/>
      <c r="H10" s="39"/>
      <c r="I10" s="21"/>
      <c r="J10" s="22"/>
      <c r="K10" s="22"/>
      <c r="L10" s="22"/>
      <c r="M10" s="22"/>
      <c r="N10" s="22"/>
      <c r="O10" s="22"/>
      <c r="P10" s="22"/>
      <c r="Q10" s="22"/>
      <c r="R10" s="22"/>
      <c r="S10" s="22"/>
      <c r="T10" s="22"/>
      <c r="U10" s="22"/>
      <c r="V10" s="22"/>
      <c r="W10" s="22"/>
      <c r="X10" s="22"/>
      <c r="Y10" s="22"/>
      <c r="Z10" s="22"/>
      <c r="AA10" s="22"/>
      <c r="AB10" s="22"/>
      <c r="AC10" s="22"/>
      <c r="AD10" s="22"/>
    </row>
    <row r="11" spans="2:70" s="20" customFormat="1" ht="16.350000000000001" customHeight="1" x14ac:dyDescent="0.2">
      <c r="C11" s="36" t="s">
        <v>383</v>
      </c>
      <c r="D11" s="37"/>
      <c r="E11" s="37"/>
      <c r="F11" s="241">
        <f t="shared" si="1"/>
        <v>0</v>
      </c>
      <c r="G11" s="241"/>
      <c r="H11" s="38"/>
      <c r="I11" s="31"/>
      <c r="J11" s="22"/>
      <c r="K11" s="22"/>
      <c r="L11" s="22"/>
      <c r="M11" s="22"/>
      <c r="N11" s="22"/>
      <c r="O11" s="22"/>
      <c r="P11" s="22"/>
      <c r="Q11" s="22"/>
      <c r="R11" s="22"/>
      <c r="S11" s="22"/>
      <c r="T11" s="22"/>
      <c r="U11" s="22"/>
      <c r="V11" s="22"/>
      <c r="W11" s="22"/>
      <c r="X11" s="22"/>
      <c r="Y11" s="22"/>
      <c r="Z11" s="22"/>
      <c r="AA11" s="22"/>
      <c r="AB11" s="22"/>
      <c r="AC11" s="22"/>
      <c r="AD11" s="22"/>
    </row>
    <row r="12" spans="2:70" s="20" customFormat="1" ht="16.350000000000001" customHeight="1" x14ac:dyDescent="0.2">
      <c r="C12" s="34" t="s">
        <v>382</v>
      </c>
      <c r="D12" s="35"/>
      <c r="E12" s="35"/>
      <c r="F12" s="241">
        <f t="shared" si="1"/>
        <v>0</v>
      </c>
      <c r="G12" s="241"/>
      <c r="H12" s="39"/>
      <c r="I12" s="21"/>
      <c r="J12" s="22"/>
      <c r="K12" s="22"/>
      <c r="L12" s="22"/>
      <c r="M12" s="22"/>
      <c r="N12" s="22"/>
      <c r="O12" s="22"/>
      <c r="P12" s="22"/>
      <c r="Q12" s="22"/>
      <c r="R12" s="22"/>
      <c r="S12" s="22"/>
      <c r="T12" s="22"/>
      <c r="U12" s="22"/>
      <c r="V12" s="22"/>
      <c r="W12" s="22"/>
      <c r="X12" s="22"/>
      <c r="Y12" s="22"/>
      <c r="Z12" s="22"/>
      <c r="AA12" s="22"/>
      <c r="AB12" s="22"/>
      <c r="AC12" s="22"/>
      <c r="AD12" s="22"/>
    </row>
    <row r="13" spans="2:70" s="20" customFormat="1" ht="16.350000000000001" customHeight="1" x14ac:dyDescent="0.2">
      <c r="C13" s="36" t="s">
        <v>381</v>
      </c>
      <c r="D13" s="37"/>
      <c r="E13" s="37"/>
      <c r="F13" s="241">
        <f t="shared" si="1"/>
        <v>0</v>
      </c>
      <c r="G13" s="241"/>
      <c r="H13" s="38"/>
      <c r="I13" s="21"/>
      <c r="J13" s="22"/>
      <c r="K13" s="22"/>
      <c r="L13" s="22"/>
      <c r="M13" s="22"/>
      <c r="N13" s="22"/>
      <c r="O13" s="22"/>
      <c r="P13" s="22"/>
      <c r="Q13" s="22"/>
      <c r="R13" s="22"/>
      <c r="S13" s="22"/>
      <c r="T13" s="22"/>
      <c r="U13" s="22"/>
      <c r="V13" s="22"/>
      <c r="W13" s="22"/>
      <c r="X13" s="22"/>
      <c r="Y13" s="22"/>
      <c r="Z13" s="22"/>
      <c r="AA13" s="22"/>
      <c r="AB13" s="22"/>
      <c r="AC13" s="22"/>
      <c r="AD13" s="22"/>
    </row>
    <row r="14" spans="2:70" s="20" customFormat="1" ht="16.350000000000001" customHeight="1" x14ac:dyDescent="0.2">
      <c r="C14" s="34" t="s">
        <v>380</v>
      </c>
      <c r="D14" s="35"/>
      <c r="E14" s="35"/>
      <c r="F14" s="241">
        <f t="shared" si="1"/>
        <v>0</v>
      </c>
      <c r="G14" s="241"/>
      <c r="H14" s="39"/>
      <c r="I14" s="21"/>
      <c r="J14" s="22"/>
      <c r="K14" s="22"/>
      <c r="L14" s="22"/>
      <c r="M14" s="22"/>
      <c r="N14" s="22"/>
      <c r="O14" s="22"/>
      <c r="P14" s="22"/>
      <c r="Q14" s="22"/>
      <c r="R14" s="22"/>
      <c r="S14" s="22"/>
      <c r="T14" s="22"/>
      <c r="U14" s="22"/>
      <c r="V14" s="22"/>
      <c r="W14" s="22"/>
      <c r="X14" s="22"/>
      <c r="Y14" s="22"/>
      <c r="Z14" s="22"/>
      <c r="AA14" s="22"/>
      <c r="AB14" s="22"/>
      <c r="AC14" s="22"/>
      <c r="AD14" s="22"/>
    </row>
    <row r="15" spans="2:70" s="20" customFormat="1" ht="16.350000000000001" customHeight="1" x14ac:dyDescent="0.2">
      <c r="C15" s="36" t="s">
        <v>379</v>
      </c>
      <c r="D15" s="37"/>
      <c r="E15" s="37"/>
      <c r="F15" s="241">
        <f t="shared" si="1"/>
        <v>0</v>
      </c>
      <c r="G15" s="241"/>
      <c r="H15" s="38"/>
      <c r="I15" s="21"/>
      <c r="J15" s="22"/>
      <c r="K15" s="22"/>
      <c r="L15" s="22"/>
      <c r="M15" s="22"/>
      <c r="N15" s="22"/>
      <c r="O15" s="22"/>
      <c r="P15" s="22"/>
      <c r="Q15" s="22"/>
      <c r="R15" s="22"/>
      <c r="S15" s="22"/>
      <c r="T15" s="22"/>
      <c r="U15" s="22"/>
      <c r="V15" s="22"/>
      <c r="W15" s="22"/>
      <c r="X15" s="22"/>
      <c r="Y15" s="22"/>
      <c r="Z15" s="22"/>
      <c r="AA15" s="22"/>
      <c r="AB15" s="22"/>
      <c r="AC15" s="22"/>
      <c r="AD15" s="22"/>
    </row>
    <row r="16" spans="2:70" s="20" customFormat="1" ht="16.350000000000001" customHeight="1" x14ac:dyDescent="0.2">
      <c r="C16" s="34" t="s">
        <v>378</v>
      </c>
      <c r="D16" s="35"/>
      <c r="E16" s="35"/>
      <c r="F16" s="241">
        <f t="shared" si="1"/>
        <v>0</v>
      </c>
      <c r="G16" s="241"/>
      <c r="H16" s="39"/>
      <c r="I16" s="21"/>
      <c r="J16" s="22"/>
      <c r="K16" s="22"/>
      <c r="L16" s="22"/>
      <c r="M16" s="22"/>
      <c r="N16" s="22"/>
      <c r="O16" s="22"/>
      <c r="P16" s="22"/>
      <c r="Q16" s="22"/>
      <c r="R16" s="22"/>
      <c r="S16" s="22"/>
      <c r="T16" s="22"/>
      <c r="U16" s="22"/>
      <c r="V16" s="22"/>
      <c r="W16" s="22"/>
      <c r="X16" s="22"/>
      <c r="Y16" s="22"/>
      <c r="Z16" s="22"/>
      <c r="AA16" s="22"/>
      <c r="AB16" s="22"/>
      <c r="AC16" s="22"/>
      <c r="AD16" s="22"/>
    </row>
    <row r="17" spans="3:7" s="20" customFormat="1" ht="16.350000000000001" customHeight="1" x14ac:dyDescent="0.2">
      <c r="C17" s="36" t="s">
        <v>377</v>
      </c>
      <c r="D17" s="37"/>
      <c r="E17" s="37"/>
      <c r="F17" s="241">
        <f t="shared" si="1"/>
        <v>0</v>
      </c>
      <c r="G17" s="241"/>
    </row>
    <row r="18" spans="3:7" s="20" customFormat="1" ht="16.350000000000001" customHeight="1" x14ac:dyDescent="0.2">
      <c r="C18" s="34" t="s">
        <v>376</v>
      </c>
      <c r="D18" s="35"/>
      <c r="E18" s="35"/>
      <c r="F18" s="241">
        <f t="shared" si="1"/>
        <v>0</v>
      </c>
      <c r="G18" s="241"/>
    </row>
    <row r="19" spans="3:7" s="20" customFormat="1" ht="16.350000000000001" customHeight="1" x14ac:dyDescent="0.2">
      <c r="C19" s="36" t="s">
        <v>92</v>
      </c>
      <c r="D19" s="37"/>
      <c r="E19" s="37"/>
      <c r="F19" s="241">
        <f t="shared" si="1"/>
        <v>0</v>
      </c>
      <c r="G19" s="241"/>
    </row>
    <row r="20" spans="3:7" s="20" customFormat="1" ht="16.350000000000001" customHeight="1" x14ac:dyDescent="0.2">
      <c r="C20" s="34" t="s">
        <v>93</v>
      </c>
      <c r="D20" s="35"/>
      <c r="E20" s="35"/>
      <c r="F20" s="241">
        <f t="shared" si="1"/>
        <v>0</v>
      </c>
      <c r="G20" s="241"/>
    </row>
    <row r="21" spans="3:7" s="20" customFormat="1" ht="16.350000000000001" customHeight="1" x14ac:dyDescent="0.2">
      <c r="C21" s="36" t="s">
        <v>94</v>
      </c>
      <c r="D21" s="37"/>
      <c r="E21" s="37"/>
      <c r="F21" s="241">
        <f t="shared" si="1"/>
        <v>0</v>
      </c>
      <c r="G21" s="241"/>
    </row>
    <row r="22" spans="3:7" s="20" customFormat="1" ht="16.350000000000001" customHeight="1" x14ac:dyDescent="0.2">
      <c r="C22" s="34" t="s">
        <v>95</v>
      </c>
      <c r="D22" s="35"/>
      <c r="E22" s="35"/>
      <c r="F22" s="241">
        <f t="shared" si="1"/>
        <v>0</v>
      </c>
      <c r="G22" s="241"/>
    </row>
    <row r="23" spans="3:7" s="20" customFormat="1" ht="16.350000000000001" customHeight="1" x14ac:dyDescent="0.2">
      <c r="C23" s="36" t="s">
        <v>96</v>
      </c>
      <c r="D23" s="37"/>
      <c r="E23" s="37"/>
      <c r="F23" s="241">
        <f t="shared" si="1"/>
        <v>0</v>
      </c>
      <c r="G23" s="241"/>
    </row>
    <row r="24" spans="3:7" s="20" customFormat="1" ht="16.350000000000001" customHeight="1" x14ac:dyDescent="0.2">
      <c r="C24" s="34" t="s">
        <v>97</v>
      </c>
      <c r="D24" s="35"/>
      <c r="E24" s="35"/>
      <c r="F24" s="241">
        <f t="shared" si="1"/>
        <v>0</v>
      </c>
      <c r="G24" s="241"/>
    </row>
    <row r="25" spans="3:7" s="20" customFormat="1" ht="16.350000000000001" customHeight="1" x14ac:dyDescent="0.2">
      <c r="C25" s="36" t="s">
        <v>98</v>
      </c>
      <c r="D25" s="37"/>
      <c r="E25" s="37"/>
      <c r="F25" s="241">
        <f t="shared" si="1"/>
        <v>0</v>
      </c>
      <c r="G25" s="241"/>
    </row>
    <row r="26" spans="3:7" s="20" customFormat="1" ht="16.350000000000001" customHeight="1" x14ac:dyDescent="0.2">
      <c r="C26" s="34" t="s">
        <v>99</v>
      </c>
      <c r="D26" s="35"/>
      <c r="E26" s="35"/>
      <c r="F26" s="241">
        <f t="shared" si="1"/>
        <v>0</v>
      </c>
      <c r="G26" s="241"/>
    </row>
  </sheetData>
  <sheetProtection formatCells="0" formatColumns="0" formatRows="0" insertRows="0" sort="0" autoFilter="0"/>
  <mergeCells count="87">
    <mergeCell ref="N2:N4"/>
    <mergeCell ref="B2:C2"/>
    <mergeCell ref="D2:E2"/>
    <mergeCell ref="K2:K4"/>
    <mergeCell ref="L2:L4"/>
    <mergeCell ref="M2:M4"/>
    <mergeCell ref="Z2:Z4"/>
    <mergeCell ref="O2:O4"/>
    <mergeCell ref="P2:P4"/>
    <mergeCell ref="Q2:Q4"/>
    <mergeCell ref="R2:R4"/>
    <mergeCell ref="S2:S4"/>
    <mergeCell ref="T2:T4"/>
    <mergeCell ref="U2:U4"/>
    <mergeCell ref="V2:V4"/>
    <mergeCell ref="W2:W4"/>
    <mergeCell ref="X2:X4"/>
    <mergeCell ref="Y2:Y4"/>
    <mergeCell ref="AL2:AL4"/>
    <mergeCell ref="AA2:AA4"/>
    <mergeCell ref="AB2:AB4"/>
    <mergeCell ref="AC2:AC4"/>
    <mergeCell ref="AD2:AD4"/>
    <mergeCell ref="AE2:AE4"/>
    <mergeCell ref="AF2:AF4"/>
    <mergeCell ref="AG2:AG4"/>
    <mergeCell ref="AH2:AH4"/>
    <mergeCell ref="AI2:AI4"/>
    <mergeCell ref="AJ2:AJ4"/>
    <mergeCell ref="AK2:AK4"/>
    <mergeCell ref="AW2:AW4"/>
    <mergeCell ref="AX2:AX4"/>
    <mergeCell ref="AM2:AM4"/>
    <mergeCell ref="AN2:AN4"/>
    <mergeCell ref="AO2:AO4"/>
    <mergeCell ref="AP2:AP4"/>
    <mergeCell ref="AQ2:AQ4"/>
    <mergeCell ref="AR2:AR4"/>
    <mergeCell ref="BR2:BR4"/>
    <mergeCell ref="B3:C3"/>
    <mergeCell ref="D3:E3"/>
    <mergeCell ref="B4:C4"/>
    <mergeCell ref="D4:G4"/>
    <mergeCell ref="BK2:BK4"/>
    <mergeCell ref="BL2:BL4"/>
    <mergeCell ref="BM2:BM4"/>
    <mergeCell ref="BN2:BN4"/>
    <mergeCell ref="BO2:BO4"/>
    <mergeCell ref="BP2:BP4"/>
    <mergeCell ref="BE2:BE4"/>
    <mergeCell ref="BF2:BF4"/>
    <mergeCell ref="BG2:BG4"/>
    <mergeCell ref="BH2:BH4"/>
    <mergeCell ref="BI2:BI4"/>
    <mergeCell ref="F11:G11"/>
    <mergeCell ref="F12:G12"/>
    <mergeCell ref="F13:G13"/>
    <mergeCell ref="F14:G14"/>
    <mergeCell ref="BQ2:BQ4"/>
    <mergeCell ref="BJ2:BJ4"/>
    <mergeCell ref="AY2:AY4"/>
    <mergeCell ref="AZ2:AZ4"/>
    <mergeCell ref="BA2:BA4"/>
    <mergeCell ref="BB2:BB4"/>
    <mergeCell ref="BC2:BC4"/>
    <mergeCell ref="BD2:BD4"/>
    <mergeCell ref="AS2:AS4"/>
    <mergeCell ref="AT2:AT4"/>
    <mergeCell ref="AU2:AU4"/>
    <mergeCell ref="AV2:AV4"/>
    <mergeCell ref="F6:G6"/>
    <mergeCell ref="F7:G7"/>
    <mergeCell ref="F8:G8"/>
    <mergeCell ref="F9:G9"/>
    <mergeCell ref="F10:G10"/>
    <mergeCell ref="F26:G26"/>
    <mergeCell ref="F15:G15"/>
    <mergeCell ref="F16:G16"/>
    <mergeCell ref="F17:G17"/>
    <mergeCell ref="F18:G18"/>
    <mergeCell ref="F19:G19"/>
    <mergeCell ref="F20:G20"/>
    <mergeCell ref="F21:G21"/>
    <mergeCell ref="F22:G22"/>
    <mergeCell ref="F23:G23"/>
    <mergeCell ref="F24:G24"/>
    <mergeCell ref="F25:G25"/>
  </mergeCells>
  <conditionalFormatting sqref="K5:BR6">
    <cfRule type="expression" dxfId="16" priority="9">
      <formula>K$5=period_selected</formula>
    </cfRule>
  </conditionalFormatting>
  <conditionalFormatting sqref="K7:BR26">
    <cfRule type="expression" dxfId="15" priority="3">
      <formula>PercentComplete</formula>
    </cfRule>
    <cfRule type="expression" dxfId="14" priority="4">
      <formula>PercentCompleteBeyond</formula>
    </cfRule>
    <cfRule type="expression" dxfId="13" priority="5">
      <formula>Actual</formula>
    </cfRule>
    <cfRule type="expression" dxfId="12" priority="6">
      <formula>ActualBeyond</formula>
    </cfRule>
    <cfRule type="expression" dxfId="11" priority="7">
      <formula>Plan</formula>
    </cfRule>
    <cfRule type="expression" dxfId="10" priority="8">
      <formula>K$5=period_selected</formula>
    </cfRule>
    <cfRule type="expression" dxfId="9" priority="10">
      <formula>MOD(COLUMN(),2)</formula>
    </cfRule>
    <cfRule type="expression" dxfId="8" priority="11">
      <formula>MOD(COLUMN(),2)=0</formula>
    </cfRule>
  </conditionalFormatting>
  <pageMargins left="0.45" right="0.45" top="0.5" bottom="0.5" header="0.3" footer="0.3"/>
  <pageSetup orientation="landscape" r:id="rId1"/>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B2:BQ69"/>
  <sheetViews>
    <sheetView showGridLines="0" zoomScale="90" zoomScaleNormal="90" workbookViewId="0">
      <pane xSplit="8" ySplit="9" topLeftCell="I10" activePane="bottomRight" state="frozen"/>
      <selection activeCell="D8" sqref="D8"/>
      <selection pane="topRight" activeCell="D8" sqref="D8"/>
      <selection pane="bottomLeft" activeCell="D8" sqref="D8"/>
      <selection pane="bottomRight" activeCell="D8" sqref="D8"/>
    </sheetView>
  </sheetViews>
  <sheetFormatPr defaultColWidth="3.28515625" defaultRowHeight="16.5" x14ac:dyDescent="0.25"/>
  <cols>
    <col min="1" max="2" width="3" style="42" customWidth="1"/>
    <col min="3" max="3" width="21.28515625" style="49" bestFit="1" customWidth="1"/>
    <col min="4" max="4" width="8.28515625" style="41" customWidth="1"/>
    <col min="5" max="5" width="10.5703125" style="41" customWidth="1"/>
    <col min="6" max="6" width="8.28515625" style="41" customWidth="1"/>
    <col min="7" max="7" width="9.5703125" style="41" customWidth="1"/>
    <col min="8" max="8" width="9.28515625" style="27" bestFit="1" customWidth="1"/>
    <col min="9" max="9" width="3" style="41" customWidth="1"/>
    <col min="10" max="11" width="3.28515625" style="41" customWidth="1"/>
    <col min="12" max="13" width="3.28515625" style="41"/>
    <col min="14" max="14" width="3.28515625" style="41" customWidth="1"/>
    <col min="15" max="15" width="3.7109375" style="41" customWidth="1"/>
    <col min="16" max="29" width="3.28515625" style="41"/>
    <col min="30" max="16384" width="3.28515625" style="42"/>
  </cols>
  <sheetData>
    <row r="2" spans="2:69" ht="19.5" customHeight="1" x14ac:dyDescent="0.6">
      <c r="B2" s="245" t="s">
        <v>6</v>
      </c>
      <c r="C2" s="245"/>
      <c r="D2" s="248">
        <f>Summary!Q4</f>
        <v>0</v>
      </c>
      <c r="E2" s="248"/>
      <c r="F2" s="24"/>
      <c r="G2" s="24"/>
      <c r="H2" s="40"/>
    </row>
    <row r="3" spans="2:69" ht="19.5" customHeight="1" x14ac:dyDescent="0.6">
      <c r="B3" s="245" t="s">
        <v>7</v>
      </c>
      <c r="C3" s="245"/>
      <c r="D3" s="247">
        <f>Summary!E7</f>
        <v>0</v>
      </c>
      <c r="E3" s="247"/>
      <c r="F3" s="4"/>
      <c r="G3" s="4"/>
      <c r="H3" s="40"/>
      <c r="J3" s="250" t="s">
        <v>100</v>
      </c>
      <c r="K3" s="250"/>
      <c r="L3" s="250"/>
      <c r="M3" s="250"/>
      <c r="N3" s="250"/>
      <c r="O3" s="250"/>
      <c r="P3" s="249">
        <v>1</v>
      </c>
      <c r="Q3" s="249"/>
      <c r="R3" s="43"/>
      <c r="T3" s="44"/>
      <c r="U3" s="45" t="s">
        <v>90</v>
      </c>
      <c r="Z3" s="46"/>
      <c r="AA3" s="45" t="s">
        <v>91</v>
      </c>
      <c r="AD3" s="41"/>
      <c r="AE3" s="41"/>
      <c r="AF3" s="47"/>
      <c r="AG3" s="48" t="s">
        <v>88</v>
      </c>
    </row>
    <row r="4" spans="2:69" ht="18.75" customHeight="1" x14ac:dyDescent="0.6">
      <c r="B4" s="245" t="s">
        <v>8</v>
      </c>
      <c r="C4" s="245"/>
      <c r="D4" s="254">
        <f>Summary!E5</f>
        <v>0</v>
      </c>
      <c r="E4" s="254"/>
      <c r="F4" s="254"/>
      <c r="G4" s="254"/>
      <c r="H4" s="40"/>
      <c r="AU4" s="41"/>
      <c r="AV4" s="41"/>
      <c r="AW4" s="41"/>
      <c r="AX4" s="41"/>
      <c r="AY4" s="41"/>
    </row>
    <row r="5" spans="2:69" x14ac:dyDescent="0.25">
      <c r="J5" s="244">
        <f>D2</f>
        <v>0</v>
      </c>
      <c r="K5" s="244">
        <f>IF(J7="","",J7+7)</f>
        <v>7</v>
      </c>
      <c r="L5" s="244">
        <f t="shared" ref="L5:BQ5" si="0">IF(K7="","",K7+7)</f>
        <v>14</v>
      </c>
      <c r="M5" s="244">
        <f t="shared" si="0"/>
        <v>21</v>
      </c>
      <c r="N5" s="244">
        <f t="shared" si="0"/>
        <v>28</v>
      </c>
      <c r="O5" s="244">
        <f t="shared" si="0"/>
        <v>35</v>
      </c>
      <c r="P5" s="244">
        <f t="shared" si="0"/>
        <v>42</v>
      </c>
      <c r="Q5" s="244">
        <f t="shared" si="0"/>
        <v>49</v>
      </c>
      <c r="R5" s="244">
        <f t="shared" si="0"/>
        <v>56</v>
      </c>
      <c r="S5" s="244">
        <f t="shared" si="0"/>
        <v>63</v>
      </c>
      <c r="T5" s="244">
        <f t="shared" si="0"/>
        <v>70</v>
      </c>
      <c r="U5" s="244">
        <f t="shared" si="0"/>
        <v>77</v>
      </c>
      <c r="V5" s="244">
        <f t="shared" si="0"/>
        <v>84</v>
      </c>
      <c r="W5" s="244">
        <f t="shared" si="0"/>
        <v>91</v>
      </c>
      <c r="X5" s="244">
        <f t="shared" si="0"/>
        <v>98</v>
      </c>
      <c r="Y5" s="244">
        <f t="shared" si="0"/>
        <v>105</v>
      </c>
      <c r="Z5" s="244">
        <f t="shared" si="0"/>
        <v>112</v>
      </c>
      <c r="AA5" s="244">
        <f t="shared" si="0"/>
        <v>119</v>
      </c>
      <c r="AB5" s="244">
        <f t="shared" si="0"/>
        <v>126</v>
      </c>
      <c r="AC5" s="244">
        <f t="shared" si="0"/>
        <v>133</v>
      </c>
      <c r="AD5" s="244">
        <f t="shared" si="0"/>
        <v>140</v>
      </c>
      <c r="AE5" s="244">
        <f t="shared" si="0"/>
        <v>147</v>
      </c>
      <c r="AF5" s="244">
        <f t="shared" si="0"/>
        <v>154</v>
      </c>
      <c r="AG5" s="244">
        <f t="shared" si="0"/>
        <v>161</v>
      </c>
      <c r="AH5" s="244">
        <f t="shared" si="0"/>
        <v>168</v>
      </c>
      <c r="AI5" s="244">
        <f t="shared" si="0"/>
        <v>175</v>
      </c>
      <c r="AJ5" s="244">
        <f t="shared" si="0"/>
        <v>182</v>
      </c>
      <c r="AK5" s="244">
        <f t="shared" si="0"/>
        <v>189</v>
      </c>
      <c r="AL5" s="244">
        <f t="shared" si="0"/>
        <v>196</v>
      </c>
      <c r="AM5" s="244">
        <f t="shared" si="0"/>
        <v>203</v>
      </c>
      <c r="AN5" s="244">
        <f t="shared" si="0"/>
        <v>210</v>
      </c>
      <c r="AO5" s="244">
        <f t="shared" si="0"/>
        <v>217</v>
      </c>
      <c r="AP5" s="244">
        <f t="shared" si="0"/>
        <v>224</v>
      </c>
      <c r="AQ5" s="244">
        <f t="shared" si="0"/>
        <v>231</v>
      </c>
      <c r="AR5" s="244">
        <f t="shared" si="0"/>
        <v>238</v>
      </c>
      <c r="AS5" s="244">
        <f t="shared" si="0"/>
        <v>245</v>
      </c>
      <c r="AT5" s="244">
        <f t="shared" si="0"/>
        <v>252</v>
      </c>
      <c r="AU5" s="244">
        <f t="shared" si="0"/>
        <v>259</v>
      </c>
      <c r="AV5" s="244">
        <f t="shared" si="0"/>
        <v>266</v>
      </c>
      <c r="AW5" s="244">
        <f t="shared" si="0"/>
        <v>273</v>
      </c>
      <c r="AX5" s="244">
        <f t="shared" si="0"/>
        <v>280</v>
      </c>
      <c r="AY5" s="244">
        <f t="shared" si="0"/>
        <v>287</v>
      </c>
      <c r="AZ5" s="244">
        <f t="shared" si="0"/>
        <v>294</v>
      </c>
      <c r="BA5" s="244">
        <f t="shared" si="0"/>
        <v>301</v>
      </c>
      <c r="BB5" s="244">
        <f t="shared" si="0"/>
        <v>308</v>
      </c>
      <c r="BC5" s="244">
        <f t="shared" si="0"/>
        <v>315</v>
      </c>
      <c r="BD5" s="244">
        <f t="shared" si="0"/>
        <v>322</v>
      </c>
      <c r="BE5" s="244">
        <f t="shared" si="0"/>
        <v>329</v>
      </c>
      <c r="BF5" s="244">
        <f t="shared" si="0"/>
        <v>336</v>
      </c>
      <c r="BG5" s="244">
        <f t="shared" si="0"/>
        <v>343</v>
      </c>
      <c r="BH5" s="244">
        <f t="shared" si="0"/>
        <v>350</v>
      </c>
      <c r="BI5" s="244">
        <f t="shared" si="0"/>
        <v>357</v>
      </c>
      <c r="BJ5" s="244">
        <f t="shared" si="0"/>
        <v>364</v>
      </c>
      <c r="BK5" s="244">
        <f t="shared" si="0"/>
        <v>371</v>
      </c>
      <c r="BL5" s="244">
        <f t="shared" si="0"/>
        <v>378</v>
      </c>
      <c r="BM5" s="244">
        <f t="shared" si="0"/>
        <v>385</v>
      </c>
      <c r="BN5" s="244">
        <f t="shared" si="0"/>
        <v>392</v>
      </c>
      <c r="BO5" s="244">
        <f t="shared" si="0"/>
        <v>399</v>
      </c>
      <c r="BP5" s="244">
        <f t="shared" si="0"/>
        <v>406</v>
      </c>
      <c r="BQ5" s="244">
        <f t="shared" si="0"/>
        <v>413</v>
      </c>
    </row>
    <row r="6" spans="2:69" ht="14.25" x14ac:dyDescent="0.2">
      <c r="C6" s="28"/>
      <c r="D6" s="28"/>
      <c r="E6" s="28"/>
      <c r="F6" s="28"/>
      <c r="G6" s="28"/>
      <c r="H6" s="28"/>
      <c r="I6" s="28"/>
      <c r="J6" s="244"/>
      <c r="K6" s="244"/>
      <c r="L6" s="244"/>
      <c r="M6" s="244"/>
      <c r="N6" s="244"/>
      <c r="O6" s="244"/>
      <c r="P6" s="244"/>
      <c r="Q6" s="244"/>
      <c r="R6" s="244"/>
      <c r="S6" s="244"/>
      <c r="T6" s="244"/>
      <c r="U6" s="244"/>
      <c r="V6" s="244"/>
      <c r="W6" s="244"/>
      <c r="X6" s="244"/>
      <c r="Y6" s="244"/>
      <c r="Z6" s="244"/>
      <c r="AA6" s="244"/>
      <c r="AB6" s="244"/>
      <c r="AC6" s="244"/>
      <c r="AD6" s="244"/>
      <c r="AE6" s="244"/>
      <c r="AF6" s="244"/>
      <c r="AG6" s="244"/>
      <c r="AH6" s="244"/>
      <c r="AI6" s="244"/>
      <c r="AJ6" s="244"/>
      <c r="AK6" s="244"/>
      <c r="AL6" s="244"/>
      <c r="AM6" s="244"/>
      <c r="AN6" s="244"/>
      <c r="AO6" s="244"/>
      <c r="AP6" s="244"/>
      <c r="AQ6" s="244"/>
      <c r="AR6" s="244"/>
      <c r="AS6" s="244"/>
      <c r="AT6" s="244"/>
      <c r="AU6" s="244"/>
      <c r="AV6" s="244"/>
      <c r="AW6" s="244"/>
      <c r="AX6" s="244"/>
      <c r="AY6" s="244"/>
      <c r="AZ6" s="244"/>
      <c r="BA6" s="244"/>
      <c r="BB6" s="244"/>
      <c r="BC6" s="244"/>
      <c r="BD6" s="244"/>
      <c r="BE6" s="244"/>
      <c r="BF6" s="244"/>
      <c r="BG6" s="244"/>
      <c r="BH6" s="244"/>
      <c r="BI6" s="244"/>
      <c r="BJ6" s="244"/>
      <c r="BK6" s="244"/>
      <c r="BL6" s="244"/>
      <c r="BM6" s="244"/>
      <c r="BN6" s="244"/>
      <c r="BO6" s="244"/>
      <c r="BP6" s="244"/>
      <c r="BQ6" s="244"/>
    </row>
    <row r="7" spans="2:69" ht="13.5" customHeight="1" x14ac:dyDescent="0.2">
      <c r="C7" s="50"/>
      <c r="D7" s="28"/>
      <c r="E7" s="28"/>
      <c r="F7" s="28"/>
      <c r="G7" s="28"/>
      <c r="H7" s="28"/>
      <c r="I7" s="28"/>
      <c r="J7" s="244">
        <f>D2</f>
        <v>0</v>
      </c>
      <c r="K7" s="244">
        <f>IF(J7="","",J7+7)</f>
        <v>7</v>
      </c>
      <c r="L7" s="244">
        <f t="shared" ref="L7:BQ7" si="1">IF(K7="","",K7+7)</f>
        <v>14</v>
      </c>
      <c r="M7" s="244">
        <f t="shared" si="1"/>
        <v>21</v>
      </c>
      <c r="N7" s="244">
        <f t="shared" si="1"/>
        <v>28</v>
      </c>
      <c r="O7" s="244">
        <f t="shared" si="1"/>
        <v>35</v>
      </c>
      <c r="P7" s="244">
        <f t="shared" si="1"/>
        <v>42</v>
      </c>
      <c r="Q7" s="244">
        <f t="shared" si="1"/>
        <v>49</v>
      </c>
      <c r="R7" s="244">
        <f t="shared" si="1"/>
        <v>56</v>
      </c>
      <c r="S7" s="244">
        <f t="shared" si="1"/>
        <v>63</v>
      </c>
      <c r="T7" s="244">
        <f t="shared" si="1"/>
        <v>70</v>
      </c>
      <c r="U7" s="244">
        <f t="shared" si="1"/>
        <v>77</v>
      </c>
      <c r="V7" s="244">
        <f t="shared" si="1"/>
        <v>84</v>
      </c>
      <c r="W7" s="244">
        <f t="shared" si="1"/>
        <v>91</v>
      </c>
      <c r="X7" s="244">
        <f t="shared" si="1"/>
        <v>98</v>
      </c>
      <c r="Y7" s="244">
        <f t="shared" si="1"/>
        <v>105</v>
      </c>
      <c r="Z7" s="244">
        <f t="shared" si="1"/>
        <v>112</v>
      </c>
      <c r="AA7" s="244">
        <f t="shared" si="1"/>
        <v>119</v>
      </c>
      <c r="AB7" s="244">
        <f t="shared" si="1"/>
        <v>126</v>
      </c>
      <c r="AC7" s="244">
        <f t="shared" si="1"/>
        <v>133</v>
      </c>
      <c r="AD7" s="244">
        <f t="shared" si="1"/>
        <v>140</v>
      </c>
      <c r="AE7" s="244">
        <f t="shared" si="1"/>
        <v>147</v>
      </c>
      <c r="AF7" s="244">
        <f t="shared" si="1"/>
        <v>154</v>
      </c>
      <c r="AG7" s="244">
        <f t="shared" si="1"/>
        <v>161</v>
      </c>
      <c r="AH7" s="244">
        <f t="shared" si="1"/>
        <v>168</v>
      </c>
      <c r="AI7" s="244">
        <f t="shared" si="1"/>
        <v>175</v>
      </c>
      <c r="AJ7" s="244">
        <f t="shared" si="1"/>
        <v>182</v>
      </c>
      <c r="AK7" s="244">
        <f t="shared" si="1"/>
        <v>189</v>
      </c>
      <c r="AL7" s="244">
        <f t="shared" si="1"/>
        <v>196</v>
      </c>
      <c r="AM7" s="244">
        <f t="shared" si="1"/>
        <v>203</v>
      </c>
      <c r="AN7" s="244">
        <f t="shared" si="1"/>
        <v>210</v>
      </c>
      <c r="AO7" s="244">
        <f t="shared" si="1"/>
        <v>217</v>
      </c>
      <c r="AP7" s="244">
        <f t="shared" si="1"/>
        <v>224</v>
      </c>
      <c r="AQ7" s="244">
        <f t="shared" si="1"/>
        <v>231</v>
      </c>
      <c r="AR7" s="244">
        <f t="shared" si="1"/>
        <v>238</v>
      </c>
      <c r="AS7" s="244">
        <f t="shared" si="1"/>
        <v>245</v>
      </c>
      <c r="AT7" s="244">
        <f t="shared" si="1"/>
        <v>252</v>
      </c>
      <c r="AU7" s="244">
        <f t="shared" si="1"/>
        <v>259</v>
      </c>
      <c r="AV7" s="244">
        <f t="shared" si="1"/>
        <v>266</v>
      </c>
      <c r="AW7" s="244">
        <f t="shared" si="1"/>
        <v>273</v>
      </c>
      <c r="AX7" s="244">
        <f t="shared" si="1"/>
        <v>280</v>
      </c>
      <c r="AY7" s="244">
        <f t="shared" si="1"/>
        <v>287</v>
      </c>
      <c r="AZ7" s="244">
        <f t="shared" si="1"/>
        <v>294</v>
      </c>
      <c r="BA7" s="244">
        <f t="shared" si="1"/>
        <v>301</v>
      </c>
      <c r="BB7" s="244">
        <f t="shared" si="1"/>
        <v>308</v>
      </c>
      <c r="BC7" s="244">
        <f t="shared" si="1"/>
        <v>315</v>
      </c>
      <c r="BD7" s="244">
        <f t="shared" si="1"/>
        <v>322</v>
      </c>
      <c r="BE7" s="244">
        <f t="shared" si="1"/>
        <v>329</v>
      </c>
      <c r="BF7" s="244">
        <f t="shared" si="1"/>
        <v>336</v>
      </c>
      <c r="BG7" s="244">
        <f t="shared" si="1"/>
        <v>343</v>
      </c>
      <c r="BH7" s="244">
        <f t="shared" si="1"/>
        <v>350</v>
      </c>
      <c r="BI7" s="244">
        <f t="shared" si="1"/>
        <v>357</v>
      </c>
      <c r="BJ7" s="244">
        <f t="shared" si="1"/>
        <v>364</v>
      </c>
      <c r="BK7" s="244">
        <f t="shared" si="1"/>
        <v>371</v>
      </c>
      <c r="BL7" s="244">
        <f t="shared" si="1"/>
        <v>378</v>
      </c>
      <c r="BM7" s="244">
        <f t="shared" si="1"/>
        <v>385</v>
      </c>
      <c r="BN7" s="244">
        <f t="shared" si="1"/>
        <v>392</v>
      </c>
      <c r="BO7" s="244">
        <f t="shared" si="1"/>
        <v>399</v>
      </c>
      <c r="BP7" s="244">
        <f t="shared" si="1"/>
        <v>406</v>
      </c>
      <c r="BQ7" s="244">
        <f t="shared" si="1"/>
        <v>413</v>
      </c>
    </row>
    <row r="8" spans="2:69" ht="15.75" customHeight="1" x14ac:dyDescent="0.2">
      <c r="B8" s="51"/>
      <c r="C8" s="52"/>
      <c r="D8" s="255" t="s">
        <v>89</v>
      </c>
      <c r="E8" s="256"/>
      <c r="F8" s="255" t="s">
        <v>11</v>
      </c>
      <c r="G8" s="256"/>
      <c r="H8" s="257"/>
      <c r="I8" s="53"/>
      <c r="J8" s="53">
        <v>1</v>
      </c>
      <c r="K8" s="53">
        <v>2</v>
      </c>
      <c r="L8" s="53">
        <v>3</v>
      </c>
      <c r="M8" s="53">
        <v>4</v>
      </c>
      <c r="N8" s="53">
        <v>5</v>
      </c>
      <c r="O8" s="53">
        <v>6</v>
      </c>
      <c r="P8" s="53">
        <v>7</v>
      </c>
      <c r="Q8" s="53">
        <v>8</v>
      </c>
      <c r="R8" s="53">
        <v>9</v>
      </c>
      <c r="S8" s="53">
        <v>10</v>
      </c>
      <c r="T8" s="53">
        <v>11</v>
      </c>
      <c r="U8" s="53">
        <v>12</v>
      </c>
      <c r="V8" s="53">
        <v>13</v>
      </c>
      <c r="W8" s="53">
        <v>14</v>
      </c>
      <c r="X8" s="53">
        <v>15</v>
      </c>
      <c r="Y8" s="53">
        <v>16</v>
      </c>
      <c r="Z8" s="53">
        <v>17</v>
      </c>
      <c r="AA8" s="53">
        <v>18</v>
      </c>
      <c r="AB8" s="53">
        <v>19</v>
      </c>
      <c r="AC8" s="53">
        <v>20</v>
      </c>
      <c r="AD8" s="53">
        <v>21</v>
      </c>
      <c r="AE8" s="53">
        <v>22</v>
      </c>
      <c r="AF8" s="53">
        <v>23</v>
      </c>
      <c r="AG8" s="53">
        <v>24</v>
      </c>
      <c r="AH8" s="53">
        <v>25</v>
      </c>
      <c r="AI8" s="53">
        <v>26</v>
      </c>
      <c r="AJ8" s="53">
        <v>27</v>
      </c>
      <c r="AK8" s="53">
        <v>28</v>
      </c>
      <c r="AL8" s="53">
        <v>29</v>
      </c>
      <c r="AM8" s="53">
        <v>30</v>
      </c>
      <c r="AN8" s="53">
        <v>31</v>
      </c>
      <c r="AO8" s="53">
        <v>32</v>
      </c>
      <c r="AP8" s="53">
        <v>33</v>
      </c>
      <c r="AQ8" s="53">
        <v>34</v>
      </c>
      <c r="AR8" s="53">
        <v>35</v>
      </c>
      <c r="AS8" s="53">
        <v>36</v>
      </c>
      <c r="AT8" s="53">
        <v>37</v>
      </c>
      <c r="AU8" s="53">
        <v>38</v>
      </c>
      <c r="AV8" s="53">
        <v>39</v>
      </c>
      <c r="AW8" s="53">
        <v>40</v>
      </c>
      <c r="AX8" s="53">
        <v>41</v>
      </c>
      <c r="AY8" s="53">
        <v>42</v>
      </c>
      <c r="AZ8" s="53">
        <v>43</v>
      </c>
      <c r="BA8" s="53">
        <v>44</v>
      </c>
      <c r="BB8" s="53">
        <v>45</v>
      </c>
      <c r="BC8" s="53">
        <v>46</v>
      </c>
      <c r="BD8" s="53">
        <v>47</v>
      </c>
      <c r="BE8" s="53">
        <v>48</v>
      </c>
      <c r="BF8" s="53">
        <v>49</v>
      </c>
      <c r="BG8" s="53">
        <v>50</v>
      </c>
      <c r="BH8" s="53">
        <v>51</v>
      </c>
      <c r="BI8" s="53">
        <v>52</v>
      </c>
      <c r="BJ8" s="53">
        <v>53</v>
      </c>
      <c r="BK8" s="53">
        <v>54</v>
      </c>
      <c r="BL8" s="53">
        <v>55</v>
      </c>
      <c r="BM8" s="53">
        <v>56</v>
      </c>
      <c r="BN8" s="53">
        <v>57</v>
      </c>
      <c r="BO8" s="53">
        <v>58</v>
      </c>
      <c r="BP8" s="53">
        <v>59</v>
      </c>
      <c r="BQ8" s="53">
        <v>60</v>
      </c>
    </row>
    <row r="9" spans="2:69" ht="15.75" customHeight="1" x14ac:dyDescent="0.25">
      <c r="B9" s="54" t="s">
        <v>3</v>
      </c>
      <c r="C9" s="54"/>
      <c r="D9" s="55" t="s">
        <v>5</v>
      </c>
      <c r="E9" s="55" t="s">
        <v>4</v>
      </c>
      <c r="F9" s="56" t="s">
        <v>5</v>
      </c>
      <c r="G9" s="55" t="s">
        <v>4</v>
      </c>
      <c r="H9" s="55" t="s">
        <v>12</v>
      </c>
      <c r="I9" s="57"/>
      <c r="J9" s="57"/>
      <c r="K9" s="57"/>
      <c r="L9" s="57"/>
      <c r="M9" s="57"/>
      <c r="N9" s="57"/>
      <c r="O9" s="57"/>
      <c r="P9" s="57"/>
      <c r="Q9" s="57"/>
      <c r="R9" s="57"/>
      <c r="S9" s="57"/>
      <c r="T9" s="57"/>
      <c r="U9" s="57"/>
      <c r="V9" s="57"/>
      <c r="W9" s="57"/>
      <c r="X9" s="57"/>
      <c r="Y9" s="57"/>
      <c r="Z9" s="57"/>
      <c r="AA9" s="57"/>
      <c r="AB9" s="57"/>
      <c r="AC9" s="57"/>
      <c r="AD9" s="57"/>
      <c r="AE9" s="57"/>
      <c r="AF9" s="57"/>
      <c r="AG9" s="57"/>
      <c r="AH9" s="57"/>
      <c r="AI9" s="57"/>
      <c r="AJ9" s="57"/>
      <c r="AK9" s="57"/>
      <c r="AL9" s="57"/>
      <c r="AM9" s="57"/>
      <c r="AN9" s="57"/>
      <c r="AO9" s="57"/>
      <c r="AP9" s="57"/>
      <c r="AQ9" s="57"/>
      <c r="AR9" s="57"/>
      <c r="AS9" s="57"/>
      <c r="AT9" s="57"/>
      <c r="AU9" s="57"/>
      <c r="AV9" s="57"/>
      <c r="AW9" s="57"/>
      <c r="AX9" s="57"/>
      <c r="AY9" s="57"/>
      <c r="AZ9" s="57"/>
      <c r="BA9" s="57"/>
      <c r="BB9" s="57"/>
      <c r="BC9" s="57"/>
      <c r="BD9" s="57"/>
      <c r="BE9" s="57"/>
      <c r="BF9" s="57"/>
      <c r="BG9" s="57"/>
      <c r="BH9" s="57"/>
      <c r="BI9" s="57"/>
      <c r="BJ9" s="57"/>
      <c r="BK9" s="57"/>
      <c r="BL9" s="57"/>
      <c r="BM9" s="57"/>
      <c r="BN9" s="57"/>
      <c r="BO9" s="57"/>
      <c r="BP9" s="57"/>
      <c r="BQ9" s="57"/>
    </row>
    <row r="10" spans="2:69" s="65" customFormat="1" ht="6" customHeight="1" x14ac:dyDescent="0.2">
      <c r="B10" s="58"/>
      <c r="C10" s="251" t="str">
        <f>IF(Base_Plan!C7="","",Base_Plan!C7)</f>
        <v>Activity 1</v>
      </c>
      <c r="D10" s="59"/>
      <c r="E10" s="59"/>
      <c r="F10" s="60"/>
      <c r="G10" s="61"/>
      <c r="H10" s="62"/>
      <c r="I10" s="63"/>
      <c r="J10" s="64"/>
      <c r="K10" s="64"/>
      <c r="L10" s="64"/>
      <c r="M10" s="64"/>
      <c r="N10" s="64"/>
      <c r="O10" s="64"/>
      <c r="P10" s="64"/>
      <c r="Q10" s="64"/>
      <c r="R10" s="64"/>
      <c r="S10" s="64"/>
      <c r="T10" s="64"/>
      <c r="U10" s="64"/>
      <c r="V10" s="64"/>
      <c r="W10" s="64"/>
      <c r="X10" s="64"/>
      <c r="Y10" s="64"/>
      <c r="Z10" s="64"/>
      <c r="AA10" s="64"/>
      <c r="AB10" s="64"/>
      <c r="AC10" s="64"/>
    </row>
    <row r="11" spans="2:69" s="65" customFormat="1" ht="11.25" customHeight="1" x14ac:dyDescent="0.2">
      <c r="B11" s="58"/>
      <c r="C11" s="252"/>
      <c r="D11" s="66">
        <f>Base_Plan!D7</f>
        <v>0</v>
      </c>
      <c r="E11" s="66">
        <f>Base_Plan!E7</f>
        <v>0</v>
      </c>
      <c r="F11" s="67">
        <v>0</v>
      </c>
      <c r="G11" s="68">
        <v>0</v>
      </c>
      <c r="H11" s="69">
        <v>0</v>
      </c>
      <c r="I11" s="63"/>
      <c r="J11" s="64"/>
      <c r="K11" s="64"/>
      <c r="L11" s="64"/>
      <c r="M11" s="64"/>
      <c r="N11" s="64"/>
      <c r="O11" s="64"/>
      <c r="P11" s="64"/>
      <c r="Q11" s="64"/>
      <c r="R11" s="64"/>
      <c r="S11" s="64"/>
      <c r="T11" s="64"/>
      <c r="U11" s="64"/>
      <c r="V11" s="64"/>
      <c r="W11" s="64"/>
      <c r="X11" s="64"/>
      <c r="Y11" s="64"/>
      <c r="Z11" s="64"/>
      <c r="AA11" s="64"/>
      <c r="AB11" s="64"/>
      <c r="AC11" s="64"/>
    </row>
    <row r="12" spans="2:69" s="65" customFormat="1" ht="11.25" customHeight="1" x14ac:dyDescent="0.2">
      <c r="B12" s="70"/>
      <c r="C12" s="253"/>
      <c r="D12" s="71">
        <v>0</v>
      </c>
      <c r="E12" s="71">
        <v>0</v>
      </c>
      <c r="F12" s="74"/>
      <c r="G12" s="75"/>
      <c r="H12" s="76"/>
      <c r="I12" s="63"/>
      <c r="J12" s="72"/>
      <c r="K12" s="134"/>
      <c r="L12" s="72"/>
      <c r="M12" s="72"/>
      <c r="N12" s="72"/>
      <c r="O12" s="72"/>
      <c r="P12" s="72"/>
      <c r="Q12" s="72"/>
      <c r="R12" s="72"/>
      <c r="S12" s="72"/>
      <c r="T12" s="72"/>
      <c r="U12" s="72"/>
      <c r="V12" s="72"/>
      <c r="W12" s="72"/>
      <c r="X12" s="72"/>
      <c r="Y12" s="72"/>
      <c r="Z12" s="72"/>
      <c r="AA12" s="72"/>
      <c r="AB12" s="72"/>
      <c r="AC12" s="72"/>
      <c r="AD12" s="73"/>
      <c r="AE12" s="73"/>
      <c r="AF12" s="73"/>
      <c r="AG12" s="73"/>
      <c r="AH12" s="73"/>
      <c r="AI12" s="73"/>
      <c r="AJ12" s="73"/>
      <c r="AK12" s="73"/>
      <c r="AL12" s="73"/>
      <c r="AM12" s="73"/>
      <c r="AN12" s="73"/>
      <c r="AO12" s="73"/>
      <c r="AP12" s="73"/>
      <c r="AQ12" s="73"/>
      <c r="AR12" s="73"/>
      <c r="AS12" s="73"/>
      <c r="AT12" s="73"/>
      <c r="AU12" s="73"/>
      <c r="AV12" s="73"/>
      <c r="AW12" s="73"/>
      <c r="AX12" s="73"/>
      <c r="AY12" s="73"/>
      <c r="AZ12" s="73"/>
      <c r="BA12" s="73"/>
      <c r="BB12" s="73"/>
      <c r="BC12" s="73"/>
      <c r="BD12" s="73"/>
      <c r="BE12" s="73"/>
      <c r="BF12" s="73"/>
      <c r="BG12" s="73"/>
      <c r="BH12" s="73"/>
      <c r="BI12" s="73"/>
      <c r="BJ12" s="73"/>
      <c r="BK12" s="73"/>
      <c r="BL12" s="73"/>
      <c r="BM12" s="73"/>
      <c r="BN12" s="73"/>
      <c r="BO12" s="73"/>
      <c r="BP12" s="73"/>
      <c r="BQ12" s="73"/>
    </row>
    <row r="13" spans="2:69" s="65" customFormat="1" ht="6" customHeight="1" x14ac:dyDescent="0.2">
      <c r="B13" s="58"/>
      <c r="C13" s="251" t="str">
        <f>IF(Base_Plan!C8="","",Base_Plan!C8)</f>
        <v>Activity 2</v>
      </c>
      <c r="D13" s="59"/>
      <c r="E13" s="59"/>
      <c r="F13" s="60"/>
      <c r="G13" s="61"/>
      <c r="H13" s="62"/>
      <c r="I13" s="63"/>
      <c r="J13" s="64"/>
      <c r="K13" s="72"/>
      <c r="L13" s="64"/>
      <c r="M13" s="64"/>
      <c r="N13" s="64"/>
      <c r="O13" s="64"/>
      <c r="P13" s="64"/>
      <c r="Q13" s="64"/>
      <c r="R13" s="64"/>
      <c r="S13" s="64"/>
      <c r="T13" s="64"/>
      <c r="U13" s="64"/>
      <c r="V13" s="64"/>
      <c r="W13" s="64"/>
      <c r="X13" s="64"/>
      <c r="Y13" s="64"/>
      <c r="Z13" s="64"/>
      <c r="AA13" s="64"/>
      <c r="AB13" s="64"/>
      <c r="AC13" s="64"/>
    </row>
    <row r="14" spans="2:69" s="65" customFormat="1" ht="11.25" customHeight="1" x14ac:dyDescent="0.2">
      <c r="B14" s="58"/>
      <c r="C14" s="252"/>
      <c r="D14" s="66">
        <f>Base_Plan!D8</f>
        <v>0</v>
      </c>
      <c r="E14" s="66">
        <f>Base_Plan!E8</f>
        <v>0</v>
      </c>
      <c r="F14" s="67"/>
      <c r="G14" s="68"/>
      <c r="H14" s="69"/>
      <c r="I14" s="63"/>
      <c r="J14" s="64"/>
      <c r="K14" s="64"/>
      <c r="L14" s="64"/>
      <c r="M14" s="64"/>
      <c r="N14" s="64"/>
      <c r="O14" s="64"/>
      <c r="P14" s="64"/>
      <c r="Q14" s="64"/>
      <c r="R14" s="64"/>
      <c r="S14" s="64"/>
      <c r="T14" s="64"/>
      <c r="U14" s="64"/>
      <c r="V14" s="64"/>
      <c r="W14" s="64"/>
      <c r="X14" s="64"/>
      <c r="Y14" s="64"/>
      <c r="Z14" s="64"/>
      <c r="AA14" s="64"/>
      <c r="AB14" s="64"/>
      <c r="AC14" s="64"/>
    </row>
    <row r="15" spans="2:69" s="65" customFormat="1" ht="11.25" customHeight="1" x14ac:dyDescent="0.2">
      <c r="B15" s="70"/>
      <c r="C15" s="253"/>
      <c r="D15" s="71">
        <v>0</v>
      </c>
      <c r="E15" s="71">
        <v>0</v>
      </c>
      <c r="F15" s="74"/>
      <c r="G15" s="75"/>
      <c r="H15" s="76"/>
      <c r="I15" s="63"/>
      <c r="J15" s="72"/>
      <c r="K15" s="64"/>
      <c r="L15" s="72"/>
      <c r="M15" s="72"/>
      <c r="N15" s="72"/>
      <c r="O15" s="72"/>
      <c r="P15" s="72"/>
      <c r="Q15" s="72"/>
      <c r="R15" s="72"/>
      <c r="S15" s="72"/>
      <c r="T15" s="72"/>
      <c r="U15" s="72"/>
      <c r="V15" s="72"/>
      <c r="W15" s="72"/>
      <c r="X15" s="72"/>
      <c r="Y15" s="72"/>
      <c r="Z15" s="72"/>
      <c r="AA15" s="72"/>
      <c r="AB15" s="72"/>
      <c r="AC15" s="72"/>
      <c r="AD15" s="73"/>
      <c r="AE15" s="73"/>
      <c r="AF15" s="73"/>
      <c r="AG15" s="73"/>
      <c r="AH15" s="73"/>
      <c r="AI15" s="73"/>
      <c r="AJ15" s="73"/>
      <c r="AK15" s="73"/>
      <c r="AL15" s="73"/>
      <c r="AM15" s="73"/>
      <c r="AN15" s="73"/>
      <c r="AO15" s="73"/>
      <c r="AP15" s="73"/>
      <c r="AQ15" s="73"/>
      <c r="AR15" s="73"/>
      <c r="AS15" s="73"/>
      <c r="AT15" s="73"/>
      <c r="AU15" s="73"/>
      <c r="AV15" s="73"/>
      <c r="AW15" s="73"/>
      <c r="AX15" s="73"/>
      <c r="AY15" s="73"/>
      <c r="AZ15" s="73"/>
      <c r="BA15" s="73"/>
      <c r="BB15" s="73"/>
      <c r="BC15" s="73"/>
      <c r="BD15" s="73"/>
      <c r="BE15" s="73"/>
      <c r="BF15" s="73"/>
      <c r="BG15" s="73"/>
      <c r="BH15" s="73"/>
      <c r="BI15" s="73"/>
      <c r="BJ15" s="73"/>
      <c r="BK15" s="73"/>
      <c r="BL15" s="73"/>
      <c r="BM15" s="73"/>
      <c r="BN15" s="73"/>
      <c r="BO15" s="73"/>
      <c r="BP15" s="73"/>
      <c r="BQ15" s="73"/>
    </row>
    <row r="16" spans="2:69" s="65" customFormat="1" ht="6" customHeight="1" x14ac:dyDescent="0.2">
      <c r="B16" s="58"/>
      <c r="C16" s="251" t="str">
        <f>IF(Base_Plan!C9="","",Base_Plan!C9)</f>
        <v>Activity 3</v>
      </c>
      <c r="D16" s="59"/>
      <c r="E16" s="59"/>
      <c r="F16" s="60"/>
      <c r="G16" s="61"/>
      <c r="H16" s="62"/>
      <c r="I16" s="63"/>
      <c r="J16" s="64"/>
      <c r="K16" s="72"/>
      <c r="L16" s="64"/>
      <c r="M16" s="64"/>
      <c r="N16" s="64"/>
      <c r="O16" s="64"/>
      <c r="P16" s="64"/>
      <c r="Q16" s="64"/>
      <c r="R16" s="64"/>
      <c r="S16" s="64"/>
      <c r="T16" s="64"/>
      <c r="U16" s="64"/>
      <c r="V16" s="64"/>
      <c r="W16" s="64"/>
      <c r="X16" s="64"/>
      <c r="Y16" s="64"/>
      <c r="Z16" s="64"/>
      <c r="AA16" s="64"/>
      <c r="AB16" s="64"/>
      <c r="AC16" s="64"/>
    </row>
    <row r="17" spans="2:8" s="65" customFormat="1" ht="11.25" customHeight="1" x14ac:dyDescent="0.2">
      <c r="B17" s="58"/>
      <c r="C17" s="252"/>
      <c r="D17" s="66">
        <f>Base_Plan!D9</f>
        <v>0</v>
      </c>
      <c r="E17" s="66">
        <f>Base_Plan!E9</f>
        <v>0</v>
      </c>
      <c r="F17" s="67"/>
      <c r="G17" s="68"/>
      <c r="H17" s="69"/>
    </row>
    <row r="18" spans="2:8" s="65" customFormat="1" ht="11.25" customHeight="1" x14ac:dyDescent="0.2">
      <c r="B18" s="70"/>
      <c r="C18" s="253"/>
      <c r="D18" s="71">
        <v>0</v>
      </c>
      <c r="E18" s="71">
        <v>0</v>
      </c>
      <c r="F18" s="74"/>
      <c r="G18" s="75"/>
      <c r="H18" s="76"/>
    </row>
    <row r="19" spans="2:8" s="65" customFormat="1" ht="6" customHeight="1" x14ac:dyDescent="0.2">
      <c r="B19" s="58"/>
      <c r="C19" s="251" t="str">
        <f>IF(Base_Plan!C10="","",Base_Plan!C10)</f>
        <v>Activity 4</v>
      </c>
      <c r="D19" s="59"/>
      <c r="E19" s="59"/>
      <c r="F19" s="60"/>
      <c r="G19" s="61"/>
      <c r="H19" s="62"/>
    </row>
    <row r="20" spans="2:8" s="65" customFormat="1" ht="11.25" customHeight="1" x14ac:dyDescent="0.2">
      <c r="B20" s="58"/>
      <c r="C20" s="252"/>
      <c r="D20" s="66">
        <f>Base_Plan!D10</f>
        <v>0</v>
      </c>
      <c r="E20" s="66">
        <f>Base_Plan!E10</f>
        <v>0</v>
      </c>
      <c r="F20" s="67"/>
      <c r="G20" s="68"/>
      <c r="H20" s="69"/>
    </row>
    <row r="21" spans="2:8" s="65" customFormat="1" ht="11.25" customHeight="1" x14ac:dyDescent="0.2">
      <c r="B21" s="70"/>
      <c r="C21" s="253"/>
      <c r="D21" s="71">
        <v>0</v>
      </c>
      <c r="E21" s="71">
        <v>0</v>
      </c>
      <c r="F21" s="74"/>
      <c r="G21" s="75"/>
      <c r="H21" s="76"/>
    </row>
    <row r="22" spans="2:8" s="65" customFormat="1" ht="6" customHeight="1" x14ac:dyDescent="0.2">
      <c r="B22" s="58"/>
      <c r="C22" s="251" t="str">
        <f>IF(Base_Plan!C11="","",Base_Plan!C11)</f>
        <v>Activity 5</v>
      </c>
      <c r="D22" s="59"/>
      <c r="E22" s="59"/>
      <c r="F22" s="60"/>
      <c r="G22" s="61"/>
      <c r="H22" s="62"/>
    </row>
    <row r="23" spans="2:8" s="65" customFormat="1" ht="11.25" customHeight="1" x14ac:dyDescent="0.2">
      <c r="B23" s="58"/>
      <c r="C23" s="252"/>
      <c r="D23" s="66">
        <f>Base_Plan!D11</f>
        <v>0</v>
      </c>
      <c r="E23" s="66">
        <f>Base_Plan!E11</f>
        <v>0</v>
      </c>
      <c r="F23" s="67"/>
      <c r="G23" s="68"/>
      <c r="H23" s="69"/>
    </row>
    <row r="24" spans="2:8" s="65" customFormat="1" ht="11.25" customHeight="1" x14ac:dyDescent="0.2">
      <c r="B24" s="70"/>
      <c r="C24" s="253"/>
      <c r="D24" s="71">
        <v>0</v>
      </c>
      <c r="E24" s="71">
        <v>0</v>
      </c>
      <c r="F24" s="74"/>
      <c r="G24" s="75"/>
      <c r="H24" s="76"/>
    </row>
    <row r="25" spans="2:8" s="65" customFormat="1" ht="6" customHeight="1" x14ac:dyDescent="0.2">
      <c r="B25" s="58"/>
      <c r="C25" s="251" t="str">
        <f>IF(Base_Plan!C12="","",Base_Plan!C12)</f>
        <v>Activity 6</v>
      </c>
      <c r="D25" s="59"/>
      <c r="E25" s="59"/>
      <c r="F25" s="60"/>
      <c r="G25" s="61"/>
      <c r="H25" s="62"/>
    </row>
    <row r="26" spans="2:8" s="65" customFormat="1" ht="11.25" customHeight="1" x14ac:dyDescent="0.2">
      <c r="B26" s="58"/>
      <c r="C26" s="252"/>
      <c r="D26" s="66">
        <f>Base_Plan!D12</f>
        <v>0</v>
      </c>
      <c r="E26" s="66">
        <f>Base_Plan!E12</f>
        <v>0</v>
      </c>
      <c r="F26" s="67"/>
      <c r="G26" s="68"/>
      <c r="H26" s="69"/>
    </row>
    <row r="27" spans="2:8" s="65" customFormat="1" ht="11.25" customHeight="1" x14ac:dyDescent="0.2">
      <c r="B27" s="70"/>
      <c r="C27" s="253"/>
      <c r="D27" s="71">
        <v>0</v>
      </c>
      <c r="E27" s="71">
        <v>0</v>
      </c>
      <c r="F27" s="74"/>
      <c r="G27" s="75"/>
      <c r="H27" s="76"/>
    </row>
    <row r="28" spans="2:8" s="65" customFormat="1" ht="6" customHeight="1" x14ac:dyDescent="0.2">
      <c r="B28" s="58"/>
      <c r="C28" s="251" t="str">
        <f>IF(Base_Plan!C13="","",Base_Plan!C13)</f>
        <v>Activity 7</v>
      </c>
      <c r="D28" s="59"/>
      <c r="E28" s="59"/>
      <c r="F28" s="60"/>
      <c r="G28" s="61"/>
      <c r="H28" s="62"/>
    </row>
    <row r="29" spans="2:8" s="65" customFormat="1" ht="11.25" customHeight="1" x14ac:dyDescent="0.2">
      <c r="B29" s="58"/>
      <c r="C29" s="252"/>
      <c r="D29" s="66">
        <f>Base_Plan!D13</f>
        <v>0</v>
      </c>
      <c r="E29" s="66">
        <f>Base_Plan!E13</f>
        <v>0</v>
      </c>
      <c r="F29" s="67"/>
      <c r="G29" s="68"/>
      <c r="H29" s="69"/>
    </row>
    <row r="30" spans="2:8" s="65" customFormat="1" ht="11.25" customHeight="1" x14ac:dyDescent="0.2">
      <c r="B30" s="70"/>
      <c r="C30" s="253"/>
      <c r="D30" s="71">
        <v>0</v>
      </c>
      <c r="E30" s="71">
        <v>0</v>
      </c>
      <c r="F30" s="74"/>
      <c r="G30" s="75"/>
      <c r="H30" s="76"/>
    </row>
    <row r="31" spans="2:8" s="65" customFormat="1" ht="6" customHeight="1" x14ac:dyDescent="0.2">
      <c r="B31" s="58"/>
      <c r="C31" s="251" t="str">
        <f>IF(Base_Plan!C14="","",Base_Plan!C14)</f>
        <v>Activity 8</v>
      </c>
      <c r="D31" s="59"/>
      <c r="E31" s="59"/>
      <c r="F31" s="60"/>
      <c r="G31" s="61"/>
      <c r="H31" s="62"/>
    </row>
    <row r="32" spans="2:8" s="65" customFormat="1" ht="11.25" customHeight="1" x14ac:dyDescent="0.2">
      <c r="B32" s="58"/>
      <c r="C32" s="252"/>
      <c r="D32" s="66">
        <f>Base_Plan!D14</f>
        <v>0</v>
      </c>
      <c r="E32" s="66">
        <f>Base_Plan!E14</f>
        <v>0</v>
      </c>
      <c r="F32" s="67"/>
      <c r="G32" s="68"/>
      <c r="H32" s="69"/>
    </row>
    <row r="33" spans="2:8" s="65" customFormat="1" ht="11.25" customHeight="1" x14ac:dyDescent="0.2">
      <c r="B33" s="70"/>
      <c r="C33" s="253"/>
      <c r="D33" s="71">
        <v>0</v>
      </c>
      <c r="E33" s="71">
        <v>0</v>
      </c>
      <c r="F33" s="74"/>
      <c r="G33" s="75"/>
      <c r="H33" s="76"/>
    </row>
    <row r="34" spans="2:8" s="65" customFormat="1" ht="6" customHeight="1" x14ac:dyDescent="0.2">
      <c r="B34" s="58"/>
      <c r="C34" s="251" t="str">
        <f>IF(Base_Plan!C15="","",Base_Plan!C15)</f>
        <v>Activity 9</v>
      </c>
      <c r="D34" s="59"/>
      <c r="E34" s="59"/>
      <c r="F34" s="60"/>
      <c r="G34" s="61"/>
      <c r="H34" s="62"/>
    </row>
    <row r="35" spans="2:8" s="65" customFormat="1" ht="11.25" customHeight="1" x14ac:dyDescent="0.2">
      <c r="B35" s="58"/>
      <c r="C35" s="252"/>
      <c r="D35" s="66">
        <f>Base_Plan!D15</f>
        <v>0</v>
      </c>
      <c r="E35" s="66">
        <f>Base_Plan!E15</f>
        <v>0</v>
      </c>
      <c r="F35" s="67"/>
      <c r="G35" s="68"/>
      <c r="H35" s="69"/>
    </row>
    <row r="36" spans="2:8" s="65" customFormat="1" ht="11.25" customHeight="1" x14ac:dyDescent="0.2">
      <c r="B36" s="70"/>
      <c r="C36" s="253"/>
      <c r="D36" s="71">
        <v>0</v>
      </c>
      <c r="E36" s="71">
        <v>0</v>
      </c>
      <c r="F36" s="74"/>
      <c r="G36" s="75"/>
      <c r="H36" s="76"/>
    </row>
    <row r="37" spans="2:8" s="65" customFormat="1" ht="6" customHeight="1" x14ac:dyDescent="0.2">
      <c r="B37" s="58"/>
      <c r="C37" s="251" t="str">
        <f>IF(Base_Plan!C16="","",Base_Plan!C16)</f>
        <v>Activity 10</v>
      </c>
      <c r="D37" s="59"/>
      <c r="E37" s="59"/>
      <c r="F37" s="60"/>
      <c r="G37" s="61"/>
      <c r="H37" s="62"/>
    </row>
    <row r="38" spans="2:8" s="65" customFormat="1" ht="11.25" customHeight="1" x14ac:dyDescent="0.2">
      <c r="B38" s="58"/>
      <c r="C38" s="252"/>
      <c r="D38" s="66">
        <f>Base_Plan!D16</f>
        <v>0</v>
      </c>
      <c r="E38" s="66">
        <f>Base_Plan!E16</f>
        <v>0</v>
      </c>
      <c r="F38" s="67"/>
      <c r="G38" s="68"/>
      <c r="H38" s="69"/>
    </row>
    <row r="39" spans="2:8" s="65" customFormat="1" ht="11.25" customHeight="1" x14ac:dyDescent="0.2">
      <c r="B39" s="70"/>
      <c r="C39" s="253"/>
      <c r="D39" s="71">
        <v>0</v>
      </c>
      <c r="E39" s="71">
        <v>0</v>
      </c>
      <c r="F39" s="74"/>
      <c r="G39" s="75"/>
      <c r="H39" s="76"/>
    </row>
    <row r="40" spans="2:8" s="65" customFormat="1" ht="6" customHeight="1" x14ac:dyDescent="0.2">
      <c r="B40" s="58"/>
      <c r="C40" s="251" t="str">
        <f>IF(Base_Plan!C17="","",Base_Plan!C17)</f>
        <v>Activity 11</v>
      </c>
      <c r="D40" s="59"/>
      <c r="E40" s="59"/>
      <c r="F40" s="60"/>
      <c r="G40" s="61"/>
      <c r="H40" s="62"/>
    </row>
    <row r="41" spans="2:8" s="65" customFormat="1" ht="11.25" customHeight="1" x14ac:dyDescent="0.2">
      <c r="B41" s="58"/>
      <c r="C41" s="252"/>
      <c r="D41" s="66">
        <f>Base_Plan!D17</f>
        <v>0</v>
      </c>
      <c r="E41" s="66">
        <f>Base_Plan!E17</f>
        <v>0</v>
      </c>
      <c r="F41" s="67"/>
      <c r="G41" s="68"/>
      <c r="H41" s="69"/>
    </row>
    <row r="42" spans="2:8" s="65" customFormat="1" ht="11.25" customHeight="1" x14ac:dyDescent="0.2">
      <c r="B42" s="70"/>
      <c r="C42" s="253"/>
      <c r="D42" s="71">
        <v>0</v>
      </c>
      <c r="E42" s="71">
        <v>0</v>
      </c>
      <c r="F42" s="74"/>
      <c r="G42" s="75"/>
      <c r="H42" s="76"/>
    </row>
    <row r="43" spans="2:8" s="65" customFormat="1" ht="6" customHeight="1" x14ac:dyDescent="0.2">
      <c r="B43" s="58"/>
      <c r="C43" s="251" t="str">
        <f>IF(Base_Plan!C18="","",Base_Plan!C18)</f>
        <v>Activity 12</v>
      </c>
      <c r="D43" s="59"/>
      <c r="E43" s="59"/>
      <c r="F43" s="60"/>
      <c r="G43" s="61"/>
      <c r="H43" s="62"/>
    </row>
    <row r="44" spans="2:8" s="65" customFormat="1" ht="11.25" customHeight="1" x14ac:dyDescent="0.2">
      <c r="B44" s="58"/>
      <c r="C44" s="252"/>
      <c r="D44" s="66">
        <f>Base_Plan!D18</f>
        <v>0</v>
      </c>
      <c r="E44" s="66">
        <f>Base_Plan!E18</f>
        <v>0</v>
      </c>
      <c r="F44" s="67"/>
      <c r="G44" s="68"/>
      <c r="H44" s="69"/>
    </row>
    <row r="45" spans="2:8" s="65" customFormat="1" ht="11.25" customHeight="1" x14ac:dyDescent="0.2">
      <c r="B45" s="70"/>
      <c r="C45" s="253"/>
      <c r="D45" s="71">
        <v>0</v>
      </c>
      <c r="E45" s="71">
        <v>0</v>
      </c>
      <c r="F45" s="74"/>
      <c r="G45" s="75"/>
      <c r="H45" s="76"/>
    </row>
    <row r="46" spans="2:8" s="65" customFormat="1" ht="6" customHeight="1" x14ac:dyDescent="0.2">
      <c r="B46" s="58"/>
      <c r="C46" s="251" t="str">
        <f>IF(Base_Plan!C19="","",Base_Plan!C19)</f>
        <v>Activity 13</v>
      </c>
      <c r="D46" s="59"/>
      <c r="E46" s="59"/>
      <c r="F46" s="60"/>
      <c r="G46" s="61"/>
      <c r="H46" s="62"/>
    </row>
    <row r="47" spans="2:8" s="65" customFormat="1" ht="11.25" customHeight="1" x14ac:dyDescent="0.2">
      <c r="B47" s="58"/>
      <c r="C47" s="252"/>
      <c r="D47" s="66">
        <f>Base_Plan!D19</f>
        <v>0</v>
      </c>
      <c r="E47" s="66">
        <f>Base_Plan!E19</f>
        <v>0</v>
      </c>
      <c r="F47" s="67"/>
      <c r="G47" s="68"/>
      <c r="H47" s="69"/>
    </row>
    <row r="48" spans="2:8" s="65" customFormat="1" ht="11.25" customHeight="1" x14ac:dyDescent="0.2">
      <c r="B48" s="70"/>
      <c r="C48" s="253"/>
      <c r="D48" s="71">
        <v>0</v>
      </c>
      <c r="E48" s="71">
        <v>0</v>
      </c>
      <c r="F48" s="74"/>
      <c r="G48" s="75"/>
      <c r="H48" s="76"/>
    </row>
    <row r="49" spans="2:8" s="65" customFormat="1" ht="6" customHeight="1" x14ac:dyDescent="0.2">
      <c r="B49" s="58"/>
      <c r="C49" s="251" t="str">
        <f>IF(Base_Plan!C20="","",Base_Plan!C20)</f>
        <v>Activity 14</v>
      </c>
      <c r="D49" s="59"/>
      <c r="E49" s="59"/>
      <c r="F49" s="60"/>
      <c r="G49" s="61"/>
      <c r="H49" s="62"/>
    </row>
    <row r="50" spans="2:8" s="65" customFormat="1" ht="11.25" customHeight="1" x14ac:dyDescent="0.2">
      <c r="B50" s="58"/>
      <c r="C50" s="252"/>
      <c r="D50" s="66">
        <f>Base_Plan!D20</f>
        <v>0</v>
      </c>
      <c r="E50" s="66">
        <f>Base_Plan!E20</f>
        <v>0</v>
      </c>
      <c r="F50" s="67"/>
      <c r="G50" s="68"/>
      <c r="H50" s="69"/>
    </row>
    <row r="51" spans="2:8" s="65" customFormat="1" ht="11.25" customHeight="1" x14ac:dyDescent="0.2">
      <c r="B51" s="70"/>
      <c r="C51" s="253"/>
      <c r="D51" s="71">
        <v>0</v>
      </c>
      <c r="E51" s="71">
        <v>0</v>
      </c>
      <c r="F51" s="74"/>
      <c r="G51" s="75"/>
      <c r="H51" s="76"/>
    </row>
    <row r="52" spans="2:8" s="65" customFormat="1" ht="6" customHeight="1" x14ac:dyDescent="0.2">
      <c r="B52" s="58"/>
      <c r="C52" s="251" t="str">
        <f>IF(Base_Plan!C21="","",Base_Plan!C21)</f>
        <v>Activity 15</v>
      </c>
      <c r="D52" s="59"/>
      <c r="E52" s="59"/>
      <c r="F52" s="60"/>
      <c r="G52" s="61"/>
      <c r="H52" s="62"/>
    </row>
    <row r="53" spans="2:8" s="65" customFormat="1" ht="11.25" customHeight="1" x14ac:dyDescent="0.2">
      <c r="B53" s="58"/>
      <c r="C53" s="252"/>
      <c r="D53" s="66">
        <f>Base_Plan!D21</f>
        <v>0</v>
      </c>
      <c r="E53" s="66">
        <f>Base_Plan!E21</f>
        <v>0</v>
      </c>
      <c r="F53" s="67"/>
      <c r="G53" s="68"/>
      <c r="H53" s="69"/>
    </row>
    <row r="54" spans="2:8" s="65" customFormat="1" ht="11.25" customHeight="1" x14ac:dyDescent="0.2">
      <c r="B54" s="70"/>
      <c r="C54" s="253"/>
      <c r="D54" s="71">
        <v>0</v>
      </c>
      <c r="E54" s="71">
        <v>0</v>
      </c>
      <c r="F54" s="74"/>
      <c r="G54" s="75"/>
      <c r="H54" s="76"/>
    </row>
    <row r="55" spans="2:8" s="65" customFormat="1" ht="6" customHeight="1" x14ac:dyDescent="0.2">
      <c r="B55" s="58"/>
      <c r="C55" s="251" t="str">
        <f>IF(Base_Plan!C22="","",Base_Plan!C22)</f>
        <v>Activity 16</v>
      </c>
      <c r="D55" s="59"/>
      <c r="E55" s="59"/>
      <c r="F55" s="60"/>
      <c r="G55" s="61"/>
      <c r="H55" s="62"/>
    </row>
    <row r="56" spans="2:8" s="65" customFormat="1" ht="11.25" customHeight="1" x14ac:dyDescent="0.2">
      <c r="B56" s="58"/>
      <c r="C56" s="252"/>
      <c r="D56" s="66">
        <f>Base_Plan!D22</f>
        <v>0</v>
      </c>
      <c r="E56" s="66">
        <f>Base_Plan!E22</f>
        <v>0</v>
      </c>
      <c r="F56" s="67"/>
      <c r="G56" s="68"/>
      <c r="H56" s="69"/>
    </row>
    <row r="57" spans="2:8" s="65" customFormat="1" ht="11.25" customHeight="1" x14ac:dyDescent="0.2">
      <c r="B57" s="70"/>
      <c r="C57" s="253"/>
      <c r="D57" s="71">
        <v>0</v>
      </c>
      <c r="E57" s="71">
        <v>0</v>
      </c>
      <c r="F57" s="74"/>
      <c r="G57" s="75"/>
      <c r="H57" s="76"/>
    </row>
    <row r="58" spans="2:8" s="65" customFormat="1" ht="6" customHeight="1" x14ac:dyDescent="0.2">
      <c r="B58" s="58"/>
      <c r="C58" s="251" t="str">
        <f>IF(Base_Plan!C23="","",Base_Plan!C23)</f>
        <v>Activity 17</v>
      </c>
      <c r="D58" s="59"/>
      <c r="E58" s="59"/>
      <c r="F58" s="60"/>
      <c r="G58" s="61"/>
      <c r="H58" s="62"/>
    </row>
    <row r="59" spans="2:8" s="65" customFormat="1" ht="11.25" customHeight="1" x14ac:dyDescent="0.2">
      <c r="B59" s="58"/>
      <c r="C59" s="252"/>
      <c r="D59" s="66">
        <f>Base_Plan!D23</f>
        <v>0</v>
      </c>
      <c r="E59" s="66">
        <f>Base_Plan!E23</f>
        <v>0</v>
      </c>
      <c r="F59" s="67"/>
      <c r="G59" s="68"/>
      <c r="H59" s="69"/>
    </row>
    <row r="60" spans="2:8" s="65" customFormat="1" ht="11.25" customHeight="1" x14ac:dyDescent="0.2">
      <c r="B60" s="70"/>
      <c r="C60" s="253"/>
      <c r="D60" s="71">
        <v>0</v>
      </c>
      <c r="E60" s="71">
        <v>0</v>
      </c>
      <c r="F60" s="74"/>
      <c r="G60" s="75"/>
      <c r="H60" s="76"/>
    </row>
    <row r="61" spans="2:8" s="65" customFormat="1" ht="6" customHeight="1" x14ac:dyDescent="0.2">
      <c r="B61" s="58"/>
      <c r="C61" s="251" t="str">
        <f>IF(Base_Plan!C24="","",Base_Plan!C24)</f>
        <v>Activity 18</v>
      </c>
      <c r="D61" s="59"/>
      <c r="E61" s="59"/>
      <c r="F61" s="60"/>
      <c r="G61" s="61"/>
      <c r="H61" s="62"/>
    </row>
    <row r="62" spans="2:8" s="65" customFormat="1" ht="11.25" customHeight="1" x14ac:dyDescent="0.2">
      <c r="B62" s="58"/>
      <c r="C62" s="252"/>
      <c r="D62" s="66">
        <f>Base_Plan!D24</f>
        <v>0</v>
      </c>
      <c r="E62" s="66">
        <f>Base_Plan!E24</f>
        <v>0</v>
      </c>
      <c r="F62" s="67"/>
      <c r="G62" s="68"/>
      <c r="H62" s="69"/>
    </row>
    <row r="63" spans="2:8" s="65" customFormat="1" ht="11.25" customHeight="1" x14ac:dyDescent="0.2">
      <c r="B63" s="70"/>
      <c r="C63" s="253"/>
      <c r="D63" s="71">
        <v>0</v>
      </c>
      <c r="E63" s="71">
        <v>0</v>
      </c>
      <c r="F63" s="74"/>
      <c r="G63" s="75"/>
      <c r="H63" s="76"/>
    </row>
    <row r="64" spans="2:8" s="65" customFormat="1" ht="6" customHeight="1" x14ac:dyDescent="0.2">
      <c r="B64" s="58"/>
      <c r="C64" s="251" t="str">
        <f>IF(Base_Plan!C25="","",Base_Plan!C25)</f>
        <v>Activity 19</v>
      </c>
      <c r="D64" s="59"/>
      <c r="E64" s="59"/>
      <c r="F64" s="60"/>
      <c r="G64" s="61"/>
      <c r="H64" s="62"/>
    </row>
    <row r="65" spans="2:8" s="65" customFormat="1" ht="11.25" customHeight="1" x14ac:dyDescent="0.2">
      <c r="B65" s="58"/>
      <c r="C65" s="252"/>
      <c r="D65" s="66">
        <f>Base_Plan!D25</f>
        <v>0</v>
      </c>
      <c r="E65" s="66">
        <f>Base_Plan!E25</f>
        <v>0</v>
      </c>
      <c r="F65" s="67"/>
      <c r="G65" s="68"/>
      <c r="H65" s="69"/>
    </row>
    <row r="66" spans="2:8" s="65" customFormat="1" ht="11.25" customHeight="1" x14ac:dyDescent="0.2">
      <c r="B66" s="70"/>
      <c r="C66" s="253"/>
      <c r="D66" s="71">
        <v>0</v>
      </c>
      <c r="E66" s="71">
        <v>0</v>
      </c>
      <c r="F66" s="74"/>
      <c r="G66" s="75"/>
      <c r="H66" s="76"/>
    </row>
    <row r="67" spans="2:8" s="65" customFormat="1" ht="6" customHeight="1" x14ac:dyDescent="0.2">
      <c r="B67" s="58"/>
      <c r="C67" s="251" t="str">
        <f>IF(Base_Plan!C26="","",Base_Plan!C26)</f>
        <v>Activity 20</v>
      </c>
      <c r="D67" s="59"/>
      <c r="E67" s="59"/>
      <c r="F67" s="60"/>
      <c r="G67" s="61"/>
      <c r="H67" s="62"/>
    </row>
    <row r="68" spans="2:8" s="65" customFormat="1" ht="11.25" customHeight="1" x14ac:dyDescent="0.2">
      <c r="B68" s="58"/>
      <c r="C68" s="252"/>
      <c r="D68" s="66">
        <f>Base_Plan!D26</f>
        <v>0</v>
      </c>
      <c r="E68" s="66">
        <f>Base_Plan!E26</f>
        <v>0</v>
      </c>
      <c r="F68" s="67"/>
      <c r="G68" s="68"/>
      <c r="H68" s="69"/>
    </row>
    <row r="69" spans="2:8" s="65" customFormat="1" ht="11.25" customHeight="1" x14ac:dyDescent="0.2">
      <c r="B69" s="70"/>
      <c r="C69" s="253"/>
      <c r="D69" s="71">
        <v>0</v>
      </c>
      <c r="E69" s="71">
        <v>0</v>
      </c>
      <c r="F69" s="74"/>
      <c r="G69" s="75"/>
      <c r="H69" s="76"/>
    </row>
  </sheetData>
  <mergeCells count="90">
    <mergeCell ref="C67:C69"/>
    <mergeCell ref="C10:C12"/>
    <mergeCell ref="C43:C45"/>
    <mergeCell ref="C46:C48"/>
    <mergeCell ref="C49:C51"/>
    <mergeCell ref="C52:C54"/>
    <mergeCell ref="C55:C57"/>
    <mergeCell ref="C58:C60"/>
    <mergeCell ref="C16:C18"/>
    <mergeCell ref="C19:C21"/>
    <mergeCell ref="C13:C15"/>
    <mergeCell ref="C22:C24"/>
    <mergeCell ref="C25:C27"/>
    <mergeCell ref="C28:C30"/>
    <mergeCell ref="C61:C63"/>
    <mergeCell ref="C64:C66"/>
    <mergeCell ref="C40:C42"/>
    <mergeCell ref="B2:C2"/>
    <mergeCell ref="D2:E2"/>
    <mergeCell ref="B3:C3"/>
    <mergeCell ref="D3:E3"/>
    <mergeCell ref="B4:C4"/>
    <mergeCell ref="D4:G4"/>
    <mergeCell ref="D8:E8"/>
    <mergeCell ref="F8:H8"/>
    <mergeCell ref="C31:C33"/>
    <mergeCell ref="C34:C36"/>
    <mergeCell ref="C37:C39"/>
    <mergeCell ref="P3:Q3"/>
    <mergeCell ref="J5:J7"/>
    <mergeCell ref="K5:K7"/>
    <mergeCell ref="L5:L7"/>
    <mergeCell ref="M5:M7"/>
    <mergeCell ref="N5:N7"/>
    <mergeCell ref="O5:O7"/>
    <mergeCell ref="P5:P7"/>
    <mergeCell ref="Q5:Q7"/>
    <mergeCell ref="J3:O3"/>
    <mergeCell ref="R5:R7"/>
    <mergeCell ref="S5:S7"/>
    <mergeCell ref="T5:T7"/>
    <mergeCell ref="U5:U7"/>
    <mergeCell ref="V5:V7"/>
    <mergeCell ref="W5:W7"/>
    <mergeCell ref="X5:X7"/>
    <mergeCell ref="Y5:Y7"/>
    <mergeCell ref="Z5:Z7"/>
    <mergeCell ref="AA5:AA7"/>
    <mergeCell ref="AB5:AB7"/>
    <mergeCell ref="AC5:AC7"/>
    <mergeCell ref="AD5:AD7"/>
    <mergeCell ref="AE5:AE7"/>
    <mergeCell ref="AF5:AF7"/>
    <mergeCell ref="AG5:AG7"/>
    <mergeCell ref="AH5:AH7"/>
    <mergeCell ref="AI5:AI7"/>
    <mergeCell ref="AJ5:AJ7"/>
    <mergeCell ref="AK5:AK7"/>
    <mergeCell ref="AL5:AL7"/>
    <mergeCell ref="AM5:AM7"/>
    <mergeCell ref="AN5:AN7"/>
    <mergeCell ref="AO5:AO7"/>
    <mergeCell ref="AP5:AP7"/>
    <mergeCell ref="AQ5:AQ7"/>
    <mergeCell ref="AR5:AR7"/>
    <mergeCell ref="AS5:AS7"/>
    <mergeCell ref="AT5:AT7"/>
    <mergeCell ref="AU5:AU7"/>
    <mergeCell ref="AV5:AV7"/>
    <mergeCell ref="AW5:AW7"/>
    <mergeCell ref="AX5:AX7"/>
    <mergeCell ref="AY5:AY7"/>
    <mergeCell ref="AZ5:AZ7"/>
    <mergeCell ref="BA5:BA7"/>
    <mergeCell ref="BB5:BB7"/>
    <mergeCell ref="BC5:BC7"/>
    <mergeCell ref="BD5:BD7"/>
    <mergeCell ref="BE5:BE7"/>
    <mergeCell ref="BF5:BF7"/>
    <mergeCell ref="BG5:BG7"/>
    <mergeCell ref="BH5:BH7"/>
    <mergeCell ref="BI5:BI7"/>
    <mergeCell ref="BJ5:BJ7"/>
    <mergeCell ref="BP5:BP7"/>
    <mergeCell ref="BQ5:BQ7"/>
    <mergeCell ref="BK5:BK7"/>
    <mergeCell ref="BL5:BL7"/>
    <mergeCell ref="BM5:BM7"/>
    <mergeCell ref="BN5:BN7"/>
    <mergeCell ref="BO5:BO7"/>
  </mergeCells>
  <conditionalFormatting sqref="J11:BQ11 J12:J69 L12:BQ69 K12:K70">
    <cfRule type="expression" dxfId="7" priority="1">
      <formula>PercentComplete</formula>
    </cfRule>
    <cfRule type="expression" dxfId="6" priority="2">
      <formula>PercentCompleteBeyond</formula>
    </cfRule>
    <cfRule type="expression" dxfId="5" priority="3">
      <formula>Actual</formula>
    </cfRule>
    <cfRule type="expression" dxfId="4" priority="4">
      <formula>ActualBeyond</formula>
    </cfRule>
    <cfRule type="expression" dxfId="3" priority="5">
      <formula>Plan</formula>
    </cfRule>
    <cfRule type="expression" dxfId="2" priority="6">
      <formula>J$8=period_selected</formula>
    </cfRule>
    <cfRule type="expression" dxfId="1" priority="7">
      <formula>MOD(COLUMN(),2)</formula>
    </cfRule>
    <cfRule type="expression" dxfId="0" priority="8">
      <formula>MOD(COLUMN(),2)=0</formula>
    </cfRule>
  </conditionalFormatting>
  <pageMargins left="0.45" right="0.45" top="0.5" bottom="0.5" header="0.3" footer="0.3"/>
  <pageSetup scale="42" fitToHeight="0" orientation="landscape" r:id="rId1"/>
  <drawing r:id="rId2"/>
  <legacyDrawing r:id="rId3"/>
  <mc:AlternateContent xmlns:mc="http://schemas.openxmlformats.org/markup-compatibility/2006">
    <mc:Choice Requires="x14">
      <controls>
        <mc:AlternateContent xmlns:mc="http://schemas.openxmlformats.org/markup-compatibility/2006">
          <mc:Choice Requires="x14">
            <control shapeId="17409" r:id="rId4" name="Spinner 1">
              <controlPr defaultSize="0" print="0" autoPict="0" altText="Period Highlight Spin Control">
                <anchor moveWithCells="1">
                  <from>
                    <xdr:col>17</xdr:col>
                    <xdr:colOff>66675</xdr:colOff>
                    <xdr:row>2</xdr:row>
                    <xdr:rowOff>28575</xdr:rowOff>
                  </from>
                  <to>
                    <xdr:col>17</xdr:col>
                    <xdr:colOff>209550</xdr:colOff>
                    <xdr:row>3</xdr:row>
                    <xdr:rowOff>19050</xdr:rowOff>
                  </to>
                </anchor>
              </controlPr>
            </control>
          </mc:Choice>
        </mc:AlternateContent>
      </controls>
    </mc:Choice>
  </mc:AlternateConten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CF1C059852A220448F9DFAE1F5A6F216" ma:contentTypeVersion="18" ma:contentTypeDescription="Create a new document." ma:contentTypeScope="" ma:versionID="89c2ebde00d01dd2d0ec59636af99006">
  <xsd:schema xmlns:xsd="http://www.w3.org/2001/XMLSchema" xmlns:xs="http://www.w3.org/2001/XMLSchema" xmlns:p="http://schemas.microsoft.com/office/2006/metadata/properties" xmlns:ns2="0afd3576-b990-4e28-b077-bfb470d69409" xmlns:ns3="1088fb03-96b7-43ee-8853-860b4739b68b" targetNamespace="http://schemas.microsoft.com/office/2006/metadata/properties" ma:root="true" ma:fieldsID="0033751da7813003f5794f1e606f3340" ns2:_="" ns3:_="">
    <xsd:import namespace="0afd3576-b990-4e28-b077-bfb470d69409"/>
    <xsd:import namespace="1088fb03-96b7-43ee-8853-860b4739b68b"/>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3:SharedWithUsers" minOccurs="0"/>
                <xsd:element ref="ns3:SharedWithDetails" minOccurs="0"/>
                <xsd:element ref="ns2:MediaServiceLocation" minOccurs="0"/>
                <xsd:element ref="ns2:lcf76f155ced4ddcb4097134ff3c332f" minOccurs="0"/>
                <xsd:element ref="ns3:TaxCatchAll" minOccurs="0"/>
                <xsd:element ref="ns2:MediaServiceObjectDetectorVersions" minOccurs="0"/>
                <xsd:element ref="ns2:MediaLengthInSecond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afd3576-b990-4e28-b077-bfb470d6940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6" nillable="true" ma:displayName="MediaServiceDateTaken" ma:hidden="true" ma:internalName="MediaServiceDateTaken" ma:readOnly="true">
      <xsd:simpleType>
        <xsd:restriction base="dms:Text"/>
      </xsd:simpleType>
    </xsd:element>
    <xsd:element name="MediaServiceLocation" ma:index="19" nillable="true" ma:displayName="Location" ma:internalName="MediaServiceLocation" ma:readOnly="true">
      <xsd:simpleType>
        <xsd:restriction base="dms:Text"/>
      </xsd:simpleType>
    </xsd:element>
    <xsd:element name="lcf76f155ced4ddcb4097134ff3c332f" ma:index="21" nillable="true" ma:taxonomy="true" ma:internalName="lcf76f155ced4ddcb4097134ff3c332f" ma:taxonomyFieldName="MediaServiceImageTags" ma:displayName="Image Tags" ma:readOnly="false" ma:fieldId="{5cf76f15-5ced-4ddc-b409-7134ff3c332f}" ma:taxonomyMulti="true" ma:sspId="150b6185-f315-4a62-a635-52c439669d74"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3" nillable="true" ma:displayName="MediaServiceObjectDetectorVersions" ma:description="" ma:hidden="true" ma:indexed="true" ma:internalName="MediaServiceObjectDetectorVersions" ma:readOnly="true">
      <xsd:simpleType>
        <xsd:restriction base="dms:Text"/>
      </xsd:simpleType>
    </xsd:element>
    <xsd:element name="MediaLengthInSeconds" ma:index="24" nillable="true" ma:displayName="MediaLengthInSeconds" ma:hidden="true" ma:internalName="MediaLengthInSeconds" ma:readOnly="true">
      <xsd:simpleType>
        <xsd:restriction base="dms:Unknown"/>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088fb03-96b7-43ee-8853-860b4739b68b"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element name="TaxCatchAll" ma:index="22" nillable="true" ma:displayName="Taxonomy Catch All Column" ma:hidden="true" ma:list="{a9bf2abf-c920-4132-9c37-0b85e6d4995b}" ma:internalName="TaxCatchAll" ma:showField="CatchAllData" ma:web="1088fb03-96b7-43ee-8853-860b4739b68b">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1088fb03-96b7-43ee-8853-860b4739b68b" xsi:nil="true"/>
    <lcf76f155ced4ddcb4097134ff3c332f xmlns="0afd3576-b990-4e28-b077-bfb470d69409">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9F4241D3-B725-452E-8699-D60B53450A5F}">
  <ds:schemaRefs>
    <ds:schemaRef ds:uri="http://schemas.microsoft.com/sharepoint/v3/contenttype/forms"/>
  </ds:schemaRefs>
</ds:datastoreItem>
</file>

<file path=customXml/itemProps2.xml><?xml version="1.0" encoding="utf-8"?>
<ds:datastoreItem xmlns:ds="http://schemas.openxmlformats.org/officeDocument/2006/customXml" ds:itemID="{999894FE-E885-4E9C-9573-1AD237FE340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afd3576-b990-4e28-b077-bfb470d69409"/>
    <ds:schemaRef ds:uri="1088fb03-96b7-43ee-8853-860b4739b68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108C5A2E-CBA0-4652-9A8B-458AF9AB4C4B}">
  <ds:schemaRefs>
    <ds:schemaRef ds:uri="http://purl.org/dc/elements/1.1/"/>
    <ds:schemaRef ds:uri="http://purl.org/dc/dcmitype/"/>
    <ds:schemaRef ds:uri="http://schemas.microsoft.com/office/2006/documentManagement/types"/>
    <ds:schemaRef ds:uri="http://schemas.openxmlformats.org/package/2006/metadata/core-properties"/>
    <ds:schemaRef ds:uri="http://purl.org/dc/terms/"/>
    <ds:schemaRef ds:uri="d7f57da5-efd7-428d-89f6-4f3da557af7b"/>
    <ds:schemaRef ds:uri="http://www.w3.org/XML/1998/namespace"/>
    <ds:schemaRef ds:uri="http://schemas.microsoft.com/office/infopath/2007/PartnerControls"/>
    <ds:schemaRef ds:uri="http://schemas.microsoft.com/office/2006/metadata/properties"/>
    <ds:schemaRef ds:uri="1088fb03-96b7-43ee-8853-860b4739b68b"/>
    <ds:schemaRef ds:uri="0afd3576-b990-4e28-b077-bfb470d69409"/>
    <ds:schemaRef ds:uri="5db63794-f4d3-4e49-9af9-97932c94358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15</vt:i4>
      </vt:variant>
      <vt:variant>
        <vt:lpstr>Named Ranges</vt:lpstr>
      </vt:variant>
      <vt:variant>
        <vt:i4>2</vt:i4>
      </vt:variant>
    </vt:vector>
  </HeadingPairs>
  <TitlesOfParts>
    <vt:vector size="17" baseType="lpstr">
      <vt:lpstr>Checklist</vt:lpstr>
      <vt:lpstr>List</vt:lpstr>
      <vt:lpstr>Summary</vt:lpstr>
      <vt:lpstr>MX</vt:lpstr>
      <vt:lpstr>CN</vt:lpstr>
      <vt:lpstr>PT</vt:lpstr>
      <vt:lpstr>MT</vt:lpstr>
      <vt:lpstr>BR</vt:lpstr>
      <vt:lpstr>US</vt:lpstr>
      <vt:lpstr>DE</vt:lpstr>
      <vt:lpstr>CL</vt:lpstr>
      <vt:lpstr>Check</vt:lpstr>
      <vt:lpstr>Guidelines</vt:lpstr>
      <vt:lpstr>Base_Plan</vt:lpstr>
      <vt:lpstr>Actual_Plan</vt:lpstr>
      <vt:lpstr>Base_Plan!period_selected</vt:lpstr>
      <vt:lpstr>period_selected</vt:lpstr>
    </vt:vector>
  </TitlesOfParts>
  <Company>Grupo Sonae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Paulo Silva</dc:creator>
  <cp:lastModifiedBy>Luiz Felipe Horvat</cp:lastModifiedBy>
  <cp:lastPrinted>2015-07-14T15:21:23Z</cp:lastPrinted>
  <dcterms:created xsi:type="dcterms:W3CDTF">2006-08-25T21:27:21Z</dcterms:created>
  <dcterms:modified xsi:type="dcterms:W3CDTF">2026-03-30T17:23:10Z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0x010100CF1C059852A220448F9DFAE1F5A6F216</vt:lpwstr>
  </property>
  <property fmtid="{D5CDD505-2E9C-101B-9397-08002B2CF9AE}" pid="3" name="MediaServiceImageTags">
    <vt:lpwstr/>
  </property>
</Properties>
</file>