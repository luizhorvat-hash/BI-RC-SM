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ProfitLoss\luiz.horvat\"/>
    </mc:Choice>
  </mc:AlternateContent>
  <xr:revisionPtr revIDLastSave="0" documentId="8_{8397F898-113E-4224-B16E-FE06CFC5E0A0}" xr6:coauthVersionLast="47" xr6:coauthVersionMax="47" xr10:uidLastSave="{00000000-0000-0000-0000-000000000000}"/>
  <bookViews>
    <workbookView xWindow="-108" yWindow="-108" windowWidth="23256" windowHeight="12456" activeTab="1" xr2:uid="{537318EF-76DC-4500-B788-E2A65507BD9A}"/>
  </bookViews>
  <sheets>
    <sheet name="Print_Aux" sheetId="1" r:id="rId1"/>
    <sheet name="Expenses Detail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1" l="1"/>
  <c r="Q39" i="1"/>
  <c r="P38" i="1"/>
  <c r="O38" i="1"/>
  <c r="N38" i="1"/>
  <c r="M38" i="1"/>
  <c r="L38" i="1"/>
  <c r="K38" i="1"/>
  <c r="J38" i="1"/>
  <c r="I38" i="1"/>
  <c r="H38" i="1"/>
  <c r="G38" i="1"/>
  <c r="F38" i="1"/>
  <c r="E38" i="1"/>
  <c r="Q38" i="1" s="1"/>
  <c r="Q33" i="1"/>
  <c r="Q32" i="1"/>
  <c r="Q31" i="1"/>
  <c r="Q30" i="1"/>
  <c r="P29" i="1"/>
  <c r="O29" i="1"/>
  <c r="N29" i="1"/>
  <c r="M29" i="1"/>
  <c r="L29" i="1"/>
  <c r="K29" i="1"/>
  <c r="J29" i="1"/>
  <c r="I29" i="1"/>
  <c r="H29" i="1"/>
  <c r="G29" i="1"/>
  <c r="F29" i="1"/>
  <c r="Q29" i="1" s="1"/>
  <c r="E29" i="1"/>
  <c r="Q24" i="1"/>
  <c r="P23" i="1"/>
  <c r="O23" i="1"/>
  <c r="N23" i="1"/>
  <c r="M23" i="1"/>
  <c r="L23" i="1"/>
  <c r="K23" i="1"/>
  <c r="J23" i="1"/>
  <c r="I23" i="1"/>
  <c r="H23" i="1"/>
  <c r="G23" i="1"/>
  <c r="F23" i="1"/>
  <c r="Q23" i="1" s="1"/>
  <c r="E23" i="1"/>
  <c r="Q22" i="1"/>
  <c r="P21" i="1"/>
  <c r="O21" i="1"/>
  <c r="O15" i="1" s="1"/>
  <c r="N21" i="1"/>
  <c r="N15" i="1" s="1"/>
  <c r="M21" i="1"/>
  <c r="L21" i="1"/>
  <c r="K21" i="1"/>
  <c r="J21" i="1"/>
  <c r="I21" i="1"/>
  <c r="H21" i="1"/>
  <c r="G21" i="1"/>
  <c r="G15" i="1" s="1"/>
  <c r="F21" i="1"/>
  <c r="F15" i="1" s="1"/>
  <c r="E21" i="1"/>
  <c r="Q21" i="1" s="1"/>
  <c r="Q20" i="1"/>
  <c r="P19" i="1"/>
  <c r="O19" i="1"/>
  <c r="N19" i="1"/>
  <c r="M19" i="1"/>
  <c r="M15" i="1" s="1"/>
  <c r="L19" i="1"/>
  <c r="K19" i="1"/>
  <c r="J19" i="1"/>
  <c r="J15" i="1" s="1"/>
  <c r="I19" i="1"/>
  <c r="H19" i="1"/>
  <c r="G19" i="1"/>
  <c r="F19" i="1"/>
  <c r="E19" i="1"/>
  <c r="Q19" i="1" s="1"/>
  <c r="Q18" i="1"/>
  <c r="Q17" i="1"/>
  <c r="P16" i="1"/>
  <c r="O16" i="1"/>
  <c r="N16" i="1"/>
  <c r="M16" i="1"/>
  <c r="L16" i="1"/>
  <c r="L15" i="1" s="1"/>
  <c r="K16" i="1"/>
  <c r="K15" i="1" s="1"/>
  <c r="J16" i="1"/>
  <c r="I16" i="1"/>
  <c r="Q16" i="1" s="1"/>
  <c r="H16" i="1"/>
  <c r="G16" i="1"/>
  <c r="F16" i="1"/>
  <c r="E16" i="1"/>
  <c r="P15" i="1"/>
  <c r="H15" i="1"/>
  <c r="Q12" i="1"/>
  <c r="Q11" i="1"/>
  <c r="P10" i="1"/>
  <c r="O10" i="1"/>
  <c r="N10" i="1"/>
  <c r="M10" i="1"/>
  <c r="L10" i="1"/>
  <c r="K10" i="1"/>
  <c r="J10" i="1"/>
  <c r="I10" i="1"/>
  <c r="H10" i="1"/>
  <c r="G10" i="1"/>
  <c r="F10" i="1"/>
  <c r="E10" i="1"/>
  <c r="Q10" i="1" s="1"/>
  <c r="I8" i="1"/>
  <c r="I13" i="1" s="1"/>
  <c r="Q7" i="1"/>
  <c r="P6" i="1"/>
  <c r="P5" i="1" s="1"/>
  <c r="P8" i="1" s="1"/>
  <c r="O6" i="1"/>
  <c r="O5" i="1" s="1"/>
  <c r="O8" i="1" s="1"/>
  <c r="N6" i="1"/>
  <c r="M6" i="1"/>
  <c r="M5" i="1" s="1"/>
  <c r="M8" i="1" s="1"/>
  <c r="L6" i="1"/>
  <c r="K6" i="1"/>
  <c r="J6" i="1"/>
  <c r="I6" i="1"/>
  <c r="H6" i="1"/>
  <c r="H5" i="1" s="1"/>
  <c r="H8" i="1" s="1"/>
  <c r="G6" i="1"/>
  <c r="G5" i="1" s="1"/>
  <c r="G8" i="1" s="1"/>
  <c r="F6" i="1"/>
  <c r="E6" i="1"/>
  <c r="E5" i="1" s="1"/>
  <c r="N5" i="1"/>
  <c r="N8" i="1" s="1"/>
  <c r="L5" i="1"/>
  <c r="L8" i="1" s="1"/>
  <c r="K5" i="1"/>
  <c r="K8" i="1" s="1"/>
  <c r="J5" i="1"/>
  <c r="J8" i="1" s="1"/>
  <c r="I5" i="1"/>
  <c r="F5" i="1"/>
  <c r="F8" i="1" s="1"/>
  <c r="B4" i="1"/>
  <c r="P3" i="1"/>
  <c r="O3" i="1"/>
  <c r="N3" i="1" s="1"/>
  <c r="M3" i="1" s="1"/>
  <c r="L3" i="1" s="1"/>
  <c r="K3" i="1" s="1"/>
  <c r="J3" i="1" s="1"/>
  <c r="I3" i="1" s="1"/>
  <c r="H3" i="1" s="1"/>
  <c r="G3" i="1" s="1"/>
  <c r="F3" i="1" s="1"/>
  <c r="E3" i="1" s="1"/>
  <c r="F13" i="1" l="1"/>
  <c r="O41" i="1"/>
  <c r="O13" i="1"/>
  <c r="H13" i="1"/>
  <c r="H41" i="1"/>
  <c r="P13" i="1"/>
  <c r="P41" i="1"/>
  <c r="J13" i="1"/>
  <c r="J41" i="1"/>
  <c r="I26" i="1"/>
  <c r="I27" i="1"/>
  <c r="I36" i="1" s="1"/>
  <c r="I42" i="1" s="1"/>
  <c r="I35" i="1"/>
  <c r="G41" i="1"/>
  <c r="G13" i="1"/>
  <c r="K13" i="1"/>
  <c r="K41" i="1"/>
  <c r="L13" i="1"/>
  <c r="L41" i="1"/>
  <c r="N13" i="1"/>
  <c r="N41" i="1"/>
  <c r="Q5" i="1"/>
  <c r="Q8" i="1" s="1"/>
  <c r="E8" i="1"/>
  <c r="M41" i="1"/>
  <c r="M13" i="1"/>
  <c r="Q6" i="1"/>
  <c r="I15" i="1"/>
  <c r="I41" i="1"/>
  <c r="E15" i="1"/>
  <c r="Q15" i="1" s="1"/>
  <c r="G26" i="1" l="1"/>
  <c r="G27" i="1"/>
  <c r="G36" i="1" s="1"/>
  <c r="G42" i="1" s="1"/>
  <c r="G35" i="1"/>
  <c r="M35" i="1"/>
  <c r="M26" i="1"/>
  <c r="M27" i="1"/>
  <c r="M36" i="1" s="1"/>
  <c r="M42" i="1" s="1"/>
  <c r="J27" i="1"/>
  <c r="J36" i="1" s="1"/>
  <c r="J42" i="1" s="1"/>
  <c r="J26" i="1"/>
  <c r="J35" i="1"/>
  <c r="K27" i="1"/>
  <c r="K36" i="1" s="1"/>
  <c r="K42" i="1" s="1"/>
  <c r="K26" i="1"/>
  <c r="K35" i="1"/>
  <c r="E13" i="1"/>
  <c r="P26" i="1"/>
  <c r="P35" i="1"/>
  <c r="P27" i="1"/>
  <c r="P36" i="1" s="1"/>
  <c r="P42" i="1" s="1"/>
  <c r="H26" i="1"/>
  <c r="H27" i="1"/>
  <c r="H36" i="1" s="1"/>
  <c r="H42" i="1" s="1"/>
  <c r="H35" i="1"/>
  <c r="N35" i="1"/>
  <c r="N26" i="1"/>
  <c r="N27" i="1"/>
  <c r="N36" i="1" s="1"/>
  <c r="N42" i="1" s="1"/>
  <c r="O26" i="1"/>
  <c r="O35" i="1"/>
  <c r="O27" i="1"/>
  <c r="O36" i="1" s="1"/>
  <c r="O42" i="1" s="1"/>
  <c r="L27" i="1"/>
  <c r="L36" i="1" s="1"/>
  <c r="L42" i="1" s="1"/>
  <c r="L35" i="1"/>
  <c r="L26" i="1"/>
  <c r="F35" i="1"/>
  <c r="F27" i="1"/>
  <c r="F36" i="1" s="1"/>
  <c r="F42" i="1" s="1"/>
  <c r="F41" i="1" s="1"/>
  <c r="F26" i="1" l="1"/>
  <c r="Q13" i="1"/>
  <c r="E26" i="1"/>
  <c r="E27" i="1"/>
  <c r="Q27" i="1" l="1"/>
  <c r="E36" i="1"/>
  <c r="Q26" i="1"/>
  <c r="Q36" i="1" l="1"/>
  <c r="E42" i="1"/>
  <c r="E41" i="1" s="1"/>
  <c r="E35" i="1"/>
  <c r="Q42" i="1" l="1"/>
  <c r="Q41" i="1" s="1"/>
  <c r="Q35" i="1"/>
</calcChain>
</file>

<file path=xl/sharedStrings.xml><?xml version="1.0" encoding="utf-8"?>
<sst xmlns="http://schemas.openxmlformats.org/spreadsheetml/2006/main" count="141" uniqueCount="87">
  <si>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</si>
  <si>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</si>
  <si>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</si>
  <si>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</si>
  <si>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</si>
  <si>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</si>
  <si>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</si>
  <si>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</si>
  <si>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</si>
  <si>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</si>
  <si>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</si>
  <si>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</si>
  <si>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PT</t>
  </si>
  <si>
    <t>B</t>
  </si>
  <si>
    <t>ARROCHA (MX) CMS 2025 - Code: RC06067</t>
  </si>
  <si>
    <t>RC06067</t>
  </si>
  <si>
    <t>Total Services Revenues</t>
  </si>
  <si>
    <t>Projects</t>
  </si>
  <si>
    <t xml:space="preserve">   Services</t>
  </si>
  <si>
    <t>Total Operational Revenues</t>
  </si>
  <si>
    <t>Total Other Revenues</t>
  </si>
  <si>
    <t xml:space="preserve">   Expenses</t>
  </si>
  <si>
    <t xml:space="preserve">   Taxes</t>
  </si>
  <si>
    <t>Total Revenues</t>
  </si>
  <si>
    <t>Total Personnel Costs</t>
  </si>
  <si>
    <t>Internal Staff Costs</t>
  </si>
  <si>
    <t xml:space="preserve">   Staff Costs billable</t>
  </si>
  <si>
    <t xml:space="preserve">   Staff Costs PJ</t>
  </si>
  <si>
    <t>External Consultants</t>
  </si>
  <si>
    <t>Subsidiary Consultants</t>
  </si>
  <si>
    <t xml:space="preserve">   Retail Consult KSR GmbH</t>
  </si>
  <si>
    <t>Expenses</t>
  </si>
  <si>
    <t>Gross margin</t>
  </si>
  <si>
    <t>Total General Expenses</t>
  </si>
  <si>
    <t xml:space="preserve">   Other Staff Cost</t>
  </si>
  <si>
    <t xml:space="preserve">   Other Staff PJ</t>
  </si>
  <si>
    <t xml:space="preserve">   Other External Consultant</t>
  </si>
  <si>
    <t xml:space="preserve">   Other General Expenses</t>
  </si>
  <si>
    <t>EBITDA</t>
  </si>
  <si>
    <t>Depreciations/Amortizations</t>
  </si>
  <si>
    <t>Tangible Assets</t>
  </si>
  <si>
    <t>Intangible Assets</t>
  </si>
  <si>
    <t>EBIT</t>
  </si>
  <si>
    <t>P&amp;L Code</t>
  </si>
  <si>
    <t>Proj. Code</t>
  </si>
  <si>
    <t>Project</t>
  </si>
  <si>
    <t>Expense</t>
  </si>
  <si>
    <t>Description</t>
  </si>
  <si>
    <t>Currency</t>
  </si>
  <si>
    <t>Ex. Rate</t>
  </si>
  <si>
    <t>Value</t>
  </si>
  <si>
    <t>Start Date</t>
  </si>
  <si>
    <t>End Date</t>
  </si>
  <si>
    <t>Date</t>
  </si>
  <si>
    <t>Invoice
Number</t>
  </si>
  <si>
    <t>Expense ID</t>
  </si>
  <si>
    <t>Subsidiary</t>
  </si>
  <si>
    <t>Month</t>
  </si>
  <si>
    <t>Year</t>
  </si>
  <si>
    <t>Proj Type</t>
  </si>
  <si>
    <t>EUR Amount</t>
  </si>
  <si>
    <t>USD</t>
  </si>
  <si>
    <t>SL Account</t>
  </si>
  <si>
    <t>Exclude
B. Rate?</t>
  </si>
  <si>
    <t>Adjustments</t>
  </si>
  <si>
    <t>AREA</t>
  </si>
  <si>
    <t>Cluster</t>
  </si>
  <si>
    <t>Account</t>
  </si>
  <si>
    <t>ARROCHA (MX) CMS 2025</t>
  </si>
  <si>
    <t>Staff Costs - PJ</t>
  </si>
  <si>
    <t>Claudemir Ferreira Franco_PTN | NF 6 | Prestação de Serviços referente ao mês Janeiro/2026</t>
  </si>
  <si>
    <t>BRL</t>
  </si>
  <si>
    <t xml:space="preserve"> Accrual Cons_NF - 6</t>
  </si>
  <si>
    <t>Retail Consult KSR - Soluções para Varejo Ltda</t>
  </si>
  <si>
    <t>CMS</t>
  </si>
  <si>
    <t>N</t>
  </si>
  <si>
    <t>-</t>
  </si>
  <si>
    <t>Luiz Felipe Horvat_PTN | NF 111 | Serviços prestados referente ao mês Janeiro/2026</t>
  </si>
  <si>
    <t xml:space="preserve"> Accrual Cons_NF - 111</t>
  </si>
  <si>
    <t>Claudemir Ferreira Franco_PTN | NF 7 | Prestação de Serviços referente ao mês Fevereiro/2026</t>
  </si>
  <si>
    <t xml:space="preserve"> Accrual Cons_NF - 7</t>
  </si>
  <si>
    <t>Luiz Felipe Horvat_PTN | NF 113 | Serviços prestados referente ao mês Fevereiro/2026</t>
  </si>
  <si>
    <t xml:space="preserve"> Accrual Cons_NF - 113</t>
  </si>
  <si>
    <t>Per-Diem</t>
  </si>
  <si>
    <t/>
  </si>
  <si>
    <t>EUR</t>
  </si>
  <si>
    <t>KSR,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</si>
</sst>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mmmmm;@"/>
    <numFmt numFmtId="165" formatCode="#,##0\ ;\(#,##0\);\-\ "/>
    <numFmt numFmtId="166" formatCode="#,##0\ ;\(#,##0\);\-"/>
    <numFmt numFmtId="167" formatCode="#,##0.00\ ;\(#,##0.00\);\-"/>
    <numFmt numFmtId="168" formatCode="#,##0.0000"/>
    <numFmt numFmtId="169" formatCode="dd\-mm\-yyyy;@"/>
  </numFmts>
  <fonts count="21" x14ac:knownFonts="1">
    <font>
      <sz val="10"/>
      <color indexed="8"/>
      <name val="MS Sans Serif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Neo Tech Std"/>
      <family val="2"/>
    </font>
    <font>
      <sz val="8"/>
      <name val="Neo Tech Std"/>
      <family val="2"/>
    </font>
    <font>
      <sz val="10"/>
      <name val="Neo Tech Std"/>
      <family val="2"/>
    </font>
    <font>
      <b/>
      <sz val="13"/>
      <color theme="1" tint="0.24994659260841701"/>
      <name val="Cambria"/>
      <family val="2"/>
      <scheme val="major"/>
    </font>
    <font>
      <b/>
      <sz val="13"/>
      <color theme="0"/>
      <name val="Calibri"/>
      <family val="2"/>
    </font>
    <font>
      <b/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b/>
      <sz val="9"/>
      <color indexed="8"/>
      <name val="Arial"/>
      <family val="2"/>
    </font>
    <font>
      <b/>
      <sz val="9"/>
      <color indexed="8"/>
      <name val="Neo Tech Std"/>
      <family val="2"/>
    </font>
    <font>
      <b/>
      <sz val="9"/>
      <name val="Neo Tech Std"/>
      <family val="2"/>
    </font>
    <font>
      <b/>
      <sz val="9"/>
      <color theme="0"/>
      <name val="Neo Tech Std"/>
      <family val="2"/>
    </font>
    <font>
      <sz val="9"/>
      <color indexed="8"/>
      <name val="Neo Tech Std"/>
      <family val="2"/>
    </font>
    <font>
      <u/>
      <sz val="10"/>
      <color theme="10"/>
      <name val="MS Sans Serif"/>
    </font>
    <font>
      <sz val="9"/>
      <color indexed="12"/>
      <name val="Neo Tech Std"/>
      <family val="2"/>
    </font>
    <font>
      <sz val="9"/>
      <name val="Neo Tech Std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" fillId="0" borderId="0"/>
    <xf numFmtId="0" fontId="6" fillId="0" borderId="0" applyFill="0" applyBorder="0" applyProtection="0">
      <alignment horizontal="left"/>
    </xf>
    <xf numFmtId="0" fontId="18" fillId="0" borderId="0" applyNumberFormat="0" applyFill="0" applyBorder="0" applyAlignment="0" applyProtection="0"/>
  </cellStyleXfs>
  <cellXfs count="61">
    <xf numFmtId="0" fontId="0" fillId="0" borderId="0" xfId="0"/>
    <xf numFmtId="164" fontId="3" fillId="0" borderId="0" xfId="3" applyNumberFormat="1" applyFont="1" applyAlignment="1">
      <alignment horizontal="center"/>
    </xf>
    <xf numFmtId="165" fontId="4" fillId="0" borderId="0" xfId="3" applyNumberFormat="1" applyFont="1" applyAlignment="1">
      <alignment horizontal="center"/>
    </xf>
    <xf numFmtId="0" fontId="4" fillId="0" borderId="0" xfId="3" applyFont="1" applyAlignment="1">
      <alignment horizontal="center"/>
    </xf>
    <xf numFmtId="0" fontId="3" fillId="0" borderId="1" xfId="3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2" borderId="1" xfId="4" applyFont="1" applyFill="1" applyBorder="1" applyAlignment="1" applyProtection="1">
      <alignment horizontal="center" vertical="center"/>
      <protection locked="0"/>
    </xf>
    <xf numFmtId="0" fontId="7" fillId="2" borderId="2" xfId="4" applyFont="1" applyFill="1" applyBorder="1" applyAlignment="1" applyProtection="1">
      <alignment horizontal="center" vertical="center"/>
      <protection locked="0"/>
    </xf>
    <xf numFmtId="49" fontId="8" fillId="3" borderId="3" xfId="3" applyNumberFormat="1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/>
    </xf>
    <xf numFmtId="0" fontId="10" fillId="0" borderId="4" xfId="3" applyFont="1" applyBorder="1"/>
    <xf numFmtId="166" fontId="10" fillId="0" borderId="4" xfId="3" applyNumberFormat="1" applyFont="1" applyBorder="1"/>
    <xf numFmtId="166" fontId="10" fillId="3" borderId="3" xfId="3" applyNumberFormat="1" applyFont="1" applyFill="1" applyBorder="1"/>
    <xf numFmtId="0" fontId="9" fillId="0" borderId="0" xfId="3" applyFont="1" applyAlignment="1">
      <alignment horizontal="center"/>
    </xf>
    <xf numFmtId="0" fontId="10" fillId="0" borderId="0" xfId="3" applyFont="1" applyAlignment="1">
      <alignment horizontal="left"/>
    </xf>
    <xf numFmtId="166" fontId="10" fillId="0" borderId="0" xfId="3" applyNumberFormat="1" applyFont="1"/>
    <xf numFmtId="166" fontId="10" fillId="3" borderId="5" xfId="3" applyNumberFormat="1" applyFont="1" applyFill="1" applyBorder="1"/>
    <xf numFmtId="0" fontId="9" fillId="0" borderId="0" xfId="3" applyFont="1" applyAlignment="1">
      <alignment horizontal="left"/>
    </xf>
    <xf numFmtId="166" fontId="9" fillId="0" borderId="0" xfId="3" applyNumberFormat="1" applyFont="1"/>
    <xf numFmtId="166" fontId="9" fillId="3" borderId="5" xfId="3" applyNumberFormat="1" applyFont="1" applyFill="1" applyBorder="1"/>
    <xf numFmtId="0" fontId="11" fillId="0" borderId="1" xfId="3" applyFont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166" fontId="8" fillId="0" borderId="1" xfId="3" applyNumberFormat="1" applyFont="1" applyBorder="1" applyAlignment="1">
      <alignment horizontal="right" vertical="center"/>
    </xf>
    <xf numFmtId="166" fontId="8" fillId="3" borderId="6" xfId="3" applyNumberFormat="1" applyFont="1" applyFill="1" applyBorder="1" applyAlignment="1">
      <alignment horizontal="right" vertical="center"/>
    </xf>
    <xf numFmtId="166" fontId="9" fillId="0" borderId="0" xfId="3" applyNumberFormat="1" applyFont="1" applyAlignment="1">
      <alignment horizontal="center"/>
    </xf>
    <xf numFmtId="0" fontId="10" fillId="0" borderId="0" xfId="3" applyFont="1"/>
    <xf numFmtId="0" fontId="9" fillId="0" borderId="0" xfId="3" applyFont="1"/>
    <xf numFmtId="167" fontId="9" fillId="0" borderId="0" xfId="3" applyNumberFormat="1" applyFont="1"/>
    <xf numFmtId="0" fontId="12" fillId="0" borderId="0" xfId="3" applyFont="1"/>
    <xf numFmtId="10" fontId="9" fillId="0" borderId="0" xfId="3" applyNumberFormat="1" applyFont="1" applyAlignment="1">
      <alignment horizontal="center" vertical="center"/>
    </xf>
    <xf numFmtId="10" fontId="9" fillId="3" borderId="5" xfId="3" applyNumberFormat="1" applyFont="1" applyFill="1" applyBorder="1" applyAlignment="1">
      <alignment horizontal="center" vertical="center"/>
    </xf>
    <xf numFmtId="166" fontId="8" fillId="0" borderId="0" xfId="3" applyNumberFormat="1" applyFont="1"/>
    <xf numFmtId="166" fontId="8" fillId="3" borderId="5" xfId="3" applyNumberFormat="1" applyFont="1" applyFill="1" applyBorder="1"/>
    <xf numFmtId="10" fontId="9" fillId="0" borderId="0" xfId="2" applyNumberFormat="1" applyFont="1"/>
    <xf numFmtId="10" fontId="9" fillId="3" borderId="5" xfId="2" applyNumberFormat="1" applyFont="1" applyFill="1" applyBorder="1"/>
    <xf numFmtId="166" fontId="8" fillId="0" borderId="1" xfId="3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168" fontId="14" fillId="4" borderId="0" xfId="0" applyNumberFormat="1" applyFont="1" applyFill="1" applyAlignment="1" applyProtection="1">
      <alignment horizontal="center" vertical="center"/>
      <protection locked="0"/>
    </xf>
    <xf numFmtId="4" fontId="14" fillId="4" borderId="0" xfId="0" applyNumberFormat="1" applyFont="1" applyFill="1" applyAlignment="1" applyProtection="1">
      <alignment horizontal="center" vertical="center"/>
      <protection locked="0"/>
    </xf>
    <xf numFmtId="169" fontId="14" fillId="4" borderId="0" xfId="0" applyNumberFormat="1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horizontal="center" vertical="center" wrapText="1"/>
      <protection locked="0"/>
    </xf>
    <xf numFmtId="49" fontId="14" fillId="4" borderId="0" xfId="0" applyNumberFormat="1" applyFont="1" applyFill="1" applyAlignment="1" applyProtection="1">
      <alignment horizontal="center" vertical="center"/>
      <protection locked="0"/>
    </xf>
    <xf numFmtId="0" fontId="14" fillId="5" borderId="0" xfId="0" applyFont="1" applyFill="1" applyAlignment="1">
      <alignment horizontal="center" vertical="center"/>
    </xf>
    <xf numFmtId="4" fontId="14" fillId="5" borderId="0" xfId="0" applyNumberFormat="1" applyFont="1" applyFill="1" applyAlignment="1">
      <alignment horizontal="center" vertical="center"/>
    </xf>
    <xf numFmtId="4" fontId="15" fillId="5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168" fontId="17" fillId="0" borderId="0" xfId="0" applyNumberFormat="1" applyFont="1" applyAlignment="1">
      <alignment horizontal="center" vertical="center"/>
    </xf>
    <xf numFmtId="4" fontId="17" fillId="0" borderId="0" xfId="0" applyNumberFormat="1" applyFont="1" applyProtection="1"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left"/>
    </xf>
    <xf numFmtId="0" fontId="19" fillId="0" borderId="0" xfId="5" applyNumberFormat="1" applyFont="1" applyAlignment="1">
      <alignment horizontal="center" vertical="top"/>
    </xf>
    <xf numFmtId="0" fontId="17" fillId="0" borderId="0" xfId="0" applyFont="1"/>
    <xf numFmtId="0" fontId="17" fillId="0" borderId="0" xfId="0" applyFont="1" applyAlignment="1">
      <alignment horizontal="center" vertical="top"/>
    </xf>
    <xf numFmtId="4" fontId="17" fillId="0" borderId="0" xfId="1" applyNumberFormat="1" applyFont="1" applyAlignment="1">
      <alignment horizontal="right" vertical="center"/>
    </xf>
    <xf numFmtId="4" fontId="20" fillId="0" borderId="0" xfId="0" applyNumberFormat="1" applyFont="1"/>
  </cellXfs>
  <cellStyles count="6">
    <cellStyle name="Activity" xfId="4" xr:uid="{C4C2E582-566B-4E97-BDAF-4732D805CC68}"/>
    <cellStyle name="Comma" xfId="1" builtinId="3"/>
    <cellStyle name="Hyperlink 4" xfId="5" xr:uid="{A9035FD9-F8CC-4C44-8C25-21778B2302A3}"/>
    <cellStyle name="Normal" xfId="0" builtinId="0"/>
    <cellStyle name="Normal_Enabler UK Financial Statements" xfId="3" xr:uid="{D685A823-E0BA-4543-8D1E-F6F73F1DAAA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srsa.sharepoint.com/sites/RCFinanceManagement/Shared%20Documents/02.RETAIL%20CONSULT%20RESTRICTED/09.ALL%20Restricted/7.P&amp;L/2026/Tests/PL_RC_V7_2026_02_V2.xlsm" TargetMode="External"/><Relationship Id="rId1" Type="http://schemas.openxmlformats.org/officeDocument/2006/relationships/externalLinkPath" Target="https://ksrsa.sharepoint.com/sites/RCFinanceManagement/Shared%20Documents/02.RETAIL%20CONSULT%20RESTRICTED/09.ALL%20Restricted/7.P&amp;L/2026/Tests/PL_RC_V7_2026_02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T Actual Vs Plan"/>
      <sheetName val="Op Plan Reforecast"/>
      <sheetName val="P&amp;L Reforecast"/>
      <sheetName val="LLC"/>
      <sheetName val="KSR SA"/>
      <sheetName val="GmbH"/>
      <sheetName val="LTDA"/>
      <sheetName val="Katalist"/>
      <sheetName val="RCKSR SA"/>
      <sheetName val="RCKSR SpA"/>
      <sheetName val="RC CN"/>
      <sheetName val="SL"/>
      <sheetName val="SRL"/>
      <sheetName val="P&amp;L Op Plan"/>
      <sheetName val="P&amp;L ALL Actual"/>
      <sheetName val="All Projects 2024"/>
      <sheetName val="All Projects 2025"/>
      <sheetName val="Summary"/>
      <sheetName val="All Projects_Details"/>
      <sheetName val="Sheet1"/>
      <sheetName val="All Projects"/>
      <sheetName val="Summary_AREA"/>
      <sheetName val="Summary_Account"/>
      <sheetName val="Account_per Month"/>
      <sheetName val="B2B"/>
      <sheetName val="All Projects 2022"/>
      <sheetName val="CMS"/>
      <sheetName val="Aux Print"/>
      <sheetName val="All Projects per month"/>
      <sheetName val="Print"/>
      <sheetName val="Print Region"/>
      <sheetName val="Print Account Consolidate"/>
      <sheetName val="Cluster_Per Month"/>
      <sheetName val="CMS ALL"/>
      <sheetName val="Client"/>
      <sheetName val="Resources"/>
      <sheetName val="Report"/>
      <sheetName val="Time"/>
      <sheetName val="Currency"/>
      <sheetName val="List of People"/>
      <sheetName val="Simulators"/>
      <sheetName val="Aux Project"/>
      <sheetName val="AUX_Region"/>
      <sheetName val="AUX_Cluster"/>
      <sheetName val="Summary_REGION"/>
      <sheetName val="Print Geo"/>
      <sheetName val="Checklist"/>
      <sheetName val="Time Values"/>
      <sheetName val="Project Type"/>
      <sheetName val="Project Resources"/>
      <sheetName val="Makro"/>
      <sheetName val="CMS ALL Time"/>
      <sheetName val="Project Type CMS"/>
      <sheetName val="ClientAux"/>
      <sheetName val="Subsidiary"/>
      <sheetName val="Aux Expense Type"/>
      <sheetName val="Print_Aux"/>
      <sheetName val="Aux"/>
      <sheetName val="No Touch"/>
      <sheetName val="TempTable"/>
      <sheetName val="AuxTable"/>
      <sheetName val="aux_h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E4" t="str">
            <v>USD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B643-CF79-462F-80DF-ADE6198A7A7A}">
  <sheetPr codeName="Sheet8">
    <tabColor theme="5" tint="-0.249977111117893"/>
    <pageSetUpPr fitToPage="1"/>
  </sheetPr>
  <dimension ref="B2:Q42"/>
  <sheetViews>
    <sheetView showGridLines="0" zoomScaleNormal="100" workbookViewId="0">
      <selection activeCell="E1" sqref="E1:R1048576"/>
    </sheetView>
  </sheetViews>
  <sheetFormatPr defaultColWidth="9" defaultRowHeight="12.6" x14ac:dyDescent="0.25"/>
  <cols>
    <col min="1" max="1" width="3" customWidth="1"/>
    <col min="2" max="2" width="1.33203125" customWidth="1"/>
    <col min="4" max="4" width="19.33203125" bestFit="1" customWidth="1"/>
    <col min="5" max="6" width="9" style="36" bestFit="1" customWidth="1"/>
    <col min="7" max="16" width="6.88671875" style="36" bestFit="1" customWidth="1"/>
    <col min="17" max="17" width="10.44140625" style="36" bestFit="1" customWidth="1"/>
  </cols>
  <sheetData>
    <row r="2" spans="2:17" ht="13.2" x14ac:dyDescent="0.25"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</row>
    <row r="3" spans="2:17" x14ac:dyDescent="0.25">
      <c r="E3" s="2" t="str">
        <f>F3</f>
        <v>RC06067</v>
      </c>
      <c r="F3" s="2" t="str">
        <f t="shared" ref="F3:O3" si="0">G3</f>
        <v>RC06067</v>
      </c>
      <c r="G3" s="2" t="str">
        <f t="shared" si="0"/>
        <v>RC06067</v>
      </c>
      <c r="H3" s="2" t="str">
        <f t="shared" si="0"/>
        <v>RC06067</v>
      </c>
      <c r="I3" s="2" t="str">
        <f t="shared" si="0"/>
        <v>RC06067</v>
      </c>
      <c r="J3" s="2" t="str">
        <f t="shared" si="0"/>
        <v>RC06067</v>
      </c>
      <c r="K3" s="2" t="str">
        <f t="shared" si="0"/>
        <v>RC06067</v>
      </c>
      <c r="L3" s="2" t="str">
        <f t="shared" si="0"/>
        <v>RC06067</v>
      </c>
      <c r="M3" s="2" t="str">
        <f t="shared" si="0"/>
        <v>RC06067</v>
      </c>
      <c r="N3" s="2" t="str">
        <f t="shared" si="0"/>
        <v>RC06067</v>
      </c>
      <c r="O3" s="2" t="str">
        <f t="shared" si="0"/>
        <v>RC06067</v>
      </c>
      <c r="P3" s="2" t="str">
        <f>Q4</f>
        <v>RC06067</v>
      </c>
      <c r="Q3" s="3" t="s">
        <v>13</v>
      </c>
    </row>
    <row r="4" spans="2:17" ht="17.7" customHeight="1" x14ac:dyDescent="0.25">
      <c r="B4" s="4" t="str">
        <f xml:space="preserve"> CONCATENATE("Accounts in ",'[1]All Projects'!E4)</f>
        <v>Accounts in USD</v>
      </c>
      <c r="C4" s="5"/>
      <c r="D4" s="5"/>
      <c r="E4" s="6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8" t="s">
        <v>15</v>
      </c>
    </row>
    <row r="5" spans="2:17" ht="13.2" x14ac:dyDescent="0.25">
      <c r="B5" s="9"/>
      <c r="C5" s="10" t="s">
        <v>16</v>
      </c>
      <c r="D5" s="10"/>
      <c r="E5" s="11">
        <f>E6</f>
        <v>10526.18</v>
      </c>
      <c r="F5" s="11">
        <f t="shared" ref="F5:P5" si="1">+F6</f>
        <v>12843</v>
      </c>
      <c r="G5" s="11">
        <f t="shared" si="1"/>
        <v>0</v>
      </c>
      <c r="H5" s="11">
        <f t="shared" si="1"/>
        <v>0</v>
      </c>
      <c r="I5" s="11">
        <f t="shared" si="1"/>
        <v>0</v>
      </c>
      <c r="J5" s="11">
        <f t="shared" si="1"/>
        <v>0</v>
      </c>
      <c r="K5" s="11">
        <f t="shared" si="1"/>
        <v>0</v>
      </c>
      <c r="L5" s="11">
        <f t="shared" si="1"/>
        <v>0</v>
      </c>
      <c r="M5" s="11">
        <f t="shared" si="1"/>
        <v>0</v>
      </c>
      <c r="N5" s="11">
        <f t="shared" si="1"/>
        <v>0</v>
      </c>
      <c r="O5" s="11">
        <f t="shared" si="1"/>
        <v>0</v>
      </c>
      <c r="P5" s="11">
        <f t="shared" si="1"/>
        <v>0</v>
      </c>
      <c r="Q5" s="12">
        <f>SUM(E5:P5)</f>
        <v>23369.18</v>
      </c>
    </row>
    <row r="6" spans="2:17" ht="13.2" x14ac:dyDescent="0.25">
      <c r="B6" s="13"/>
      <c r="C6" s="13"/>
      <c r="D6" s="14" t="s">
        <v>17</v>
      </c>
      <c r="E6" s="15">
        <f>E7</f>
        <v>10526.18</v>
      </c>
      <c r="F6" s="15">
        <f t="shared" ref="F6:P6" si="2">SUM(F7:F7)</f>
        <v>12843</v>
      </c>
      <c r="G6" s="15">
        <f t="shared" si="2"/>
        <v>0</v>
      </c>
      <c r="H6" s="15">
        <f t="shared" si="2"/>
        <v>0</v>
      </c>
      <c r="I6" s="15">
        <f t="shared" si="2"/>
        <v>0</v>
      </c>
      <c r="J6" s="15">
        <f t="shared" si="2"/>
        <v>0</v>
      </c>
      <c r="K6" s="15">
        <f t="shared" si="2"/>
        <v>0</v>
      </c>
      <c r="L6" s="15">
        <f t="shared" si="2"/>
        <v>0</v>
      </c>
      <c r="M6" s="15">
        <f t="shared" si="2"/>
        <v>0</v>
      </c>
      <c r="N6" s="15">
        <f t="shared" si="2"/>
        <v>0</v>
      </c>
      <c r="O6" s="15">
        <f t="shared" si="2"/>
        <v>0</v>
      </c>
      <c r="P6" s="15">
        <f t="shared" si="2"/>
        <v>0</v>
      </c>
      <c r="Q6" s="16">
        <f>SUM(E6:P6)</f>
        <v>23369.18</v>
      </c>
    </row>
    <row r="7" spans="2:17" x14ac:dyDescent="0.25">
      <c r="B7" s="13"/>
      <c r="C7" s="13"/>
      <c r="D7" s="17" t="s">
        <v>18</v>
      </c>
      <c r="E7" s="18">
        <v>10526.18</v>
      </c>
      <c r="F7" s="18">
        <v>12843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9">
        <f>SUM(E7:P7)</f>
        <v>23369.18</v>
      </c>
    </row>
    <row r="8" spans="2:17" x14ac:dyDescent="0.25">
      <c r="B8" s="20"/>
      <c r="C8" s="21" t="s">
        <v>19</v>
      </c>
      <c r="D8" s="20"/>
      <c r="E8" s="22">
        <f t="shared" ref="E8" si="3">E5</f>
        <v>10526.18</v>
      </c>
      <c r="F8" s="22">
        <f>F5</f>
        <v>12843</v>
      </c>
      <c r="G8" s="22">
        <f t="shared" ref="G8:P8" si="4">G5</f>
        <v>0</v>
      </c>
      <c r="H8" s="22">
        <f t="shared" si="4"/>
        <v>0</v>
      </c>
      <c r="I8" s="22">
        <f t="shared" si="4"/>
        <v>0</v>
      </c>
      <c r="J8" s="22">
        <f t="shared" si="4"/>
        <v>0</v>
      </c>
      <c r="K8" s="22">
        <f t="shared" si="4"/>
        <v>0</v>
      </c>
      <c r="L8" s="22">
        <f t="shared" si="4"/>
        <v>0</v>
      </c>
      <c r="M8" s="22">
        <f t="shared" si="4"/>
        <v>0</v>
      </c>
      <c r="N8" s="22">
        <f t="shared" si="4"/>
        <v>0</v>
      </c>
      <c r="O8" s="22">
        <f t="shared" si="4"/>
        <v>0</v>
      </c>
      <c r="P8" s="22">
        <f t="shared" si="4"/>
        <v>0</v>
      </c>
      <c r="Q8" s="23">
        <f>Q5</f>
        <v>23369.18</v>
      </c>
    </row>
    <row r="9" spans="2:17" ht="13.2" x14ac:dyDescent="0.25">
      <c r="B9" s="13"/>
      <c r="C9" s="13"/>
      <c r="D9" s="2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</row>
    <row r="10" spans="2:17" ht="13.2" x14ac:dyDescent="0.25">
      <c r="B10" s="13"/>
      <c r="C10" s="25" t="s">
        <v>20</v>
      </c>
      <c r="D10" s="13"/>
      <c r="E10" s="15">
        <f>E11+E12</f>
        <v>0</v>
      </c>
      <c r="F10" s="15">
        <f t="shared" ref="F10:P10" si="5">F11+F12</f>
        <v>0</v>
      </c>
      <c r="G10" s="15">
        <f t="shared" si="5"/>
        <v>0</v>
      </c>
      <c r="H10" s="15">
        <f t="shared" si="5"/>
        <v>0</v>
      </c>
      <c r="I10" s="15">
        <f t="shared" si="5"/>
        <v>0</v>
      </c>
      <c r="J10" s="15">
        <f t="shared" si="5"/>
        <v>0</v>
      </c>
      <c r="K10" s="15">
        <f t="shared" si="5"/>
        <v>0</v>
      </c>
      <c r="L10" s="15">
        <f t="shared" si="5"/>
        <v>0</v>
      </c>
      <c r="M10" s="15">
        <f t="shared" si="5"/>
        <v>0</v>
      </c>
      <c r="N10" s="15">
        <f t="shared" si="5"/>
        <v>0</v>
      </c>
      <c r="O10" s="15">
        <f t="shared" si="5"/>
        <v>0</v>
      </c>
      <c r="P10" s="15">
        <f t="shared" si="5"/>
        <v>0</v>
      </c>
      <c r="Q10" s="16">
        <f>SUM(E10:P10)</f>
        <v>0</v>
      </c>
    </row>
    <row r="11" spans="2:17" x14ac:dyDescent="0.25">
      <c r="B11" s="13"/>
      <c r="C11" s="13"/>
      <c r="D11" s="17" t="s">
        <v>21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9">
        <f>SUM(E11:P11)</f>
        <v>0</v>
      </c>
    </row>
    <row r="12" spans="2:17" ht="13.2" x14ac:dyDescent="0.25">
      <c r="B12" s="13"/>
      <c r="C12" s="13"/>
      <c r="D12" s="17" t="s">
        <v>22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9">
        <f>SUM(E12:P12)</f>
        <v>0</v>
      </c>
    </row>
    <row r="13" spans="2:17" x14ac:dyDescent="0.25">
      <c r="B13" s="20"/>
      <c r="C13" s="21" t="s">
        <v>23</v>
      </c>
      <c r="D13" s="20"/>
      <c r="E13" s="22">
        <f>+E8+E10</f>
        <v>10526.18</v>
      </c>
      <c r="F13" s="22">
        <f t="shared" ref="F13:P13" si="6">+F8+F10</f>
        <v>12843</v>
      </c>
      <c r="G13" s="22">
        <f t="shared" si="6"/>
        <v>0</v>
      </c>
      <c r="H13" s="22">
        <f t="shared" si="6"/>
        <v>0</v>
      </c>
      <c r="I13" s="22">
        <f t="shared" si="6"/>
        <v>0</v>
      </c>
      <c r="J13" s="22">
        <f t="shared" si="6"/>
        <v>0</v>
      </c>
      <c r="K13" s="22">
        <f t="shared" si="6"/>
        <v>0</v>
      </c>
      <c r="L13" s="22">
        <f t="shared" si="6"/>
        <v>0</v>
      </c>
      <c r="M13" s="22">
        <f t="shared" si="6"/>
        <v>0</v>
      </c>
      <c r="N13" s="22">
        <f t="shared" si="6"/>
        <v>0</v>
      </c>
      <c r="O13" s="22">
        <f t="shared" si="6"/>
        <v>0</v>
      </c>
      <c r="P13" s="22">
        <f t="shared" si="6"/>
        <v>0</v>
      </c>
      <c r="Q13" s="23">
        <f>SUM(E13:P13)</f>
        <v>23369.18</v>
      </c>
    </row>
    <row r="14" spans="2:17" ht="13.2" x14ac:dyDescent="0.25">
      <c r="B14" s="13"/>
      <c r="C14" s="13"/>
      <c r="D14" s="13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/>
    </row>
    <row r="15" spans="2:17" ht="13.2" x14ac:dyDescent="0.25">
      <c r="B15" s="13"/>
      <c r="C15" s="25" t="s">
        <v>24</v>
      </c>
      <c r="D15" s="13"/>
      <c r="E15" s="15">
        <f t="shared" ref="E15:O15" si="7">E16+E19+E21+E23</f>
        <v>4233.3775671652538</v>
      </c>
      <c r="F15" s="15">
        <f t="shared" si="7"/>
        <v>2728.7134835020042</v>
      </c>
      <c r="G15" s="15">
        <f t="shared" si="7"/>
        <v>0</v>
      </c>
      <c r="H15" s="15">
        <f t="shared" si="7"/>
        <v>0</v>
      </c>
      <c r="I15" s="15">
        <f t="shared" si="7"/>
        <v>0</v>
      </c>
      <c r="J15" s="15">
        <f t="shared" si="7"/>
        <v>0</v>
      </c>
      <c r="K15" s="15">
        <f t="shared" si="7"/>
        <v>0</v>
      </c>
      <c r="L15" s="15">
        <f t="shared" si="7"/>
        <v>0</v>
      </c>
      <c r="M15" s="15">
        <f t="shared" si="7"/>
        <v>0</v>
      </c>
      <c r="N15" s="15">
        <f t="shared" si="7"/>
        <v>0</v>
      </c>
      <c r="O15" s="15">
        <f t="shared" si="7"/>
        <v>0</v>
      </c>
      <c r="P15" s="15">
        <f>P16+P19+P21+P23</f>
        <v>0</v>
      </c>
      <c r="Q15" s="16">
        <f t="shared" ref="Q15:Q16" si="8">SUM(E15:P15)</f>
        <v>6962.0910506672581</v>
      </c>
    </row>
    <row r="16" spans="2:17" ht="13.2" x14ac:dyDescent="0.25">
      <c r="B16" s="13"/>
      <c r="C16" s="13"/>
      <c r="D16" s="25" t="s">
        <v>25</v>
      </c>
      <c r="E16" s="15">
        <f>+SUM(E17:E18)</f>
        <v>3703.3140367933229</v>
      </c>
      <c r="F16" s="15">
        <f t="shared" ref="F16:P16" si="9">+SUM(F17:F18)</f>
        <v>2679.5239733966982</v>
      </c>
      <c r="G16" s="15">
        <f t="shared" si="9"/>
        <v>0</v>
      </c>
      <c r="H16" s="15">
        <f t="shared" si="9"/>
        <v>0</v>
      </c>
      <c r="I16" s="15">
        <f t="shared" si="9"/>
        <v>0</v>
      </c>
      <c r="J16" s="15">
        <f t="shared" si="9"/>
        <v>0</v>
      </c>
      <c r="K16" s="15">
        <f t="shared" si="9"/>
        <v>0</v>
      </c>
      <c r="L16" s="15">
        <f t="shared" si="9"/>
        <v>0</v>
      </c>
      <c r="M16" s="15">
        <f t="shared" si="9"/>
        <v>0</v>
      </c>
      <c r="N16" s="15">
        <f t="shared" si="9"/>
        <v>0</v>
      </c>
      <c r="O16" s="15">
        <f t="shared" si="9"/>
        <v>0</v>
      </c>
      <c r="P16" s="15">
        <f t="shared" si="9"/>
        <v>0</v>
      </c>
      <c r="Q16" s="16">
        <f t="shared" si="8"/>
        <v>6382.8380101900211</v>
      </c>
    </row>
    <row r="17" spans="2:17" x14ac:dyDescent="0.25">
      <c r="B17" s="13"/>
      <c r="C17" s="13"/>
      <c r="D17" s="17" t="s">
        <v>26</v>
      </c>
      <c r="E17" s="18">
        <v>2577.3228057406964</v>
      </c>
      <c r="F17" s="18">
        <v>1735.6981270667345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9">
        <f>SUM(E17:P17)</f>
        <v>4313.0209328074307</v>
      </c>
    </row>
    <row r="18" spans="2:17" x14ac:dyDescent="0.25">
      <c r="B18" s="13"/>
      <c r="C18" s="13"/>
      <c r="D18" s="17" t="s">
        <v>27</v>
      </c>
      <c r="E18" s="18">
        <v>1125.9912310526263</v>
      </c>
      <c r="F18" s="18">
        <v>943.82584632996361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9">
        <f t="shared" ref="Q18:Q24" si="10">SUM(E18:P18)</f>
        <v>2069.81707738259</v>
      </c>
    </row>
    <row r="19" spans="2:17" ht="13.2" x14ac:dyDescent="0.25">
      <c r="B19" s="13"/>
      <c r="C19" s="13"/>
      <c r="D19" s="25" t="s">
        <v>28</v>
      </c>
      <c r="E19" s="15">
        <f>E20</f>
        <v>0</v>
      </c>
      <c r="F19" s="15">
        <f t="shared" ref="F19:P19" si="11">F20</f>
        <v>0</v>
      </c>
      <c r="G19" s="15">
        <f t="shared" si="11"/>
        <v>0</v>
      </c>
      <c r="H19" s="15">
        <f t="shared" si="11"/>
        <v>0</v>
      </c>
      <c r="I19" s="15">
        <f t="shared" si="11"/>
        <v>0</v>
      </c>
      <c r="J19" s="15">
        <f t="shared" si="11"/>
        <v>0</v>
      </c>
      <c r="K19" s="15">
        <f t="shared" si="11"/>
        <v>0</v>
      </c>
      <c r="L19" s="15">
        <f t="shared" si="11"/>
        <v>0</v>
      </c>
      <c r="M19" s="15">
        <f t="shared" si="11"/>
        <v>0</v>
      </c>
      <c r="N19" s="15">
        <f t="shared" si="11"/>
        <v>0</v>
      </c>
      <c r="O19" s="15">
        <f t="shared" si="11"/>
        <v>0</v>
      </c>
      <c r="P19" s="15">
        <f t="shared" si="11"/>
        <v>0</v>
      </c>
      <c r="Q19" s="16">
        <f t="shared" si="10"/>
        <v>0</v>
      </c>
    </row>
    <row r="20" spans="2:17" x14ac:dyDescent="0.25">
      <c r="B20" s="13"/>
      <c r="C20" s="13"/>
      <c r="D20" s="17" t="s">
        <v>18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>
        <f t="shared" si="10"/>
        <v>0</v>
      </c>
    </row>
    <row r="21" spans="2:17" ht="13.2" x14ac:dyDescent="0.25">
      <c r="B21" s="13"/>
      <c r="C21" s="13"/>
      <c r="D21" s="25" t="s">
        <v>29</v>
      </c>
      <c r="E21" s="15">
        <f>E22</f>
        <v>0</v>
      </c>
      <c r="F21" s="15">
        <f t="shared" ref="F21:P21" si="12">F22</f>
        <v>0</v>
      </c>
      <c r="G21" s="15">
        <f t="shared" si="12"/>
        <v>0</v>
      </c>
      <c r="H21" s="15">
        <f t="shared" si="12"/>
        <v>0</v>
      </c>
      <c r="I21" s="15">
        <f t="shared" si="12"/>
        <v>0</v>
      </c>
      <c r="J21" s="15">
        <f t="shared" si="12"/>
        <v>0</v>
      </c>
      <c r="K21" s="15">
        <f t="shared" si="12"/>
        <v>0</v>
      </c>
      <c r="L21" s="15">
        <f t="shared" si="12"/>
        <v>0</v>
      </c>
      <c r="M21" s="15">
        <f t="shared" si="12"/>
        <v>0</v>
      </c>
      <c r="N21" s="15">
        <f t="shared" si="12"/>
        <v>0</v>
      </c>
      <c r="O21" s="15">
        <f t="shared" si="12"/>
        <v>0</v>
      </c>
      <c r="P21" s="15">
        <f t="shared" si="12"/>
        <v>0</v>
      </c>
      <c r="Q21" s="16">
        <f t="shared" si="10"/>
        <v>0</v>
      </c>
    </row>
    <row r="22" spans="2:17" x14ac:dyDescent="0.25">
      <c r="B22" s="13"/>
      <c r="C22" s="13"/>
      <c r="D22" s="26" t="s">
        <v>30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>
        <f t="shared" si="10"/>
        <v>0</v>
      </c>
    </row>
    <row r="23" spans="2:17" ht="13.2" x14ac:dyDescent="0.25">
      <c r="B23" s="13"/>
      <c r="C23" s="13"/>
      <c r="D23" s="25" t="s">
        <v>31</v>
      </c>
      <c r="E23" s="15">
        <f>E24</f>
        <v>530.06353037193117</v>
      </c>
      <c r="F23" s="15">
        <f t="shared" ref="F23:P23" si="13">F24</f>
        <v>49.18951010530602</v>
      </c>
      <c r="G23" s="15">
        <f t="shared" si="13"/>
        <v>0</v>
      </c>
      <c r="H23" s="15">
        <f t="shared" si="13"/>
        <v>0</v>
      </c>
      <c r="I23" s="15">
        <f t="shared" si="13"/>
        <v>0</v>
      </c>
      <c r="J23" s="15">
        <f t="shared" si="13"/>
        <v>0</v>
      </c>
      <c r="K23" s="15">
        <f t="shared" si="13"/>
        <v>0</v>
      </c>
      <c r="L23" s="15">
        <f t="shared" si="13"/>
        <v>0</v>
      </c>
      <c r="M23" s="15">
        <f t="shared" si="13"/>
        <v>0</v>
      </c>
      <c r="N23" s="15">
        <f t="shared" si="13"/>
        <v>0</v>
      </c>
      <c r="O23" s="15">
        <f t="shared" si="13"/>
        <v>0</v>
      </c>
      <c r="P23" s="15">
        <f t="shared" si="13"/>
        <v>0</v>
      </c>
      <c r="Q23" s="16">
        <f t="shared" si="10"/>
        <v>579.25304047723716</v>
      </c>
    </row>
    <row r="24" spans="2:17" x14ac:dyDescent="0.25">
      <c r="B24" s="13"/>
      <c r="C24" s="13"/>
      <c r="D24" s="26" t="s">
        <v>21</v>
      </c>
      <c r="E24" s="18">
        <v>530.06353037193117</v>
      </c>
      <c r="F24" s="18">
        <v>49.18951010530602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27">
        <v>0</v>
      </c>
      <c r="N24" s="18">
        <v>0</v>
      </c>
      <c r="O24" s="18">
        <v>0</v>
      </c>
      <c r="P24" s="18">
        <v>0</v>
      </c>
      <c r="Q24" s="19">
        <f t="shared" si="10"/>
        <v>579.25304047723716</v>
      </c>
    </row>
    <row r="25" spans="2:17" ht="13.2" x14ac:dyDescent="0.25">
      <c r="B25" s="13"/>
      <c r="C25" s="13"/>
      <c r="D25" s="28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</row>
    <row r="26" spans="2:17" x14ac:dyDescent="0.25">
      <c r="B26" s="13"/>
      <c r="C26" s="13"/>
      <c r="D26" s="13"/>
      <c r="E26" s="29">
        <f t="shared" ref="E26:P26" si="14">IF(E13=0,0,E27/E13)</f>
        <v>0.59782394304816622</v>
      </c>
      <c r="F26" s="29">
        <f t="shared" si="14"/>
        <v>0.7875330153778709</v>
      </c>
      <c r="G26" s="29">
        <f t="shared" si="14"/>
        <v>0</v>
      </c>
      <c r="H26" s="29">
        <f t="shared" si="14"/>
        <v>0</v>
      </c>
      <c r="I26" s="29">
        <f t="shared" si="14"/>
        <v>0</v>
      </c>
      <c r="J26" s="29">
        <f t="shared" si="14"/>
        <v>0</v>
      </c>
      <c r="K26" s="29">
        <f t="shared" si="14"/>
        <v>0</v>
      </c>
      <c r="L26" s="29">
        <f t="shared" si="14"/>
        <v>0</v>
      </c>
      <c r="M26" s="29">
        <f t="shared" si="14"/>
        <v>0</v>
      </c>
      <c r="N26" s="29">
        <f t="shared" si="14"/>
        <v>0</v>
      </c>
      <c r="O26" s="29">
        <f t="shared" si="14"/>
        <v>0</v>
      </c>
      <c r="P26" s="29">
        <f t="shared" si="14"/>
        <v>0</v>
      </c>
      <c r="Q26" s="30">
        <f>IF(Q13=0,0,Q27/ABS(Q13))</f>
        <v>0.70208235587781609</v>
      </c>
    </row>
    <row r="27" spans="2:17" x14ac:dyDescent="0.25">
      <c r="B27" s="20"/>
      <c r="C27" s="21" t="s">
        <v>32</v>
      </c>
      <c r="D27" s="20"/>
      <c r="E27" s="22">
        <f t="shared" ref="E27:P27" si="15">+E13-E15</f>
        <v>6292.8024328347465</v>
      </c>
      <c r="F27" s="22">
        <f t="shared" si="15"/>
        <v>10114.286516497996</v>
      </c>
      <c r="G27" s="22">
        <f t="shared" si="15"/>
        <v>0</v>
      </c>
      <c r="H27" s="22">
        <f t="shared" si="15"/>
        <v>0</v>
      </c>
      <c r="I27" s="22">
        <f t="shared" si="15"/>
        <v>0</v>
      </c>
      <c r="J27" s="22">
        <f t="shared" si="15"/>
        <v>0</v>
      </c>
      <c r="K27" s="22">
        <f t="shared" si="15"/>
        <v>0</v>
      </c>
      <c r="L27" s="22">
        <f t="shared" si="15"/>
        <v>0</v>
      </c>
      <c r="M27" s="22">
        <f t="shared" si="15"/>
        <v>0</v>
      </c>
      <c r="N27" s="22">
        <f t="shared" si="15"/>
        <v>0</v>
      </c>
      <c r="O27" s="22">
        <f t="shared" si="15"/>
        <v>0</v>
      </c>
      <c r="P27" s="22">
        <f t="shared" si="15"/>
        <v>0</v>
      </c>
      <c r="Q27" s="23">
        <f>SUM(E27:P27)</f>
        <v>16407.088949332741</v>
      </c>
    </row>
    <row r="28" spans="2:17" ht="13.2" x14ac:dyDescent="0.25">
      <c r="B28" s="13"/>
      <c r="C28" s="13"/>
      <c r="D28" s="13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</row>
    <row r="29" spans="2:17" ht="13.2" x14ac:dyDescent="0.25">
      <c r="B29" s="13"/>
      <c r="C29" s="25" t="s">
        <v>33</v>
      </c>
      <c r="D29" s="13"/>
      <c r="E29" s="15">
        <f>SUM(E30:E33)</f>
        <v>3518.3959422380713</v>
      </c>
      <c r="F29" s="15">
        <f t="shared" ref="F29:P29" si="16">SUM(F30:F33)</f>
        <v>2623.4116355527922</v>
      </c>
      <c r="G29" s="15">
        <f t="shared" si="16"/>
        <v>0</v>
      </c>
      <c r="H29" s="15">
        <f t="shared" si="16"/>
        <v>0</v>
      </c>
      <c r="I29" s="15">
        <f t="shared" si="16"/>
        <v>0</v>
      </c>
      <c r="J29" s="15">
        <f t="shared" si="16"/>
        <v>0</v>
      </c>
      <c r="K29" s="15">
        <f t="shared" si="16"/>
        <v>0</v>
      </c>
      <c r="L29" s="15">
        <f t="shared" si="16"/>
        <v>0</v>
      </c>
      <c r="M29" s="15">
        <f t="shared" si="16"/>
        <v>0</v>
      </c>
      <c r="N29" s="15">
        <f t="shared" si="16"/>
        <v>0</v>
      </c>
      <c r="O29" s="15">
        <f t="shared" si="16"/>
        <v>0</v>
      </c>
      <c r="P29" s="15">
        <f t="shared" si="16"/>
        <v>0</v>
      </c>
      <c r="Q29" s="16">
        <f>SUM(E29:P29)</f>
        <v>6141.8075777908634</v>
      </c>
    </row>
    <row r="30" spans="2:17" x14ac:dyDescent="0.25">
      <c r="B30" s="13"/>
      <c r="C30" s="13"/>
      <c r="D30" s="17" t="s">
        <v>34</v>
      </c>
      <c r="E30" s="18">
        <v>1826.8379562943601</v>
      </c>
      <c r="F30" s="18">
        <v>1356.3533842736279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9">
        <f>SUM(E30:P30)</f>
        <v>3183.1913405679879</v>
      </c>
    </row>
    <row r="31" spans="2:17" x14ac:dyDescent="0.25">
      <c r="B31" s="13"/>
      <c r="C31" s="13"/>
      <c r="D31" s="17" t="s">
        <v>35</v>
      </c>
      <c r="E31" s="18">
        <v>180.55798594371095</v>
      </c>
      <c r="F31" s="18">
        <v>114.05825127916444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9">
        <f>SUM(E31:P31)</f>
        <v>294.61623722287538</v>
      </c>
    </row>
    <row r="32" spans="2:17" x14ac:dyDescent="0.25">
      <c r="B32" s="13"/>
      <c r="C32" s="13"/>
      <c r="D32" s="17" t="s">
        <v>36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9">
        <f>SUM(E32:P32)</f>
        <v>0</v>
      </c>
    </row>
    <row r="33" spans="2:17" x14ac:dyDescent="0.25">
      <c r="B33" s="13"/>
      <c r="C33" s="13"/>
      <c r="D33" s="17" t="s">
        <v>37</v>
      </c>
      <c r="E33" s="18">
        <v>1511</v>
      </c>
      <c r="F33" s="18">
        <v>1153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9">
        <f>SUM(E33:P33)</f>
        <v>2664</v>
      </c>
    </row>
    <row r="34" spans="2:17" x14ac:dyDescent="0.25">
      <c r="B34" s="13"/>
      <c r="C34" s="13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9"/>
    </row>
    <row r="35" spans="2:17" x14ac:dyDescent="0.25">
      <c r="B35" s="13"/>
      <c r="C35" s="13"/>
      <c r="D35" s="13"/>
      <c r="E35" s="29">
        <f>IF(E13=0,0,E36/ABS(E13))</f>
        <v>0.26357201668569941</v>
      </c>
      <c r="F35" s="29">
        <f t="shared" ref="F35:P35" si="17">IF(F13=0,0,F36/ABS(F13))</f>
        <v>0.58326519356421425</v>
      </c>
      <c r="G35" s="29">
        <f t="shared" si="17"/>
        <v>0</v>
      </c>
      <c r="H35" s="29">
        <f t="shared" si="17"/>
        <v>0</v>
      </c>
      <c r="I35" s="29">
        <f t="shared" si="17"/>
        <v>0</v>
      </c>
      <c r="J35" s="29">
        <f t="shared" si="17"/>
        <v>0</v>
      </c>
      <c r="K35" s="29">
        <f t="shared" si="17"/>
        <v>0</v>
      </c>
      <c r="L35" s="29">
        <f t="shared" si="17"/>
        <v>0</v>
      </c>
      <c r="M35" s="29">
        <f t="shared" si="17"/>
        <v>0</v>
      </c>
      <c r="N35" s="29">
        <f t="shared" si="17"/>
        <v>0</v>
      </c>
      <c r="O35" s="29">
        <f t="shared" si="17"/>
        <v>0</v>
      </c>
      <c r="P35" s="29">
        <f t="shared" si="17"/>
        <v>0</v>
      </c>
      <c r="Q35" s="30">
        <f>IF(Q13=0,0,Q36/ABS(Q13))</f>
        <v>0.43926579244722658</v>
      </c>
    </row>
    <row r="36" spans="2:17" x14ac:dyDescent="0.25">
      <c r="B36" s="20"/>
      <c r="C36" s="21" t="s">
        <v>38</v>
      </c>
      <c r="D36" s="20"/>
      <c r="E36" s="22">
        <f>E27-E29</f>
        <v>2774.4064905966752</v>
      </c>
      <c r="F36" s="22">
        <f t="shared" ref="F36:P36" si="18">F27-F29</f>
        <v>7490.8748809452036</v>
      </c>
      <c r="G36" s="22">
        <f t="shared" si="18"/>
        <v>0</v>
      </c>
      <c r="H36" s="22">
        <f t="shared" si="18"/>
        <v>0</v>
      </c>
      <c r="I36" s="22">
        <f t="shared" si="18"/>
        <v>0</v>
      </c>
      <c r="J36" s="22">
        <f t="shared" si="18"/>
        <v>0</v>
      </c>
      <c r="K36" s="22">
        <f t="shared" si="18"/>
        <v>0</v>
      </c>
      <c r="L36" s="22">
        <f t="shared" si="18"/>
        <v>0</v>
      </c>
      <c r="M36" s="22">
        <f t="shared" si="18"/>
        <v>0</v>
      </c>
      <c r="N36" s="22">
        <f t="shared" si="18"/>
        <v>0</v>
      </c>
      <c r="O36" s="22">
        <f t="shared" si="18"/>
        <v>0</v>
      </c>
      <c r="P36" s="22">
        <f t="shared" si="18"/>
        <v>0</v>
      </c>
      <c r="Q36" s="23">
        <f>SUM(E36:P36)</f>
        <v>10265.281371541878</v>
      </c>
    </row>
    <row r="37" spans="2:17" ht="13.2" x14ac:dyDescent="0.25">
      <c r="B37" s="13"/>
      <c r="C37" s="25"/>
      <c r="D37" s="13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</row>
    <row r="38" spans="2:17" ht="13.2" x14ac:dyDescent="0.25">
      <c r="B38" s="13"/>
      <c r="C38" s="25" t="s">
        <v>39</v>
      </c>
      <c r="D38" s="13"/>
      <c r="E38" s="15">
        <f>E39+E40</f>
        <v>56</v>
      </c>
      <c r="F38" s="15">
        <f t="shared" ref="F38:P38" si="19">F39+F40</f>
        <v>43</v>
      </c>
      <c r="G38" s="15">
        <f t="shared" si="19"/>
        <v>0</v>
      </c>
      <c r="H38" s="15">
        <f t="shared" si="19"/>
        <v>0</v>
      </c>
      <c r="I38" s="15">
        <f t="shared" si="19"/>
        <v>0</v>
      </c>
      <c r="J38" s="15">
        <f t="shared" si="19"/>
        <v>0</v>
      </c>
      <c r="K38" s="15">
        <f t="shared" si="19"/>
        <v>0</v>
      </c>
      <c r="L38" s="15">
        <f t="shared" si="19"/>
        <v>0</v>
      </c>
      <c r="M38" s="15">
        <f t="shared" si="19"/>
        <v>0</v>
      </c>
      <c r="N38" s="15">
        <f t="shared" si="19"/>
        <v>0</v>
      </c>
      <c r="O38" s="15">
        <f t="shared" si="19"/>
        <v>0</v>
      </c>
      <c r="P38" s="15">
        <f t="shared" si="19"/>
        <v>0</v>
      </c>
      <c r="Q38" s="16">
        <f>SUM(E38:P38)</f>
        <v>99</v>
      </c>
    </row>
    <row r="39" spans="2:17" x14ac:dyDescent="0.25">
      <c r="B39" s="13"/>
      <c r="C39" s="13"/>
      <c r="D39" s="17" t="s">
        <v>40</v>
      </c>
      <c r="E39" s="18">
        <v>56</v>
      </c>
      <c r="F39" s="18">
        <v>43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9">
        <f>SUM(E39:P39)</f>
        <v>99</v>
      </c>
    </row>
    <row r="40" spans="2:17" x14ac:dyDescent="0.25">
      <c r="B40" s="13"/>
      <c r="C40" s="13"/>
      <c r="D40" s="17" t="s">
        <v>41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9">
        <f>SUM(E40:P40)</f>
        <v>0</v>
      </c>
    </row>
    <row r="41" spans="2:17" x14ac:dyDescent="0.25">
      <c r="B41" s="13"/>
      <c r="C41" s="13"/>
      <c r="D41" s="17"/>
      <c r="E41" s="33">
        <f t="shared" ref="E41:P41" si="20">IF(E8=0,0,E42/ABS(E8))</f>
        <v>0.25825194805681406</v>
      </c>
      <c r="F41" s="33">
        <f t="shared" si="20"/>
        <v>0.57991706617964678</v>
      </c>
      <c r="G41" s="33">
        <f t="shared" si="20"/>
        <v>0</v>
      </c>
      <c r="H41" s="33">
        <f t="shared" si="20"/>
        <v>0</v>
      </c>
      <c r="I41" s="33">
        <f t="shared" si="20"/>
        <v>0</v>
      </c>
      <c r="J41" s="33">
        <f t="shared" si="20"/>
        <v>0</v>
      </c>
      <c r="K41" s="33">
        <f t="shared" si="20"/>
        <v>0</v>
      </c>
      <c r="L41" s="33">
        <f t="shared" si="20"/>
        <v>0</v>
      </c>
      <c r="M41" s="33">
        <f t="shared" si="20"/>
        <v>0</v>
      </c>
      <c r="N41" s="33">
        <f t="shared" si="20"/>
        <v>0</v>
      </c>
      <c r="O41" s="33">
        <f t="shared" si="20"/>
        <v>0</v>
      </c>
      <c r="P41" s="33">
        <f t="shared" si="20"/>
        <v>0</v>
      </c>
      <c r="Q41" s="34">
        <f>IF(Q8=0,0,Q42/ABS(Q8))</f>
        <v>0.43502944354666606</v>
      </c>
    </row>
    <row r="42" spans="2:17" x14ac:dyDescent="0.25">
      <c r="B42" s="20"/>
      <c r="C42" s="21" t="s">
        <v>42</v>
      </c>
      <c r="D42" s="20"/>
      <c r="E42" s="35">
        <f>E36-E38</f>
        <v>2718.4064905966752</v>
      </c>
      <c r="F42" s="35">
        <f t="shared" ref="F42:P42" si="21">F36-F38</f>
        <v>7447.8748809452036</v>
      </c>
      <c r="G42" s="35">
        <f t="shared" si="21"/>
        <v>0</v>
      </c>
      <c r="H42" s="35">
        <f t="shared" si="21"/>
        <v>0</v>
      </c>
      <c r="I42" s="35">
        <f t="shared" si="21"/>
        <v>0</v>
      </c>
      <c r="J42" s="35">
        <f t="shared" si="21"/>
        <v>0</v>
      </c>
      <c r="K42" s="35">
        <f t="shared" si="21"/>
        <v>0</v>
      </c>
      <c r="L42" s="35">
        <f t="shared" si="21"/>
        <v>0</v>
      </c>
      <c r="M42" s="35">
        <f t="shared" si="21"/>
        <v>0</v>
      </c>
      <c r="N42" s="35">
        <f t="shared" si="21"/>
        <v>0</v>
      </c>
      <c r="O42" s="35">
        <f t="shared" si="21"/>
        <v>0</v>
      </c>
      <c r="P42" s="35">
        <f t="shared" si="21"/>
        <v>0</v>
      </c>
      <c r="Q42" s="23">
        <f>Q36-Q38</f>
        <v>10166.281371541878</v>
      </c>
    </row>
  </sheetData>
  <mergeCells count="2">
    <mergeCell ref="B4:D4"/>
    <mergeCell ref="E4:P4"/>
  </mergeCells>
  <pageMargins left="0.70866141732283505" right="0.70866141732283505" top="0.74803149606299202" bottom="0.74803149606299202" header="0.31496062992126" footer="0.31496062992126"/>
  <pageSetup paperSize="9" scale="91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EB42-9CE4-4574-8BE8-3EA711EDF99E}">
  <dimension ref="A1:Z7"/>
  <sheetViews>
    <sheetView tabSelected="1" workbookViewId="0">
      <selection sqref="A1:Z7"/>
    </sheetView>
  </sheetViews>
  <sheetFormatPr defaultRowHeight="12.6" x14ac:dyDescent="0.25"/>
  <sheetData>
    <row r="1" spans="1:26" ht="22.8" x14ac:dyDescent="0.25">
      <c r="A1" s="37" t="s">
        <v>43</v>
      </c>
      <c r="B1" s="37" t="s">
        <v>44</v>
      </c>
      <c r="C1" s="37" t="s">
        <v>45</v>
      </c>
      <c r="D1" s="37" t="s">
        <v>46</v>
      </c>
      <c r="E1" s="37" t="s">
        <v>47</v>
      </c>
      <c r="F1" s="37" t="s">
        <v>48</v>
      </c>
      <c r="G1" s="38" t="s">
        <v>49</v>
      </c>
      <c r="H1" s="39" t="s">
        <v>50</v>
      </c>
      <c r="I1" s="40" t="s">
        <v>51</v>
      </c>
      <c r="J1" s="40" t="s">
        <v>52</v>
      </c>
      <c r="K1" s="40" t="s">
        <v>53</v>
      </c>
      <c r="L1" s="41" t="s">
        <v>54</v>
      </c>
      <c r="M1" s="42" t="s">
        <v>55</v>
      </c>
      <c r="N1" s="37" t="s">
        <v>56</v>
      </c>
      <c r="O1" s="37" t="s">
        <v>57</v>
      </c>
      <c r="P1" s="37" t="s">
        <v>58</v>
      </c>
      <c r="Q1" s="43" t="s">
        <v>59</v>
      </c>
      <c r="R1" s="44" t="s">
        <v>60</v>
      </c>
      <c r="S1" s="43" t="s">
        <v>48</v>
      </c>
      <c r="T1" s="45" t="s">
        <v>61</v>
      </c>
      <c r="U1" s="43" t="s">
        <v>62</v>
      </c>
      <c r="V1" s="46" t="s">
        <v>63</v>
      </c>
      <c r="W1" s="47" t="s">
        <v>64</v>
      </c>
      <c r="X1" s="48" t="s">
        <v>65</v>
      </c>
      <c r="Y1" s="48" t="s">
        <v>66</v>
      </c>
      <c r="Z1" s="48" t="s">
        <v>67</v>
      </c>
    </row>
    <row r="2" spans="1:26" x14ac:dyDescent="0.25">
      <c r="A2" s="49">
        <v>1004</v>
      </c>
      <c r="B2" s="50" t="s">
        <v>15</v>
      </c>
      <c r="C2" s="51" t="s">
        <v>68</v>
      </c>
      <c r="D2" s="50" t="s">
        <v>69</v>
      </c>
      <c r="E2" s="50" t="s">
        <v>70</v>
      </c>
      <c r="F2" s="50" t="s">
        <v>71</v>
      </c>
      <c r="G2" s="52">
        <v>1</v>
      </c>
      <c r="H2" s="53">
        <v>254.37500000000006</v>
      </c>
      <c r="I2" s="54">
        <v>46023</v>
      </c>
      <c r="J2" s="54">
        <v>46053</v>
      </c>
      <c r="K2" s="54">
        <v>46023</v>
      </c>
      <c r="L2" s="55" t="s">
        <v>72</v>
      </c>
      <c r="M2" s="56">
        <v>0</v>
      </c>
      <c r="N2" s="57" t="s">
        <v>73</v>
      </c>
      <c r="O2" s="57">
        <v>1</v>
      </c>
      <c r="P2" s="57">
        <v>2026</v>
      </c>
      <c r="Q2" s="58" t="s">
        <v>13</v>
      </c>
      <c r="R2" s="59">
        <v>40.874616361094603</v>
      </c>
      <c r="S2" s="58" t="s">
        <v>71</v>
      </c>
      <c r="T2" s="60">
        <v>48.718429978568693</v>
      </c>
      <c r="U2" s="57" t="s">
        <v>74</v>
      </c>
      <c r="V2" s="57" t="s">
        <v>75</v>
      </c>
      <c r="W2" s="57" t="s">
        <v>76</v>
      </c>
      <c r="Y2" s="57"/>
      <c r="Z2" s="55"/>
    </row>
    <row r="3" spans="1:26" x14ac:dyDescent="0.25">
      <c r="A3" s="49">
        <v>1004</v>
      </c>
      <c r="B3" s="50" t="s">
        <v>15</v>
      </c>
      <c r="C3" s="51" t="s">
        <v>68</v>
      </c>
      <c r="D3" s="50" t="s">
        <v>69</v>
      </c>
      <c r="E3" s="50" t="s">
        <v>77</v>
      </c>
      <c r="F3" s="50" t="s">
        <v>71</v>
      </c>
      <c r="G3" s="52">
        <v>1</v>
      </c>
      <c r="H3" s="53">
        <v>5251.885714285715</v>
      </c>
      <c r="I3" s="54">
        <v>46023</v>
      </c>
      <c r="J3" s="54">
        <v>46053</v>
      </c>
      <c r="K3" s="54">
        <v>46023</v>
      </c>
      <c r="L3" s="55" t="s">
        <v>78</v>
      </c>
      <c r="M3" s="56">
        <v>0</v>
      </c>
      <c r="N3" s="57" t="s">
        <v>73</v>
      </c>
      <c r="O3" s="57">
        <v>1</v>
      </c>
      <c r="P3" s="57">
        <v>2026</v>
      </c>
      <c r="Q3" s="58" t="s">
        <v>13</v>
      </c>
      <c r="R3" s="59">
        <v>843.90688449628249</v>
      </c>
      <c r="S3" s="58" t="s">
        <v>71</v>
      </c>
      <c r="T3" s="60">
        <v>1005.8520940614202</v>
      </c>
      <c r="U3" s="57" t="s">
        <v>74</v>
      </c>
      <c r="V3" s="57" t="s">
        <v>75</v>
      </c>
      <c r="W3" s="57" t="s">
        <v>76</v>
      </c>
      <c r="Y3" s="57"/>
      <c r="Z3" s="55"/>
    </row>
    <row r="4" spans="1:26" x14ac:dyDescent="0.25">
      <c r="A4" s="49">
        <v>1004</v>
      </c>
      <c r="B4" s="50" t="s">
        <v>15</v>
      </c>
      <c r="C4" s="51" t="s">
        <v>68</v>
      </c>
      <c r="D4" s="50" t="s">
        <v>69</v>
      </c>
      <c r="E4" s="50" t="s">
        <v>79</v>
      </c>
      <c r="F4" s="50" t="s">
        <v>71</v>
      </c>
      <c r="G4" s="52">
        <v>1</v>
      </c>
      <c r="H4" s="53">
        <v>213.00934579439257</v>
      </c>
      <c r="I4" s="54">
        <v>46054</v>
      </c>
      <c r="J4" s="54">
        <v>46081</v>
      </c>
      <c r="K4" s="54">
        <v>46054</v>
      </c>
      <c r="L4" s="55" t="s">
        <v>80</v>
      </c>
      <c r="M4" s="56">
        <v>0</v>
      </c>
      <c r="N4" s="57" t="s">
        <v>73</v>
      </c>
      <c r="O4" s="57">
        <v>2</v>
      </c>
      <c r="P4" s="57">
        <v>2026</v>
      </c>
      <c r="Q4" s="58" t="s">
        <v>13</v>
      </c>
      <c r="R4" s="59">
        <v>34.998742367058682</v>
      </c>
      <c r="S4" s="58" t="s">
        <v>71</v>
      </c>
      <c r="T4" s="60">
        <v>41.316031622716338</v>
      </c>
      <c r="U4" s="57" t="s">
        <v>74</v>
      </c>
      <c r="V4" s="57" t="s">
        <v>75</v>
      </c>
      <c r="W4" s="57" t="s">
        <v>76</v>
      </c>
      <c r="Y4" s="57"/>
      <c r="Z4" s="55"/>
    </row>
    <row r="5" spans="1:26" x14ac:dyDescent="0.25">
      <c r="A5" s="49">
        <v>1004</v>
      </c>
      <c r="B5" s="50" t="s">
        <v>15</v>
      </c>
      <c r="C5" s="51" t="s">
        <v>68</v>
      </c>
      <c r="D5" s="50" t="s">
        <v>69</v>
      </c>
      <c r="E5" s="50" t="s">
        <v>81</v>
      </c>
      <c r="F5" s="50" t="s">
        <v>71</v>
      </c>
      <c r="G5" s="52">
        <v>1</v>
      </c>
      <c r="H5" s="53">
        <v>4727.4916792738277</v>
      </c>
      <c r="I5" s="54">
        <v>46054</v>
      </c>
      <c r="J5" s="54">
        <v>46081</v>
      </c>
      <c r="K5" s="54">
        <v>46054</v>
      </c>
      <c r="L5" s="55" t="s">
        <v>82</v>
      </c>
      <c r="M5" s="56">
        <v>0</v>
      </c>
      <c r="N5" s="57" t="s">
        <v>73</v>
      </c>
      <c r="O5" s="57">
        <v>2</v>
      </c>
      <c r="P5" s="57">
        <v>2026</v>
      </c>
      <c r="Q5" s="58" t="s">
        <v>13</v>
      </c>
      <c r="R5" s="59">
        <v>776.75588696950933</v>
      </c>
      <c r="S5" s="58" t="s">
        <v>71</v>
      </c>
      <c r="T5" s="60">
        <v>916.96068540363365</v>
      </c>
      <c r="U5" s="57" t="s">
        <v>74</v>
      </c>
      <c r="V5" s="57" t="s">
        <v>75</v>
      </c>
      <c r="W5" s="57" t="s">
        <v>76</v>
      </c>
      <c r="Y5" s="57"/>
      <c r="Z5" s="55"/>
    </row>
    <row r="6" spans="1:26" x14ac:dyDescent="0.25">
      <c r="A6" s="49">
        <v>2012</v>
      </c>
      <c r="B6" s="50" t="s">
        <v>15</v>
      </c>
      <c r="C6" s="51" t="s">
        <v>68</v>
      </c>
      <c r="D6" s="50" t="s">
        <v>83</v>
      </c>
      <c r="E6" s="50" t="s">
        <v>84</v>
      </c>
      <c r="F6" s="50" t="s">
        <v>85</v>
      </c>
      <c r="G6" s="52">
        <v>1</v>
      </c>
      <c r="H6" s="53">
        <v>200</v>
      </c>
      <c r="I6" s="54">
        <v>46048</v>
      </c>
      <c r="J6" s="54">
        <v>46053</v>
      </c>
      <c r="K6" s="54">
        <v>46048</v>
      </c>
      <c r="L6" s="55"/>
      <c r="M6" s="56">
        <v>51091</v>
      </c>
      <c r="N6" s="57" t="s">
        <v>86</v>
      </c>
      <c r="O6" s="57">
        <v>1</v>
      </c>
      <c r="P6" s="57">
        <v>2026</v>
      </c>
      <c r="Q6" s="58" t="s">
        <v>13</v>
      </c>
      <c r="R6" s="59">
        <v>200</v>
      </c>
      <c r="S6" s="58" t="s">
        <v>85</v>
      </c>
      <c r="T6" s="60">
        <v>238.38</v>
      </c>
      <c r="U6" s="57" t="s">
        <v>74</v>
      </c>
      <c r="V6" s="57" t="s">
        <v>75</v>
      </c>
      <c r="W6" s="57" t="s">
        <v>76</v>
      </c>
      <c r="Y6" s="57"/>
      <c r="Z6" s="55"/>
    </row>
    <row r="7" spans="1:26" x14ac:dyDescent="0.25">
      <c r="A7" s="49">
        <v>2012</v>
      </c>
      <c r="B7" s="50" t="s">
        <v>15</v>
      </c>
      <c r="C7" s="51" t="s">
        <v>68</v>
      </c>
      <c r="D7" s="50" t="s">
        <v>83</v>
      </c>
      <c r="E7" s="50" t="s">
        <v>84</v>
      </c>
      <c r="F7" s="50" t="s">
        <v>85</v>
      </c>
      <c r="G7" s="52">
        <v>1</v>
      </c>
      <c r="H7" s="53">
        <v>130</v>
      </c>
      <c r="I7" s="54">
        <v>46046</v>
      </c>
      <c r="J7" s="54">
        <v>46048</v>
      </c>
      <c r="K7" s="54">
        <v>46046</v>
      </c>
      <c r="L7" s="55"/>
      <c r="M7" s="56">
        <v>51092</v>
      </c>
      <c r="N7" s="57" t="s">
        <v>86</v>
      </c>
      <c r="O7" s="57">
        <v>1</v>
      </c>
      <c r="P7" s="57">
        <v>2026</v>
      </c>
      <c r="Q7" s="58" t="s">
        <v>13</v>
      </c>
      <c r="R7" s="59">
        <v>130</v>
      </c>
      <c r="S7" s="58" t="s">
        <v>85</v>
      </c>
      <c r="T7" s="60">
        <v>154.947</v>
      </c>
      <c r="U7" s="57" t="s">
        <v>74</v>
      </c>
      <c r="V7" s="57" t="s">
        <v>75</v>
      </c>
      <c r="W7" s="57" t="s">
        <v>76</v>
      </c>
      <c r="Y7" s="57"/>
      <c r="Z7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Print_Aux</vt:lpstr>
      <vt:lpstr>Expenses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da Silva de Farias</dc:creator>
  <cp:lastModifiedBy>Luana da Silva de Farias</cp:lastModifiedBy>
  <dcterms:created xsi:type="dcterms:W3CDTF">2026-03-23T17:14:46Z</dcterms:created>
  <dcterms:modified xsi:type="dcterms:W3CDTF">2026-03-23T17:14:48Z</dcterms:modified>
</cp:coreProperties>
</file>