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io.borges\Desktop\Sales\Arrocha\2025\"/>
    </mc:Choice>
  </mc:AlternateContent>
  <xr:revisionPtr revIDLastSave="0" documentId="13_ncr:1_{73EF9638-FCD2-45FA-90A4-A075CFCFEB6C}" xr6:coauthVersionLast="47" xr6:coauthVersionMax="47" xr10:uidLastSave="{00000000-0000-0000-0000-000000000000}"/>
  <bookViews>
    <workbookView xWindow="-110" yWindow="-110" windowWidth="19420" windowHeight="10300" tabRatio="592" activeTab="4" xr2:uid="{00000000-000D-0000-FFFF-FFFF00000000}"/>
  </bookViews>
  <sheets>
    <sheet name="Home" sheetId="32" r:id="rId1"/>
    <sheet name="CMS" sheetId="34" r:id="rId2"/>
    <sheet name="Project Estimations" sheetId="20" r:id="rId3"/>
    <sheet name="Expenses Estimation" sheetId="24" r:id="rId4"/>
    <sheet name="Margin Calculation" sheetId="21" r:id="rId5"/>
    <sheet name="Business Model" sheetId="22" state="hidden" r:id="rId6"/>
    <sheet name="Invoice Plan" sheetId="25" state="hidden" r:id="rId7"/>
    <sheet name="Financial" sheetId="33" state="hidden" r:id="rId8"/>
    <sheet name="CostRate" sheetId="31" state="hidden" r:id="rId9"/>
    <sheet name="Currency" sheetId="35" state="hidden" r:id="rId10"/>
    <sheet name="Config" sheetId="36" state="hidden" r:id="rId11"/>
    <sheet name="Sheet7" sheetId="28" state="hidden" r:id="rId12"/>
    <sheet name="Sheet2" sheetId="18" state="hidden" r:id="rId13"/>
    <sheet name="Sheet1" sheetId="14" state="hidden" r:id="rId14"/>
  </sheets>
  <functionGroups builtInGroupCount="19"/>
  <externalReferences>
    <externalReference r:id="rId15"/>
  </externalReferences>
  <definedNames>
    <definedName name="_xlnm._FilterDatabase" localSheetId="9" hidden="1">Currency!$A$1:$K$4481</definedName>
    <definedName name="_xlnm._FilterDatabase" localSheetId="6" hidden="1">'Invoice Plan'!$B$14:$D$61</definedName>
    <definedName name="Actual" localSheetId="8">(CostRate!PeriodInActual*('Project Estimations'!#REF!&gt;0))*CostRate!PeriodInPlan</definedName>
    <definedName name="ActualBeyond" localSheetId="8">CostRate!PeriodInActual*('Project Estimations'!#REF!&gt;0)</definedName>
    <definedName name="PercentComplete" localSheetId="8">CostRate!PercentCompleteBeyond*CostRate!PeriodInPlan</definedName>
    <definedName name="PercentCompleteBeyond" localSheetId="8">('Project Estimations'!A$8=MEDIAN('Project Estimations'!A$8,'Project Estimations'!#REF!,'Project Estimations'!#REF!+'Project Estimations'!#REF!)*('Project Estimations'!#REF!&gt;0))*(('Project Estimations'!A$8&lt;(INT('Project Estimations'!#REF!+'Project Estimations'!#REF!*'Project Estimations'!#REF!)))+('Project Estimations'!A$8='Project Estimations'!#REF!))*('Project Estimations'!#REF!&gt;0)</definedName>
    <definedName name="period_selected" localSheetId="8">'Project Estimations'!$P$3</definedName>
    <definedName name="PeriodInActual" localSheetId="8">'Project Estimations'!A$8=MEDIAN('Project Estimations'!A$8,'Project Estimations'!#REF!,'Project Estimations'!#REF!+'Project Estimations'!#REF!-1)</definedName>
    <definedName name="PeriodInPlan" localSheetId="8">'Project Estimations'!A$8=MEDIAN('Project Estimations'!A$8,'Project Estimations'!$D1,'Project Estimations'!$D1+'Project Estimations'!$E1-1)</definedName>
    <definedName name="Plan" localSheetId="8">CostRate!PeriodInPlan*('Project Estimations'!$D1&gt;0)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1" l="1"/>
  <c r="H37" i="20"/>
  <c r="F37" i="20"/>
  <c r="H36" i="20"/>
  <c r="F36" i="20"/>
  <c r="H35" i="20"/>
  <c r="F35" i="20"/>
  <c r="H34" i="20"/>
  <c r="F34" i="20"/>
  <c r="H33" i="20"/>
  <c r="F33" i="20"/>
  <c r="H32" i="20"/>
  <c r="F32" i="20"/>
  <c r="AB15" i="21" l="1"/>
  <c r="H31" i="20"/>
  <c r="F31" i="20"/>
  <c r="I31" i="20" s="1"/>
  <c r="H5" i="35" l="1"/>
  <c r="H6" i="35" s="1"/>
  <c r="U3" i="24" l="1"/>
  <c r="E7" i="20"/>
  <c r="AE100" i="21"/>
  <c r="AD100" i="21"/>
  <c r="AE99" i="21"/>
  <c r="AD99" i="21"/>
  <c r="AE98" i="21"/>
  <c r="AD98" i="21"/>
  <c r="AE97" i="21"/>
  <c r="AD97" i="21"/>
  <c r="AE96" i="21"/>
  <c r="AD96" i="21"/>
  <c r="AE95" i="21"/>
  <c r="AD95" i="21"/>
  <c r="AF95" i="21" s="1"/>
  <c r="AE94" i="21"/>
  <c r="AD94" i="21"/>
  <c r="AE93" i="21"/>
  <c r="AD93" i="21"/>
  <c r="AE92" i="21"/>
  <c r="AD92" i="21"/>
  <c r="AE91" i="21"/>
  <c r="AD91" i="21"/>
  <c r="AE90" i="21"/>
  <c r="AD90" i="21"/>
  <c r="AE89" i="21"/>
  <c r="AD89" i="21"/>
  <c r="AE88" i="21"/>
  <c r="AD88" i="21"/>
  <c r="AE87" i="21"/>
  <c r="AD87" i="21"/>
  <c r="AF87" i="21" s="1"/>
  <c r="AE86" i="21"/>
  <c r="AD86" i="21"/>
  <c r="AE85" i="21"/>
  <c r="AD85" i="21"/>
  <c r="AE84" i="21"/>
  <c r="AD84" i="21"/>
  <c r="AE83" i="21"/>
  <c r="AD83" i="21"/>
  <c r="AE82" i="21"/>
  <c r="AD82" i="21"/>
  <c r="AE81" i="21"/>
  <c r="AD81" i="21"/>
  <c r="AE80" i="21"/>
  <c r="AD80" i="21"/>
  <c r="AE79" i="21"/>
  <c r="AD79" i="21"/>
  <c r="AF79" i="21" s="1"/>
  <c r="AE78" i="21"/>
  <c r="AD78" i="21"/>
  <c r="AE77" i="21"/>
  <c r="AD77" i="21"/>
  <c r="AE76" i="21"/>
  <c r="AD76" i="21"/>
  <c r="AE75" i="21"/>
  <c r="AD75" i="21"/>
  <c r="AE74" i="21"/>
  <c r="AD74" i="21"/>
  <c r="AE73" i="21"/>
  <c r="AD73" i="21"/>
  <c r="AE72" i="21"/>
  <c r="AD72" i="21"/>
  <c r="AE71" i="21"/>
  <c r="AD71" i="21"/>
  <c r="AF71" i="21" s="1"/>
  <c r="AE70" i="21"/>
  <c r="AD70" i="21"/>
  <c r="AE69" i="21"/>
  <c r="AD69" i="21"/>
  <c r="AE68" i="21"/>
  <c r="AD68" i="21"/>
  <c r="AE67" i="21"/>
  <c r="AD67" i="21"/>
  <c r="AE66" i="21"/>
  <c r="AD66" i="21"/>
  <c r="AE65" i="21"/>
  <c r="AD65" i="21"/>
  <c r="AE64" i="21"/>
  <c r="AD64" i="21"/>
  <c r="AE63" i="21"/>
  <c r="AD63" i="21"/>
  <c r="AF63" i="21" s="1"/>
  <c r="AE62" i="21"/>
  <c r="AD62" i="21"/>
  <c r="AE61" i="21"/>
  <c r="AD61" i="21"/>
  <c r="AE60" i="21"/>
  <c r="AD60" i="21"/>
  <c r="AE59" i="21"/>
  <c r="AD59" i="21"/>
  <c r="AE58" i="21"/>
  <c r="AD58" i="21"/>
  <c r="AE57" i="21"/>
  <c r="AD57" i="21"/>
  <c r="AE56" i="21"/>
  <c r="AD56" i="21"/>
  <c r="AE55" i="21"/>
  <c r="AD55" i="21"/>
  <c r="AF55" i="21" s="1"/>
  <c r="AE54" i="21"/>
  <c r="AD54" i="21"/>
  <c r="AE53" i="21"/>
  <c r="AD53" i="21"/>
  <c r="AE52" i="21"/>
  <c r="AD52" i="21"/>
  <c r="AE51" i="21"/>
  <c r="AD51" i="21"/>
  <c r="AE50" i="21"/>
  <c r="AD50" i="21"/>
  <c r="AE49" i="21"/>
  <c r="AD49" i="21"/>
  <c r="AE48" i="21"/>
  <c r="AD48" i="21"/>
  <c r="AE47" i="21"/>
  <c r="AD47" i="21"/>
  <c r="AF47" i="21" s="1"/>
  <c r="AE46" i="21"/>
  <c r="AD46" i="21"/>
  <c r="AE45" i="21"/>
  <c r="AD45" i="21"/>
  <c r="AE44" i="21"/>
  <c r="AD44" i="21"/>
  <c r="AE43" i="21"/>
  <c r="AD43" i="21"/>
  <c r="AE42" i="21"/>
  <c r="AD42" i="21"/>
  <c r="AE41" i="21"/>
  <c r="AD41" i="21"/>
  <c r="AE40" i="21"/>
  <c r="AD40" i="21"/>
  <c r="AE39" i="21"/>
  <c r="AD39" i="21"/>
  <c r="AF39" i="21" s="1"/>
  <c r="AE38" i="21"/>
  <c r="AD38" i="21"/>
  <c r="AE37" i="21"/>
  <c r="AD37" i="21"/>
  <c r="AE36" i="21"/>
  <c r="AD36" i="21"/>
  <c r="AE35" i="21"/>
  <c r="AD35" i="21"/>
  <c r="AE34" i="21"/>
  <c r="AD34" i="21"/>
  <c r="AE33" i="21"/>
  <c r="AD33" i="21"/>
  <c r="AE32" i="21"/>
  <c r="AD32" i="21"/>
  <c r="AE31" i="21"/>
  <c r="AD31" i="21"/>
  <c r="AF31" i="21" s="1"/>
  <c r="AE30" i="21"/>
  <c r="AD30" i="21"/>
  <c r="AE29" i="21"/>
  <c r="AD29" i="21"/>
  <c r="AE28" i="21"/>
  <c r="AD28" i="21"/>
  <c r="AE27" i="21"/>
  <c r="AD27" i="21"/>
  <c r="AE26" i="21"/>
  <c r="AD26" i="21"/>
  <c r="AE25" i="21"/>
  <c r="AD25" i="21"/>
  <c r="AE24" i="21"/>
  <c r="AD24" i="21"/>
  <c r="AE23" i="21"/>
  <c r="AD23" i="21"/>
  <c r="AF23" i="21" s="1"/>
  <c r="AE22" i="21"/>
  <c r="AD22" i="21"/>
  <c r="AE21" i="21"/>
  <c r="AD21" i="21"/>
  <c r="AE20" i="21"/>
  <c r="AD20" i="21"/>
  <c r="AE19" i="21"/>
  <c r="AD19" i="21"/>
  <c r="AE18" i="21"/>
  <c r="AD18" i="21"/>
  <c r="AE17" i="21"/>
  <c r="AD17" i="21"/>
  <c r="AE16" i="21"/>
  <c r="AD16" i="21"/>
  <c r="AE15" i="21"/>
  <c r="AD15" i="21"/>
  <c r="AF15" i="21" s="1"/>
  <c r="AE14" i="21"/>
  <c r="AD14" i="21"/>
  <c r="AF14" i="21" s="1"/>
  <c r="AE13" i="21"/>
  <c r="AD13" i="21"/>
  <c r="AE12" i="21"/>
  <c r="AD12" i="21"/>
  <c r="AE11" i="21"/>
  <c r="AD11" i="21"/>
  <c r="CV92" i="31"/>
  <c r="CV91" i="31"/>
  <c r="CV90" i="31"/>
  <c r="CV89" i="31"/>
  <c r="CV88" i="31"/>
  <c r="CV87" i="31"/>
  <c r="CV86" i="31"/>
  <c r="CV85" i="31"/>
  <c r="CV84" i="31"/>
  <c r="BV20" i="31" s="1"/>
  <c r="CV83" i="31"/>
  <c r="CV82" i="31"/>
  <c r="CV81" i="31"/>
  <c r="CV80" i="31"/>
  <c r="CV79" i="31"/>
  <c r="CV78" i="31"/>
  <c r="CV77" i="31"/>
  <c r="CV76" i="31"/>
  <c r="CV75" i="31"/>
  <c r="CV74" i="31"/>
  <c r="BM22" i="31" s="1"/>
  <c r="CV73" i="31"/>
  <c r="CV72" i="31"/>
  <c r="CV71" i="31"/>
  <c r="CV70" i="31"/>
  <c r="CV69" i="31"/>
  <c r="CV68" i="31"/>
  <c r="CV67" i="31"/>
  <c r="CV66" i="31"/>
  <c r="CV65" i="31"/>
  <c r="CV64" i="31"/>
  <c r="AL17" i="31" s="1"/>
  <c r="CV63" i="31"/>
  <c r="CV62" i="31"/>
  <c r="CV61" i="31"/>
  <c r="CV60" i="31"/>
  <c r="CV59" i="31"/>
  <c r="CV58" i="31"/>
  <c r="CV57" i="31"/>
  <c r="CV56" i="31"/>
  <c r="CV55" i="31"/>
  <c r="CV54" i="31"/>
  <c r="CV53" i="31"/>
  <c r="CV52" i="31"/>
  <c r="CV51" i="31"/>
  <c r="CV50" i="31"/>
  <c r="CV49" i="31"/>
  <c r="CV48" i="31"/>
  <c r="CV47" i="31"/>
  <c r="CV46" i="31"/>
  <c r="CV45" i="31"/>
  <c r="CV44" i="31"/>
  <c r="BD19" i="31" s="1"/>
  <c r="CV43" i="31"/>
  <c r="CV42" i="31"/>
  <c r="CV41" i="31"/>
  <c r="CV40" i="31"/>
  <c r="CV39" i="31"/>
  <c r="CV38" i="31"/>
  <c r="CV37" i="31"/>
  <c r="CV36" i="31"/>
  <c r="CV35" i="31"/>
  <c r="CV34" i="31"/>
  <c r="AU15" i="31" s="1"/>
  <c r="CV33" i="31"/>
  <c r="CV32" i="31"/>
  <c r="CV31" i="31"/>
  <c r="CV30" i="31"/>
  <c r="CV29" i="31"/>
  <c r="CV28" i="31"/>
  <c r="CV27" i="31"/>
  <c r="CV26" i="31"/>
  <c r="CV25" i="31"/>
  <c r="CV24" i="31"/>
  <c r="AC21" i="31" s="1"/>
  <c r="CV23" i="31"/>
  <c r="T23" i="31"/>
  <c r="CV22" i="31"/>
  <c r="BV22" i="31"/>
  <c r="AC22" i="31"/>
  <c r="T22" i="31"/>
  <c r="CV21" i="31"/>
  <c r="T21" i="31"/>
  <c r="CV20" i="31"/>
  <c r="T20" i="31"/>
  <c r="CV19" i="31"/>
  <c r="BV19" i="31"/>
  <c r="AC19" i="31"/>
  <c r="T19" i="31"/>
  <c r="CV18" i="31"/>
  <c r="T18" i="31"/>
  <c r="CV17" i="31"/>
  <c r="BV17" i="31"/>
  <c r="BM17" i="31"/>
  <c r="T17" i="31"/>
  <c r="CV16" i="31"/>
  <c r="BV16" i="31"/>
  <c r="T16" i="31"/>
  <c r="CV15" i="31"/>
  <c r="BV15" i="31"/>
  <c r="T15" i="31"/>
  <c r="CV14" i="31"/>
  <c r="BV14" i="31"/>
  <c r="T14" i="31"/>
  <c r="CV13" i="31"/>
  <c r="BV13" i="31"/>
  <c r="T13" i="31"/>
  <c r="CV12" i="31"/>
  <c r="BV12" i="31"/>
  <c r="BM12" i="31"/>
  <c r="AC12" i="31"/>
  <c r="T12" i="31"/>
  <c r="CV11" i="31"/>
  <c r="BV11" i="31"/>
  <c r="T11" i="31"/>
  <c r="CV10" i="31"/>
  <c r="BV10" i="31"/>
  <c r="T10" i="31"/>
  <c r="CV9" i="31"/>
  <c r="BV9" i="31"/>
  <c r="BM9" i="31"/>
  <c r="T9" i="31"/>
  <c r="CV8" i="31"/>
  <c r="BV8" i="31"/>
  <c r="T8" i="31"/>
  <c r="CV7" i="31"/>
  <c r="BV7" i="31"/>
  <c r="T7" i="31"/>
  <c r="CV6" i="31"/>
  <c r="BV6" i="31"/>
  <c r="AC6" i="31"/>
  <c r="T6" i="31"/>
  <c r="CV5" i="31"/>
  <c r="BV5" i="31"/>
  <c r="T5" i="31"/>
  <c r="CV4" i="31"/>
  <c r="K12" i="31" s="1"/>
  <c r="CV3" i="31"/>
  <c r="I111" i="21"/>
  <c r="I110" i="21"/>
  <c r="I109" i="21"/>
  <c r="I108" i="21"/>
  <c r="I107" i="21"/>
  <c r="I106" i="21"/>
  <c r="I105" i="21"/>
  <c r="I104" i="21"/>
  <c r="I103" i="21"/>
  <c r="I102" i="21"/>
  <c r="I101" i="21"/>
  <c r="I100" i="21"/>
  <c r="I99" i="21"/>
  <c r="I98" i="21"/>
  <c r="I97" i="21"/>
  <c r="I96" i="21"/>
  <c r="I95" i="21"/>
  <c r="I94" i="21"/>
  <c r="I93" i="21"/>
  <c r="I92" i="21"/>
  <c r="I91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1" i="21"/>
  <c r="CN23" i="31"/>
  <c r="BC23" i="31" s="1"/>
  <c r="CM23" i="31"/>
  <c r="AJ23" i="31" s="1"/>
  <c r="CL23" i="31"/>
  <c r="CK23" i="31"/>
  <c r="CJ23" i="31"/>
  <c r="BQ23" i="31" s="1"/>
  <c r="CI23" i="31"/>
  <c r="E23" i="31" s="1"/>
  <c r="CH23" i="31"/>
  <c r="CG23" i="31"/>
  <c r="BS23" i="31"/>
  <c r="AZ23" i="31"/>
  <c r="AR23" i="31"/>
  <c r="AI23" i="31"/>
  <c r="CN22" i="31"/>
  <c r="BU22" i="31" s="1"/>
  <c r="CM22" i="31"/>
  <c r="BK22" i="31" s="1"/>
  <c r="CL22" i="31"/>
  <c r="BS22" i="31" s="1"/>
  <c r="CK22" i="31"/>
  <c r="AZ22" i="31" s="1"/>
  <c r="CJ22" i="31"/>
  <c r="BQ22" i="31" s="1"/>
  <c r="CI22" i="31"/>
  <c r="CH22" i="31"/>
  <c r="CG22" i="31"/>
  <c r="AD22" i="31" s="1"/>
  <c r="CN21" i="31"/>
  <c r="S21" i="31" s="1"/>
  <c r="CM21" i="31"/>
  <c r="CL21" i="31"/>
  <c r="AI21" i="31" s="1"/>
  <c r="CK21" i="31"/>
  <c r="AZ21" i="31" s="1"/>
  <c r="CJ21" i="31"/>
  <c r="AP21" i="31" s="1"/>
  <c r="CI21" i="31"/>
  <c r="CH21" i="31"/>
  <c r="CG21" i="31"/>
  <c r="AD21" i="31" s="1"/>
  <c r="BU21" i="31"/>
  <c r="CN20" i="31"/>
  <c r="BU20" i="31" s="1"/>
  <c r="CM20" i="31"/>
  <c r="BK20" i="31" s="1"/>
  <c r="CL20" i="31"/>
  <c r="AR20" i="31" s="1"/>
  <c r="CK20" i="31"/>
  <c r="AQ20" i="31" s="1"/>
  <c r="CJ20" i="31"/>
  <c r="CI20" i="31"/>
  <c r="BG20" i="31" s="1"/>
  <c r="CH20" i="31"/>
  <c r="V20" i="31" s="1"/>
  <c r="CG20" i="31"/>
  <c r="AD20" i="31" s="1"/>
  <c r="CN19" i="31"/>
  <c r="AT19" i="31" s="1"/>
  <c r="CM19" i="31"/>
  <c r="I19" i="31" s="1"/>
  <c r="CL19" i="31"/>
  <c r="AR19" i="31" s="1"/>
  <c r="CK19" i="31"/>
  <c r="CJ19" i="31"/>
  <c r="AY19" i="31" s="1"/>
  <c r="CI19" i="31"/>
  <c r="BG19" i="31" s="1"/>
  <c r="CH19" i="31"/>
  <c r="M19" i="31" s="1"/>
  <c r="CG19" i="31"/>
  <c r="C19" i="31"/>
  <c r="Q23" i="31"/>
  <c r="CN18" i="31"/>
  <c r="CM18" i="31"/>
  <c r="AS18" i="31" s="1"/>
  <c r="CL18" i="31"/>
  <c r="AR18" i="31" s="1"/>
  <c r="CK18" i="31"/>
  <c r="P18" i="31" s="1"/>
  <c r="CJ18" i="31"/>
  <c r="CI18" i="31"/>
  <c r="E18" i="31" s="1"/>
  <c r="CH18" i="31"/>
  <c r="M18" i="31" s="1"/>
  <c r="CG18" i="31"/>
  <c r="BU18" i="31"/>
  <c r="AB18" i="31"/>
  <c r="CN17" i="31"/>
  <c r="CM17" i="31"/>
  <c r="CL17" i="31"/>
  <c r="AR17" i="31" s="1"/>
  <c r="CK17" i="31"/>
  <c r="CJ17" i="31"/>
  <c r="BQ17" i="31" s="1"/>
  <c r="CI17" i="31"/>
  <c r="CH17" i="31"/>
  <c r="V17" i="31" s="1"/>
  <c r="CG17" i="31"/>
  <c r="AD17" i="31" s="1"/>
  <c r="BU17" i="31"/>
  <c r="BK17" i="31"/>
  <c r="CN16" i="31"/>
  <c r="AB16" i="31" s="1"/>
  <c r="CM16" i="31"/>
  <c r="BK16" i="31" s="1"/>
  <c r="CL16" i="31"/>
  <c r="CK16" i="31"/>
  <c r="AQ16" i="31" s="1"/>
  <c r="CJ16" i="31"/>
  <c r="O16" i="31" s="1"/>
  <c r="CI16" i="31"/>
  <c r="CH16" i="31"/>
  <c r="M16" i="31" s="1"/>
  <c r="CG16" i="31"/>
  <c r="AD16" i="31" s="1"/>
  <c r="AI16" i="31"/>
  <c r="CN15" i="31"/>
  <c r="S15" i="31" s="1"/>
  <c r="CM15" i="31"/>
  <c r="BK15" i="31" s="1"/>
  <c r="CL15" i="31"/>
  <c r="AI15" i="31" s="1"/>
  <c r="CK15" i="31"/>
  <c r="P15" i="31" s="1"/>
  <c r="CJ15" i="31"/>
  <c r="AP15" i="31" s="1"/>
  <c r="CI15" i="31"/>
  <c r="AF15" i="31" s="1"/>
  <c r="CH15" i="31"/>
  <c r="M15" i="31" s="1"/>
  <c r="CG15" i="31"/>
  <c r="AY15" i="31"/>
  <c r="CN14" i="31"/>
  <c r="CM14" i="31"/>
  <c r="AJ14" i="31" s="1"/>
  <c r="CL14" i="31"/>
  <c r="Q14" i="31" s="1"/>
  <c r="CK14" i="31"/>
  <c r="AZ14" i="31" s="1"/>
  <c r="CJ14" i="31"/>
  <c r="CI14" i="31"/>
  <c r="AF14" i="31" s="1"/>
  <c r="CH14" i="31"/>
  <c r="CG14" i="31"/>
  <c r="AP14" i="31"/>
  <c r="CN13" i="31"/>
  <c r="AT13" i="31" s="1"/>
  <c r="CM13" i="31"/>
  <c r="CL13" i="31"/>
  <c r="AR13" i="31" s="1"/>
  <c r="CK13" i="31"/>
  <c r="CJ13" i="31"/>
  <c r="CI13" i="31"/>
  <c r="CH13" i="31"/>
  <c r="V13" i="31" s="1"/>
  <c r="CG13" i="31"/>
  <c r="C13" i="31" s="1"/>
  <c r="BU13" i="31"/>
  <c r="AY13" i="31"/>
  <c r="AD13" i="31"/>
  <c r="CN12" i="31"/>
  <c r="S12" i="31" s="1"/>
  <c r="CM12" i="31"/>
  <c r="BK12" i="31" s="1"/>
  <c r="CL12" i="31"/>
  <c r="AI12" i="31" s="1"/>
  <c r="CK12" i="31"/>
  <c r="P12" i="31" s="1"/>
  <c r="CJ12" i="31"/>
  <c r="AY12" i="31" s="1"/>
  <c r="CI12" i="31"/>
  <c r="CH12" i="31"/>
  <c r="BO12" i="31" s="1"/>
  <c r="CG12" i="31"/>
  <c r="AD12" i="31" s="1"/>
  <c r="W12" i="31"/>
  <c r="C12" i="31"/>
  <c r="CN11" i="31"/>
  <c r="AB11" i="31" s="1"/>
  <c r="CM11" i="31"/>
  <c r="BK11" i="31" s="1"/>
  <c r="CL11" i="31"/>
  <c r="Q11" i="31" s="1"/>
  <c r="CK11" i="31"/>
  <c r="AZ11" i="31" s="1"/>
  <c r="CJ11" i="31"/>
  <c r="AY11" i="31" s="1"/>
  <c r="CI11" i="31"/>
  <c r="CH11" i="31"/>
  <c r="BF11" i="31" s="1"/>
  <c r="CG11" i="31"/>
  <c r="C11" i="31" s="1"/>
  <c r="AD11" i="31"/>
  <c r="CN10" i="31"/>
  <c r="CM10" i="31"/>
  <c r="AJ10" i="31" s="1"/>
  <c r="CL10" i="31"/>
  <c r="CK10" i="31"/>
  <c r="AZ10" i="31" s="1"/>
  <c r="CJ10" i="31"/>
  <c r="BQ10" i="31" s="1"/>
  <c r="CI10" i="31"/>
  <c r="AF10" i="31" s="1"/>
  <c r="CH10" i="31"/>
  <c r="D10" i="31" s="1"/>
  <c r="CG10" i="31"/>
  <c r="U10" i="31" s="1"/>
  <c r="BU10" i="31"/>
  <c r="BK10" i="31"/>
  <c r="C10" i="31"/>
  <c r="CN9" i="31"/>
  <c r="S9" i="31" s="1"/>
  <c r="CM9" i="31"/>
  <c r="CL9" i="31"/>
  <c r="CK9" i="31"/>
  <c r="AZ9" i="31" s="1"/>
  <c r="CJ9" i="31"/>
  <c r="CI9" i="31"/>
  <c r="E9" i="31" s="1"/>
  <c r="CH9" i="31"/>
  <c r="CG9" i="31"/>
  <c r="BS9" i="31"/>
  <c r="AP9" i="31"/>
  <c r="Q9" i="31"/>
  <c r="CN8" i="31"/>
  <c r="BC8" i="31" s="1"/>
  <c r="CM8" i="31"/>
  <c r="BT8" i="31" s="1"/>
  <c r="CL8" i="31"/>
  <c r="Q8" i="31" s="1"/>
  <c r="CK8" i="31"/>
  <c r="AQ8" i="31" s="1"/>
  <c r="CJ8" i="31"/>
  <c r="BQ8" i="31" s="1"/>
  <c r="CI8" i="31"/>
  <c r="AF8" i="31" s="1"/>
  <c r="CH8" i="31"/>
  <c r="V8" i="31" s="1"/>
  <c r="CG8" i="31"/>
  <c r="G8" i="31"/>
  <c r="CN7" i="31"/>
  <c r="BC7" i="31" s="1"/>
  <c r="CM7" i="31"/>
  <c r="AJ7" i="31" s="1"/>
  <c r="CL7" i="31"/>
  <c r="AR7" i="31" s="1"/>
  <c r="CK7" i="31"/>
  <c r="CJ7" i="31"/>
  <c r="CI7" i="31"/>
  <c r="AF7" i="31" s="1"/>
  <c r="CH7" i="31"/>
  <c r="CG7" i="31"/>
  <c r="CN6" i="31"/>
  <c r="BU6" i="31" s="1"/>
  <c r="CM6" i="31"/>
  <c r="I6" i="31" s="1"/>
  <c r="CL6" i="31"/>
  <c r="BS6" i="31" s="1"/>
  <c r="CK6" i="31"/>
  <c r="P6" i="31" s="1"/>
  <c r="CJ6" i="31"/>
  <c r="AP6" i="31" s="1"/>
  <c r="CI6" i="31"/>
  <c r="CH6" i="31"/>
  <c r="CG6" i="31"/>
  <c r="AD6" i="31" s="1"/>
  <c r="BL6" i="31"/>
  <c r="CN5" i="31"/>
  <c r="S5" i="31" s="1"/>
  <c r="CM5" i="31"/>
  <c r="I5" i="31" s="1"/>
  <c r="CL5" i="31"/>
  <c r="Q5" i="31" s="1"/>
  <c r="CK5" i="31"/>
  <c r="P5" i="31" s="1"/>
  <c r="CJ5" i="31"/>
  <c r="AP5" i="31" s="1"/>
  <c r="CI5" i="31"/>
  <c r="AF5" i="31" s="1"/>
  <c r="CH5" i="31"/>
  <c r="V5" i="31" s="1"/>
  <c r="CG5" i="31"/>
  <c r="AQ5" i="31"/>
  <c r="AI5" i="31"/>
  <c r="E5" i="31"/>
  <c r="Z16" i="31" l="1"/>
  <c r="BH17" i="31"/>
  <c r="AI11" i="31"/>
  <c r="I16" i="31"/>
  <c r="BJ11" i="31"/>
  <c r="AJ5" i="31"/>
  <c r="AQ14" i="31"/>
  <c r="AJ16" i="31"/>
  <c r="X17" i="31"/>
  <c r="AI22" i="31"/>
  <c r="AZ8" i="31"/>
  <c r="M13" i="31"/>
  <c r="BK14" i="31"/>
  <c r="BU23" i="31"/>
  <c r="BU11" i="31"/>
  <c r="AJ11" i="31"/>
  <c r="AQ21" i="31"/>
  <c r="Y5" i="31"/>
  <c r="AX7" i="31"/>
  <c r="AH14" i="31"/>
  <c r="BN12" i="31"/>
  <c r="AI8" i="31"/>
  <c r="Z7" i="31"/>
  <c r="C16" i="31"/>
  <c r="AP17" i="31"/>
  <c r="V19" i="31"/>
  <c r="S23" i="31"/>
  <c r="BK6" i="31"/>
  <c r="BJ7" i="31"/>
  <c r="AY17" i="31"/>
  <c r="BO19" i="31"/>
  <c r="P13" i="31"/>
  <c r="BU16" i="31"/>
  <c r="E20" i="31"/>
  <c r="AF20" i="31"/>
  <c r="AF22" i="21"/>
  <c r="AF30" i="21"/>
  <c r="AF38" i="21"/>
  <c r="AF46" i="21"/>
  <c r="AF54" i="21"/>
  <c r="AF62" i="21"/>
  <c r="AF70" i="21"/>
  <c r="AF78" i="21"/>
  <c r="AF86" i="21"/>
  <c r="AF94" i="21"/>
  <c r="BV18" i="31"/>
  <c r="BV23" i="31"/>
  <c r="BV21" i="31"/>
  <c r="AV9" i="31"/>
  <c r="AQ15" i="31"/>
  <c r="AJ20" i="31"/>
  <c r="AZ5" i="31"/>
  <c r="P9" i="31"/>
  <c r="BC11" i="31"/>
  <c r="AP16" i="31"/>
  <c r="AF19" i="31"/>
  <c r="AQ22" i="31"/>
  <c r="BK7" i="31"/>
  <c r="BQ5" i="31"/>
  <c r="AZ15" i="31"/>
  <c r="AP19" i="31"/>
  <c r="AY22" i="31"/>
  <c r="AZ6" i="31"/>
  <c r="W7" i="31"/>
  <c r="AQ6" i="31"/>
  <c r="AP22" i="31"/>
  <c r="BU5" i="31"/>
  <c r="E7" i="31"/>
  <c r="AR14" i="31"/>
  <c r="C6" i="31"/>
  <c r="AQ9" i="31"/>
  <c r="S13" i="31"/>
  <c r="I23" i="31"/>
  <c r="AY23" i="31"/>
  <c r="S11" i="31"/>
  <c r="D12" i="31"/>
  <c r="Z17" i="31"/>
  <c r="BQ21" i="31"/>
  <c r="I17" i="31"/>
  <c r="AM12" i="31"/>
  <c r="BB20" i="31"/>
  <c r="BG18" i="31"/>
  <c r="AI6" i="31"/>
  <c r="M12" i="31"/>
  <c r="AI17" i="31"/>
  <c r="X22" i="31"/>
  <c r="AG15" i="31"/>
  <c r="X6" i="31"/>
  <c r="AN6" i="31"/>
  <c r="AT11" i="31"/>
  <c r="AN16" i="31"/>
  <c r="AG17" i="31"/>
  <c r="BL21" i="31"/>
  <c r="BM6" i="31"/>
  <c r="BM11" i="31"/>
  <c r="BM14" i="31"/>
  <c r="AC16" i="31"/>
  <c r="BM19" i="31"/>
  <c r="BM21" i="31"/>
  <c r="Y7" i="31"/>
  <c r="AG8" i="31"/>
  <c r="BL10" i="31"/>
  <c r="AT12" i="31"/>
  <c r="AG13" i="31"/>
  <c r="AT18" i="31"/>
  <c r="AN19" i="31"/>
  <c r="BF21" i="31"/>
  <c r="BM5" i="31"/>
  <c r="BM8" i="31"/>
  <c r="AL10" i="31"/>
  <c r="AC13" i="31"/>
  <c r="BM18" i="31"/>
  <c r="BL5" i="31"/>
  <c r="BL11" i="31"/>
  <c r="BF12" i="31"/>
  <c r="BL14" i="31"/>
  <c r="AT16" i="31"/>
  <c r="BL18" i="31"/>
  <c r="Y19" i="31"/>
  <c r="AU10" i="31"/>
  <c r="BM13" i="31"/>
  <c r="AF24" i="21"/>
  <c r="AF40" i="21"/>
  <c r="AF56" i="21"/>
  <c r="AF72" i="21"/>
  <c r="AF88" i="21"/>
  <c r="BF6" i="31"/>
  <c r="BO10" i="31"/>
  <c r="BL13" i="31"/>
  <c r="BF16" i="31"/>
  <c r="AU7" i="31"/>
  <c r="BM10" i="31"/>
  <c r="BM15" i="31"/>
  <c r="BM20" i="31"/>
  <c r="AN7" i="31"/>
  <c r="BO8" i="31"/>
  <c r="BO9" i="31"/>
  <c r="AG14" i="31"/>
  <c r="BO16" i="31"/>
  <c r="X18" i="31"/>
  <c r="X19" i="31"/>
  <c r="X20" i="31"/>
  <c r="AU6" i="31"/>
  <c r="AU14" i="31"/>
  <c r="AU19" i="31"/>
  <c r="AU21" i="31"/>
  <c r="AT5" i="31"/>
  <c r="AG7" i="31"/>
  <c r="AG9" i="31"/>
  <c r="X9" i="31"/>
  <c r="BL15" i="31"/>
  <c r="AG18" i="31"/>
  <c r="AG19" i="31"/>
  <c r="AN23" i="31"/>
  <c r="AU5" i="31"/>
  <c r="AU8" i="31"/>
  <c r="BM16" i="31"/>
  <c r="BM23" i="31"/>
  <c r="BO13" i="31"/>
  <c r="X15" i="31"/>
  <c r="AT17" i="31"/>
  <c r="BF19" i="31"/>
  <c r="BF20" i="31"/>
  <c r="G21" i="31"/>
  <c r="BM7" i="31"/>
  <c r="AU12" i="31"/>
  <c r="AU17" i="31"/>
  <c r="AF13" i="21"/>
  <c r="AF17" i="21"/>
  <c r="AF21" i="21"/>
  <c r="AF25" i="21"/>
  <c r="AF29" i="21"/>
  <c r="AF33" i="21"/>
  <c r="AF37" i="21"/>
  <c r="AF41" i="21"/>
  <c r="AF45" i="21"/>
  <c r="AF49" i="21"/>
  <c r="AF53" i="21"/>
  <c r="AF57" i="21"/>
  <c r="AF61" i="21"/>
  <c r="AF65" i="21"/>
  <c r="AF69" i="21"/>
  <c r="AF73" i="21"/>
  <c r="AF77" i="21"/>
  <c r="AF81" i="21"/>
  <c r="AF85" i="21"/>
  <c r="AF89" i="21"/>
  <c r="AF93" i="21"/>
  <c r="AF97" i="21"/>
  <c r="P14" i="31"/>
  <c r="W15" i="31"/>
  <c r="AS17" i="31"/>
  <c r="P22" i="31"/>
  <c r="U7" i="31"/>
  <c r="BP9" i="31"/>
  <c r="BE13" i="31"/>
  <c r="W19" i="31"/>
  <c r="AF18" i="21"/>
  <c r="AF26" i="21"/>
  <c r="AF34" i="21"/>
  <c r="AF42" i="21"/>
  <c r="U43" i="24" s="1"/>
  <c r="AF50" i="21"/>
  <c r="AF58" i="21"/>
  <c r="AF66" i="21"/>
  <c r="AF74" i="21"/>
  <c r="AF82" i="21"/>
  <c r="AF90" i="21"/>
  <c r="AF98" i="21"/>
  <c r="U23" i="31"/>
  <c r="U11" i="31"/>
  <c r="U18" i="31"/>
  <c r="AF19" i="21"/>
  <c r="AF27" i="21"/>
  <c r="AF35" i="21"/>
  <c r="AF43" i="21"/>
  <c r="AF51" i="21"/>
  <c r="AF59" i="21"/>
  <c r="AF67" i="21"/>
  <c r="AF75" i="21"/>
  <c r="AF83" i="21"/>
  <c r="AF91" i="21"/>
  <c r="AF99" i="21"/>
  <c r="AS12" i="31"/>
  <c r="O13" i="31"/>
  <c r="W21" i="31"/>
  <c r="AH13" i="31"/>
  <c r="W16" i="31"/>
  <c r="P16" i="31"/>
  <c r="S6" i="31"/>
  <c r="AS6" i="31"/>
  <c r="O7" i="31"/>
  <c r="AI7" i="31"/>
  <c r="AY9" i="31"/>
  <c r="AD10" i="31"/>
  <c r="O11" i="31"/>
  <c r="AY14" i="31"/>
  <c r="S16" i="31"/>
  <c r="BS19" i="31"/>
  <c r="AN21" i="31"/>
  <c r="AJ6" i="31"/>
  <c r="AZ18" i="31"/>
  <c r="U21" i="31"/>
  <c r="S10" i="31"/>
  <c r="M11" i="31"/>
  <c r="Q18" i="31"/>
  <c r="U6" i="31"/>
  <c r="AT6" i="31"/>
  <c r="Q7" i="31"/>
  <c r="BS7" i="31"/>
  <c r="AN8" i="31"/>
  <c r="AJ12" i="31"/>
  <c r="AI13" i="31"/>
  <c r="X14" i="31"/>
  <c r="BL16" i="31"/>
  <c r="C20" i="31"/>
  <c r="BQ20" i="31"/>
  <c r="AJ22" i="31"/>
  <c r="AG23" i="31"/>
  <c r="BK23" i="31"/>
  <c r="BS18" i="31"/>
  <c r="F9" i="31"/>
  <c r="AV6" i="31"/>
  <c r="AP7" i="31"/>
  <c r="W9" i="31"/>
  <c r="BQ9" i="31"/>
  <c r="AT10" i="31"/>
  <c r="BF17" i="31"/>
  <c r="E21" i="31"/>
  <c r="AM17" i="31"/>
  <c r="BB19" i="31"/>
  <c r="BG23" i="31"/>
  <c r="BT7" i="31"/>
  <c r="BH7" i="31"/>
  <c r="M9" i="31"/>
  <c r="X7" i="31"/>
  <c r="M8" i="31"/>
  <c r="BF8" i="31"/>
  <c r="AN12" i="31"/>
  <c r="BQ14" i="31"/>
  <c r="Q17" i="31"/>
  <c r="AQ18" i="31"/>
  <c r="M21" i="31"/>
  <c r="AY7" i="31"/>
  <c r="S22" i="31"/>
  <c r="AG6" i="31"/>
  <c r="AF9" i="31"/>
  <c r="I22" i="31"/>
  <c r="Q13" i="31"/>
  <c r="E15" i="31"/>
  <c r="BF15" i="31"/>
  <c r="P19" i="31"/>
  <c r="AQ19" i="31"/>
  <c r="Q21" i="31"/>
  <c r="AT22" i="31"/>
  <c r="AP23" i="31"/>
  <c r="Y18" i="31"/>
  <c r="AV10" i="31"/>
  <c r="AH17" i="31"/>
  <c r="BP23" i="31"/>
  <c r="BB11" i="31"/>
  <c r="BT12" i="31"/>
  <c r="BB13" i="31"/>
  <c r="AM18" i="31"/>
  <c r="BB7" i="31"/>
  <c r="AC7" i="31"/>
  <c r="AC11" i="31"/>
  <c r="AC14" i="31"/>
  <c r="AC17" i="31"/>
  <c r="BT18" i="31"/>
  <c r="AO6" i="31"/>
  <c r="AH7" i="31"/>
  <c r="BN13" i="31"/>
  <c r="AV16" i="31"/>
  <c r="Y21" i="31"/>
  <c r="BT21" i="31"/>
  <c r="AO22" i="31"/>
  <c r="BT23" i="31"/>
  <c r="BP5" i="31"/>
  <c r="J6" i="31"/>
  <c r="BE6" i="31"/>
  <c r="BG7" i="31"/>
  <c r="V10" i="31"/>
  <c r="BE10" i="31"/>
  <c r="BE12" i="31"/>
  <c r="AX12" i="31"/>
  <c r="AM13" i="31"/>
  <c r="AX14" i="31"/>
  <c r="BG15" i="31"/>
  <c r="BB16" i="31"/>
  <c r="AX17" i="31"/>
  <c r="BT19" i="31"/>
  <c r="AM20" i="31"/>
  <c r="BT20" i="31"/>
  <c r="AX23" i="31"/>
  <c r="AB23" i="31"/>
  <c r="AM6" i="31"/>
  <c r="BN8" i="31"/>
  <c r="BS8" i="31"/>
  <c r="BB9" i="31"/>
  <c r="AB10" i="31"/>
  <c r="AX13" i="31"/>
  <c r="AB14" i="31"/>
  <c r="BP15" i="31"/>
  <c r="BE16" i="31"/>
  <c r="Y17" i="31"/>
  <c r="BE17" i="31"/>
  <c r="BP18" i="31"/>
  <c r="AM19" i="31"/>
  <c r="AO20" i="31"/>
  <c r="BE21" i="31"/>
  <c r="J22" i="31"/>
  <c r="Y22" i="31"/>
  <c r="AH23" i="31"/>
  <c r="AC10" i="31"/>
  <c r="AC20" i="31"/>
  <c r="AF16" i="21"/>
  <c r="AF20" i="21"/>
  <c r="AF28" i="21"/>
  <c r="AF32" i="21"/>
  <c r="AF36" i="21"/>
  <c r="AF44" i="21"/>
  <c r="AF48" i="21"/>
  <c r="AF52" i="21"/>
  <c r="U22" i="24" s="1"/>
  <c r="AF60" i="21"/>
  <c r="AF64" i="21"/>
  <c r="AF68" i="21"/>
  <c r="AF76" i="21"/>
  <c r="AF80" i="21"/>
  <c r="AF84" i="21"/>
  <c r="AF92" i="21"/>
  <c r="AF96" i="21"/>
  <c r="AF100" i="21"/>
  <c r="BT14" i="31"/>
  <c r="BG21" i="31"/>
  <c r="BE22" i="31"/>
  <c r="AO23" i="31"/>
  <c r="BB6" i="31"/>
  <c r="BB10" i="31"/>
  <c r="BB12" i="31"/>
  <c r="Y16" i="31"/>
  <c r="Y23" i="31"/>
  <c r="BG5" i="31"/>
  <c r="AO7" i="31"/>
  <c r="BB8" i="31"/>
  <c r="BT11" i="31"/>
  <c r="BB14" i="31"/>
  <c r="Y14" i="31"/>
  <c r="AO15" i="31"/>
  <c r="AV15" i="31"/>
  <c r="BE18" i="31"/>
  <c r="AX20" i="31"/>
  <c r="AO21" i="31"/>
  <c r="BB23" i="31"/>
  <c r="BT5" i="31"/>
  <c r="BT6" i="31"/>
  <c r="BP7" i="31"/>
  <c r="AM8" i="31"/>
  <c r="AH9" i="31"/>
  <c r="AM10" i="31"/>
  <c r="BN10" i="31"/>
  <c r="BN11" i="31"/>
  <c r="BP12" i="31"/>
  <c r="AB13" i="31"/>
  <c r="BT16" i="31"/>
  <c r="BT17" i="31"/>
  <c r="AB20" i="31"/>
  <c r="BE20" i="31"/>
  <c r="BT22" i="31"/>
  <c r="AM23" i="31"/>
  <c r="AC5" i="31"/>
  <c r="AC9" i="31"/>
  <c r="BE5" i="31"/>
  <c r="I7" i="31"/>
  <c r="AX8" i="31"/>
  <c r="I10" i="31"/>
  <c r="BP11" i="31"/>
  <c r="J12" i="31"/>
  <c r="AV14" i="31"/>
  <c r="V16" i="31"/>
  <c r="BN20" i="31"/>
  <c r="V21" i="31"/>
  <c r="BP21" i="31"/>
  <c r="V22" i="31"/>
  <c r="AC8" i="31"/>
  <c r="AC15" i="31"/>
  <c r="AC18" i="31"/>
  <c r="E17" i="31"/>
  <c r="D18" i="31"/>
  <c r="AF18" i="31"/>
  <c r="AV19" i="31"/>
  <c r="C23" i="31"/>
  <c r="AV13" i="31"/>
  <c r="BU7" i="31"/>
  <c r="AH8" i="31"/>
  <c r="BE9" i="31"/>
  <c r="X10" i="31"/>
  <c r="AO11" i="31"/>
  <c r="BS15" i="31"/>
  <c r="BF22" i="31"/>
  <c r="BO6" i="31"/>
  <c r="BN7" i="31"/>
  <c r="AM9" i="31"/>
  <c r="BF9" i="31"/>
  <c r="Y10" i="31"/>
  <c r="AP10" i="31"/>
  <c r="BO11" i="31"/>
  <c r="Q12" i="31"/>
  <c r="BS12" i="31"/>
  <c r="BG14" i="31"/>
  <c r="AR15" i="31"/>
  <c r="AF16" i="31"/>
  <c r="AN17" i="31"/>
  <c r="BN17" i="31"/>
  <c r="AN18" i="31"/>
  <c r="AP20" i="31"/>
  <c r="BS20" i="31"/>
  <c r="AT21" i="31"/>
  <c r="C22" i="31"/>
  <c r="AN22" i="31"/>
  <c r="BL22" i="31"/>
  <c r="X23" i="31"/>
  <c r="AH22" i="31"/>
  <c r="R17" i="31"/>
  <c r="AA15" i="31"/>
  <c r="BI14" i="31"/>
  <c r="D6" i="31"/>
  <c r="BU19" i="31"/>
  <c r="M5" i="31"/>
  <c r="AN5" i="31"/>
  <c r="BO5" i="31"/>
  <c r="M6" i="31"/>
  <c r="AY6" i="31"/>
  <c r="BP6" i="31"/>
  <c r="S7" i="31"/>
  <c r="BO7" i="31"/>
  <c r="P8" i="31"/>
  <c r="U9" i="31"/>
  <c r="AN9" i="31"/>
  <c r="BL9" i="31"/>
  <c r="E10" i="31"/>
  <c r="BP10" i="31"/>
  <c r="X11" i="31"/>
  <c r="BQ11" i="31"/>
  <c r="AZ12" i="31"/>
  <c r="Y13" i="31"/>
  <c r="AS13" i="31"/>
  <c r="E14" i="31"/>
  <c r="AB15" i="31"/>
  <c r="AT15" i="31"/>
  <c r="AY16" i="31"/>
  <c r="AO17" i="31"/>
  <c r="BO17" i="31"/>
  <c r="AO18" i="31"/>
  <c r="S19" i="31"/>
  <c r="BK19" i="31"/>
  <c r="BO22" i="31"/>
  <c r="BN23" i="31"/>
  <c r="BJ20" i="31"/>
  <c r="BF5" i="31"/>
  <c r="AB7" i="31"/>
  <c r="BG10" i="31"/>
  <c r="Q15" i="31"/>
  <c r="E8" i="31"/>
  <c r="AO10" i="31"/>
  <c r="M17" i="31"/>
  <c r="AO5" i="31"/>
  <c r="BQ6" i="31"/>
  <c r="AO8" i="31"/>
  <c r="BN9" i="31"/>
  <c r="BN14" i="31"/>
  <c r="AZ16" i="31"/>
  <c r="BL19" i="31"/>
  <c r="BA21" i="31"/>
  <c r="M22" i="31"/>
  <c r="BP22" i="31"/>
  <c r="BO23" i="31"/>
  <c r="AM22" i="31"/>
  <c r="J9" i="31"/>
  <c r="AN11" i="31"/>
  <c r="BG16" i="31"/>
  <c r="BE23" i="31"/>
  <c r="BG8" i="31"/>
  <c r="AQ13" i="31"/>
  <c r="AB19" i="31"/>
  <c r="L14" i="31"/>
  <c r="J21" i="31"/>
  <c r="U5" i="31"/>
  <c r="BE7" i="31"/>
  <c r="C9" i="31"/>
  <c r="O10" i="31"/>
  <c r="AY10" i="31"/>
  <c r="AF11" i="31"/>
  <c r="AH12" i="31"/>
  <c r="I13" i="31"/>
  <c r="U14" i="31"/>
  <c r="O15" i="31"/>
  <c r="AS19" i="31"/>
  <c r="I21" i="31"/>
  <c r="H18" i="31"/>
  <c r="BA17" i="31"/>
  <c r="D5" i="31"/>
  <c r="C7" i="31"/>
  <c r="AM7" i="31"/>
  <c r="X8" i="31"/>
  <c r="AD9" i="31"/>
  <c r="P10" i="31"/>
  <c r="AG10" i="31"/>
  <c r="E11" i="31"/>
  <c r="BG11" i="31"/>
  <c r="AJ15" i="31"/>
  <c r="AO16" i="31"/>
  <c r="C17" i="31"/>
  <c r="AD18" i="31"/>
  <c r="AJ21" i="31"/>
  <c r="AV22" i="31"/>
  <c r="AW15" i="31"/>
  <c r="BH22" i="31"/>
  <c r="AW5" i="31"/>
  <c r="Z9" i="31"/>
  <c r="BH9" i="31"/>
  <c r="AW6" i="31"/>
  <c r="BC10" i="31"/>
  <c r="AW19" i="31"/>
  <c r="AW21" i="31"/>
  <c r="BD12" i="31"/>
  <c r="BH10" i="31"/>
  <c r="Z13" i="31"/>
  <c r="BC19" i="31"/>
  <c r="R11" i="31"/>
  <c r="BH20" i="31"/>
  <c r="BC21" i="31"/>
  <c r="BD10" i="31"/>
  <c r="Z5" i="31"/>
  <c r="R13" i="31"/>
  <c r="Z23" i="31"/>
  <c r="BH23" i="31"/>
  <c r="BD8" i="31"/>
  <c r="BD15" i="31"/>
  <c r="BC6" i="31"/>
  <c r="AW9" i="31"/>
  <c r="BC12" i="31"/>
  <c r="BC15" i="31"/>
  <c r="AW16" i="31"/>
  <c r="BD6" i="31"/>
  <c r="BD20" i="31"/>
  <c r="Z6" i="31"/>
  <c r="BD13" i="31"/>
  <c r="K23" i="31"/>
  <c r="BD22" i="31"/>
  <c r="R8" i="31"/>
  <c r="AA11" i="31"/>
  <c r="BH14" i="31"/>
  <c r="Z20" i="31"/>
  <c r="Z22" i="31"/>
  <c r="Z21" i="31"/>
  <c r="BD17" i="31"/>
  <c r="BH6" i="31"/>
  <c r="BC9" i="31"/>
  <c r="R12" i="31"/>
  <c r="BC13" i="31"/>
  <c r="R14" i="31"/>
  <c r="Z15" i="31"/>
  <c r="BH15" i="31"/>
  <c r="K9" i="31"/>
  <c r="K16" i="31"/>
  <c r="BD18" i="31"/>
  <c r="K21" i="31"/>
  <c r="AC23" i="31"/>
  <c r="AW8" i="31"/>
  <c r="AW12" i="31"/>
  <c r="K7" i="31"/>
  <c r="BD11" i="31"/>
  <c r="BD23" i="31"/>
  <c r="AW17" i="31"/>
  <c r="Z8" i="31"/>
  <c r="Z12" i="31"/>
  <c r="BH13" i="31"/>
  <c r="BH18" i="31"/>
  <c r="K5" i="31"/>
  <c r="K14" i="31"/>
  <c r="BD9" i="31"/>
  <c r="BD16" i="31"/>
  <c r="Z18" i="31"/>
  <c r="BD21" i="31"/>
  <c r="BC5" i="31"/>
  <c r="AW14" i="31"/>
  <c r="AW18" i="31"/>
  <c r="BD7" i="31"/>
  <c r="R7" i="31"/>
  <c r="R10" i="31"/>
  <c r="BH19" i="31"/>
  <c r="BD5" i="31"/>
  <c r="BD14" i="31"/>
  <c r="AW11" i="31"/>
  <c r="AW13" i="31"/>
  <c r="BC18" i="31"/>
  <c r="U48" i="24"/>
  <c r="U46" i="24"/>
  <c r="U47" i="24"/>
  <c r="AL19" i="31"/>
  <c r="AL12" i="31"/>
  <c r="AL14" i="31"/>
  <c r="N5" i="31"/>
  <c r="AL7" i="31"/>
  <c r="K18" i="31"/>
  <c r="AL23" i="31"/>
  <c r="BA5" i="31"/>
  <c r="K11" i="31"/>
  <c r="AL16" i="31"/>
  <c r="AU23" i="31"/>
  <c r="BI9" i="31"/>
  <c r="AA14" i="31"/>
  <c r="H11" i="31"/>
  <c r="AL9" i="31"/>
  <c r="AU16" i="31"/>
  <c r="K20" i="31"/>
  <c r="AU9" i="31"/>
  <c r="K13" i="31"/>
  <c r="AL18" i="31"/>
  <c r="BA8" i="31"/>
  <c r="K6" i="31"/>
  <c r="AL11" i="31"/>
  <c r="AU18" i="31"/>
  <c r="K22" i="31"/>
  <c r="AK9" i="31"/>
  <c r="AU11" i="31"/>
  <c r="K15" i="31"/>
  <c r="AL20" i="31"/>
  <c r="AL21" i="31"/>
  <c r="K8" i="31"/>
  <c r="AL13" i="31"/>
  <c r="AU20" i="31"/>
  <c r="AL5" i="31"/>
  <c r="AL6" i="31"/>
  <c r="AU13" i="31"/>
  <c r="K17" i="31"/>
  <c r="AL22" i="31"/>
  <c r="L16" i="31"/>
  <c r="K10" i="31"/>
  <c r="AL15" i="31"/>
  <c r="AU22" i="31"/>
  <c r="AE16" i="31"/>
  <c r="AL8" i="31"/>
  <c r="K19" i="31"/>
  <c r="BR20" i="31"/>
  <c r="H8" i="31"/>
  <c r="AE11" i="31"/>
  <c r="J16" i="31"/>
  <c r="AE17" i="31"/>
  <c r="J18" i="31"/>
  <c r="AE20" i="31"/>
  <c r="D22" i="31"/>
  <c r="BC22" i="31"/>
  <c r="N12" i="31"/>
  <c r="BI6" i="31"/>
  <c r="H23" i="31"/>
  <c r="BA10" i="31"/>
  <c r="BJ21" i="31"/>
  <c r="BI16" i="31"/>
  <c r="AA12" i="31"/>
  <c r="AK6" i="31"/>
  <c r="AE15" i="31"/>
  <c r="BJ15" i="31"/>
  <c r="BJ16" i="31"/>
  <c r="BJ18" i="31"/>
  <c r="BI22" i="31"/>
  <c r="L19" i="31"/>
  <c r="AK10" i="31"/>
  <c r="AK11" i="31"/>
  <c r="BI12" i="31"/>
  <c r="N14" i="31"/>
  <c r="AA21" i="31"/>
  <c r="AK23" i="31"/>
  <c r="BJ5" i="31"/>
  <c r="L7" i="31"/>
  <c r="BJ8" i="31"/>
  <c r="BJ12" i="31"/>
  <c r="AA5" i="31"/>
  <c r="H6" i="31"/>
  <c r="BJ23" i="31"/>
  <c r="AE12" i="31"/>
  <c r="N16" i="31"/>
  <c r="AA16" i="31"/>
  <c r="N17" i="31"/>
  <c r="H20" i="31"/>
  <c r="AA8" i="31"/>
  <c r="BR8" i="31"/>
  <c r="BR9" i="31"/>
  <c r="BI19" i="31"/>
  <c r="AK21" i="31"/>
  <c r="BA9" i="31"/>
  <c r="AE10" i="31"/>
  <c r="N11" i="31"/>
  <c r="BA11" i="31"/>
  <c r="BI13" i="31"/>
  <c r="BA14" i="31"/>
  <c r="BI17" i="31"/>
  <c r="AA19" i="31"/>
  <c r="AA20" i="31"/>
  <c r="AK5" i="31"/>
  <c r="BR5" i="31"/>
  <c r="BR7" i="31"/>
  <c r="BJ13" i="31"/>
  <c r="D15" i="31"/>
  <c r="BJ17" i="31"/>
  <c r="F20" i="31"/>
  <c r="D21" i="31"/>
  <c r="BR10" i="31"/>
  <c r="BR16" i="31"/>
  <c r="AA17" i="31"/>
  <c r="J20" i="31"/>
  <c r="BR23" i="31"/>
  <c r="J15" i="31"/>
  <c r="F22" i="31"/>
  <c r="BR13" i="31"/>
  <c r="BI18" i="31"/>
  <c r="G9" i="31"/>
  <c r="F10" i="31"/>
  <c r="O17" i="31"/>
  <c r="N18" i="31"/>
  <c r="L5" i="31"/>
  <c r="AB5" i="31"/>
  <c r="AR5" i="31"/>
  <c r="BH5" i="31"/>
  <c r="AA6" i="31"/>
  <c r="BG6" i="31"/>
  <c r="J7" i="31"/>
  <c r="BF7" i="31"/>
  <c r="I8" i="31"/>
  <c r="Y8" i="31"/>
  <c r="BE8" i="31"/>
  <c r="BU8" i="31"/>
  <c r="H9" i="31"/>
  <c r="BT9" i="31"/>
  <c r="G10" i="31"/>
  <c r="W10" i="31"/>
  <c r="BS10" i="31"/>
  <c r="F11" i="31"/>
  <c r="V11" i="31"/>
  <c r="BR11" i="31"/>
  <c r="E12" i="31"/>
  <c r="U12" i="31"/>
  <c r="AK12" i="31"/>
  <c r="BA12" i="31"/>
  <c r="BQ12" i="31"/>
  <c r="D13" i="31"/>
  <c r="AJ13" i="31"/>
  <c r="AZ13" i="31"/>
  <c r="BP13" i="31"/>
  <c r="C14" i="31"/>
  <c r="S14" i="31"/>
  <c r="AI14" i="31"/>
  <c r="BO14" i="31"/>
  <c r="R15" i="31"/>
  <c r="AH15" i="31"/>
  <c r="AX15" i="31"/>
  <c r="BN15" i="31"/>
  <c r="Q16" i="31"/>
  <c r="AG16" i="31"/>
  <c r="P17" i="31"/>
  <c r="AF17" i="31"/>
  <c r="AV17" i="31"/>
  <c r="BL17" i="31"/>
  <c r="O18" i="31"/>
  <c r="AE18" i="31"/>
  <c r="BK18" i="31"/>
  <c r="N19" i="31"/>
  <c r="AD19" i="31"/>
  <c r="BJ19" i="31"/>
  <c r="M20" i="31"/>
  <c r="AS20" i="31"/>
  <c r="BI20" i="31"/>
  <c r="L21" i="31"/>
  <c r="AB21" i="31"/>
  <c r="AR21" i="31"/>
  <c r="BH21" i="31"/>
  <c r="AA22" i="31"/>
  <c r="BG22" i="31"/>
  <c r="J23" i="31"/>
  <c r="BF23" i="31"/>
  <c r="L20" i="31"/>
  <c r="AS5" i="31"/>
  <c r="BI5" i="31"/>
  <c r="L6" i="31"/>
  <c r="AB6" i="31"/>
  <c r="AR6" i="31"/>
  <c r="AA7" i="31"/>
  <c r="AQ7" i="31"/>
  <c r="J8" i="31"/>
  <c r="AP8" i="31"/>
  <c r="I9" i="31"/>
  <c r="Y9" i="31"/>
  <c r="AO9" i="31"/>
  <c r="BU9" i="31"/>
  <c r="H10" i="31"/>
  <c r="AN10" i="31"/>
  <c r="BT10" i="31"/>
  <c r="G11" i="31"/>
  <c r="W11" i="31"/>
  <c r="AM11" i="31"/>
  <c r="BS11" i="31"/>
  <c r="F12" i="31"/>
  <c r="V12" i="31"/>
  <c r="BR12" i="31"/>
  <c r="E13" i="31"/>
  <c r="U13" i="31"/>
  <c r="AK13" i="31"/>
  <c r="BA13" i="31"/>
  <c r="BQ13" i="31"/>
  <c r="D14" i="31"/>
  <c r="BP14" i="31"/>
  <c r="C15" i="31"/>
  <c r="BO15" i="31"/>
  <c r="R16" i="31"/>
  <c r="AH16" i="31"/>
  <c r="AX16" i="31"/>
  <c r="BN16" i="31"/>
  <c r="AV18" i="31"/>
  <c r="O19" i="31"/>
  <c r="AE19" i="31"/>
  <c r="N20" i="31"/>
  <c r="AT20" i="31"/>
  <c r="AS21" i="31"/>
  <c r="BI21" i="31"/>
  <c r="L22" i="31"/>
  <c r="AB22" i="31"/>
  <c r="AR22" i="31"/>
  <c r="AA23" i="31"/>
  <c r="AQ23" i="31"/>
  <c r="F13" i="31"/>
  <c r="O20" i="31"/>
  <c r="N21" i="31"/>
  <c r="AS22" i="31"/>
  <c r="O5" i="31"/>
  <c r="AE5" i="31"/>
  <c r="BK5" i="31"/>
  <c r="N6" i="31"/>
  <c r="BJ6" i="31"/>
  <c r="M7" i="31"/>
  <c r="AS7" i="31"/>
  <c r="BI7" i="31"/>
  <c r="L8" i="31"/>
  <c r="AB8" i="31"/>
  <c r="AR8" i="31"/>
  <c r="BH8" i="31"/>
  <c r="AA9" i="31"/>
  <c r="BG9" i="31"/>
  <c r="J10" i="31"/>
  <c r="Z10" i="31"/>
  <c r="BF10" i="31"/>
  <c r="I11" i="31"/>
  <c r="Y11" i="31"/>
  <c r="BE11" i="31"/>
  <c r="H12" i="31"/>
  <c r="X12" i="31"/>
  <c r="G13" i="31"/>
  <c r="W13" i="31"/>
  <c r="BS13" i="31"/>
  <c r="F14" i="31"/>
  <c r="V14" i="31"/>
  <c r="BR14" i="31"/>
  <c r="U15" i="31"/>
  <c r="AK15" i="31"/>
  <c r="BA15" i="31"/>
  <c r="BQ15" i="31"/>
  <c r="D16" i="31"/>
  <c r="BP16" i="31"/>
  <c r="S17" i="31"/>
  <c r="R18" i="31"/>
  <c r="AH18" i="31"/>
  <c r="AX18" i="31"/>
  <c r="BN18" i="31"/>
  <c r="Q19" i="31"/>
  <c r="P20" i="31"/>
  <c r="AV20" i="31"/>
  <c r="BL20" i="31"/>
  <c r="O21" i="31"/>
  <c r="AE21" i="31"/>
  <c r="BK21" i="31"/>
  <c r="N22" i="31"/>
  <c r="BJ22" i="31"/>
  <c r="M23" i="31"/>
  <c r="AS23" i="31"/>
  <c r="BI23" i="31"/>
  <c r="AD5" i="31"/>
  <c r="G12" i="31"/>
  <c r="AK14" i="31"/>
  <c r="L23" i="31"/>
  <c r="AV5" i="31"/>
  <c r="O6" i="31"/>
  <c r="AE6" i="31"/>
  <c r="N7" i="31"/>
  <c r="AD7" i="31"/>
  <c r="AT7" i="31"/>
  <c r="AS8" i="31"/>
  <c r="BI8" i="31"/>
  <c r="L9" i="31"/>
  <c r="AB9" i="31"/>
  <c r="AR9" i="31"/>
  <c r="AA10" i="31"/>
  <c r="AQ10" i="31"/>
  <c r="J11" i="31"/>
  <c r="Z11" i="31"/>
  <c r="AP11" i="31"/>
  <c r="I12" i="31"/>
  <c r="Y12" i="31"/>
  <c r="AO12" i="31"/>
  <c r="BU12" i="31"/>
  <c r="H13" i="31"/>
  <c r="X13" i="31"/>
  <c r="AN13" i="31"/>
  <c r="BT13" i="31"/>
  <c r="G14" i="31"/>
  <c r="W14" i="31"/>
  <c r="AM14" i="31"/>
  <c r="BC14" i="31"/>
  <c r="BS14" i="31"/>
  <c r="F15" i="31"/>
  <c r="V15" i="31"/>
  <c r="BB15" i="31"/>
  <c r="BR15" i="31"/>
  <c r="E16" i="31"/>
  <c r="U16" i="31"/>
  <c r="AK16" i="31"/>
  <c r="BA16" i="31"/>
  <c r="BQ16" i="31"/>
  <c r="D17" i="31"/>
  <c r="AJ17" i="31"/>
  <c r="AZ17" i="31"/>
  <c r="BP17" i="31"/>
  <c r="C18" i="31"/>
  <c r="S18" i="31"/>
  <c r="AI18" i="31"/>
  <c r="AY18" i="31"/>
  <c r="BO18" i="31"/>
  <c r="R19" i="31"/>
  <c r="AH19" i="31"/>
  <c r="AX19" i="31"/>
  <c r="BN19" i="31"/>
  <c r="Q20" i="31"/>
  <c r="AG20" i="31"/>
  <c r="AW20" i="31"/>
  <c r="P21" i="31"/>
  <c r="AF21" i="31"/>
  <c r="AV21" i="31"/>
  <c r="O22" i="31"/>
  <c r="AE22" i="31"/>
  <c r="N23" i="31"/>
  <c r="AD23" i="31"/>
  <c r="AT23" i="31"/>
  <c r="AT8" i="31"/>
  <c r="H14" i="31"/>
  <c r="R20" i="31"/>
  <c r="AH20" i="31"/>
  <c r="AG21" i="31"/>
  <c r="AF22" i="31"/>
  <c r="O23" i="31"/>
  <c r="AG5" i="31"/>
  <c r="AF6" i="31"/>
  <c r="AE7" i="31"/>
  <c r="AD8" i="31"/>
  <c r="AS9" i="31"/>
  <c r="L10" i="31"/>
  <c r="AO13" i="31"/>
  <c r="AN14" i="31"/>
  <c r="G15" i="31"/>
  <c r="AK17" i="31"/>
  <c r="AI19" i="31"/>
  <c r="R5" i="31"/>
  <c r="AH5" i="31"/>
  <c r="AX5" i="31"/>
  <c r="BN5" i="31"/>
  <c r="Q6" i="31"/>
  <c r="P7" i="31"/>
  <c r="AV7" i="31"/>
  <c r="BL7" i="31"/>
  <c r="O8" i="31"/>
  <c r="AE8" i="31"/>
  <c r="BK8" i="31"/>
  <c r="N9" i="31"/>
  <c r="AT9" i="31"/>
  <c r="BJ9" i="31"/>
  <c r="M10" i="31"/>
  <c r="AS10" i="31"/>
  <c r="BI10" i="31"/>
  <c r="L11" i="31"/>
  <c r="AR11" i="31"/>
  <c r="BH11" i="31"/>
  <c r="AQ12" i="31"/>
  <c r="BG12" i="31"/>
  <c r="J13" i="31"/>
  <c r="AP13" i="31"/>
  <c r="BF13" i="31"/>
  <c r="I14" i="31"/>
  <c r="AO14" i="31"/>
  <c r="BE14" i="31"/>
  <c r="BU14" i="31"/>
  <c r="H15" i="31"/>
  <c r="AN15" i="31"/>
  <c r="BT15" i="31"/>
  <c r="G16" i="31"/>
  <c r="AM16" i="31"/>
  <c r="BC16" i="31"/>
  <c r="BS16" i="31"/>
  <c r="F17" i="31"/>
  <c r="BB17" i="31"/>
  <c r="BR17" i="31"/>
  <c r="AK18" i="31"/>
  <c r="BA18" i="31"/>
  <c r="BQ18" i="31"/>
  <c r="D19" i="31"/>
  <c r="AJ19" i="31"/>
  <c r="AZ19" i="31"/>
  <c r="BP19" i="31"/>
  <c r="S20" i="31"/>
  <c r="AI20" i="31"/>
  <c r="AY20" i="31"/>
  <c r="BO20" i="31"/>
  <c r="R21" i="31"/>
  <c r="AH21" i="31"/>
  <c r="AX21" i="31"/>
  <c r="BN21" i="31"/>
  <c r="Q22" i="31"/>
  <c r="AG22" i="31"/>
  <c r="AW22" i="31"/>
  <c r="P23" i="31"/>
  <c r="AF23" i="31"/>
  <c r="AV23" i="31"/>
  <c r="BL23" i="31"/>
  <c r="N8" i="31"/>
  <c r="AR10" i="31"/>
  <c r="AQ11" i="31"/>
  <c r="AP12" i="31"/>
  <c r="AM15" i="31"/>
  <c r="F16" i="31"/>
  <c r="U17" i="31"/>
  <c r="AJ18" i="31"/>
  <c r="AE23" i="31"/>
  <c r="C5" i="31"/>
  <c r="AY5" i="31"/>
  <c r="R6" i="31"/>
  <c r="AH6" i="31"/>
  <c r="AX6" i="31"/>
  <c r="BN6" i="31"/>
  <c r="AW7" i="31"/>
  <c r="AV8" i="31"/>
  <c r="BL8" i="31"/>
  <c r="O9" i="31"/>
  <c r="AE9" i="31"/>
  <c r="BK9" i="31"/>
  <c r="N10" i="31"/>
  <c r="BJ10" i="31"/>
  <c r="AS11" i="31"/>
  <c r="BI11" i="31"/>
  <c r="L12" i="31"/>
  <c r="AB12" i="31"/>
  <c r="AR12" i="31"/>
  <c r="BH12" i="31"/>
  <c r="AA13" i="31"/>
  <c r="BG13" i="31"/>
  <c r="J14" i="31"/>
  <c r="Z14" i="31"/>
  <c r="BF14" i="31"/>
  <c r="I15" i="31"/>
  <c r="Y15" i="31"/>
  <c r="BE15" i="31"/>
  <c r="BU15" i="31"/>
  <c r="H16" i="31"/>
  <c r="X16" i="31"/>
  <c r="G17" i="31"/>
  <c r="W17" i="31"/>
  <c r="BC17" i="31"/>
  <c r="BS17" i="31"/>
  <c r="F18" i="31"/>
  <c r="V18" i="31"/>
  <c r="BB18" i="31"/>
  <c r="BR18" i="31"/>
  <c r="E19" i="31"/>
  <c r="U19" i="31"/>
  <c r="AK19" i="31"/>
  <c r="BA19" i="31"/>
  <c r="BQ19" i="31"/>
  <c r="D20" i="31"/>
  <c r="AZ20" i="31"/>
  <c r="BP20" i="31"/>
  <c r="C21" i="31"/>
  <c r="AY21" i="31"/>
  <c r="BO21" i="31"/>
  <c r="R22" i="31"/>
  <c r="AX22" i="31"/>
  <c r="BN22" i="31"/>
  <c r="AW23" i="31"/>
  <c r="L13" i="31"/>
  <c r="H17" i="31"/>
  <c r="G18" i="31"/>
  <c r="W18" i="31"/>
  <c r="F19" i="31"/>
  <c r="BR19" i="31"/>
  <c r="U20" i="31"/>
  <c r="AK20" i="31"/>
  <c r="BA20" i="31"/>
  <c r="R23" i="31"/>
  <c r="G19" i="31"/>
  <c r="BA6" i="31"/>
  <c r="AW10" i="31"/>
  <c r="P11" i="31"/>
  <c r="G20" i="31"/>
  <c r="W20" i="31"/>
  <c r="BC20" i="31"/>
  <c r="F21" i="31"/>
  <c r="BB21" i="31"/>
  <c r="BR21" i="31"/>
  <c r="E22" i="31"/>
  <c r="U22" i="31"/>
  <c r="AK22" i="31"/>
  <c r="BA22" i="31"/>
  <c r="F5" i="31"/>
  <c r="BB5" i="31"/>
  <c r="D7" i="31"/>
  <c r="AY8" i="31"/>
  <c r="R9" i="31"/>
  <c r="AV11" i="31"/>
  <c r="O12" i="31"/>
  <c r="AS14" i="31"/>
  <c r="L15" i="31"/>
  <c r="I18" i="31"/>
  <c r="H19" i="31"/>
  <c r="G5" i="31"/>
  <c r="W5" i="31"/>
  <c r="AM5" i="31"/>
  <c r="BS5" i="31"/>
  <c r="F6" i="31"/>
  <c r="V6" i="31"/>
  <c r="BR6" i="31"/>
  <c r="AK7" i="31"/>
  <c r="BA7" i="31"/>
  <c r="BQ7" i="31"/>
  <c r="D8" i="31"/>
  <c r="AJ8" i="31"/>
  <c r="BP8" i="31"/>
  <c r="AI9" i="31"/>
  <c r="AH10" i="31"/>
  <c r="AX10" i="31"/>
  <c r="AG11" i="31"/>
  <c r="AF12" i="31"/>
  <c r="AV12" i="31"/>
  <c r="BL12" i="31"/>
  <c r="AE13" i="31"/>
  <c r="BK13" i="31"/>
  <c r="AD14" i="31"/>
  <c r="AT14" i="31"/>
  <c r="BJ14" i="31"/>
  <c r="AS15" i="31"/>
  <c r="BI15" i="31"/>
  <c r="AR16" i="31"/>
  <c r="BH16" i="31"/>
  <c r="AQ17" i="31"/>
  <c r="BG17" i="31"/>
  <c r="AP18" i="31"/>
  <c r="BF18" i="31"/>
  <c r="AO19" i="31"/>
  <c r="BE19" i="31"/>
  <c r="AN20" i="31"/>
  <c r="AM21" i="31"/>
  <c r="BS21" i="31"/>
  <c r="BB22" i="31"/>
  <c r="BR22" i="31"/>
  <c r="BA23" i="31"/>
  <c r="E6" i="31"/>
  <c r="AZ7" i="31"/>
  <c r="C8" i="31"/>
  <c r="S8" i="31"/>
  <c r="AX9" i="31"/>
  <c r="Q10" i="31"/>
  <c r="N13" i="31"/>
  <c r="M14" i="31"/>
  <c r="J17" i="31"/>
  <c r="D23" i="31"/>
  <c r="H5" i="31"/>
  <c r="X5" i="31"/>
  <c r="G6" i="31"/>
  <c r="W6" i="31"/>
  <c r="F7" i="31"/>
  <c r="V7" i="31"/>
  <c r="U8" i="31"/>
  <c r="AK8" i="31"/>
  <c r="D9" i="31"/>
  <c r="AJ9" i="31"/>
  <c r="AI10" i="31"/>
  <c r="AH11" i="31"/>
  <c r="AX11" i="31"/>
  <c r="AG12" i="31"/>
  <c r="AF13" i="31"/>
  <c r="O14" i="31"/>
  <c r="AE14" i="31"/>
  <c r="N15" i="31"/>
  <c r="AD15" i="31"/>
  <c r="AS16" i="31"/>
  <c r="L17" i="31"/>
  <c r="AB17" i="31"/>
  <c r="AA18" i="31"/>
  <c r="J19" i="31"/>
  <c r="Z19" i="31"/>
  <c r="I20" i="31"/>
  <c r="Y20" i="31"/>
  <c r="H21" i="31"/>
  <c r="X21" i="31"/>
  <c r="G22" i="31"/>
  <c r="W22" i="31"/>
  <c r="F23" i="31"/>
  <c r="V23" i="31"/>
  <c r="G7" i="31"/>
  <c r="L18" i="31"/>
  <c r="H22" i="31"/>
  <c r="G23" i="31"/>
  <c r="W23" i="31"/>
  <c r="F8" i="31"/>
  <c r="J5" i="31"/>
  <c r="Y6" i="31"/>
  <c r="H7" i="31"/>
  <c r="W8" i="31"/>
  <c r="V9" i="31"/>
  <c r="D11" i="31"/>
  <c r="U45" i="24" l="1"/>
  <c r="U44" i="24"/>
  <c r="U13" i="24"/>
  <c r="U38" i="24"/>
  <c r="U39" i="24"/>
  <c r="U37" i="24"/>
  <c r="AF12" i="21"/>
  <c r="AF11" i="21"/>
  <c r="U10" i="24" l="1"/>
  <c r="U28" i="24"/>
  <c r="U34" i="24" s="1"/>
  <c r="U40" i="24" s="1"/>
  <c r="U29" i="24"/>
  <c r="U35" i="24" s="1"/>
  <c r="U41" i="24" s="1"/>
  <c r="U30" i="24"/>
  <c r="U36" i="24" s="1"/>
  <c r="U42" i="24" s="1"/>
  <c r="H2" i="35"/>
  <c r="D5" i="24"/>
  <c r="D6" i="24"/>
  <c r="F6" i="24"/>
  <c r="M6" i="24"/>
  <c r="D7" i="24"/>
  <c r="F7" i="24"/>
  <c r="M7" i="24"/>
  <c r="D8" i="24"/>
  <c r="F8" i="24"/>
  <c r="M8" i="24"/>
  <c r="D9" i="24"/>
  <c r="F9" i="24"/>
  <c r="M9" i="24"/>
  <c r="D10" i="24"/>
  <c r="F10" i="24"/>
  <c r="M10" i="24"/>
  <c r="D11" i="24"/>
  <c r="F11" i="24"/>
  <c r="M11" i="24"/>
  <c r="D12" i="24"/>
  <c r="F12" i="24"/>
  <c r="M12" i="24"/>
  <c r="D13" i="24"/>
  <c r="F13" i="24"/>
  <c r="M13" i="24"/>
  <c r="D14" i="24"/>
  <c r="F14" i="24"/>
  <c r="M14" i="24"/>
  <c r="D15" i="24"/>
  <c r="F15" i="24"/>
  <c r="M15" i="24"/>
  <c r="D16" i="24"/>
  <c r="F16" i="24"/>
  <c r="M16" i="24"/>
  <c r="D17" i="24"/>
  <c r="F17" i="24"/>
  <c r="M17" i="24"/>
  <c r="D18" i="24"/>
  <c r="F18" i="24"/>
  <c r="M18" i="24"/>
  <c r="D19" i="24"/>
  <c r="F19" i="24"/>
  <c r="M19" i="24"/>
  <c r="D20" i="24"/>
  <c r="F20" i="24"/>
  <c r="M20" i="24"/>
  <c r="D21" i="24"/>
  <c r="F21" i="24"/>
  <c r="M21" i="24"/>
  <c r="D22" i="24"/>
  <c r="F22" i="24"/>
  <c r="M22" i="24"/>
  <c r="D23" i="24"/>
  <c r="F23" i="24"/>
  <c r="M23" i="24"/>
  <c r="D24" i="24"/>
  <c r="F24" i="24"/>
  <c r="M24" i="24"/>
  <c r="D25" i="24"/>
  <c r="F25" i="24"/>
  <c r="M25" i="24"/>
  <c r="D26" i="24"/>
  <c r="F26" i="24"/>
  <c r="M26" i="24"/>
  <c r="D27" i="24"/>
  <c r="F27" i="24"/>
  <c r="M27" i="24"/>
  <c r="D28" i="24"/>
  <c r="F28" i="24"/>
  <c r="M28" i="24"/>
  <c r="D29" i="24"/>
  <c r="F29" i="24"/>
  <c r="M29" i="24"/>
  <c r="D30" i="24"/>
  <c r="F30" i="24"/>
  <c r="M30" i="24"/>
  <c r="D31" i="24"/>
  <c r="F31" i="24"/>
  <c r="M31" i="24"/>
  <c r="D32" i="24"/>
  <c r="F32" i="24"/>
  <c r="M32" i="24"/>
  <c r="D33" i="24"/>
  <c r="F33" i="24"/>
  <c r="M33" i="24"/>
  <c r="D34" i="24"/>
  <c r="F34" i="24"/>
  <c r="M34" i="24"/>
  <c r="D35" i="24"/>
  <c r="F35" i="24"/>
  <c r="M35" i="24"/>
  <c r="D36" i="24"/>
  <c r="F36" i="24"/>
  <c r="M36" i="24"/>
  <c r="D37" i="24"/>
  <c r="F37" i="24"/>
  <c r="M37" i="24"/>
  <c r="D38" i="24"/>
  <c r="F38" i="24"/>
  <c r="M38" i="24"/>
  <c r="D39" i="24"/>
  <c r="F39" i="24"/>
  <c r="M39" i="24"/>
  <c r="D40" i="24"/>
  <c r="F40" i="24"/>
  <c r="M40" i="24"/>
  <c r="D41" i="24"/>
  <c r="F41" i="24"/>
  <c r="M41" i="24"/>
  <c r="D42" i="24"/>
  <c r="F42" i="24"/>
  <c r="M42" i="24"/>
  <c r="D43" i="24"/>
  <c r="F43" i="24"/>
  <c r="M43" i="24"/>
  <c r="D44" i="24"/>
  <c r="F44" i="24"/>
  <c r="M44" i="24"/>
  <c r="D45" i="24"/>
  <c r="F45" i="24"/>
  <c r="M45" i="24"/>
  <c r="D46" i="24"/>
  <c r="F46" i="24"/>
  <c r="M46" i="24"/>
  <c r="D47" i="24"/>
  <c r="F47" i="24"/>
  <c r="M47" i="24"/>
  <c r="D48" i="24"/>
  <c r="F48" i="24"/>
  <c r="M48" i="24"/>
  <c r="D49" i="24"/>
  <c r="F49" i="24"/>
  <c r="M49" i="24"/>
  <c r="D50" i="24"/>
  <c r="F50" i="24"/>
  <c r="M50" i="24"/>
  <c r="D51" i="24"/>
  <c r="E51" i="24"/>
  <c r="F51" i="24"/>
  <c r="G51" i="24"/>
  <c r="O51" i="24" s="1"/>
  <c r="P51" i="24" s="1"/>
  <c r="H51" i="24"/>
  <c r="I51" i="24"/>
  <c r="M51" i="24"/>
  <c r="D52" i="24"/>
  <c r="E52" i="24"/>
  <c r="F52" i="24"/>
  <c r="G52" i="24"/>
  <c r="H52" i="24"/>
  <c r="M52" i="24"/>
  <c r="D53" i="24"/>
  <c r="E53" i="24"/>
  <c r="F53" i="24"/>
  <c r="G53" i="24"/>
  <c r="I53" i="24" s="1"/>
  <c r="H53" i="24"/>
  <c r="M53" i="24"/>
  <c r="O53" i="24"/>
  <c r="P53" i="24" s="1"/>
  <c r="Q53" i="24"/>
  <c r="D54" i="24"/>
  <c r="E54" i="24"/>
  <c r="F54" i="24"/>
  <c r="M54" i="24"/>
  <c r="D55" i="24"/>
  <c r="E55" i="24"/>
  <c r="F55" i="24"/>
  <c r="M55" i="24"/>
  <c r="D56" i="24"/>
  <c r="E56" i="24"/>
  <c r="F56" i="24"/>
  <c r="M56" i="24"/>
  <c r="D57" i="24"/>
  <c r="E57" i="24"/>
  <c r="F57" i="24"/>
  <c r="M57" i="24"/>
  <c r="D58" i="24"/>
  <c r="E58" i="24"/>
  <c r="F58" i="24"/>
  <c r="M58" i="24"/>
  <c r="D59" i="24"/>
  <c r="E59" i="24"/>
  <c r="F59" i="24"/>
  <c r="M59" i="24"/>
  <c r="D60" i="24"/>
  <c r="E60" i="24"/>
  <c r="F60" i="24"/>
  <c r="M60" i="24"/>
  <c r="D61" i="24"/>
  <c r="E61" i="24"/>
  <c r="F61" i="24"/>
  <c r="M61" i="24"/>
  <c r="D62" i="24"/>
  <c r="E62" i="24"/>
  <c r="F62" i="24"/>
  <c r="M62" i="24"/>
  <c r="D63" i="24"/>
  <c r="E63" i="24"/>
  <c r="F63" i="24"/>
  <c r="M63" i="24"/>
  <c r="D64" i="24"/>
  <c r="E64" i="24"/>
  <c r="F64" i="24"/>
  <c r="M64" i="24"/>
  <c r="D65" i="24"/>
  <c r="E65" i="24"/>
  <c r="F65" i="24"/>
  <c r="M65" i="24"/>
  <c r="D66" i="24"/>
  <c r="E66" i="24"/>
  <c r="F66" i="24"/>
  <c r="M66" i="24"/>
  <c r="D67" i="24"/>
  <c r="E67" i="24"/>
  <c r="F67" i="24"/>
  <c r="M67" i="24"/>
  <c r="D68" i="24"/>
  <c r="E68" i="24"/>
  <c r="F68" i="24"/>
  <c r="M68" i="24"/>
  <c r="D69" i="24"/>
  <c r="E69" i="24"/>
  <c r="F69" i="24"/>
  <c r="M69" i="24"/>
  <c r="D70" i="24"/>
  <c r="E70" i="24"/>
  <c r="F70" i="24"/>
  <c r="M70" i="24"/>
  <c r="D71" i="24"/>
  <c r="E71" i="24"/>
  <c r="F71" i="24"/>
  <c r="M71" i="24"/>
  <c r="D72" i="24"/>
  <c r="E72" i="24"/>
  <c r="F72" i="24"/>
  <c r="M72" i="24"/>
  <c r="D73" i="24"/>
  <c r="E73" i="24"/>
  <c r="F73" i="24"/>
  <c r="M73" i="24"/>
  <c r="D74" i="24"/>
  <c r="E74" i="24"/>
  <c r="F74" i="24"/>
  <c r="M74" i="24"/>
  <c r="D75" i="24"/>
  <c r="E75" i="24"/>
  <c r="F75" i="24"/>
  <c r="M75" i="24"/>
  <c r="D76" i="24"/>
  <c r="E76" i="24"/>
  <c r="F76" i="24"/>
  <c r="M76" i="24"/>
  <c r="D77" i="24"/>
  <c r="E77" i="24"/>
  <c r="F77" i="24"/>
  <c r="M77" i="24"/>
  <c r="D78" i="24"/>
  <c r="E78" i="24"/>
  <c r="F78" i="24"/>
  <c r="M78" i="24"/>
  <c r="D79" i="24"/>
  <c r="E79" i="24"/>
  <c r="F79" i="24"/>
  <c r="M79" i="24"/>
  <c r="D80" i="24"/>
  <c r="E80" i="24"/>
  <c r="F80" i="24"/>
  <c r="M80" i="24"/>
  <c r="D81" i="24"/>
  <c r="E81" i="24"/>
  <c r="F81" i="24"/>
  <c r="M81" i="24"/>
  <c r="D82" i="24"/>
  <c r="E82" i="24"/>
  <c r="F82" i="24"/>
  <c r="M82" i="24"/>
  <c r="D83" i="24"/>
  <c r="E83" i="24"/>
  <c r="F83" i="24"/>
  <c r="M83" i="24"/>
  <c r="D84" i="24"/>
  <c r="E84" i="24"/>
  <c r="F84" i="24"/>
  <c r="M84" i="24"/>
  <c r="D85" i="24"/>
  <c r="E85" i="24"/>
  <c r="F85" i="24"/>
  <c r="M85" i="24"/>
  <c r="D86" i="24"/>
  <c r="E86" i="24"/>
  <c r="F86" i="24"/>
  <c r="M86" i="24"/>
  <c r="D87" i="24"/>
  <c r="E87" i="24"/>
  <c r="F87" i="24"/>
  <c r="M87" i="24"/>
  <c r="D88" i="24"/>
  <c r="E88" i="24"/>
  <c r="F88" i="24"/>
  <c r="M88" i="24"/>
  <c r="D89" i="24"/>
  <c r="E89" i="24"/>
  <c r="F89" i="24"/>
  <c r="M89" i="24"/>
  <c r="D90" i="24"/>
  <c r="E90" i="24"/>
  <c r="F90" i="24"/>
  <c r="M90" i="24"/>
  <c r="D91" i="24"/>
  <c r="E91" i="24"/>
  <c r="F91" i="24"/>
  <c r="M91" i="24"/>
  <c r="D92" i="24"/>
  <c r="E92" i="24"/>
  <c r="F92" i="24"/>
  <c r="M92" i="24"/>
  <c r="D93" i="24"/>
  <c r="E93" i="24"/>
  <c r="F93" i="24"/>
  <c r="M93" i="24"/>
  <c r="D94" i="24"/>
  <c r="E94" i="24"/>
  <c r="F94" i="24"/>
  <c r="M94" i="24"/>
  <c r="D95" i="24"/>
  <c r="E95" i="24"/>
  <c r="F95" i="24"/>
  <c r="G95" i="24"/>
  <c r="O95" i="24" s="1"/>
  <c r="P95" i="24" s="1"/>
  <c r="H95" i="24"/>
  <c r="M95" i="24"/>
  <c r="D96" i="24"/>
  <c r="E96" i="24"/>
  <c r="F96" i="24"/>
  <c r="G96" i="24"/>
  <c r="H96" i="24"/>
  <c r="M96" i="24"/>
  <c r="D97" i="24"/>
  <c r="E97" i="24"/>
  <c r="F97" i="24"/>
  <c r="G97" i="24"/>
  <c r="H97" i="24"/>
  <c r="M97" i="24"/>
  <c r="O97" i="24"/>
  <c r="P97" i="24" s="1"/>
  <c r="D98" i="24"/>
  <c r="E98" i="24"/>
  <c r="F98" i="24"/>
  <c r="G98" i="24"/>
  <c r="O98" i="24" s="1"/>
  <c r="P98" i="24" s="1"/>
  <c r="H98" i="24"/>
  <c r="I98" i="24"/>
  <c r="M98" i="24"/>
  <c r="D99" i="24"/>
  <c r="E99" i="24"/>
  <c r="F99" i="24"/>
  <c r="G99" i="24"/>
  <c r="O99" i="24" s="1"/>
  <c r="P99" i="24" s="1"/>
  <c r="H99" i="24"/>
  <c r="I99" i="24"/>
  <c r="M99" i="24"/>
  <c r="D100" i="24"/>
  <c r="E100" i="24"/>
  <c r="F100" i="24"/>
  <c r="G100" i="24"/>
  <c r="H100" i="24"/>
  <c r="M100" i="24"/>
  <c r="D101" i="24"/>
  <c r="E101" i="24"/>
  <c r="F101" i="24"/>
  <c r="G101" i="24"/>
  <c r="I101" i="24" s="1"/>
  <c r="H101" i="24"/>
  <c r="M101" i="24"/>
  <c r="O101" i="24"/>
  <c r="P101" i="24" s="1"/>
  <c r="Q101" i="24"/>
  <c r="D102" i="24"/>
  <c r="E102" i="24"/>
  <c r="F102" i="24"/>
  <c r="G102" i="24"/>
  <c r="I102" i="24" s="1"/>
  <c r="H102" i="24"/>
  <c r="M102" i="24"/>
  <c r="O102" i="24"/>
  <c r="P102" i="24" s="1"/>
  <c r="Q102" i="24"/>
  <c r="D103" i="24"/>
  <c r="E103" i="24"/>
  <c r="F103" i="24"/>
  <c r="G103" i="24"/>
  <c r="O103" i="24" s="1"/>
  <c r="P103" i="24" s="1"/>
  <c r="H103" i="24"/>
  <c r="I103" i="24"/>
  <c r="M103" i="24"/>
  <c r="D104" i="24"/>
  <c r="E104" i="24"/>
  <c r="F104" i="24"/>
  <c r="G104" i="24"/>
  <c r="H104" i="24"/>
  <c r="M104" i="24"/>
  <c r="D105" i="24"/>
  <c r="E105" i="24"/>
  <c r="F105" i="24"/>
  <c r="G105" i="24"/>
  <c r="I105" i="24" s="1"/>
  <c r="H105" i="24"/>
  <c r="M105" i="24"/>
  <c r="O105" i="24"/>
  <c r="P105" i="24" s="1"/>
  <c r="Q105" i="24"/>
  <c r="F5" i="24"/>
  <c r="E5" i="24"/>
  <c r="F30" i="20"/>
  <c r="I100" i="24" l="1"/>
  <c r="I97" i="24"/>
  <c r="I52" i="24"/>
  <c r="I96" i="24"/>
  <c r="I104" i="24"/>
  <c r="Q98" i="24"/>
  <c r="I95" i="24"/>
  <c r="Q97" i="24"/>
  <c r="Q100" i="24"/>
  <c r="Q104" i="24"/>
  <c r="O104" i="24"/>
  <c r="P104" i="24" s="1"/>
  <c r="Q103" i="24"/>
  <c r="O100" i="24"/>
  <c r="P100" i="24" s="1"/>
  <c r="Q99" i="24"/>
  <c r="O96" i="24"/>
  <c r="P96" i="24" s="1"/>
  <c r="Q95" i="24"/>
  <c r="O52" i="24"/>
  <c r="P52" i="24" s="1"/>
  <c r="Q51" i="24"/>
  <c r="Q96" i="24"/>
  <c r="Q52" i="24"/>
  <c r="H30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G37" i="24" l="1"/>
  <c r="H37" i="24"/>
  <c r="H29" i="24"/>
  <c r="G29" i="24"/>
  <c r="G21" i="24"/>
  <c r="H21" i="24"/>
  <c r="H13" i="24"/>
  <c r="G13" i="24"/>
  <c r="H5" i="24"/>
  <c r="G5" i="24"/>
  <c r="G11" i="24"/>
  <c r="H11" i="24"/>
  <c r="G6" i="24"/>
  <c r="H6" i="24"/>
  <c r="G28" i="24"/>
  <c r="H28" i="24"/>
  <c r="G27" i="24"/>
  <c r="H27" i="24"/>
  <c r="G34" i="24"/>
  <c r="H34" i="24"/>
  <c r="G26" i="24"/>
  <c r="H26" i="24"/>
  <c r="H18" i="24"/>
  <c r="G18" i="24"/>
  <c r="G10" i="24"/>
  <c r="H10" i="24"/>
  <c r="H33" i="24"/>
  <c r="G33" i="24"/>
  <c r="G9" i="24"/>
  <c r="H9" i="24"/>
  <c r="G22" i="24"/>
  <c r="H22" i="24"/>
  <c r="H36" i="24"/>
  <c r="G36" i="24"/>
  <c r="G20" i="24"/>
  <c r="H20" i="24"/>
  <c r="G12" i="24"/>
  <c r="H12" i="24"/>
  <c r="G35" i="24"/>
  <c r="H35" i="24"/>
  <c r="G25" i="24"/>
  <c r="H25" i="24"/>
  <c r="G32" i="24"/>
  <c r="H32" i="24"/>
  <c r="G24" i="24"/>
  <c r="H24" i="24"/>
  <c r="G16" i="24"/>
  <c r="H16" i="24"/>
  <c r="G8" i="24"/>
  <c r="H8" i="24"/>
  <c r="H30" i="24"/>
  <c r="G30" i="24"/>
  <c r="G14" i="24"/>
  <c r="H14" i="24"/>
  <c r="G19" i="24"/>
  <c r="H19" i="24"/>
  <c r="G17" i="24"/>
  <c r="H17" i="24"/>
  <c r="H31" i="24"/>
  <c r="G31" i="24"/>
  <c r="G23" i="24"/>
  <c r="H23" i="24"/>
  <c r="H15" i="24"/>
  <c r="G15" i="24"/>
  <c r="G7" i="24"/>
  <c r="H7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BQ12" i="22"/>
  <c r="BA9" i="22"/>
  <c r="BA8" i="22"/>
  <c r="BQ6" i="22" s="1"/>
  <c r="BA7" i="22"/>
  <c r="BA6" i="22"/>
  <c r="BQ11" i="22" s="1"/>
  <c r="AF8" i="22"/>
  <c r="AP8" i="22" s="1"/>
  <c r="AB26" i="21"/>
  <c r="AB21" i="21"/>
  <c r="AB9" i="21"/>
  <c r="AB3" i="24"/>
  <c r="AB65" i="24"/>
  <c r="M5" i="24"/>
  <c r="R29" i="22"/>
  <c r="N29" i="22"/>
  <c r="J29" i="22"/>
  <c r="P42" i="22" s="1"/>
  <c r="G42" i="22" s="1"/>
  <c r="S145" i="22"/>
  <c r="R145" i="22"/>
  <c r="Q145" i="22"/>
  <c r="P145" i="22"/>
  <c r="O145" i="22"/>
  <c r="N145" i="22"/>
  <c r="S144" i="22"/>
  <c r="R144" i="22"/>
  <c r="Q144" i="22"/>
  <c r="P144" i="22"/>
  <c r="O144" i="22"/>
  <c r="N144" i="22"/>
  <c r="M144" i="22"/>
  <c r="J144" i="22"/>
  <c r="I144" i="22"/>
  <c r="H144" i="22"/>
  <c r="G144" i="22"/>
  <c r="F144" i="22"/>
  <c r="E144" i="22"/>
  <c r="D144" i="22"/>
  <c r="AZ9" i="22"/>
  <c r="AY9" i="22"/>
  <c r="AX9" i="22"/>
  <c r="AW9" i="22"/>
  <c r="AV9" i="22"/>
  <c r="AU9" i="22"/>
  <c r="AT9" i="22"/>
  <c r="AZ8" i="22"/>
  <c r="AY8" i="22"/>
  <c r="AX8" i="22"/>
  <c r="AW8" i="22"/>
  <c r="AV8" i="22"/>
  <c r="AU8" i="22"/>
  <c r="AT8" i="22"/>
  <c r="AZ7" i="22"/>
  <c r="AY7" i="22"/>
  <c r="AX7" i="22"/>
  <c r="AW7" i="22"/>
  <c r="AV7" i="22"/>
  <c r="AU7" i="22"/>
  <c r="AT7" i="22"/>
  <c r="AZ6" i="22"/>
  <c r="AY6" i="22"/>
  <c r="AX6" i="22"/>
  <c r="AW6" i="22"/>
  <c r="AV6" i="22"/>
  <c r="BG7" i="22" s="1"/>
  <c r="AU6" i="22"/>
  <c r="AT6" i="22"/>
  <c r="O18" i="24" l="1"/>
  <c r="P18" i="24" s="1"/>
  <c r="Q18" i="24"/>
  <c r="I18" i="24"/>
  <c r="I13" i="24"/>
  <c r="O13" i="24"/>
  <c r="P13" i="24" s="1"/>
  <c r="Q13" i="24"/>
  <c r="I16" i="24"/>
  <c r="Q16" i="24"/>
  <c r="O16" i="24"/>
  <c r="P16" i="24" s="1"/>
  <c r="I28" i="24"/>
  <c r="Q28" i="24"/>
  <c r="O28" i="24"/>
  <c r="P28" i="24" s="1"/>
  <c r="BQ7" i="22"/>
  <c r="O23" i="24"/>
  <c r="P23" i="24" s="1"/>
  <c r="I23" i="24"/>
  <c r="Q23" i="24"/>
  <c r="I14" i="24"/>
  <c r="O14" i="24"/>
  <c r="P14" i="24" s="1"/>
  <c r="Q14" i="24"/>
  <c r="I24" i="24"/>
  <c r="O24" i="24"/>
  <c r="P24" i="24" s="1"/>
  <c r="Q24" i="24"/>
  <c r="I12" i="24"/>
  <c r="O12" i="24"/>
  <c r="P12" i="24" s="1"/>
  <c r="Q12" i="24"/>
  <c r="I9" i="24"/>
  <c r="O9" i="24"/>
  <c r="P9" i="24" s="1"/>
  <c r="Q9" i="24"/>
  <c r="I26" i="24"/>
  <c r="Q26" i="24"/>
  <c r="O26" i="24"/>
  <c r="P26" i="24" s="1"/>
  <c r="I6" i="24"/>
  <c r="Q6" i="24"/>
  <c r="O6" i="24"/>
  <c r="P6" i="24" s="1"/>
  <c r="I21" i="24"/>
  <c r="O21" i="24"/>
  <c r="P21" i="24" s="1"/>
  <c r="Q21" i="24"/>
  <c r="O15" i="24"/>
  <c r="P15" i="24" s="1"/>
  <c r="I15" i="24"/>
  <c r="Q15" i="24"/>
  <c r="BQ13" i="22"/>
  <c r="O19" i="24"/>
  <c r="P19" i="24" s="1"/>
  <c r="I19" i="24"/>
  <c r="Q19" i="24"/>
  <c r="O35" i="24"/>
  <c r="P35" i="24" s="1"/>
  <c r="I35" i="24"/>
  <c r="Q35" i="24"/>
  <c r="Q22" i="24"/>
  <c r="I22" i="24"/>
  <c r="O22" i="24"/>
  <c r="P22" i="24" s="1"/>
  <c r="BQ8" i="22"/>
  <c r="O31" i="24"/>
  <c r="P31" i="24" s="1"/>
  <c r="I31" i="24"/>
  <c r="Q31" i="24"/>
  <c r="I30" i="24"/>
  <c r="O30" i="24"/>
  <c r="P30" i="24" s="1"/>
  <c r="Q30" i="24"/>
  <c r="I33" i="24"/>
  <c r="Q33" i="24"/>
  <c r="O33" i="24"/>
  <c r="P33" i="24" s="1"/>
  <c r="I29" i="24"/>
  <c r="O29" i="24"/>
  <c r="P29" i="24" s="1"/>
  <c r="Q29" i="24"/>
  <c r="BQ9" i="22"/>
  <c r="I32" i="24"/>
  <c r="O32" i="24"/>
  <c r="P32" i="24" s="1"/>
  <c r="Q32" i="24"/>
  <c r="I20" i="24"/>
  <c r="O20" i="24"/>
  <c r="P20" i="24" s="1"/>
  <c r="Q20" i="24"/>
  <c r="O34" i="24"/>
  <c r="P34" i="24" s="1"/>
  <c r="Q34" i="24"/>
  <c r="I34" i="24"/>
  <c r="O11" i="24"/>
  <c r="P11" i="24" s="1"/>
  <c r="I11" i="24"/>
  <c r="Q11" i="24"/>
  <c r="BQ10" i="22"/>
  <c r="I36" i="24"/>
  <c r="Q36" i="24"/>
  <c r="O36" i="24"/>
  <c r="P36" i="24" s="1"/>
  <c r="O7" i="24"/>
  <c r="P7" i="24" s="1"/>
  <c r="I7" i="24"/>
  <c r="Q7" i="24"/>
  <c r="I17" i="24"/>
  <c r="Q17" i="24"/>
  <c r="O17" i="24"/>
  <c r="P17" i="24" s="1"/>
  <c r="I8" i="24"/>
  <c r="O8" i="24"/>
  <c r="P8" i="24" s="1"/>
  <c r="Q8" i="24"/>
  <c r="I25" i="24"/>
  <c r="O25" i="24"/>
  <c r="P25" i="24" s="1"/>
  <c r="Q25" i="24"/>
  <c r="I10" i="24"/>
  <c r="O10" i="24"/>
  <c r="P10" i="24" s="1"/>
  <c r="Q10" i="24"/>
  <c r="O27" i="24"/>
  <c r="P27" i="24" s="1"/>
  <c r="I27" i="24"/>
  <c r="Q27" i="24"/>
  <c r="I37" i="24"/>
  <c r="O37" i="24"/>
  <c r="P37" i="24" s="1"/>
  <c r="Q37" i="24"/>
  <c r="AA7" i="24"/>
  <c r="AB7" i="24" s="1"/>
  <c r="AA60" i="24"/>
  <c r="AB60" i="24" s="1"/>
  <c r="AA33" i="24"/>
  <c r="AB33" i="24" s="1"/>
  <c r="O5" i="24"/>
  <c r="P5" i="24" s="1"/>
  <c r="AA24" i="24"/>
  <c r="AA44" i="24"/>
  <c r="AA52" i="24"/>
  <c r="AA59" i="24"/>
  <c r="AB59" i="24" s="1"/>
  <c r="AA46" i="24"/>
  <c r="AA8" i="24"/>
  <c r="AB8" i="24" s="1"/>
  <c r="AA17" i="24"/>
  <c r="AA34" i="24"/>
  <c r="AB34" i="24" s="1"/>
  <c r="AA45" i="24"/>
  <c r="AA53" i="24"/>
  <c r="AA61" i="24"/>
  <c r="AB61" i="24" s="1"/>
  <c r="AA10" i="24"/>
  <c r="AB10" i="24" s="1"/>
  <c r="AA28" i="24"/>
  <c r="AB28" i="24" s="1"/>
  <c r="AA39" i="24"/>
  <c r="AA47" i="24"/>
  <c r="AA55" i="24"/>
  <c r="AA63" i="24"/>
  <c r="AB63" i="24" s="1"/>
  <c r="AA27" i="24"/>
  <c r="AB27" i="24" s="1"/>
  <c r="AA62" i="24"/>
  <c r="AB62" i="24" s="1"/>
  <c r="AA11" i="24"/>
  <c r="AB11" i="24" s="1"/>
  <c r="AA20" i="24"/>
  <c r="AA40" i="24"/>
  <c r="AA48" i="24"/>
  <c r="AA56" i="24"/>
  <c r="AA64" i="24"/>
  <c r="AB64" i="24" s="1"/>
  <c r="AA38" i="24"/>
  <c r="AA37" i="24" s="1"/>
  <c r="AA12" i="24"/>
  <c r="AB12" i="24" s="1"/>
  <c r="AA21" i="24"/>
  <c r="AA30" i="24"/>
  <c r="AB30" i="24" s="1"/>
  <c r="AA41" i="24"/>
  <c r="AB41" i="24" s="1"/>
  <c r="AA49" i="24"/>
  <c r="AA57" i="24"/>
  <c r="AA54" i="24"/>
  <c r="AA13" i="24"/>
  <c r="AB13" i="24" s="1"/>
  <c r="AA22" i="24"/>
  <c r="AA31" i="24"/>
  <c r="AB31" i="24" s="1"/>
  <c r="AA42" i="24"/>
  <c r="AB42" i="24" s="1"/>
  <c r="AA50" i="24"/>
  <c r="AA58" i="24"/>
  <c r="AA18" i="24"/>
  <c r="AA14" i="24"/>
  <c r="AB14" i="24" s="1"/>
  <c r="AA23" i="24"/>
  <c r="AB23" i="24" s="1"/>
  <c r="AA32" i="24"/>
  <c r="AB32" i="24" s="1"/>
  <c r="AA43" i="24"/>
  <c r="AB43" i="24" s="1"/>
  <c r="AA51" i="24"/>
  <c r="E38" i="22"/>
  <c r="BK6" i="22"/>
  <c r="BO7" i="22"/>
  <c r="BC6" i="22"/>
  <c r="BE7" i="22"/>
  <c r="BO10" i="22"/>
  <c r="BG6" i="22"/>
  <c r="E33" i="22" s="1"/>
  <c r="BO6" i="22"/>
  <c r="BM7" i="22"/>
  <c r="I5" i="24"/>
  <c r="Q5" i="24"/>
  <c r="BI12" i="22"/>
  <c r="BI9" i="22"/>
  <c r="BI10" i="22"/>
  <c r="BI11" i="22"/>
  <c r="BC9" i="22"/>
  <c r="BC10" i="22"/>
  <c r="BB13" i="22"/>
  <c r="BC11" i="22"/>
  <c r="BC8" i="22"/>
  <c r="BK9" i="22"/>
  <c r="BK10" i="22"/>
  <c r="BJ13" i="22"/>
  <c r="BK11" i="22"/>
  <c r="BK8" i="22"/>
  <c r="BE6" i="22"/>
  <c r="BM6" i="22"/>
  <c r="BI7" i="22"/>
  <c r="BE9" i="22"/>
  <c r="BC12" i="22"/>
  <c r="BE10" i="22"/>
  <c r="BD13" i="22"/>
  <c r="BE11" i="22"/>
  <c r="BE8" i="22"/>
  <c r="BE12" i="22"/>
  <c r="BM10" i="22"/>
  <c r="BL13" i="22"/>
  <c r="BM11" i="22"/>
  <c r="BM8" i="22"/>
  <c r="BM12" i="22"/>
  <c r="BC7" i="22"/>
  <c r="BK7" i="22"/>
  <c r="BI8" i="22"/>
  <c r="BM9" i="22"/>
  <c r="BK12" i="22"/>
  <c r="BH13" i="22"/>
  <c r="BF13" i="22"/>
  <c r="BG11" i="22"/>
  <c r="BG8" i="22"/>
  <c r="BG12" i="22"/>
  <c r="BG9" i="22"/>
  <c r="BN13" i="22"/>
  <c r="BO11" i="22"/>
  <c r="BO8" i="22"/>
  <c r="BO12" i="22"/>
  <c r="BO9" i="22"/>
  <c r="BI6" i="22"/>
  <c r="BG10" i="22"/>
  <c r="AI10" i="21"/>
  <c r="AI11" i="21"/>
  <c r="AK13" i="21"/>
  <c r="AK14" i="21"/>
  <c r="AK15" i="21"/>
  <c r="AK16" i="21"/>
  <c r="AK17" i="21"/>
  <c r="AK18" i="21"/>
  <c r="AK19" i="21"/>
  <c r="AK20" i="21"/>
  <c r="AK21" i="21"/>
  <c r="F62" i="20"/>
  <c r="E37" i="24" s="1"/>
  <c r="F61" i="20"/>
  <c r="E36" i="24" s="1"/>
  <c r="F60" i="20"/>
  <c r="E35" i="24" s="1"/>
  <c r="F59" i="20"/>
  <c r="E34" i="24" s="1"/>
  <c r="F58" i="20"/>
  <c r="E33" i="24" s="1"/>
  <c r="F57" i="20"/>
  <c r="E32" i="24" s="1"/>
  <c r="F56" i="20"/>
  <c r="E31" i="24" s="1"/>
  <c r="F55" i="20"/>
  <c r="E30" i="24" s="1"/>
  <c r="F54" i="20"/>
  <c r="E29" i="24" s="1"/>
  <c r="F53" i="20"/>
  <c r="E28" i="24" s="1"/>
  <c r="F52" i="20"/>
  <c r="E27" i="24" s="1"/>
  <c r="F51" i="20"/>
  <c r="E26" i="24" s="1"/>
  <c r="F50" i="20"/>
  <c r="E25" i="24" s="1"/>
  <c r="F49" i="20"/>
  <c r="E24" i="24" s="1"/>
  <c r="F48" i="20"/>
  <c r="E23" i="24" s="1"/>
  <c r="F47" i="20"/>
  <c r="E22" i="24" s="1"/>
  <c r="F46" i="20"/>
  <c r="E21" i="24" s="1"/>
  <c r="F45" i="20"/>
  <c r="E20" i="24" s="1"/>
  <c r="F44" i="20"/>
  <c r="E19" i="24" s="1"/>
  <c r="F43" i="20"/>
  <c r="E18" i="24" s="1"/>
  <c r="F42" i="20"/>
  <c r="E17" i="24" s="1"/>
  <c r="F41" i="20"/>
  <c r="E16" i="24" s="1"/>
  <c r="F40" i="20"/>
  <c r="E15" i="24" s="1"/>
  <c r="F39" i="20"/>
  <c r="E14" i="24" s="1"/>
  <c r="F38" i="20"/>
  <c r="E13" i="24" s="1"/>
  <c r="E12" i="24"/>
  <c r="E11" i="24"/>
  <c r="E10" i="24"/>
  <c r="E9" i="24"/>
  <c r="E8" i="24"/>
  <c r="E7" i="24"/>
  <c r="E6" i="24"/>
  <c r="F63" i="20"/>
  <c r="E38" i="24" s="1"/>
  <c r="F64" i="20"/>
  <c r="E39" i="24" s="1"/>
  <c r="F65" i="20"/>
  <c r="E40" i="24" s="1"/>
  <c r="F66" i="20"/>
  <c r="E41" i="24" s="1"/>
  <c r="F67" i="20"/>
  <c r="E42" i="24" s="1"/>
  <c r="F68" i="20"/>
  <c r="E43" i="24" s="1"/>
  <c r="F69" i="20"/>
  <c r="E44" i="24" s="1"/>
  <c r="F70" i="20"/>
  <c r="E45" i="24" s="1"/>
  <c r="F71" i="20"/>
  <c r="E46" i="24" s="1"/>
  <c r="F72" i="20"/>
  <c r="E47" i="24" s="1"/>
  <c r="F73" i="20"/>
  <c r="E48" i="24" s="1"/>
  <c r="F74" i="20"/>
  <c r="E49" i="24" s="1"/>
  <c r="F75" i="20"/>
  <c r="E50" i="24" s="1"/>
  <c r="AB58" i="24" l="1"/>
  <c r="AB56" i="24"/>
  <c r="AB50" i="24"/>
  <c r="AB52" i="24"/>
  <c r="AB57" i="24"/>
  <c r="AB51" i="24"/>
  <c r="AB48" i="24"/>
  <c r="K38" i="22"/>
  <c r="AB47" i="24"/>
  <c r="AB49" i="24"/>
  <c r="AB54" i="24"/>
  <c r="AB53" i="24"/>
  <c r="AB55" i="24"/>
  <c r="E36" i="22"/>
  <c r="E32" i="22"/>
  <c r="E37" i="22"/>
  <c r="E31" i="22"/>
  <c r="E35" i="22"/>
  <c r="E34" i="22"/>
  <c r="AB22" i="24"/>
  <c r="AB18" i="24"/>
  <c r="AB20" i="24"/>
  <c r="AB21" i="24"/>
  <c r="AB17" i="24"/>
  <c r="AB24" i="24"/>
  <c r="N25" i="22"/>
  <c r="E46" i="22"/>
  <c r="S25" i="22"/>
  <c r="AK11" i="21"/>
  <c r="F7" i="36"/>
  <c r="F2" i="36" s="1"/>
  <c r="E7" i="36"/>
  <c r="D7" i="36"/>
  <c r="E6" i="36"/>
  <c r="D6" i="36"/>
  <c r="D5" i="36"/>
  <c r="G2" i="36"/>
  <c r="AB46" i="24" l="1"/>
  <c r="AB38" i="24"/>
  <c r="AB44" i="24"/>
  <c r="AB40" i="24"/>
  <c r="AB39" i="24"/>
  <c r="AB45" i="24"/>
  <c r="O25" i="22"/>
  <c r="G14" i="22" s="1"/>
  <c r="G145" i="22" s="1"/>
  <c r="P25" i="22"/>
  <c r="H14" i="22" s="1"/>
  <c r="H145" i="22" s="1"/>
  <c r="R25" i="22"/>
  <c r="J14" i="22" s="1"/>
  <c r="J145" i="22" s="1"/>
  <c r="E48" i="22"/>
  <c r="E47" i="22"/>
  <c r="E50" i="22"/>
  <c r="E44" i="22"/>
  <c r="L25" i="22"/>
  <c r="E49" i="22"/>
  <c r="Q25" i="22"/>
  <c r="I14" i="22" s="1"/>
  <c r="I145" i="22" s="1"/>
  <c r="E51" i="22"/>
  <c r="E45" i="22"/>
  <c r="M25" i="22"/>
  <c r="E14" i="22" s="1"/>
  <c r="E145" i="22" s="1"/>
  <c r="D2" i="36"/>
  <c r="E2" i="36"/>
  <c r="AB37" i="24" l="1"/>
  <c r="AB14" i="21" s="1"/>
  <c r="A13" i="22"/>
  <c r="V10" i="22"/>
  <c r="V11" i="22"/>
  <c r="A10" i="22"/>
  <c r="V8" i="22"/>
  <c r="D14" i="22"/>
  <c r="V12" i="22"/>
  <c r="A11" i="22"/>
  <c r="V9" i="22"/>
  <c r="V13" i="22"/>
  <c r="A9" i="22"/>
  <c r="A7" i="22"/>
  <c r="V6" i="22"/>
  <c r="A6" i="22"/>
  <c r="A12" i="22"/>
  <c r="A8" i="22"/>
  <c r="V7" i="22"/>
  <c r="G57" i="21"/>
  <c r="L57" i="21" s="1"/>
  <c r="F57" i="21"/>
  <c r="K90" i="22" s="1"/>
  <c r="O90" i="22" s="1"/>
  <c r="P90" i="22" s="1"/>
  <c r="E57" i="21"/>
  <c r="D57" i="21"/>
  <c r="I90" i="22" s="1"/>
  <c r="F100" i="21"/>
  <c r="E100" i="21"/>
  <c r="D100" i="21"/>
  <c r="F99" i="21"/>
  <c r="E99" i="21"/>
  <c r="D99" i="21"/>
  <c r="F98" i="21"/>
  <c r="E98" i="21"/>
  <c r="D98" i="21"/>
  <c r="F97" i="21"/>
  <c r="E97" i="21"/>
  <c r="D97" i="21"/>
  <c r="F96" i="21"/>
  <c r="E96" i="21"/>
  <c r="D96" i="21"/>
  <c r="F95" i="21"/>
  <c r="E95" i="21"/>
  <c r="D95" i="21"/>
  <c r="F94" i="21"/>
  <c r="E94" i="21"/>
  <c r="D94" i="21"/>
  <c r="F93" i="21"/>
  <c r="E93" i="21"/>
  <c r="D93" i="21"/>
  <c r="F92" i="21"/>
  <c r="E92" i="21"/>
  <c r="D92" i="21"/>
  <c r="F91" i="21"/>
  <c r="E91" i="21"/>
  <c r="D91" i="21"/>
  <c r="F90" i="21"/>
  <c r="E90" i="21"/>
  <c r="D90" i="21"/>
  <c r="F89" i="21"/>
  <c r="E89" i="21"/>
  <c r="D89" i="21"/>
  <c r="F88" i="21"/>
  <c r="E88" i="21"/>
  <c r="D88" i="21"/>
  <c r="F87" i="21"/>
  <c r="E87" i="21"/>
  <c r="D87" i="21"/>
  <c r="F86" i="21"/>
  <c r="E86" i="21"/>
  <c r="D86" i="21"/>
  <c r="F85" i="21"/>
  <c r="E85" i="21"/>
  <c r="D85" i="21"/>
  <c r="F84" i="21"/>
  <c r="E84" i="21"/>
  <c r="D84" i="21"/>
  <c r="F83" i="21"/>
  <c r="E83" i="21"/>
  <c r="D83" i="21"/>
  <c r="F82" i="21"/>
  <c r="E82" i="21"/>
  <c r="D82" i="21"/>
  <c r="F81" i="21"/>
  <c r="E81" i="21"/>
  <c r="D81" i="21"/>
  <c r="F80" i="21"/>
  <c r="E80" i="21"/>
  <c r="D80" i="21"/>
  <c r="F79" i="21"/>
  <c r="E79" i="21"/>
  <c r="D79" i="21"/>
  <c r="F78" i="21"/>
  <c r="E78" i="21"/>
  <c r="D78" i="21"/>
  <c r="F77" i="21"/>
  <c r="E77" i="21"/>
  <c r="D77" i="21"/>
  <c r="F76" i="21"/>
  <c r="K109" i="22" s="1"/>
  <c r="O109" i="22" s="1"/>
  <c r="P109" i="22" s="1"/>
  <c r="E76" i="21"/>
  <c r="D76" i="21"/>
  <c r="I109" i="22" s="1"/>
  <c r="F75" i="21"/>
  <c r="K108" i="22" s="1"/>
  <c r="O108" i="22" s="1"/>
  <c r="P108" i="22" s="1"/>
  <c r="E75" i="21"/>
  <c r="D75" i="21"/>
  <c r="I108" i="22" s="1"/>
  <c r="F74" i="21"/>
  <c r="K107" i="22" s="1"/>
  <c r="O107" i="22" s="1"/>
  <c r="P107" i="22" s="1"/>
  <c r="E74" i="21"/>
  <c r="D74" i="21"/>
  <c r="I107" i="22" s="1"/>
  <c r="F73" i="21"/>
  <c r="K106" i="22" s="1"/>
  <c r="O106" i="22" s="1"/>
  <c r="P106" i="22" s="1"/>
  <c r="E73" i="21"/>
  <c r="D73" i="21"/>
  <c r="I106" i="22" s="1"/>
  <c r="F72" i="21"/>
  <c r="K105" i="22" s="1"/>
  <c r="O105" i="22" s="1"/>
  <c r="P105" i="22" s="1"/>
  <c r="E72" i="21"/>
  <c r="D72" i="21"/>
  <c r="I105" i="22" s="1"/>
  <c r="F71" i="21"/>
  <c r="K104" i="22" s="1"/>
  <c r="O104" i="22" s="1"/>
  <c r="P104" i="22" s="1"/>
  <c r="E71" i="21"/>
  <c r="D71" i="21"/>
  <c r="I104" i="22" s="1"/>
  <c r="F70" i="21"/>
  <c r="K103" i="22" s="1"/>
  <c r="O103" i="22" s="1"/>
  <c r="P103" i="22" s="1"/>
  <c r="E70" i="21"/>
  <c r="D70" i="21"/>
  <c r="I103" i="22" s="1"/>
  <c r="F69" i="21"/>
  <c r="K102" i="22" s="1"/>
  <c r="O102" i="22" s="1"/>
  <c r="P102" i="22" s="1"/>
  <c r="E69" i="21"/>
  <c r="D69" i="21"/>
  <c r="I102" i="22" s="1"/>
  <c r="F68" i="21"/>
  <c r="K101" i="22" s="1"/>
  <c r="O101" i="22" s="1"/>
  <c r="P101" i="22" s="1"/>
  <c r="E68" i="21"/>
  <c r="D68" i="21"/>
  <c r="I101" i="22" s="1"/>
  <c r="F67" i="21"/>
  <c r="K100" i="22" s="1"/>
  <c r="O100" i="22" s="1"/>
  <c r="P100" i="22" s="1"/>
  <c r="E67" i="21"/>
  <c r="D67" i="21"/>
  <c r="I100" i="22" s="1"/>
  <c r="F66" i="21"/>
  <c r="K99" i="22" s="1"/>
  <c r="O99" i="22" s="1"/>
  <c r="P99" i="22" s="1"/>
  <c r="E66" i="21"/>
  <c r="D66" i="21"/>
  <c r="I99" i="22" s="1"/>
  <c r="F65" i="21"/>
  <c r="K98" i="22" s="1"/>
  <c r="O98" i="22" s="1"/>
  <c r="P98" i="22" s="1"/>
  <c r="E65" i="21"/>
  <c r="D65" i="21"/>
  <c r="I98" i="22" s="1"/>
  <c r="F64" i="21"/>
  <c r="K97" i="22" s="1"/>
  <c r="O97" i="22" s="1"/>
  <c r="P97" i="22" s="1"/>
  <c r="E64" i="21"/>
  <c r="D64" i="21"/>
  <c r="I97" i="22" s="1"/>
  <c r="F63" i="21"/>
  <c r="K96" i="22" s="1"/>
  <c r="O96" i="22" s="1"/>
  <c r="P96" i="22" s="1"/>
  <c r="E63" i="21"/>
  <c r="D63" i="21"/>
  <c r="I96" i="22" s="1"/>
  <c r="F62" i="21"/>
  <c r="K95" i="22" s="1"/>
  <c r="O95" i="22" s="1"/>
  <c r="P95" i="22" s="1"/>
  <c r="E62" i="21"/>
  <c r="D62" i="21"/>
  <c r="I95" i="22" s="1"/>
  <c r="F61" i="21"/>
  <c r="K94" i="22" s="1"/>
  <c r="O94" i="22" s="1"/>
  <c r="P94" i="22" s="1"/>
  <c r="E61" i="21"/>
  <c r="D61" i="21"/>
  <c r="I94" i="22" s="1"/>
  <c r="F60" i="21"/>
  <c r="K93" i="22" s="1"/>
  <c r="O93" i="22" s="1"/>
  <c r="P93" i="22" s="1"/>
  <c r="E60" i="21"/>
  <c r="D60" i="21"/>
  <c r="I93" i="22" s="1"/>
  <c r="G59" i="21"/>
  <c r="L59" i="21" s="1"/>
  <c r="F59" i="21"/>
  <c r="K92" i="22" s="1"/>
  <c r="O92" i="22" s="1"/>
  <c r="P92" i="22" s="1"/>
  <c r="E59" i="21"/>
  <c r="D59" i="21"/>
  <c r="I92" i="22" s="1"/>
  <c r="G58" i="21"/>
  <c r="L58" i="21" s="1"/>
  <c r="F58" i="21"/>
  <c r="K91" i="22" s="1"/>
  <c r="O91" i="22" s="1"/>
  <c r="P91" i="22" s="1"/>
  <c r="E58" i="21"/>
  <c r="D58" i="21"/>
  <c r="I91" i="22" s="1"/>
  <c r="F56" i="21"/>
  <c r="K89" i="22" s="1"/>
  <c r="O89" i="22" s="1"/>
  <c r="P89" i="22" s="1"/>
  <c r="D56" i="21"/>
  <c r="I89" i="22" s="1"/>
  <c r="F55" i="21"/>
  <c r="K88" i="22" s="1"/>
  <c r="O88" i="22" s="1"/>
  <c r="P88" i="22" s="1"/>
  <c r="D55" i="21"/>
  <c r="I88" i="22" s="1"/>
  <c r="F54" i="21"/>
  <c r="K87" i="22" s="1"/>
  <c r="O87" i="22" s="1"/>
  <c r="P87" i="22" s="1"/>
  <c r="D54" i="21"/>
  <c r="I87" i="22" s="1"/>
  <c r="F53" i="21"/>
  <c r="K86" i="22" s="1"/>
  <c r="O86" i="22" s="1"/>
  <c r="P86" i="22" s="1"/>
  <c r="D53" i="21"/>
  <c r="I86" i="22" s="1"/>
  <c r="F52" i="21"/>
  <c r="K85" i="22" s="1"/>
  <c r="O85" i="22" s="1"/>
  <c r="P85" i="22" s="1"/>
  <c r="D52" i="21"/>
  <c r="I85" i="22" s="1"/>
  <c r="F51" i="21"/>
  <c r="K84" i="22" s="1"/>
  <c r="D51" i="21"/>
  <c r="I84" i="22" s="1"/>
  <c r="F50" i="21"/>
  <c r="D50" i="21"/>
  <c r="I83" i="22" s="1"/>
  <c r="F49" i="21"/>
  <c r="K82" i="22" s="1"/>
  <c r="D49" i="21"/>
  <c r="I82" i="22" s="1"/>
  <c r="F48" i="21"/>
  <c r="D48" i="21"/>
  <c r="I81" i="22" s="1"/>
  <c r="F47" i="21"/>
  <c r="D47" i="21"/>
  <c r="I80" i="22" s="1"/>
  <c r="F46" i="21"/>
  <c r="D46" i="21"/>
  <c r="I79" i="22" s="1"/>
  <c r="F45" i="21"/>
  <c r="D45" i="21"/>
  <c r="I78" i="22" s="1"/>
  <c r="F44" i="21"/>
  <c r="K77" i="22" s="1"/>
  <c r="O77" i="22" s="1"/>
  <c r="P77" i="22" s="1"/>
  <c r="D44" i="21"/>
  <c r="I77" i="22" s="1"/>
  <c r="G43" i="21"/>
  <c r="F43" i="21"/>
  <c r="K76" i="22" s="1"/>
  <c r="O76" i="22" s="1"/>
  <c r="P76" i="22" s="1"/>
  <c r="D43" i="21"/>
  <c r="I76" i="22" s="1"/>
  <c r="F42" i="21"/>
  <c r="K75" i="22" s="1"/>
  <c r="O75" i="22" s="1"/>
  <c r="P75" i="22" s="1"/>
  <c r="E42" i="21"/>
  <c r="D42" i="21"/>
  <c r="I75" i="22" s="1"/>
  <c r="F41" i="21"/>
  <c r="K74" i="22" s="1"/>
  <c r="O74" i="22" s="1"/>
  <c r="P74" i="22" s="1"/>
  <c r="E41" i="21"/>
  <c r="D41" i="21"/>
  <c r="I74" i="22" s="1"/>
  <c r="F40" i="21"/>
  <c r="K73" i="22" s="1"/>
  <c r="O73" i="22" s="1"/>
  <c r="P73" i="22" s="1"/>
  <c r="E40" i="21"/>
  <c r="D40" i="21"/>
  <c r="I73" i="22" s="1"/>
  <c r="F39" i="21"/>
  <c r="K72" i="22" s="1"/>
  <c r="O72" i="22" s="1"/>
  <c r="P72" i="22" s="1"/>
  <c r="E39" i="21"/>
  <c r="D39" i="21"/>
  <c r="I72" i="22" s="1"/>
  <c r="F38" i="21"/>
  <c r="K71" i="22" s="1"/>
  <c r="O71" i="22" s="1"/>
  <c r="P71" i="22" s="1"/>
  <c r="E38" i="21"/>
  <c r="D38" i="21"/>
  <c r="I71" i="22" s="1"/>
  <c r="F37" i="21"/>
  <c r="K70" i="22" s="1"/>
  <c r="O70" i="22" s="1"/>
  <c r="P70" i="22" s="1"/>
  <c r="E37" i="21"/>
  <c r="D37" i="21"/>
  <c r="I70" i="22" s="1"/>
  <c r="F36" i="21"/>
  <c r="K69" i="22" s="1"/>
  <c r="O69" i="22" s="1"/>
  <c r="P69" i="22" s="1"/>
  <c r="E36" i="21"/>
  <c r="D36" i="21"/>
  <c r="I69" i="22" s="1"/>
  <c r="F35" i="21"/>
  <c r="K68" i="22" s="1"/>
  <c r="O68" i="22" s="1"/>
  <c r="P68" i="22" s="1"/>
  <c r="E35" i="21"/>
  <c r="D35" i="21"/>
  <c r="I68" i="22" s="1"/>
  <c r="F34" i="21"/>
  <c r="K67" i="22" s="1"/>
  <c r="O67" i="22" s="1"/>
  <c r="P67" i="22" s="1"/>
  <c r="E34" i="21"/>
  <c r="D34" i="21"/>
  <c r="I67" i="22" s="1"/>
  <c r="G33" i="21"/>
  <c r="F33" i="21"/>
  <c r="K66" i="22" s="1"/>
  <c r="O66" i="22" s="1"/>
  <c r="P66" i="22" s="1"/>
  <c r="E33" i="21"/>
  <c r="D33" i="21"/>
  <c r="I66" i="22" s="1"/>
  <c r="G32" i="21"/>
  <c r="L32" i="21" s="1"/>
  <c r="F32" i="21"/>
  <c r="K65" i="22" s="1"/>
  <c r="O65" i="22" s="1"/>
  <c r="P65" i="22" s="1"/>
  <c r="E32" i="21"/>
  <c r="D32" i="21"/>
  <c r="I65" i="22" s="1"/>
  <c r="G31" i="21"/>
  <c r="F31" i="21"/>
  <c r="K64" i="22" s="1"/>
  <c r="O64" i="22" s="1"/>
  <c r="P64" i="22" s="1"/>
  <c r="E31" i="21"/>
  <c r="D31" i="21"/>
  <c r="I64" i="22" s="1"/>
  <c r="G30" i="21"/>
  <c r="L30" i="21" s="1"/>
  <c r="F30" i="21"/>
  <c r="K63" i="22" s="1"/>
  <c r="O63" i="22" s="1"/>
  <c r="P63" i="22" s="1"/>
  <c r="E30" i="21"/>
  <c r="D30" i="21"/>
  <c r="I63" i="22" s="1"/>
  <c r="G29" i="21"/>
  <c r="L29" i="21" s="1"/>
  <c r="F29" i="21"/>
  <c r="K62" i="22" s="1"/>
  <c r="O62" i="22" s="1"/>
  <c r="P62" i="22" s="1"/>
  <c r="E29" i="21"/>
  <c r="D29" i="21"/>
  <c r="I62" i="22" s="1"/>
  <c r="G28" i="21"/>
  <c r="L28" i="21" s="1"/>
  <c r="F28" i="21"/>
  <c r="K61" i="22" s="1"/>
  <c r="O61" i="22" s="1"/>
  <c r="P61" i="22" s="1"/>
  <c r="E28" i="21"/>
  <c r="D28" i="21"/>
  <c r="I61" i="22" s="1"/>
  <c r="G27" i="21"/>
  <c r="L27" i="21" s="1"/>
  <c r="F27" i="21"/>
  <c r="K60" i="22" s="1"/>
  <c r="O60" i="22" s="1"/>
  <c r="P60" i="22" s="1"/>
  <c r="E27" i="21"/>
  <c r="D27" i="21"/>
  <c r="I60" i="22" s="1"/>
  <c r="G26" i="21"/>
  <c r="L26" i="21" s="1"/>
  <c r="F26" i="21"/>
  <c r="K59" i="22" s="1"/>
  <c r="O59" i="22" s="1"/>
  <c r="P59" i="22" s="1"/>
  <c r="E26" i="21"/>
  <c r="D26" i="21"/>
  <c r="I59" i="22" s="1"/>
  <c r="G25" i="21"/>
  <c r="L25" i="21" s="1"/>
  <c r="F25" i="21"/>
  <c r="K58" i="22" s="1"/>
  <c r="O58" i="22" s="1"/>
  <c r="P58" i="22" s="1"/>
  <c r="E25" i="21"/>
  <c r="D25" i="21"/>
  <c r="I58" i="22" s="1"/>
  <c r="G24" i="21"/>
  <c r="L24" i="21" s="1"/>
  <c r="F24" i="21"/>
  <c r="K57" i="22" s="1"/>
  <c r="O57" i="22" s="1"/>
  <c r="P57" i="22" s="1"/>
  <c r="E24" i="21"/>
  <c r="D24" i="21"/>
  <c r="I57" i="22" s="1"/>
  <c r="G23" i="21"/>
  <c r="L23" i="21" s="1"/>
  <c r="F23" i="21"/>
  <c r="K56" i="22" s="1"/>
  <c r="O56" i="22" s="1"/>
  <c r="P56" i="22" s="1"/>
  <c r="E23" i="21"/>
  <c r="D23" i="21"/>
  <c r="I56" i="22" s="1"/>
  <c r="G22" i="21"/>
  <c r="L22" i="21" s="1"/>
  <c r="F22" i="21"/>
  <c r="K55" i="22" s="1"/>
  <c r="O55" i="22" s="1"/>
  <c r="P55" i="22" s="1"/>
  <c r="E22" i="21"/>
  <c r="D22" i="21"/>
  <c r="I55" i="22" s="1"/>
  <c r="G21" i="21"/>
  <c r="L21" i="21" s="1"/>
  <c r="F21" i="21"/>
  <c r="K54" i="22" s="1"/>
  <c r="O54" i="22" s="1"/>
  <c r="P54" i="22" s="1"/>
  <c r="E21" i="21"/>
  <c r="D21" i="21"/>
  <c r="I54" i="22" s="1"/>
  <c r="G20" i="21"/>
  <c r="L20" i="21" s="1"/>
  <c r="F20" i="21"/>
  <c r="K53" i="22" s="1"/>
  <c r="O53" i="22" s="1"/>
  <c r="P53" i="22" s="1"/>
  <c r="E20" i="21"/>
  <c r="D20" i="21"/>
  <c r="I53" i="22" s="1"/>
  <c r="G19" i="21"/>
  <c r="L19" i="21" s="1"/>
  <c r="F19" i="21"/>
  <c r="K52" i="22" s="1"/>
  <c r="O52" i="22" s="1"/>
  <c r="P52" i="22" s="1"/>
  <c r="E19" i="21"/>
  <c r="D19" i="21"/>
  <c r="I52" i="22" s="1"/>
  <c r="G18" i="21"/>
  <c r="F18" i="21"/>
  <c r="K51" i="22" s="1"/>
  <c r="E18" i="21"/>
  <c r="I18" i="21" s="1"/>
  <c r="D18" i="21"/>
  <c r="I51" i="22" s="1"/>
  <c r="G17" i="21"/>
  <c r="F17" i="21"/>
  <c r="K50" i="22" s="1"/>
  <c r="E17" i="21"/>
  <c r="I17" i="21" s="1"/>
  <c r="D17" i="21"/>
  <c r="I50" i="22" s="1"/>
  <c r="G16" i="21"/>
  <c r="F16" i="21"/>
  <c r="K49" i="22" s="1"/>
  <c r="E16" i="21"/>
  <c r="I16" i="21" s="1"/>
  <c r="D16" i="21"/>
  <c r="I49" i="22" s="1"/>
  <c r="G15" i="21"/>
  <c r="F15" i="21"/>
  <c r="K48" i="22" s="1"/>
  <c r="O48" i="22" s="1"/>
  <c r="P48" i="22" s="1"/>
  <c r="E15" i="21"/>
  <c r="I15" i="21" s="1"/>
  <c r="D15" i="21"/>
  <c r="I48" i="22" s="1"/>
  <c r="G14" i="21"/>
  <c r="L14" i="21" s="1"/>
  <c r="F14" i="21"/>
  <c r="K47" i="22" s="1"/>
  <c r="O47" i="22" s="1"/>
  <c r="P47" i="22" s="1"/>
  <c r="E14" i="21"/>
  <c r="I14" i="21" s="1"/>
  <c r="D14" i="21"/>
  <c r="I47" i="22" s="1"/>
  <c r="G13" i="21"/>
  <c r="F13" i="21"/>
  <c r="K46" i="22" s="1"/>
  <c r="O46" i="22" s="1"/>
  <c r="P46" i="22" s="1"/>
  <c r="E13" i="21"/>
  <c r="I13" i="21" s="1"/>
  <c r="D13" i="21"/>
  <c r="I46" i="22" s="1"/>
  <c r="G12" i="21"/>
  <c r="F12" i="21"/>
  <c r="K45" i="22" s="1"/>
  <c r="E12" i="21"/>
  <c r="I12" i="21" s="1"/>
  <c r="D12" i="21"/>
  <c r="I45" i="22" s="1"/>
  <c r="O49" i="22" l="1"/>
  <c r="P49" i="22" s="1"/>
  <c r="O51" i="22"/>
  <c r="P51" i="22" s="1"/>
  <c r="O50" i="22"/>
  <c r="P50" i="22" s="1"/>
  <c r="O45" i="22"/>
  <c r="P45" i="22" s="1"/>
  <c r="K83" i="22"/>
  <c r="K81" i="22"/>
  <c r="K80" i="22"/>
  <c r="K79" i="22"/>
  <c r="K78" i="22"/>
  <c r="M56" i="22"/>
  <c r="N56" i="22" s="1"/>
  <c r="J56" i="22"/>
  <c r="M58" i="22"/>
  <c r="N58" i="22" s="1"/>
  <c r="J58" i="22"/>
  <c r="M68" i="22"/>
  <c r="N68" i="22" s="1"/>
  <c r="J68" i="22"/>
  <c r="M94" i="22"/>
  <c r="N94" i="22" s="1"/>
  <c r="J94" i="22"/>
  <c r="M102" i="22"/>
  <c r="N102" i="22" s="1"/>
  <c r="J102" i="22"/>
  <c r="M90" i="22"/>
  <c r="N90" i="22" s="1"/>
  <c r="J90" i="22"/>
  <c r="M60" i="22"/>
  <c r="N60" i="22" s="1"/>
  <c r="J60" i="22"/>
  <c r="M62" i="22"/>
  <c r="N62" i="22" s="1"/>
  <c r="J62" i="22"/>
  <c r="M64" i="22"/>
  <c r="N64" i="22" s="1"/>
  <c r="J64" i="22"/>
  <c r="M66" i="22"/>
  <c r="N66" i="22" s="1"/>
  <c r="J66" i="22"/>
  <c r="M71" i="22"/>
  <c r="N71" i="22" s="1"/>
  <c r="J71" i="22"/>
  <c r="M92" i="22"/>
  <c r="N92" i="22" s="1"/>
  <c r="J92" i="22"/>
  <c r="M97" i="22"/>
  <c r="N97" i="22" s="1"/>
  <c r="J97" i="22"/>
  <c r="M105" i="22"/>
  <c r="N105" i="22" s="1"/>
  <c r="J105" i="22"/>
  <c r="M45" i="22"/>
  <c r="N45" i="22" s="1"/>
  <c r="J45" i="22"/>
  <c r="M47" i="22"/>
  <c r="N47" i="22" s="1"/>
  <c r="J47" i="22"/>
  <c r="M49" i="22"/>
  <c r="N49" i="22" s="1"/>
  <c r="J49" i="22"/>
  <c r="M51" i="22"/>
  <c r="N51" i="22" s="1"/>
  <c r="J51" i="22"/>
  <c r="M53" i="22"/>
  <c r="N53" i="22" s="1"/>
  <c r="J53" i="22"/>
  <c r="M69" i="22"/>
  <c r="N69" i="22" s="1"/>
  <c r="J69" i="22"/>
  <c r="M95" i="22"/>
  <c r="N95" i="22" s="1"/>
  <c r="J95" i="22"/>
  <c r="M103" i="22"/>
  <c r="N103" i="22" s="1"/>
  <c r="J103" i="22"/>
  <c r="M55" i="22"/>
  <c r="N55" i="22" s="1"/>
  <c r="J55" i="22"/>
  <c r="M57" i="22"/>
  <c r="N57" i="22" s="1"/>
  <c r="J57" i="22"/>
  <c r="M72" i="22"/>
  <c r="N72" i="22" s="1"/>
  <c r="J72" i="22"/>
  <c r="M98" i="22"/>
  <c r="N98" i="22" s="1"/>
  <c r="J98" i="22"/>
  <c r="M106" i="22"/>
  <c r="N106" i="22" s="1"/>
  <c r="J106" i="22"/>
  <c r="M100" i="22"/>
  <c r="N100" i="22" s="1"/>
  <c r="J100" i="22"/>
  <c r="M59" i="22"/>
  <c r="N59" i="22" s="1"/>
  <c r="J59" i="22"/>
  <c r="M61" i="22"/>
  <c r="N61" i="22" s="1"/>
  <c r="J61" i="22"/>
  <c r="M63" i="22"/>
  <c r="N63" i="22" s="1"/>
  <c r="J63" i="22"/>
  <c r="M65" i="22"/>
  <c r="N65" i="22" s="1"/>
  <c r="J65" i="22"/>
  <c r="M67" i="22"/>
  <c r="N67" i="22" s="1"/>
  <c r="J67" i="22"/>
  <c r="M75" i="22"/>
  <c r="N75" i="22" s="1"/>
  <c r="J75" i="22"/>
  <c r="M91" i="22"/>
  <c r="N91" i="22" s="1"/>
  <c r="J91" i="22"/>
  <c r="M93" i="22"/>
  <c r="N93" i="22" s="1"/>
  <c r="J93" i="22"/>
  <c r="M101" i="22"/>
  <c r="N101" i="22" s="1"/>
  <c r="J101" i="22"/>
  <c r="M109" i="22"/>
  <c r="N109" i="22" s="1"/>
  <c r="J109" i="22"/>
  <c r="M74" i="22"/>
  <c r="N74" i="22" s="1"/>
  <c r="J74" i="22"/>
  <c r="M108" i="22"/>
  <c r="N108" i="22" s="1"/>
  <c r="J108" i="22"/>
  <c r="M70" i="22"/>
  <c r="N70" i="22" s="1"/>
  <c r="J70" i="22"/>
  <c r="M96" i="22"/>
  <c r="N96" i="22" s="1"/>
  <c r="J96" i="22"/>
  <c r="M104" i="22"/>
  <c r="N104" i="22" s="1"/>
  <c r="J104" i="22"/>
  <c r="M46" i="22"/>
  <c r="N46" i="22" s="1"/>
  <c r="J46" i="22"/>
  <c r="M48" i="22"/>
  <c r="N48" i="22" s="1"/>
  <c r="J48" i="22"/>
  <c r="M50" i="22"/>
  <c r="N50" i="22" s="1"/>
  <c r="J50" i="22"/>
  <c r="M52" i="22"/>
  <c r="N52" i="22" s="1"/>
  <c r="J52" i="22"/>
  <c r="M54" i="22"/>
  <c r="N54" i="22" s="1"/>
  <c r="J54" i="22"/>
  <c r="M73" i="22"/>
  <c r="N73" i="22" s="1"/>
  <c r="J73" i="22"/>
  <c r="M99" i="22"/>
  <c r="N99" i="22" s="1"/>
  <c r="J99" i="22"/>
  <c r="M107" i="22"/>
  <c r="N107" i="22" s="1"/>
  <c r="J107" i="22"/>
  <c r="D145" i="22"/>
  <c r="J57" i="21"/>
  <c r="K57" i="21"/>
  <c r="J13" i="21"/>
  <c r="J15" i="21"/>
  <c r="K19" i="21"/>
  <c r="J19" i="21"/>
  <c r="K23" i="21"/>
  <c r="J23" i="21"/>
  <c r="K27" i="21"/>
  <c r="J27" i="21"/>
  <c r="K31" i="21"/>
  <c r="J31" i="21"/>
  <c r="K43" i="21"/>
  <c r="J43" i="21"/>
  <c r="J12" i="21"/>
  <c r="J14" i="21"/>
  <c r="J16" i="21"/>
  <c r="J17" i="21"/>
  <c r="K21" i="21"/>
  <c r="J21" i="21"/>
  <c r="K25" i="21"/>
  <c r="J25" i="21"/>
  <c r="K29" i="21"/>
  <c r="J29" i="21"/>
  <c r="K33" i="21"/>
  <c r="J33" i="21"/>
  <c r="K12" i="21"/>
  <c r="L12" i="21" s="1"/>
  <c r="K13" i="21"/>
  <c r="L13" i="21" s="1"/>
  <c r="K14" i="21"/>
  <c r="K15" i="21"/>
  <c r="L15" i="21" s="1"/>
  <c r="K16" i="21"/>
  <c r="L16" i="21" s="1"/>
  <c r="K17" i="21"/>
  <c r="L17" i="21" s="1"/>
  <c r="K18" i="21"/>
  <c r="L18" i="21" s="1"/>
  <c r="J18" i="21"/>
  <c r="K20" i="21"/>
  <c r="J20" i="21"/>
  <c r="K22" i="21"/>
  <c r="J22" i="21"/>
  <c r="K24" i="21"/>
  <c r="J24" i="21"/>
  <c r="K26" i="21"/>
  <c r="J26" i="21"/>
  <c r="K28" i="21"/>
  <c r="J28" i="21"/>
  <c r="K30" i="21"/>
  <c r="J30" i="21"/>
  <c r="L31" i="21"/>
  <c r="K32" i="21"/>
  <c r="J32" i="21"/>
  <c r="L33" i="21"/>
  <c r="L43" i="21"/>
  <c r="J58" i="21"/>
  <c r="J59" i="21"/>
  <c r="K58" i="21"/>
  <c r="K59" i="21"/>
  <c r="E51" i="21" l="1"/>
  <c r="I51" i="21" s="1"/>
  <c r="O84" i="22" s="1"/>
  <c r="P84" i="22" s="1"/>
  <c r="M84" i="22" l="1"/>
  <c r="N84" i="22" s="1"/>
  <c r="J84" i="22"/>
  <c r="E45" i="21"/>
  <c r="I45" i="21" s="1"/>
  <c r="O78" i="22" s="1"/>
  <c r="P78" i="22" s="1"/>
  <c r="E46" i="21"/>
  <c r="I46" i="21" s="1"/>
  <c r="O79" i="22" s="1"/>
  <c r="P79" i="22" s="1"/>
  <c r="E50" i="21"/>
  <c r="I50" i="21" s="1"/>
  <c r="O83" i="22" s="1"/>
  <c r="P83" i="22" s="1"/>
  <c r="E54" i="21"/>
  <c r="I54" i="21" s="1"/>
  <c r="E55" i="21"/>
  <c r="I55" i="21" s="1"/>
  <c r="E49" i="21"/>
  <c r="I49" i="21" s="1"/>
  <c r="O82" i="22" s="1"/>
  <c r="P82" i="22" s="1"/>
  <c r="E53" i="21"/>
  <c r="I53" i="21" s="1"/>
  <c r="E47" i="21"/>
  <c r="I47" i="21" s="1"/>
  <c r="O80" i="22" s="1"/>
  <c r="P80" i="22" s="1"/>
  <c r="E44" i="21"/>
  <c r="I44" i="21" s="1"/>
  <c r="E48" i="21"/>
  <c r="I48" i="21" s="1"/>
  <c r="O81" i="22" s="1"/>
  <c r="P81" i="22" s="1"/>
  <c r="E52" i="21"/>
  <c r="I52" i="21" s="1"/>
  <c r="E56" i="21"/>
  <c r="I56" i="21" s="1"/>
  <c r="D11" i="21"/>
  <c r="I44" i="22" s="1"/>
  <c r="M88" i="22" l="1"/>
  <c r="N88" i="22" s="1"/>
  <c r="J88" i="22"/>
  <c r="M83" i="22"/>
  <c r="N83" i="22" s="1"/>
  <c r="J83" i="22"/>
  <c r="M82" i="22"/>
  <c r="N82" i="22" s="1"/>
  <c r="J82" i="22"/>
  <c r="M87" i="22"/>
  <c r="N87" i="22" s="1"/>
  <c r="J87" i="22"/>
  <c r="M79" i="22"/>
  <c r="N79" i="22" s="1"/>
  <c r="J79" i="22"/>
  <c r="M89" i="22"/>
  <c r="N89" i="22" s="1"/>
  <c r="J89" i="22"/>
  <c r="M85" i="22"/>
  <c r="N85" i="22" s="1"/>
  <c r="J85" i="22"/>
  <c r="M81" i="22"/>
  <c r="N81" i="22" s="1"/>
  <c r="J81" i="22"/>
  <c r="M77" i="22"/>
  <c r="N77" i="22" s="1"/>
  <c r="J77" i="22"/>
  <c r="M78" i="22"/>
  <c r="N78" i="22" s="1"/>
  <c r="J78" i="22"/>
  <c r="M80" i="22"/>
  <c r="N80" i="22" s="1"/>
  <c r="J80" i="22"/>
  <c r="M86" i="22"/>
  <c r="N86" i="22" s="1"/>
  <c r="J86" i="22"/>
  <c r="E43" i="21"/>
  <c r="J12" i="34"/>
  <c r="M12" i="34"/>
  <c r="J13" i="34"/>
  <c r="M13" i="34"/>
  <c r="J14" i="34"/>
  <c r="M14" i="34"/>
  <c r="J15" i="34"/>
  <c r="M15" i="34"/>
  <c r="D15" i="34"/>
  <c r="D12" i="34"/>
  <c r="G12" i="34" s="1"/>
  <c r="D13" i="34"/>
  <c r="D14" i="34"/>
  <c r="G14" i="34" s="1"/>
  <c r="G21" i="25"/>
  <c r="G17" i="25"/>
  <c r="O16" i="34"/>
  <c r="I16" i="34"/>
  <c r="C16" i="34"/>
  <c r="G13" i="34"/>
  <c r="G15" i="34"/>
  <c r="P13" i="34"/>
  <c r="S13" i="34" s="1"/>
  <c r="P12" i="34"/>
  <c r="S12" i="34"/>
  <c r="S16" i="34" s="1"/>
  <c r="P15" i="34"/>
  <c r="S15" i="34" s="1"/>
  <c r="P14" i="34"/>
  <c r="S14" i="34" s="1"/>
  <c r="I53" i="20"/>
  <c r="K5" i="20"/>
  <c r="L5" i="20" s="1"/>
  <c r="M5" i="20" s="1"/>
  <c r="N5" i="20" s="1"/>
  <c r="O5" i="20" s="1"/>
  <c r="P5" i="20" s="1"/>
  <c r="Q5" i="20" s="1"/>
  <c r="R5" i="20" s="1"/>
  <c r="S5" i="20" s="1"/>
  <c r="T5" i="20" s="1"/>
  <c r="U5" i="20" s="1"/>
  <c r="V5" i="20" s="1"/>
  <c r="W5" i="20" s="1"/>
  <c r="X5" i="20" s="1"/>
  <c r="Y5" i="20" s="1"/>
  <c r="Z5" i="20" s="1"/>
  <c r="AA5" i="20" s="1"/>
  <c r="AB5" i="20" s="1"/>
  <c r="AC5" i="20" s="1"/>
  <c r="AD5" i="20" s="1"/>
  <c r="AE5" i="20" s="1"/>
  <c r="AF5" i="20" s="1"/>
  <c r="AG5" i="20" s="1"/>
  <c r="AH5" i="20" s="1"/>
  <c r="AI5" i="20" s="1"/>
  <c r="AJ5" i="20" s="1"/>
  <c r="AK5" i="20" s="1"/>
  <c r="AL5" i="20" s="1"/>
  <c r="AM5" i="20" s="1"/>
  <c r="AN5" i="20" s="1"/>
  <c r="AO5" i="20" s="1"/>
  <c r="AP5" i="20" s="1"/>
  <c r="AQ5" i="20" s="1"/>
  <c r="AR5" i="20" s="1"/>
  <c r="AS5" i="20" s="1"/>
  <c r="AT5" i="20" s="1"/>
  <c r="AU5" i="20" s="1"/>
  <c r="AV5" i="20" s="1"/>
  <c r="AW5" i="20" s="1"/>
  <c r="AX5" i="20" s="1"/>
  <c r="AY5" i="20" s="1"/>
  <c r="AZ5" i="20" s="1"/>
  <c r="BA5" i="20" s="1"/>
  <c r="BB5" i="20" s="1"/>
  <c r="BC5" i="20" s="1"/>
  <c r="BD5" i="20" s="1"/>
  <c r="BE5" i="20" s="1"/>
  <c r="BF5" i="20" s="1"/>
  <c r="BG5" i="20" s="1"/>
  <c r="BH5" i="20" s="1"/>
  <c r="BI5" i="20" s="1"/>
  <c r="BJ5" i="20" s="1"/>
  <c r="BK5" i="20" s="1"/>
  <c r="BL5" i="20" s="1"/>
  <c r="BM5" i="20" s="1"/>
  <c r="BN5" i="20" s="1"/>
  <c r="BO5" i="20" s="1"/>
  <c r="BP5" i="20" s="1"/>
  <c r="BQ5" i="20" s="1"/>
  <c r="BR5" i="20" s="1"/>
  <c r="BS5" i="20" s="1"/>
  <c r="BT5" i="20" s="1"/>
  <c r="BU5" i="20" s="1"/>
  <c r="BV5" i="20" s="1"/>
  <c r="BW5" i="20" s="1"/>
  <c r="BX5" i="20" s="1"/>
  <c r="BY5" i="20" s="1"/>
  <c r="BZ5" i="20" s="1"/>
  <c r="CA5" i="20" s="1"/>
  <c r="CB5" i="20" s="1"/>
  <c r="CC5" i="20" s="1"/>
  <c r="CD5" i="20" s="1"/>
  <c r="CE5" i="20" s="1"/>
  <c r="CF5" i="20" s="1"/>
  <c r="CG5" i="20" s="1"/>
  <c r="CH5" i="20" s="1"/>
  <c r="CI5" i="20" s="1"/>
  <c r="CJ5" i="20" s="1"/>
  <c r="CK5" i="20" s="1"/>
  <c r="CL5" i="20" s="1"/>
  <c r="CM5" i="20" s="1"/>
  <c r="CN5" i="20" s="1"/>
  <c r="CO5" i="20" s="1"/>
  <c r="CP5" i="20" s="1"/>
  <c r="CQ5" i="20" s="1"/>
  <c r="CR5" i="20" s="1"/>
  <c r="CS5" i="20" s="1"/>
  <c r="CT5" i="20" s="1"/>
  <c r="CU5" i="20" s="1"/>
  <c r="CV5" i="20" s="1"/>
  <c r="CW5" i="20" s="1"/>
  <c r="CX5" i="20" s="1"/>
  <c r="CY5" i="20" s="1"/>
  <c r="CZ5" i="20" s="1"/>
  <c r="DA5" i="20" s="1"/>
  <c r="DB5" i="20" s="1"/>
  <c r="DC5" i="20" s="1"/>
  <c r="DD5" i="20" s="1"/>
  <c r="DE5" i="20" s="1"/>
  <c r="DF5" i="20" s="1"/>
  <c r="DG5" i="20" s="1"/>
  <c r="DH5" i="20" s="1"/>
  <c r="DI5" i="20" s="1"/>
  <c r="DJ5" i="20" s="1"/>
  <c r="DK5" i="20" s="1"/>
  <c r="DL5" i="20" s="1"/>
  <c r="DM5" i="20" s="1"/>
  <c r="DN5" i="20" s="1"/>
  <c r="DO5" i="20" s="1"/>
  <c r="F26" i="20"/>
  <c r="F25" i="20"/>
  <c r="F24" i="20"/>
  <c r="F23" i="20"/>
  <c r="F22" i="20"/>
  <c r="F21" i="20"/>
  <c r="F20" i="20"/>
  <c r="F19" i="20"/>
  <c r="F18" i="20"/>
  <c r="F17" i="20"/>
  <c r="H119" i="20"/>
  <c r="H118" i="20"/>
  <c r="H117" i="20"/>
  <c r="H116" i="20"/>
  <c r="H115" i="20"/>
  <c r="H114" i="20"/>
  <c r="H113" i="20"/>
  <c r="H112" i="20"/>
  <c r="H111" i="20"/>
  <c r="H110" i="20"/>
  <c r="H109" i="20"/>
  <c r="H108" i="20"/>
  <c r="H107" i="20"/>
  <c r="H106" i="20"/>
  <c r="H105" i="20"/>
  <c r="H104" i="20"/>
  <c r="H103" i="20"/>
  <c r="H102" i="20"/>
  <c r="H101" i="20"/>
  <c r="H100" i="20"/>
  <c r="H99" i="20"/>
  <c r="H98" i="20"/>
  <c r="H97" i="20"/>
  <c r="H96" i="20"/>
  <c r="D3" i="33"/>
  <c r="AE14" i="33"/>
  <c r="AF14" i="33"/>
  <c r="AG14" i="33"/>
  <c r="AH14" i="33"/>
  <c r="AI14" i="33"/>
  <c r="AJ14" i="33"/>
  <c r="AK14" i="33"/>
  <c r="AL14" i="33"/>
  <c r="AM14" i="33"/>
  <c r="AN14" i="33"/>
  <c r="AO14" i="33"/>
  <c r="AP14" i="33"/>
  <c r="AQ14" i="33"/>
  <c r="AR14" i="33"/>
  <c r="AS14" i="33"/>
  <c r="AT14" i="33"/>
  <c r="AU14" i="33"/>
  <c r="AV14" i="33"/>
  <c r="AW14" i="33"/>
  <c r="AX14" i="33"/>
  <c r="AY14" i="33"/>
  <c r="AZ14" i="33"/>
  <c r="BA14" i="33"/>
  <c r="BB14" i="33"/>
  <c r="BC14" i="33"/>
  <c r="BD14" i="33"/>
  <c r="BE14" i="33"/>
  <c r="BF14" i="33"/>
  <c r="BG14" i="33"/>
  <c r="BH14" i="33"/>
  <c r="BI14" i="33"/>
  <c r="C7" i="33"/>
  <c r="C8" i="33" s="1"/>
  <c r="S43" i="33" s="1"/>
  <c r="T43" i="33" s="1"/>
  <c r="C5" i="33"/>
  <c r="C6" i="33" s="1"/>
  <c r="C4" i="33"/>
  <c r="F27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E55" i="25"/>
  <c r="E56" i="25"/>
  <c r="B16" i="25"/>
  <c r="C16" i="25"/>
  <c r="B17" i="25"/>
  <c r="C17" i="25"/>
  <c r="B18" i="25"/>
  <c r="C18" i="25"/>
  <c r="B19" i="25"/>
  <c r="C19" i="25"/>
  <c r="B20" i="25"/>
  <c r="C20" i="25"/>
  <c r="B21" i="25"/>
  <c r="C21" i="25"/>
  <c r="B22" i="25"/>
  <c r="C22" i="25"/>
  <c r="G22" i="25"/>
  <c r="B23" i="25"/>
  <c r="I23" i="25" s="1"/>
  <c r="C23" i="25"/>
  <c r="G23" i="25"/>
  <c r="B24" i="25"/>
  <c r="C24" i="25"/>
  <c r="C25" i="25"/>
  <c r="B26" i="25"/>
  <c r="C26" i="25"/>
  <c r="B27" i="25"/>
  <c r="C27" i="25"/>
  <c r="B28" i="25"/>
  <c r="C28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K37" i="25" s="1"/>
  <c r="C37" i="25"/>
  <c r="B38" i="25"/>
  <c r="K38" i="25" s="1"/>
  <c r="C38" i="25"/>
  <c r="B39" i="25"/>
  <c r="Y39" i="25" s="1"/>
  <c r="C39" i="25"/>
  <c r="B40" i="25"/>
  <c r="AG40" i="25" s="1"/>
  <c r="C40" i="25"/>
  <c r="B41" i="25"/>
  <c r="L41" i="25" s="1"/>
  <c r="C41" i="25"/>
  <c r="B42" i="25"/>
  <c r="AB42" i="25" s="1"/>
  <c r="C42" i="25"/>
  <c r="B43" i="25"/>
  <c r="AH43" i="25" s="1"/>
  <c r="C43" i="25"/>
  <c r="B44" i="25"/>
  <c r="J44" i="25" s="1"/>
  <c r="C44" i="25"/>
  <c r="B45" i="25"/>
  <c r="AA45" i="25" s="1"/>
  <c r="C45" i="25"/>
  <c r="B46" i="25"/>
  <c r="X46" i="25" s="1"/>
  <c r="C46" i="25"/>
  <c r="B47" i="25"/>
  <c r="S47" i="25" s="1"/>
  <c r="C47" i="25"/>
  <c r="B48" i="25"/>
  <c r="V48" i="25" s="1"/>
  <c r="C48" i="25"/>
  <c r="B49" i="25"/>
  <c r="AA49" i="25" s="1"/>
  <c r="C49" i="25"/>
  <c r="B50" i="25"/>
  <c r="V50" i="25" s="1"/>
  <c r="C50" i="25"/>
  <c r="B51" i="25"/>
  <c r="AB51" i="25" s="1"/>
  <c r="C51" i="25"/>
  <c r="B52" i="25"/>
  <c r="I52" i="25" s="1"/>
  <c r="C52" i="25"/>
  <c r="B53" i="25"/>
  <c r="AA53" i="25" s="1"/>
  <c r="C53" i="25"/>
  <c r="B54" i="25"/>
  <c r="R54" i="25" s="1"/>
  <c r="C54" i="25"/>
  <c r="B55" i="25"/>
  <c r="Z55" i="25" s="1"/>
  <c r="C55" i="25"/>
  <c r="B56" i="25"/>
  <c r="T56" i="25" s="1"/>
  <c r="C56" i="25"/>
  <c r="C15" i="25"/>
  <c r="B15" i="25"/>
  <c r="I63" i="20"/>
  <c r="H15" i="25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32" i="25" s="1"/>
  <c r="H33" i="25" s="1"/>
  <c r="H34" i="25" s="1"/>
  <c r="H35" i="25" s="1"/>
  <c r="H36" i="25" s="1"/>
  <c r="H37" i="25" s="1"/>
  <c r="H38" i="25" s="1"/>
  <c r="H39" i="25" s="1"/>
  <c r="H40" i="25" s="1"/>
  <c r="H41" i="25" s="1"/>
  <c r="H42" i="25" s="1"/>
  <c r="H43" i="25" s="1"/>
  <c r="H44" i="25" s="1"/>
  <c r="H45" i="25" s="1"/>
  <c r="H46" i="25" s="1"/>
  <c r="H47" i="25" s="1"/>
  <c r="H48" i="25" s="1"/>
  <c r="H49" i="25" s="1"/>
  <c r="H50" i="25" s="1"/>
  <c r="H51" i="25" s="1"/>
  <c r="H52" i="25" s="1"/>
  <c r="H53" i="25" s="1"/>
  <c r="H54" i="25" s="1"/>
  <c r="H55" i="25" s="1"/>
  <c r="H56" i="25" s="1"/>
  <c r="H57" i="25" s="1"/>
  <c r="H58" i="25" s="1"/>
  <c r="H59" i="25" s="1"/>
  <c r="H60" i="25" s="1"/>
  <c r="H61" i="25" s="1"/>
  <c r="H9" i="25"/>
  <c r="B2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108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" i="28"/>
  <c r="G38" i="25"/>
  <c r="G45" i="25"/>
  <c r="G48" i="25"/>
  <c r="G55" i="25"/>
  <c r="G39" i="25"/>
  <c r="G20" i="25"/>
  <c r="D23" i="25"/>
  <c r="I62" i="20"/>
  <c r="I58" i="20"/>
  <c r="I65" i="20"/>
  <c r="I61" i="20"/>
  <c r="W9" i="21"/>
  <c r="L9" i="21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F11" i="21"/>
  <c r="E11" i="21"/>
  <c r="I57" i="20"/>
  <c r="I56" i="20"/>
  <c r="I55" i="20"/>
  <c r="I54" i="20"/>
  <c r="I30" i="20"/>
  <c r="E16" i="25"/>
  <c r="E27" i="25"/>
  <c r="E22" i="25"/>
  <c r="E18" i="25"/>
  <c r="E25" i="25"/>
  <c r="E21" i="25"/>
  <c r="E17" i="25"/>
  <c r="E32" i="25"/>
  <c r="E24" i="25"/>
  <c r="E20" i="25"/>
  <c r="E28" i="25"/>
  <c r="E23" i="25"/>
  <c r="E19" i="25"/>
  <c r="E15" i="25"/>
  <c r="E33" i="25"/>
  <c r="E26" i="25"/>
  <c r="E30" i="25"/>
  <c r="E31" i="25"/>
  <c r="E29" i="25"/>
  <c r="L46" i="25"/>
  <c r="V41" i="25"/>
  <c r="T23" i="25"/>
  <c r="L23" i="25"/>
  <c r="AC38" i="25"/>
  <c r="Z39" i="25"/>
  <c r="Q38" i="25"/>
  <c r="V39" i="25"/>
  <c r="R37" i="25"/>
  <c r="H68" i="24" l="1"/>
  <c r="G68" i="24"/>
  <c r="G60" i="24"/>
  <c r="H60" i="24"/>
  <c r="G76" i="24"/>
  <c r="H76" i="24"/>
  <c r="H84" i="24"/>
  <c r="G84" i="24"/>
  <c r="G92" i="24"/>
  <c r="H92" i="24"/>
  <c r="G77" i="24"/>
  <c r="H77" i="24"/>
  <c r="G85" i="24"/>
  <c r="H85" i="24"/>
  <c r="G93" i="24"/>
  <c r="H93" i="24"/>
  <c r="G67" i="24"/>
  <c r="H67" i="24"/>
  <c r="G53" i="25"/>
  <c r="H66" i="24"/>
  <c r="G66" i="24"/>
  <c r="G58" i="24"/>
  <c r="H58" i="24"/>
  <c r="H78" i="24"/>
  <c r="G78" i="24"/>
  <c r="G86" i="24"/>
  <c r="H86" i="24"/>
  <c r="H94" i="24"/>
  <c r="G94" i="24"/>
  <c r="H65" i="24"/>
  <c r="G65" i="24"/>
  <c r="G43" i="25"/>
  <c r="G57" i="24"/>
  <c r="H57" i="24"/>
  <c r="G71" i="24"/>
  <c r="H71" i="24"/>
  <c r="H79" i="24"/>
  <c r="G79" i="24"/>
  <c r="G87" i="24"/>
  <c r="H87" i="24"/>
  <c r="G59" i="24"/>
  <c r="H59" i="24"/>
  <c r="H64" i="24"/>
  <c r="G64" i="24"/>
  <c r="G56" i="24"/>
  <c r="H56" i="24"/>
  <c r="G72" i="24"/>
  <c r="H72" i="24"/>
  <c r="G80" i="24"/>
  <c r="H80" i="24"/>
  <c r="G88" i="24"/>
  <c r="H88" i="24"/>
  <c r="H63" i="24"/>
  <c r="G63" i="24"/>
  <c r="G55" i="24"/>
  <c r="H55" i="24"/>
  <c r="G73" i="24"/>
  <c r="H73" i="24"/>
  <c r="H81" i="24"/>
  <c r="G81" i="24"/>
  <c r="G89" i="24"/>
  <c r="H89" i="24"/>
  <c r="G70" i="24"/>
  <c r="H70" i="24"/>
  <c r="G62" i="24"/>
  <c r="H62" i="24"/>
  <c r="G54" i="24"/>
  <c r="H54" i="24"/>
  <c r="G74" i="24"/>
  <c r="H74" i="24"/>
  <c r="H82" i="24"/>
  <c r="G82" i="24"/>
  <c r="G90" i="24"/>
  <c r="H90" i="24"/>
  <c r="G69" i="24"/>
  <c r="H69" i="24"/>
  <c r="H61" i="24"/>
  <c r="G61" i="24"/>
  <c r="G75" i="24"/>
  <c r="H75" i="24"/>
  <c r="H83" i="24"/>
  <c r="G83" i="24"/>
  <c r="G91" i="24"/>
  <c r="H91" i="24"/>
  <c r="D49" i="25"/>
  <c r="M44" i="22"/>
  <c r="N44" i="22" s="1"/>
  <c r="U45" i="25"/>
  <c r="I49" i="25"/>
  <c r="AE52" i="25"/>
  <c r="M76" i="22"/>
  <c r="N76" i="22" s="1"/>
  <c r="J76" i="22"/>
  <c r="Q39" i="25"/>
  <c r="W44" i="25"/>
  <c r="R48" i="25"/>
  <c r="O44" i="25"/>
  <c r="T39" i="25"/>
  <c r="I44" i="25"/>
  <c r="K39" i="25"/>
  <c r="T47" i="25"/>
  <c r="G19" i="25"/>
  <c r="AH52" i="25"/>
  <c r="G44" i="25"/>
  <c r="K44" i="22"/>
  <c r="AB13" i="21"/>
  <c r="J44" i="22"/>
  <c r="K23" i="25"/>
  <c r="Y23" i="25"/>
  <c r="V23" i="25"/>
  <c r="AE23" i="25"/>
  <c r="AH23" i="25"/>
  <c r="P23" i="25"/>
  <c r="Q23" i="25"/>
  <c r="X23" i="25"/>
  <c r="G75" i="21"/>
  <c r="G71" i="21"/>
  <c r="G67" i="21"/>
  <c r="G63" i="21"/>
  <c r="G79" i="21"/>
  <c r="G83" i="21"/>
  <c r="G87" i="21"/>
  <c r="G91" i="21"/>
  <c r="G95" i="21"/>
  <c r="G99" i="21"/>
  <c r="G38" i="21"/>
  <c r="G18" i="25"/>
  <c r="G36" i="21"/>
  <c r="G40" i="21"/>
  <c r="AN27" i="21"/>
  <c r="AN24" i="21"/>
  <c r="AN28" i="21"/>
  <c r="AN26" i="21"/>
  <c r="AN25" i="21"/>
  <c r="G74" i="21"/>
  <c r="G70" i="21"/>
  <c r="G66" i="21"/>
  <c r="G42" i="25"/>
  <c r="G62" i="21"/>
  <c r="G80" i="21"/>
  <c r="G84" i="21"/>
  <c r="G88" i="21"/>
  <c r="G92" i="21"/>
  <c r="G96" i="21"/>
  <c r="G100" i="21"/>
  <c r="G42" i="21"/>
  <c r="G37" i="21"/>
  <c r="G34" i="21"/>
  <c r="G39" i="21"/>
  <c r="G73" i="21"/>
  <c r="G69" i="21"/>
  <c r="G65" i="21"/>
  <c r="G61" i="21"/>
  <c r="G77" i="21"/>
  <c r="G81" i="21"/>
  <c r="G85" i="21"/>
  <c r="G89" i="21"/>
  <c r="G93" i="21"/>
  <c r="G97" i="21"/>
  <c r="G35" i="21"/>
  <c r="T30" i="21"/>
  <c r="V22" i="21"/>
  <c r="T21" i="21"/>
  <c r="F38" i="22" s="1"/>
  <c r="W19" i="21"/>
  <c r="W15" i="21"/>
  <c r="T22" i="21"/>
  <c r="W20" i="21"/>
  <c r="V19" i="21"/>
  <c r="W16" i="21"/>
  <c r="V15" i="21"/>
  <c r="W21" i="21"/>
  <c r="V20" i="21"/>
  <c r="T19" i="21"/>
  <c r="F36" i="22" s="1"/>
  <c r="V16" i="21"/>
  <c r="T15" i="21"/>
  <c r="F32" i="22" s="1"/>
  <c r="T20" i="21"/>
  <c r="F37" i="22" s="1"/>
  <c r="W22" i="21"/>
  <c r="V21" i="21"/>
  <c r="T16" i="21"/>
  <c r="F33" i="22" s="1"/>
  <c r="G11" i="21"/>
  <c r="G76" i="21"/>
  <c r="G72" i="21"/>
  <c r="G68" i="21"/>
  <c r="G64" i="21"/>
  <c r="G40" i="25"/>
  <c r="G60" i="21"/>
  <c r="G78" i="21"/>
  <c r="G82" i="21"/>
  <c r="G86" i="21"/>
  <c r="G90" i="21"/>
  <c r="G94" i="21"/>
  <c r="G98" i="21"/>
  <c r="G41" i="21"/>
  <c r="T28" i="21"/>
  <c r="W23" i="25"/>
  <c r="AC23" i="25"/>
  <c r="M23" i="25"/>
  <c r="P42" i="25"/>
  <c r="AC46" i="25"/>
  <c r="AG50" i="25"/>
  <c r="D53" i="25"/>
  <c r="D45" i="25"/>
  <c r="D43" i="25"/>
  <c r="D41" i="25"/>
  <c r="D52" i="25"/>
  <c r="D48" i="25"/>
  <c r="D46" i="25"/>
  <c r="D42" i="25"/>
  <c r="D40" i="25"/>
  <c r="D38" i="25"/>
  <c r="G16" i="25"/>
  <c r="AB56" i="25"/>
  <c r="N38" i="25"/>
  <c r="V40" i="25"/>
  <c r="AA40" i="25"/>
  <c r="Z44" i="25"/>
  <c r="X52" i="25"/>
  <c r="S56" i="25"/>
  <c r="AF52" i="25"/>
  <c r="O54" i="25"/>
  <c r="N50" i="25"/>
  <c r="G49" i="25"/>
  <c r="V38" i="25"/>
  <c r="L38" i="25"/>
  <c r="Y42" i="25"/>
  <c r="W48" i="25"/>
  <c r="X38" i="25"/>
  <c r="N23" i="25"/>
  <c r="O23" i="25"/>
  <c r="J23" i="25"/>
  <c r="AB23" i="25"/>
  <c r="AD23" i="25"/>
  <c r="U23" i="25"/>
  <c r="AE40" i="25"/>
  <c r="L44" i="25"/>
  <c r="AA42" i="25"/>
  <c r="Z42" i="25"/>
  <c r="AD46" i="25"/>
  <c r="J54" i="25"/>
  <c r="AC52" i="25"/>
  <c r="W52" i="25"/>
  <c r="Z48" i="25"/>
  <c r="G15" i="25"/>
  <c r="S60" i="33"/>
  <c r="T60" i="33" s="1"/>
  <c r="O37" i="25"/>
  <c r="AG23" i="25"/>
  <c r="AF23" i="25"/>
  <c r="AA23" i="25"/>
  <c r="Z23" i="25"/>
  <c r="S23" i="25"/>
  <c r="R23" i="25"/>
  <c r="AF44" i="25"/>
  <c r="L42" i="25"/>
  <c r="L40" i="25"/>
  <c r="O40" i="25"/>
  <c r="AB46" i="25"/>
  <c r="AG46" i="25"/>
  <c r="M52" i="25"/>
  <c r="Z52" i="25"/>
  <c r="L48" i="25"/>
  <c r="AB48" i="25"/>
  <c r="AF50" i="25"/>
  <c r="G52" i="25"/>
  <c r="AF43" i="25"/>
  <c r="AD53" i="25"/>
  <c r="Z49" i="25"/>
  <c r="X41" i="25"/>
  <c r="N41" i="25"/>
  <c r="K53" i="25"/>
  <c r="V51" i="25"/>
  <c r="N45" i="25"/>
  <c r="AE41" i="25"/>
  <c r="Q43" i="25"/>
  <c r="Z47" i="25"/>
  <c r="AE51" i="25"/>
  <c r="V49" i="25"/>
  <c r="X45" i="25"/>
  <c r="AA43" i="25"/>
  <c r="AB47" i="25"/>
  <c r="Y51" i="25"/>
  <c r="N49" i="25"/>
  <c r="AD43" i="25"/>
  <c r="Y45" i="25"/>
  <c r="W47" i="25"/>
  <c r="AF47" i="25"/>
  <c r="I51" i="25"/>
  <c r="M51" i="25"/>
  <c r="Y49" i="25"/>
  <c r="G37" i="25"/>
  <c r="V45" i="25"/>
  <c r="AA41" i="25"/>
  <c r="J41" i="25"/>
  <c r="M43" i="25"/>
  <c r="O47" i="25"/>
  <c r="Q47" i="25"/>
  <c r="U47" i="25"/>
  <c r="M47" i="25"/>
  <c r="W53" i="25"/>
  <c r="W51" i="25"/>
  <c r="R53" i="25"/>
  <c r="O51" i="25"/>
  <c r="AE49" i="25"/>
  <c r="AH45" i="25"/>
  <c r="R41" i="25"/>
  <c r="I43" i="25"/>
  <c r="I47" i="25"/>
  <c r="N47" i="25"/>
  <c r="R47" i="25"/>
  <c r="AD51" i="25"/>
  <c r="Q51" i="25"/>
  <c r="T49" i="25"/>
  <c r="AE45" i="25"/>
  <c r="AB41" i="25"/>
  <c r="U43" i="25"/>
  <c r="AC41" i="25"/>
  <c r="Y43" i="25"/>
  <c r="AA47" i="25"/>
  <c r="K52" i="25"/>
  <c r="N53" i="25"/>
  <c r="J53" i="25"/>
  <c r="M54" i="25"/>
  <c r="O53" i="25"/>
  <c r="J52" i="25"/>
  <c r="AH53" i="25"/>
  <c r="Y53" i="25"/>
  <c r="AA48" i="25"/>
  <c r="AE48" i="25"/>
  <c r="W49" i="25"/>
  <c r="AG49" i="25"/>
  <c r="AA50" i="25"/>
  <c r="G41" i="25"/>
  <c r="G56" i="25"/>
  <c r="X56" i="25"/>
  <c r="Q42" i="25"/>
  <c r="AG42" i="25"/>
  <c r="AD42" i="25"/>
  <c r="T40" i="25"/>
  <c r="I42" i="25"/>
  <c r="AF40" i="25"/>
  <c r="AH40" i="25"/>
  <c r="AH44" i="25"/>
  <c r="Y40" i="25"/>
  <c r="AA44" i="25"/>
  <c r="X42" i="25"/>
  <c r="Y44" i="25"/>
  <c r="X44" i="25"/>
  <c r="AC44" i="25"/>
  <c r="V42" i="25"/>
  <c r="AC40" i="25"/>
  <c r="N42" i="25"/>
  <c r="AF42" i="25"/>
  <c r="AB40" i="25"/>
  <c r="M46" i="25"/>
  <c r="AE46" i="25"/>
  <c r="K46" i="25"/>
  <c r="U46" i="25"/>
  <c r="T46" i="25"/>
  <c r="R46" i="25"/>
  <c r="AB54" i="25"/>
  <c r="S52" i="25"/>
  <c r="Q54" i="25"/>
  <c r="T52" i="25"/>
  <c r="I54" i="25"/>
  <c r="AH54" i="25"/>
  <c r="L52" i="25"/>
  <c r="AF54" i="25"/>
  <c r="AD52" i="25"/>
  <c r="N52" i="25"/>
  <c r="U52" i="25"/>
  <c r="AD54" i="25"/>
  <c r="P52" i="25"/>
  <c r="N48" i="25"/>
  <c r="X48" i="25"/>
  <c r="AC48" i="25"/>
  <c r="AD48" i="25"/>
  <c r="T48" i="25"/>
  <c r="AF48" i="25"/>
  <c r="Q48" i="25"/>
  <c r="K50" i="25"/>
  <c r="R50" i="25"/>
  <c r="AD50" i="25"/>
  <c r="J50" i="25"/>
  <c r="P50" i="25"/>
  <c r="AF56" i="25"/>
  <c r="V56" i="25"/>
  <c r="AE56" i="25"/>
  <c r="S44" i="25"/>
  <c r="N44" i="25"/>
  <c r="S42" i="25"/>
  <c r="O42" i="25"/>
  <c r="Q44" i="25"/>
  <c r="M40" i="25"/>
  <c r="M44" i="25"/>
  <c r="W42" i="25"/>
  <c r="AE42" i="25"/>
  <c r="AC42" i="25"/>
  <c r="AB44" i="25"/>
  <c r="R42" i="25"/>
  <c r="N40" i="25"/>
  <c r="T42" i="25"/>
  <c r="K42" i="25"/>
  <c r="U44" i="25"/>
  <c r="I40" i="25"/>
  <c r="AH42" i="25"/>
  <c r="P40" i="25"/>
  <c r="K40" i="25"/>
  <c r="Z40" i="25"/>
  <c r="AE44" i="25"/>
  <c r="W46" i="25"/>
  <c r="AF46" i="25"/>
  <c r="AA46" i="25"/>
  <c r="I46" i="25"/>
  <c r="J46" i="25"/>
  <c r="Y46" i="25"/>
  <c r="N46" i="25"/>
  <c r="N54" i="25"/>
  <c r="R52" i="25"/>
  <c r="AB52" i="25"/>
  <c r="AG54" i="25"/>
  <c r="AE54" i="25"/>
  <c r="W54" i="25"/>
  <c r="L54" i="25"/>
  <c r="V54" i="25"/>
  <c r="Y54" i="25"/>
  <c r="AG52" i="25"/>
  <c r="X54" i="25"/>
  <c r="AA52" i="25"/>
  <c r="J48" i="25"/>
  <c r="AG48" i="25"/>
  <c r="P48" i="25"/>
  <c r="M48" i="25"/>
  <c r="K48" i="25"/>
  <c r="O48" i="25"/>
  <c r="Y50" i="25"/>
  <c r="Q50" i="25"/>
  <c r="AC50" i="25"/>
  <c r="O50" i="25"/>
  <c r="L50" i="25"/>
  <c r="U50" i="25"/>
  <c r="AH50" i="25"/>
  <c r="AB50" i="25"/>
  <c r="I50" i="25"/>
  <c r="L56" i="25"/>
  <c r="P56" i="25"/>
  <c r="Z56" i="25"/>
  <c r="V44" i="25"/>
  <c r="J40" i="25"/>
  <c r="AD44" i="25"/>
  <c r="AD40" i="25"/>
  <c r="T44" i="25"/>
  <c r="M42" i="25"/>
  <c r="K44" i="25"/>
  <c r="P44" i="25"/>
  <c r="U42" i="25"/>
  <c r="U40" i="25"/>
  <c r="Q40" i="25"/>
  <c r="R40" i="25"/>
  <c r="W40" i="25"/>
  <c r="X40" i="25"/>
  <c r="S40" i="25"/>
  <c r="AG44" i="25"/>
  <c r="R44" i="25"/>
  <c r="J42" i="25"/>
  <c r="Z46" i="25"/>
  <c r="AH46" i="25"/>
  <c r="P46" i="25"/>
  <c r="S46" i="25"/>
  <c r="Q46" i="25"/>
  <c r="O46" i="25"/>
  <c r="V46" i="25"/>
  <c r="Y52" i="25"/>
  <c r="S54" i="25"/>
  <c r="T54" i="25"/>
  <c r="O52" i="25"/>
  <c r="Z54" i="25"/>
  <c r="AA54" i="25"/>
  <c r="Q52" i="25"/>
  <c r="V52" i="25"/>
  <c r="P54" i="25"/>
  <c r="U54" i="25"/>
  <c r="AC54" i="25"/>
  <c r="K54" i="25"/>
  <c r="U48" i="25"/>
  <c r="Y48" i="25"/>
  <c r="AH48" i="25"/>
  <c r="I48" i="25"/>
  <c r="S48" i="25"/>
  <c r="X50" i="25"/>
  <c r="W50" i="25"/>
  <c r="AE50" i="25"/>
  <c r="T50" i="25"/>
  <c r="S50" i="25"/>
  <c r="Z50" i="25"/>
  <c r="M50" i="25"/>
  <c r="AD56" i="25"/>
  <c r="R56" i="25"/>
  <c r="Q56" i="25"/>
  <c r="X51" i="25"/>
  <c r="X49" i="25"/>
  <c r="I9" i="25"/>
  <c r="H10" i="25"/>
  <c r="U53" i="25"/>
  <c r="P53" i="25"/>
  <c r="AC53" i="25"/>
  <c r="M53" i="25"/>
  <c r="AF53" i="25"/>
  <c r="AE53" i="25"/>
  <c r="Q53" i="25"/>
  <c r="AB53" i="25"/>
  <c r="O49" i="25"/>
  <c r="J49" i="25"/>
  <c r="S49" i="25"/>
  <c r="R49" i="25"/>
  <c r="AB49" i="25"/>
  <c r="U49" i="25"/>
  <c r="AC49" i="25"/>
  <c r="M41" i="25"/>
  <c r="K41" i="25"/>
  <c r="AG45" i="25"/>
  <c r="O41" i="25"/>
  <c r="W41" i="25"/>
  <c r="AE43" i="25"/>
  <c r="M45" i="25"/>
  <c r="O43" i="25"/>
  <c r="Z41" i="25"/>
  <c r="R45" i="25"/>
  <c r="I41" i="25"/>
  <c r="Z43" i="25"/>
  <c r="O45" i="25"/>
  <c r="L43" i="25"/>
  <c r="P41" i="25"/>
  <c r="N43" i="25"/>
  <c r="K43" i="25"/>
  <c r="J45" i="25"/>
  <c r="T41" i="25"/>
  <c r="T45" i="25"/>
  <c r="Y41" i="25"/>
  <c r="P47" i="25"/>
  <c r="AH47" i="25"/>
  <c r="AD47" i="25"/>
  <c r="R51" i="25"/>
  <c r="S53" i="25"/>
  <c r="Z51" i="25"/>
  <c r="T51" i="25"/>
  <c r="N51" i="25"/>
  <c r="V53" i="25"/>
  <c r="AG53" i="25"/>
  <c r="P49" i="25"/>
  <c r="AH49" i="25"/>
  <c r="L49" i="25"/>
  <c r="Y55" i="25"/>
  <c r="N55" i="25"/>
  <c r="O55" i="25"/>
  <c r="AF55" i="25"/>
  <c r="P55" i="25"/>
  <c r="U55" i="25"/>
  <c r="M55" i="25"/>
  <c r="AD55" i="25"/>
  <c r="V55" i="25"/>
  <c r="W55" i="25"/>
  <c r="S55" i="25"/>
  <c r="J51" i="25"/>
  <c r="AC51" i="25"/>
  <c r="U51" i="25"/>
  <c r="L51" i="25"/>
  <c r="AG51" i="25"/>
  <c r="P51" i="25"/>
  <c r="K47" i="25"/>
  <c r="J47" i="25"/>
  <c r="L47" i="25"/>
  <c r="AE47" i="25"/>
  <c r="AG47" i="25"/>
  <c r="AB45" i="25"/>
  <c r="Q45" i="25"/>
  <c r="AF41" i="25"/>
  <c r="S41" i="25"/>
  <c r="AH41" i="25"/>
  <c r="V43" i="25"/>
  <c r="K45" i="25"/>
  <c r="P43" i="25"/>
  <c r="Q41" i="25"/>
  <c r="AB43" i="25"/>
  <c r="I45" i="25"/>
  <c r="T43" i="25"/>
  <c r="AD41" i="25"/>
  <c r="Z45" i="25"/>
  <c r="R43" i="25"/>
  <c r="AF45" i="25"/>
  <c r="AG41" i="25"/>
  <c r="AC43" i="25"/>
  <c r="L45" i="25"/>
  <c r="U41" i="25"/>
  <c r="S45" i="25"/>
  <c r="AC45" i="25"/>
  <c r="J43" i="25"/>
  <c r="W45" i="25"/>
  <c r="S43" i="25"/>
  <c r="W43" i="25"/>
  <c r="AD45" i="25"/>
  <c r="X43" i="25"/>
  <c r="AG43" i="25"/>
  <c r="P45" i="25"/>
  <c r="V47" i="25"/>
  <c r="Y47" i="25"/>
  <c r="AC47" i="25"/>
  <c r="X47" i="25"/>
  <c r="AF51" i="25"/>
  <c r="K51" i="25"/>
  <c r="Z53" i="25"/>
  <c r="T53" i="25"/>
  <c r="S51" i="25"/>
  <c r="L53" i="25"/>
  <c r="AH51" i="25"/>
  <c r="I53" i="25"/>
  <c r="X53" i="25"/>
  <c r="AA51" i="25"/>
  <c r="AD49" i="25"/>
  <c r="K49" i="25"/>
  <c r="M49" i="25"/>
  <c r="AF49" i="25"/>
  <c r="Q49" i="25"/>
  <c r="H11" i="25"/>
  <c r="I55" i="25"/>
  <c r="AG55" i="25"/>
  <c r="S58" i="33"/>
  <c r="T58" i="33" s="1"/>
  <c r="S47" i="33"/>
  <c r="T47" i="33" s="1"/>
  <c r="G47" i="25"/>
  <c r="S44" i="33"/>
  <c r="T44" i="33" s="1"/>
  <c r="S57" i="33"/>
  <c r="T57" i="33" s="1"/>
  <c r="S46" i="33"/>
  <c r="T46" i="33" s="1"/>
  <c r="D50" i="25"/>
  <c r="G51" i="25"/>
  <c r="S48" i="33"/>
  <c r="T48" i="33" s="1"/>
  <c r="S63" i="33"/>
  <c r="T63" i="33" s="1"/>
  <c r="S53" i="33"/>
  <c r="T53" i="33" s="1"/>
  <c r="S42" i="33"/>
  <c r="T42" i="33" s="1"/>
  <c r="S56" i="33"/>
  <c r="T56" i="33" s="1"/>
  <c r="S40" i="33"/>
  <c r="T40" i="33" s="1"/>
  <c r="S62" i="33"/>
  <c r="T62" i="33" s="1"/>
  <c r="S51" i="33"/>
  <c r="T51" i="33" s="1"/>
  <c r="S41" i="33"/>
  <c r="T41" i="33" s="1"/>
  <c r="AH56" i="25"/>
  <c r="X55" i="25"/>
  <c r="T55" i="25"/>
  <c r="Q55" i="25"/>
  <c r="AC55" i="25"/>
  <c r="U56" i="25"/>
  <c r="Y56" i="25"/>
  <c r="W56" i="25"/>
  <c r="R55" i="25"/>
  <c r="AB55" i="25"/>
  <c r="J55" i="25"/>
  <c r="AG56" i="25"/>
  <c r="AH55" i="25"/>
  <c r="L55" i="25"/>
  <c r="I56" i="25"/>
  <c r="M56" i="25"/>
  <c r="AC56" i="25"/>
  <c r="AA55" i="25"/>
  <c r="O56" i="25"/>
  <c r="AA56" i="25"/>
  <c r="K56" i="25"/>
  <c r="N56" i="25"/>
  <c r="J56" i="25"/>
  <c r="F43" i="25"/>
  <c r="F42" i="25"/>
  <c r="D36" i="25"/>
  <c r="D44" i="25"/>
  <c r="D39" i="25"/>
  <c r="F40" i="25"/>
  <c r="D51" i="25"/>
  <c r="F41" i="25"/>
  <c r="F23" i="25"/>
  <c r="L29" i="34"/>
  <c r="M69" i="20" s="1"/>
  <c r="D27" i="25"/>
  <c r="K28" i="34"/>
  <c r="L68" i="20" s="1"/>
  <c r="K32" i="34"/>
  <c r="L72" i="20" s="1"/>
  <c r="K26" i="34"/>
  <c r="L66" i="20" s="1"/>
  <c r="M16" i="34"/>
  <c r="K29" i="34"/>
  <c r="L69" i="20" s="1"/>
  <c r="K25" i="34"/>
  <c r="L65" i="20" s="1"/>
  <c r="K30" i="34"/>
  <c r="L70" i="20" s="1"/>
  <c r="K24" i="34"/>
  <c r="L64" i="20" s="1"/>
  <c r="K23" i="34"/>
  <c r="L63" i="20" s="1"/>
  <c r="K33" i="34"/>
  <c r="L73" i="20" s="1"/>
  <c r="K34" i="34"/>
  <c r="L74" i="20" s="1"/>
  <c r="I11" i="25"/>
  <c r="I10" i="25"/>
  <c r="G54" i="25"/>
  <c r="G50" i="25"/>
  <c r="G46" i="25"/>
  <c r="B29" i="25"/>
  <c r="B25" i="25"/>
  <c r="I64" i="20"/>
  <c r="J30" i="34"/>
  <c r="K70" i="20" s="1"/>
  <c r="J26" i="34"/>
  <c r="K66" i="20" s="1"/>
  <c r="J31" i="34"/>
  <c r="K71" i="20" s="1"/>
  <c r="J27" i="34"/>
  <c r="K67" i="20" s="1"/>
  <c r="J33" i="34"/>
  <c r="K73" i="20" s="1"/>
  <c r="J23" i="34"/>
  <c r="K63" i="20" s="1"/>
  <c r="J24" i="34"/>
  <c r="K64" i="20" s="1"/>
  <c r="J34" i="34"/>
  <c r="K74" i="20" s="1"/>
  <c r="J28" i="34"/>
  <c r="K68" i="20" s="1"/>
  <c r="J25" i="34"/>
  <c r="K65" i="20" s="1"/>
  <c r="J32" i="34"/>
  <c r="K72" i="20" s="1"/>
  <c r="J29" i="34"/>
  <c r="G16" i="34"/>
  <c r="J9" i="25"/>
  <c r="J35" i="34"/>
  <c r="K75" i="20" s="1"/>
  <c r="L33" i="34"/>
  <c r="M73" i="20" s="1"/>
  <c r="L23" i="34"/>
  <c r="M63" i="20" s="1"/>
  <c r="L26" i="34"/>
  <c r="M66" i="20" s="1"/>
  <c r="L34" i="34"/>
  <c r="M74" i="20" s="1"/>
  <c r="L35" i="34"/>
  <c r="M75" i="20" s="1"/>
  <c r="L25" i="34"/>
  <c r="M65" i="20" s="1"/>
  <c r="L24" i="34"/>
  <c r="M64" i="20" s="1"/>
  <c r="L32" i="34"/>
  <c r="M72" i="20" s="1"/>
  <c r="L30" i="34"/>
  <c r="M70" i="20" s="1"/>
  <c r="L31" i="34"/>
  <c r="M71" i="20" s="1"/>
  <c r="L27" i="34"/>
  <c r="M67" i="20" s="1"/>
  <c r="L28" i="34"/>
  <c r="M68" i="20" s="1"/>
  <c r="K55" i="25"/>
  <c r="AE55" i="25"/>
  <c r="S61" i="33"/>
  <c r="T61" i="33" s="1"/>
  <c r="S55" i="33"/>
  <c r="T55" i="33" s="1"/>
  <c r="S50" i="33"/>
  <c r="T50" i="33" s="1"/>
  <c r="S45" i="33"/>
  <c r="T45" i="33" s="1"/>
  <c r="K27" i="34"/>
  <c r="L67" i="20" s="1"/>
  <c r="S52" i="33"/>
  <c r="T52" i="33" s="1"/>
  <c r="S59" i="33"/>
  <c r="T59" i="33" s="1"/>
  <c r="S54" i="33"/>
  <c r="T54" i="33" s="1"/>
  <c r="S49" i="33"/>
  <c r="T49" i="33" s="1"/>
  <c r="K35" i="34"/>
  <c r="L75" i="20" s="1"/>
  <c r="K31" i="34"/>
  <c r="L71" i="20" s="1"/>
  <c r="D22" i="25"/>
  <c r="D30" i="25"/>
  <c r="D29" i="25"/>
  <c r="D31" i="25"/>
  <c r="D54" i="25"/>
  <c r="D37" i="25"/>
  <c r="J22" i="25"/>
  <c r="I20" i="25"/>
  <c r="I19" i="25"/>
  <c r="I22" i="25"/>
  <c r="J21" i="25"/>
  <c r="J20" i="25"/>
  <c r="J19" i="25"/>
  <c r="I21" i="25"/>
  <c r="M39" i="25"/>
  <c r="AD39" i="25"/>
  <c r="AE37" i="25"/>
  <c r="AC39" i="25"/>
  <c r="J37" i="25"/>
  <c r="R39" i="25"/>
  <c r="R38" i="25"/>
  <c r="I38" i="25"/>
  <c r="W38" i="25"/>
  <c r="AD38" i="25"/>
  <c r="AH38" i="25"/>
  <c r="M38" i="25"/>
  <c r="Y38" i="25"/>
  <c r="X39" i="25"/>
  <c r="W37" i="25"/>
  <c r="N39" i="25"/>
  <c r="AH39" i="25"/>
  <c r="AC37" i="25"/>
  <c r="AG37" i="25"/>
  <c r="I37" i="25"/>
  <c r="AA38" i="25"/>
  <c r="S38" i="25"/>
  <c r="Z38" i="25"/>
  <c r="P39" i="25"/>
  <c r="O39" i="25"/>
  <c r="V37" i="25"/>
  <c r="AF37" i="25"/>
  <c r="AD37" i="25"/>
  <c r="AG39" i="25"/>
  <c r="AG38" i="25"/>
  <c r="U38" i="25"/>
  <c r="AB37" i="25"/>
  <c r="AE39" i="25"/>
  <c r="M37" i="25"/>
  <c r="W39" i="25"/>
  <c r="AA39" i="25"/>
  <c r="AH37" i="25"/>
  <c r="L37" i="25"/>
  <c r="N37" i="25"/>
  <c r="AB38" i="25"/>
  <c r="J38" i="25"/>
  <c r="O38" i="25"/>
  <c r="P38" i="25"/>
  <c r="J39" i="25"/>
  <c r="S39" i="25"/>
  <c r="AA37" i="25"/>
  <c r="Q37" i="25"/>
  <c r="Z37" i="25"/>
  <c r="U39" i="25"/>
  <c r="P37" i="25"/>
  <c r="T38" i="25"/>
  <c r="AE38" i="25"/>
  <c r="AF38" i="25"/>
  <c r="T37" i="25"/>
  <c r="Y37" i="25"/>
  <c r="I39" i="25"/>
  <c r="U37" i="25"/>
  <c r="AF39" i="25"/>
  <c r="L39" i="25"/>
  <c r="S37" i="25"/>
  <c r="X37" i="25"/>
  <c r="AB39" i="25"/>
  <c r="I16" i="25"/>
  <c r="I17" i="25"/>
  <c r="I18" i="25"/>
  <c r="J17" i="25"/>
  <c r="J16" i="25"/>
  <c r="J15" i="25"/>
  <c r="I15" i="25"/>
  <c r="I35" i="25"/>
  <c r="I36" i="25"/>
  <c r="I25" i="25"/>
  <c r="J35" i="25"/>
  <c r="O82" i="24" l="1"/>
  <c r="P82" i="24" s="1"/>
  <c r="Q82" i="24"/>
  <c r="I82" i="24"/>
  <c r="I84" i="24"/>
  <c r="O84" i="24"/>
  <c r="P84" i="24" s="1"/>
  <c r="Q84" i="24"/>
  <c r="O75" i="24"/>
  <c r="P75" i="24" s="1"/>
  <c r="I75" i="24"/>
  <c r="Q75" i="24"/>
  <c r="Q70" i="24"/>
  <c r="I70" i="24"/>
  <c r="O70" i="24"/>
  <c r="P70" i="24" s="1"/>
  <c r="O55" i="24"/>
  <c r="P55" i="24" s="1"/>
  <c r="I55" i="24"/>
  <c r="Q55" i="24"/>
  <c r="I72" i="24"/>
  <c r="Q72" i="24"/>
  <c r="O72" i="24"/>
  <c r="P72" i="24" s="1"/>
  <c r="O87" i="24"/>
  <c r="P87" i="24" s="1"/>
  <c r="I87" i="24"/>
  <c r="Q87" i="24"/>
  <c r="I65" i="24"/>
  <c r="Q65" i="24"/>
  <c r="O65" i="24"/>
  <c r="P65" i="24" s="1"/>
  <c r="I93" i="24"/>
  <c r="O93" i="24"/>
  <c r="P93" i="24" s="1"/>
  <c r="Q93" i="24"/>
  <c r="I61" i="24"/>
  <c r="O61" i="24"/>
  <c r="P61" i="24" s="1"/>
  <c r="Q61" i="24"/>
  <c r="H63" i="20"/>
  <c r="Q74" i="24"/>
  <c r="I74" i="24"/>
  <c r="O74" i="24"/>
  <c r="P74" i="24" s="1"/>
  <c r="I89" i="24"/>
  <c r="O89" i="24"/>
  <c r="P89" i="24" s="1"/>
  <c r="Q89" i="24"/>
  <c r="I56" i="24"/>
  <c r="O56" i="24"/>
  <c r="P56" i="24" s="1"/>
  <c r="Q56" i="24"/>
  <c r="I94" i="24"/>
  <c r="O94" i="24"/>
  <c r="P94" i="24" s="1"/>
  <c r="Q94" i="24"/>
  <c r="O66" i="24"/>
  <c r="P66" i="24" s="1"/>
  <c r="I66" i="24"/>
  <c r="Q66" i="24"/>
  <c r="I85" i="24"/>
  <c r="O85" i="24"/>
  <c r="P85" i="24" s="1"/>
  <c r="Q85" i="24"/>
  <c r="I76" i="24"/>
  <c r="O76" i="24"/>
  <c r="P76" i="24" s="1"/>
  <c r="Q76" i="24"/>
  <c r="I81" i="24"/>
  <c r="Q81" i="24"/>
  <c r="O81" i="24"/>
  <c r="P81" i="24" s="1"/>
  <c r="I64" i="24"/>
  <c r="O64" i="24"/>
  <c r="P64" i="24" s="1"/>
  <c r="Q64" i="24"/>
  <c r="Q58" i="24"/>
  <c r="I58" i="24"/>
  <c r="O58" i="24"/>
  <c r="P58" i="24" s="1"/>
  <c r="O91" i="24"/>
  <c r="P91" i="24" s="1"/>
  <c r="I91" i="24"/>
  <c r="Q91" i="24"/>
  <c r="I69" i="24"/>
  <c r="O69" i="24"/>
  <c r="P69" i="24" s="1"/>
  <c r="Q69" i="24"/>
  <c r="O54" i="24"/>
  <c r="P54" i="24" s="1"/>
  <c r="I54" i="24"/>
  <c r="Q54" i="24"/>
  <c r="Q88" i="24"/>
  <c r="I88" i="24"/>
  <c r="O88" i="24"/>
  <c r="P88" i="24" s="1"/>
  <c r="O71" i="24"/>
  <c r="P71" i="24" s="1"/>
  <c r="I71" i="24"/>
  <c r="Q71" i="24"/>
  <c r="I77" i="24"/>
  <c r="O77" i="24"/>
  <c r="P77" i="24" s="1"/>
  <c r="Q77" i="24"/>
  <c r="I60" i="24"/>
  <c r="Q60" i="24"/>
  <c r="O60" i="24"/>
  <c r="P60" i="24" s="1"/>
  <c r="O79" i="24"/>
  <c r="P79" i="24" s="1"/>
  <c r="I79" i="24"/>
  <c r="Q79" i="24"/>
  <c r="O83" i="24"/>
  <c r="P83" i="24" s="1"/>
  <c r="I83" i="24"/>
  <c r="Q83" i="24"/>
  <c r="Q86" i="24"/>
  <c r="O86" i="24"/>
  <c r="P86" i="24" s="1"/>
  <c r="I86" i="24"/>
  <c r="Q68" i="24"/>
  <c r="I68" i="24"/>
  <c r="O68" i="24"/>
  <c r="P68" i="24" s="1"/>
  <c r="O63" i="24"/>
  <c r="P63" i="24" s="1"/>
  <c r="I63" i="24"/>
  <c r="Q63" i="24"/>
  <c r="I90" i="24"/>
  <c r="Q90" i="24"/>
  <c r="O90" i="24"/>
  <c r="P90" i="24" s="1"/>
  <c r="I62" i="24"/>
  <c r="O62" i="24"/>
  <c r="P62" i="24" s="1"/>
  <c r="Q62" i="24"/>
  <c r="I73" i="24"/>
  <c r="O73" i="24"/>
  <c r="P73" i="24" s="1"/>
  <c r="Q73" i="24"/>
  <c r="I80" i="24"/>
  <c r="Q80" i="24"/>
  <c r="O80" i="24"/>
  <c r="P80" i="24" s="1"/>
  <c r="O59" i="24"/>
  <c r="P59" i="24" s="1"/>
  <c r="I59" i="24"/>
  <c r="Q59" i="24"/>
  <c r="I57" i="24"/>
  <c r="O57" i="24"/>
  <c r="P57" i="24" s="1"/>
  <c r="Q57" i="24"/>
  <c r="I78" i="24"/>
  <c r="O78" i="24"/>
  <c r="P78" i="24" s="1"/>
  <c r="Q78" i="24"/>
  <c r="O67" i="24"/>
  <c r="P67" i="24" s="1"/>
  <c r="I67" i="24"/>
  <c r="Q67" i="24"/>
  <c r="I92" i="24"/>
  <c r="Q92" i="24"/>
  <c r="O92" i="24"/>
  <c r="P92" i="24" s="1"/>
  <c r="T18" i="21"/>
  <c r="F35" i="22" s="1"/>
  <c r="G46" i="22"/>
  <c r="C16" i="22" s="1"/>
  <c r="D47" i="25"/>
  <c r="D15" i="25"/>
  <c r="O44" i="22"/>
  <c r="P44" i="22" s="1"/>
  <c r="G44" i="22" s="1"/>
  <c r="F51" i="22"/>
  <c r="F49" i="22"/>
  <c r="F47" i="22"/>
  <c r="F45" i="22"/>
  <c r="F44" i="22"/>
  <c r="F50" i="22"/>
  <c r="F46" i="22"/>
  <c r="F48" i="22"/>
  <c r="G45" i="22"/>
  <c r="G49" i="22"/>
  <c r="D17" i="22"/>
  <c r="G47" i="22"/>
  <c r="C17" i="22"/>
  <c r="G51" i="22"/>
  <c r="G50" i="22"/>
  <c r="O8" i="22"/>
  <c r="F8" i="22"/>
  <c r="R8" i="22"/>
  <c r="H36" i="22" s="1"/>
  <c r="I8" i="22"/>
  <c r="G36" i="22" s="1"/>
  <c r="T8" i="22"/>
  <c r="H38" i="22" s="1"/>
  <c r="K8" i="22"/>
  <c r="G38" i="22" s="1"/>
  <c r="S8" i="22"/>
  <c r="H37" i="22" s="1"/>
  <c r="J8" i="22"/>
  <c r="G37" i="22" s="1"/>
  <c r="N8" i="22"/>
  <c r="H32" i="22" s="1"/>
  <c r="E8" i="22"/>
  <c r="G32" i="22" s="1"/>
  <c r="L41" i="21"/>
  <c r="K41" i="21"/>
  <c r="J41" i="21"/>
  <c r="L85" i="21"/>
  <c r="K85" i="21"/>
  <c r="J85" i="21"/>
  <c r="L65" i="21"/>
  <c r="J65" i="21"/>
  <c r="K65" i="21"/>
  <c r="L92" i="21"/>
  <c r="K92" i="21"/>
  <c r="J92" i="21"/>
  <c r="L71" i="21"/>
  <c r="K71" i="21"/>
  <c r="J71" i="21"/>
  <c r="L94" i="21"/>
  <c r="J94" i="21"/>
  <c r="K94" i="21"/>
  <c r="L78" i="21"/>
  <c r="J78" i="21"/>
  <c r="K78" i="21"/>
  <c r="L60" i="21"/>
  <c r="K60" i="21"/>
  <c r="J60" i="21"/>
  <c r="L64" i="21"/>
  <c r="K64" i="21"/>
  <c r="J64" i="21"/>
  <c r="K35" i="21"/>
  <c r="L35" i="21"/>
  <c r="J35" i="21"/>
  <c r="L89" i="21"/>
  <c r="K89" i="21"/>
  <c r="J89" i="21"/>
  <c r="L61" i="21"/>
  <c r="J61" i="21"/>
  <c r="K61" i="21"/>
  <c r="K39" i="21"/>
  <c r="L39" i="21"/>
  <c r="J39" i="21"/>
  <c r="L96" i="21"/>
  <c r="K96" i="21"/>
  <c r="J96" i="21"/>
  <c r="L80" i="21"/>
  <c r="K80" i="21"/>
  <c r="J80" i="21"/>
  <c r="L40" i="21"/>
  <c r="J40" i="21"/>
  <c r="K40" i="21"/>
  <c r="L91" i="21"/>
  <c r="J91" i="21"/>
  <c r="K91" i="21"/>
  <c r="L67" i="21"/>
  <c r="K67" i="21"/>
  <c r="J67" i="21"/>
  <c r="L68" i="21"/>
  <c r="K68" i="21"/>
  <c r="J68" i="21"/>
  <c r="L34" i="21"/>
  <c r="K34" i="21"/>
  <c r="J34" i="21"/>
  <c r="L38" i="21"/>
  <c r="K38" i="21"/>
  <c r="J38" i="21"/>
  <c r="L87" i="21"/>
  <c r="J87" i="21"/>
  <c r="K87" i="21"/>
  <c r="L98" i="21"/>
  <c r="J98" i="21"/>
  <c r="K98" i="21"/>
  <c r="L82" i="21"/>
  <c r="J82" i="21"/>
  <c r="K82" i="21"/>
  <c r="L93" i="21"/>
  <c r="K93" i="21"/>
  <c r="J93" i="21"/>
  <c r="L77" i="21"/>
  <c r="K77" i="21"/>
  <c r="J77" i="21"/>
  <c r="L73" i="21"/>
  <c r="J73" i="21"/>
  <c r="K73" i="21"/>
  <c r="L42" i="21"/>
  <c r="K42" i="21"/>
  <c r="J42" i="21"/>
  <c r="L100" i="21"/>
  <c r="J76" i="21"/>
  <c r="L76" i="21"/>
  <c r="K76" i="21"/>
  <c r="K100" i="21"/>
  <c r="J100" i="21"/>
  <c r="L84" i="21"/>
  <c r="K84" i="21"/>
  <c r="J84" i="21"/>
  <c r="L70" i="21"/>
  <c r="J70" i="21"/>
  <c r="K70" i="21"/>
  <c r="AO28" i="21"/>
  <c r="L36" i="21"/>
  <c r="K36" i="21"/>
  <c r="J36" i="21"/>
  <c r="L95" i="21"/>
  <c r="J95" i="21"/>
  <c r="K95" i="21"/>
  <c r="L79" i="21"/>
  <c r="J79" i="21"/>
  <c r="K79" i="21"/>
  <c r="L63" i="21"/>
  <c r="K63" i="21"/>
  <c r="J63" i="21"/>
  <c r="L90" i="21"/>
  <c r="J90" i="21"/>
  <c r="K90" i="21"/>
  <c r="K11" i="21"/>
  <c r="W18" i="21" s="1"/>
  <c r="L86" i="21"/>
  <c r="J86" i="21"/>
  <c r="K86" i="21"/>
  <c r="L72" i="21"/>
  <c r="K72" i="21"/>
  <c r="J72" i="21"/>
  <c r="L97" i="21"/>
  <c r="K97" i="21"/>
  <c r="J97" i="21"/>
  <c r="L81" i="21"/>
  <c r="K81" i="21"/>
  <c r="J81" i="21"/>
  <c r="L69" i="21"/>
  <c r="J69" i="21"/>
  <c r="K69" i="21"/>
  <c r="K37" i="21"/>
  <c r="J37" i="21"/>
  <c r="L37" i="21"/>
  <c r="L88" i="21"/>
  <c r="K88" i="21"/>
  <c r="J88" i="21"/>
  <c r="L62" i="21"/>
  <c r="J62" i="21"/>
  <c r="K62" i="21"/>
  <c r="L66" i="21"/>
  <c r="J66" i="21"/>
  <c r="K66" i="21"/>
  <c r="L74" i="21"/>
  <c r="J74" i="21"/>
  <c r="K74" i="21"/>
  <c r="L99" i="21"/>
  <c r="J99" i="21"/>
  <c r="K99" i="21"/>
  <c r="L83" i="21"/>
  <c r="J83" i="21"/>
  <c r="K83" i="21"/>
  <c r="L75" i="21"/>
  <c r="K75" i="21"/>
  <c r="J75" i="21"/>
  <c r="H73" i="20"/>
  <c r="H74" i="20"/>
  <c r="M29" i="34"/>
  <c r="H68" i="20" s="1"/>
  <c r="K69" i="20"/>
  <c r="H72" i="20"/>
  <c r="H71" i="20"/>
  <c r="H75" i="20"/>
  <c r="J11" i="21"/>
  <c r="D21" i="25"/>
  <c r="D25" i="25"/>
  <c r="M35" i="34"/>
  <c r="K9" i="25"/>
  <c r="J11" i="25"/>
  <c r="J10" i="25"/>
  <c r="M25" i="34"/>
  <c r="J36" i="34"/>
  <c r="M23" i="34"/>
  <c r="M26" i="34"/>
  <c r="M28" i="34"/>
  <c r="M33" i="34"/>
  <c r="M30" i="34"/>
  <c r="L36" i="34"/>
  <c r="M34" i="34"/>
  <c r="M27" i="34"/>
  <c r="M32" i="34"/>
  <c r="M24" i="34"/>
  <c r="M31" i="34"/>
  <c r="K36" i="34"/>
  <c r="D20" i="25"/>
  <c r="D24" i="25"/>
  <c r="D28" i="25"/>
  <c r="D16" i="25"/>
  <c r="J18" i="25"/>
  <c r="J25" i="25"/>
  <c r="I34" i="25"/>
  <c r="I28" i="25"/>
  <c r="J34" i="25"/>
  <c r="I26" i="25"/>
  <c r="J27" i="25"/>
  <c r="I32" i="25"/>
  <c r="J32" i="25"/>
  <c r="J29" i="25"/>
  <c r="I24" i="25"/>
  <c r="J36" i="25"/>
  <c r="I27" i="25"/>
  <c r="J30" i="25"/>
  <c r="I29" i="25"/>
  <c r="J24" i="25"/>
  <c r="J33" i="25"/>
  <c r="I30" i="25"/>
  <c r="I31" i="25"/>
  <c r="J28" i="25"/>
  <c r="J31" i="25"/>
  <c r="J26" i="25"/>
  <c r="I33" i="25"/>
  <c r="H47" i="24" l="1"/>
  <c r="G47" i="24"/>
  <c r="G48" i="24"/>
  <c r="H48" i="24"/>
  <c r="H50" i="24"/>
  <c r="G50" i="24"/>
  <c r="G46" i="24"/>
  <c r="H46" i="24"/>
  <c r="G43" i="24"/>
  <c r="H43" i="24"/>
  <c r="H49" i="24"/>
  <c r="G49" i="24"/>
  <c r="G38" i="24"/>
  <c r="H38" i="24"/>
  <c r="V18" i="21"/>
  <c r="F52" i="22"/>
  <c r="D16" i="22" s="1"/>
  <c r="G48" i="22" s="1"/>
  <c r="I32" i="22"/>
  <c r="I38" i="22"/>
  <c r="I37" i="22"/>
  <c r="I36" i="22"/>
  <c r="F139" i="22"/>
  <c r="F14" i="22"/>
  <c r="N139" i="22"/>
  <c r="S139" i="22"/>
  <c r="R139" i="22"/>
  <c r="O139" i="22"/>
  <c r="E139" i="22"/>
  <c r="I139" i="22"/>
  <c r="J139" i="22"/>
  <c r="G52" i="21"/>
  <c r="G53" i="21"/>
  <c r="G54" i="21"/>
  <c r="G56" i="21"/>
  <c r="G49" i="21"/>
  <c r="G55" i="21"/>
  <c r="G29" i="25"/>
  <c r="L11" i="21"/>
  <c r="G35" i="25"/>
  <c r="G34" i="25"/>
  <c r="J14" i="25"/>
  <c r="O5" i="33" s="1"/>
  <c r="P5" i="33" s="1"/>
  <c r="G32" i="25"/>
  <c r="G36" i="25"/>
  <c r="G33" i="25"/>
  <c r="I14" i="25"/>
  <c r="O4" i="33" s="1"/>
  <c r="P4" i="33" s="1"/>
  <c r="H69" i="20"/>
  <c r="M36" i="34"/>
  <c r="H65" i="20"/>
  <c r="L9" i="25"/>
  <c r="K11" i="25"/>
  <c r="K10" i="25"/>
  <c r="H70" i="20"/>
  <c r="H66" i="20"/>
  <c r="H67" i="20"/>
  <c r="H64" i="20"/>
  <c r="D19" i="25"/>
  <c r="D35" i="25"/>
  <c r="D17" i="25"/>
  <c r="D18" i="25"/>
  <c r="D34" i="25"/>
  <c r="D26" i="25"/>
  <c r="D32" i="25"/>
  <c r="D33" i="25"/>
  <c r="K20" i="25"/>
  <c r="K21" i="25"/>
  <c r="K22" i="25"/>
  <c r="K19" i="25"/>
  <c r="K16" i="25"/>
  <c r="K18" i="25"/>
  <c r="K17" i="25"/>
  <c r="K15" i="25"/>
  <c r="K26" i="25"/>
  <c r="K32" i="25"/>
  <c r="K35" i="25"/>
  <c r="K33" i="25"/>
  <c r="K29" i="25"/>
  <c r="K30" i="25"/>
  <c r="K28" i="25"/>
  <c r="K31" i="25"/>
  <c r="K25" i="25"/>
  <c r="K24" i="25"/>
  <c r="K27" i="25"/>
  <c r="K36" i="25"/>
  <c r="K34" i="25"/>
  <c r="I46" i="24" l="1"/>
  <c r="O46" i="24"/>
  <c r="P46" i="24" s="1"/>
  <c r="Q46" i="24"/>
  <c r="G42" i="24"/>
  <c r="H42" i="24"/>
  <c r="G41" i="24"/>
  <c r="H41" i="24"/>
  <c r="O50" i="24"/>
  <c r="P50" i="24" s="1"/>
  <c r="Q50" i="24"/>
  <c r="I50" i="24"/>
  <c r="H45" i="24"/>
  <c r="G45" i="24"/>
  <c r="Q38" i="24"/>
  <c r="I38" i="24"/>
  <c r="O38" i="24"/>
  <c r="P38" i="24" s="1"/>
  <c r="G39" i="24"/>
  <c r="H39" i="24"/>
  <c r="I49" i="24"/>
  <c r="Q49" i="24"/>
  <c r="O49" i="24"/>
  <c r="P49" i="24" s="1"/>
  <c r="I48" i="24"/>
  <c r="O48" i="24"/>
  <c r="P48" i="24" s="1"/>
  <c r="Q48" i="24"/>
  <c r="G44" i="24"/>
  <c r="H44" i="24"/>
  <c r="O47" i="24"/>
  <c r="P47" i="24" s="1"/>
  <c r="I47" i="24"/>
  <c r="Q47" i="24"/>
  <c r="G40" i="24"/>
  <c r="H40" i="24"/>
  <c r="O43" i="24"/>
  <c r="P43" i="24" s="1"/>
  <c r="I43" i="24"/>
  <c r="Q43" i="24"/>
  <c r="G51" i="21"/>
  <c r="K51" i="21" s="1"/>
  <c r="J36" i="22"/>
  <c r="J32" i="22"/>
  <c r="J37" i="22"/>
  <c r="J38" i="22"/>
  <c r="O38" i="22"/>
  <c r="F145" i="22"/>
  <c r="C14" i="22"/>
  <c r="L55" i="21"/>
  <c r="K55" i="21"/>
  <c r="J55" i="21"/>
  <c r="L52" i="21"/>
  <c r="J52" i="21"/>
  <c r="D56" i="25" s="1"/>
  <c r="K52" i="21"/>
  <c r="G47" i="21"/>
  <c r="G50" i="21"/>
  <c r="G48" i="21"/>
  <c r="G46" i="21"/>
  <c r="G45" i="21"/>
  <c r="G44" i="21"/>
  <c r="J49" i="21"/>
  <c r="K49" i="21"/>
  <c r="L56" i="21"/>
  <c r="J56" i="21"/>
  <c r="K56" i="21"/>
  <c r="T27" i="21"/>
  <c r="AO27" i="21" s="1"/>
  <c r="L54" i="21"/>
  <c r="K54" i="21"/>
  <c r="J54" i="21"/>
  <c r="L53" i="21"/>
  <c r="J53" i="21"/>
  <c r="K53" i="21"/>
  <c r="K14" i="25"/>
  <c r="G28" i="25"/>
  <c r="G26" i="25"/>
  <c r="G24" i="25"/>
  <c r="H28" i="20"/>
  <c r="G31" i="25"/>
  <c r="M9" i="25"/>
  <c r="L11" i="25"/>
  <c r="L10" i="25"/>
  <c r="G25" i="25"/>
  <c r="G27" i="25"/>
  <c r="G30" i="25"/>
  <c r="L21" i="25"/>
  <c r="L20" i="25"/>
  <c r="L22" i="25"/>
  <c r="L19" i="25"/>
  <c r="L17" i="25"/>
  <c r="L16" i="25"/>
  <c r="L18" i="25"/>
  <c r="L15" i="25"/>
  <c r="L30" i="25"/>
  <c r="L25" i="25"/>
  <c r="L27" i="25"/>
  <c r="M36" i="25"/>
  <c r="L28" i="25"/>
  <c r="L26" i="25"/>
  <c r="L34" i="25"/>
  <c r="L36" i="25"/>
  <c r="L33" i="25"/>
  <c r="L29" i="25"/>
  <c r="L35" i="25"/>
  <c r="L24" i="25"/>
  <c r="L32" i="25"/>
  <c r="L31" i="25"/>
  <c r="L49" i="21" l="1"/>
  <c r="T14" i="21"/>
  <c r="F31" i="22" s="1"/>
  <c r="T17" i="21"/>
  <c r="F34" i="22" s="1"/>
  <c r="Q40" i="24"/>
  <c r="I40" i="24"/>
  <c r="O40" i="24"/>
  <c r="P40" i="24" s="1"/>
  <c r="I45" i="24"/>
  <c r="O45" i="24"/>
  <c r="P45" i="24" s="1"/>
  <c r="Q45" i="24"/>
  <c r="I42" i="24"/>
  <c r="Q42" i="24"/>
  <c r="O42" i="24"/>
  <c r="P42" i="24" s="1"/>
  <c r="Q44" i="24"/>
  <c r="O44" i="24"/>
  <c r="P44" i="24" s="1"/>
  <c r="I44" i="24"/>
  <c r="I41" i="24"/>
  <c r="O41" i="24"/>
  <c r="Q41" i="24"/>
  <c r="O39" i="24"/>
  <c r="I39" i="24"/>
  <c r="Q39" i="24"/>
  <c r="T5" i="24"/>
  <c r="T6" i="24" s="1"/>
  <c r="T26" i="21"/>
  <c r="AO26" i="21" s="1"/>
  <c r="AM26" i="21" s="1"/>
  <c r="J51" i="21"/>
  <c r="L51" i="21" s="1"/>
  <c r="F56" i="25"/>
  <c r="L44" i="21"/>
  <c r="K44" i="21"/>
  <c r="J44" i="21"/>
  <c r="T24" i="21"/>
  <c r="AO24" i="21" s="1"/>
  <c r="T12" i="21"/>
  <c r="U30" i="21" s="1"/>
  <c r="K50" i="21"/>
  <c r="J50" i="21"/>
  <c r="K45" i="21"/>
  <c r="J45" i="21"/>
  <c r="K46" i="21"/>
  <c r="J46" i="21"/>
  <c r="J48" i="21"/>
  <c r="K48" i="21"/>
  <c r="AM27" i="21"/>
  <c r="K47" i="21"/>
  <c r="J47" i="21"/>
  <c r="T25" i="21"/>
  <c r="AO25" i="21" s="1"/>
  <c r="F6" i="25"/>
  <c r="L14" i="25"/>
  <c r="O7" i="33" s="1"/>
  <c r="P7" i="33" s="1"/>
  <c r="M11" i="25"/>
  <c r="N9" i="25"/>
  <c r="M10" i="25"/>
  <c r="O6" i="33"/>
  <c r="M20" i="25"/>
  <c r="M19" i="25"/>
  <c r="M22" i="25"/>
  <c r="M21" i="25"/>
  <c r="M18" i="25"/>
  <c r="M17" i="25"/>
  <c r="M16" i="25"/>
  <c r="M15" i="25"/>
  <c r="M30" i="25"/>
  <c r="M26" i="25"/>
  <c r="M33" i="25"/>
  <c r="M34" i="25"/>
  <c r="M25" i="25"/>
  <c r="M24" i="25"/>
  <c r="M28" i="25"/>
  <c r="M35" i="25"/>
  <c r="M27" i="25"/>
  <c r="M29" i="25"/>
  <c r="M32" i="25"/>
  <c r="N36" i="25"/>
  <c r="M31" i="25"/>
  <c r="W17" i="21" l="1"/>
  <c r="L50" i="21"/>
  <c r="L48" i="21"/>
  <c r="W14" i="21"/>
  <c r="P41" i="24"/>
  <c r="AA6" i="24"/>
  <c r="AB6" i="24" s="1"/>
  <c r="L47" i="21"/>
  <c r="V14" i="21"/>
  <c r="P39" i="24"/>
  <c r="AA9" i="24"/>
  <c r="L45" i="21"/>
  <c r="V17" i="21"/>
  <c r="L46" i="21"/>
  <c r="D55" i="25"/>
  <c r="AB23" i="21"/>
  <c r="AB12" i="21"/>
  <c r="AB11" i="21" s="1"/>
  <c r="AM24" i="21"/>
  <c r="AM25" i="21"/>
  <c r="M14" i="25"/>
  <c r="U15" i="21"/>
  <c r="U27" i="21"/>
  <c r="U16" i="21"/>
  <c r="U28" i="21"/>
  <c r="U20" i="21"/>
  <c r="U19" i="21"/>
  <c r="U21" i="21"/>
  <c r="U18" i="21"/>
  <c r="U22" i="21"/>
  <c r="U17" i="21"/>
  <c r="N10" i="25"/>
  <c r="O9" i="25"/>
  <c r="N11" i="25"/>
  <c r="U25" i="21"/>
  <c r="P6" i="33"/>
  <c r="U24" i="21"/>
  <c r="U26" i="21"/>
  <c r="U14" i="21"/>
  <c r="N22" i="25"/>
  <c r="N20" i="25"/>
  <c r="N21" i="25"/>
  <c r="N19" i="25"/>
  <c r="N17" i="25"/>
  <c r="N16" i="25"/>
  <c r="N18" i="25"/>
  <c r="N15" i="25"/>
  <c r="N28" i="25"/>
  <c r="N30" i="25"/>
  <c r="N25" i="25"/>
  <c r="N29" i="25"/>
  <c r="O36" i="25"/>
  <c r="N24" i="25"/>
  <c r="N31" i="25"/>
  <c r="N26" i="25"/>
  <c r="N34" i="25"/>
  <c r="N33" i="25"/>
  <c r="N27" i="25"/>
  <c r="N32" i="25"/>
  <c r="N35" i="25"/>
  <c r="W12" i="21" l="1"/>
  <c r="V33" i="21" s="1"/>
  <c r="M8" i="22"/>
  <c r="D8" i="22"/>
  <c r="AA16" i="24"/>
  <c r="AB16" i="24" s="1"/>
  <c r="AA26" i="24"/>
  <c r="AB26" i="24" s="1"/>
  <c r="P8" i="22"/>
  <c r="G8" i="22"/>
  <c r="AA5" i="24"/>
  <c r="AB9" i="24"/>
  <c r="AA29" i="24"/>
  <c r="AA19" i="24"/>
  <c r="AB29" i="21"/>
  <c r="V25" i="21"/>
  <c r="V26" i="21"/>
  <c r="V27" i="21"/>
  <c r="V24" i="21"/>
  <c r="U12" i="21"/>
  <c r="N14" i="25"/>
  <c r="O9" i="33" s="1"/>
  <c r="O11" i="25"/>
  <c r="O10" i="25"/>
  <c r="P9" i="25"/>
  <c r="V12" i="21"/>
  <c r="V32" i="21" s="1"/>
  <c r="O8" i="33"/>
  <c r="O22" i="25"/>
  <c r="O19" i="25"/>
  <c r="O21" i="25"/>
  <c r="O20" i="25"/>
  <c r="O18" i="25"/>
  <c r="O16" i="25"/>
  <c r="O17" i="25"/>
  <c r="O15" i="25"/>
  <c r="O34" i="25"/>
  <c r="O24" i="25"/>
  <c r="O32" i="25"/>
  <c r="O28" i="25"/>
  <c r="O33" i="25"/>
  <c r="O31" i="25"/>
  <c r="O27" i="25"/>
  <c r="O29" i="25"/>
  <c r="O30" i="25"/>
  <c r="O25" i="25"/>
  <c r="O26" i="25"/>
  <c r="O35" i="25"/>
  <c r="G31" i="22" l="1"/>
  <c r="D139" i="22"/>
  <c r="H31" i="22"/>
  <c r="M139" i="22"/>
  <c r="AB19" i="24"/>
  <c r="AB15" i="24" s="1"/>
  <c r="AB18" i="21" s="1"/>
  <c r="AA15" i="24"/>
  <c r="AD17" i="24" s="1"/>
  <c r="AB5" i="24"/>
  <c r="AB29" i="24"/>
  <c r="AB25" i="24" s="1"/>
  <c r="AB19" i="21" s="1"/>
  <c r="AA25" i="24"/>
  <c r="G34" i="22"/>
  <c r="G139" i="22"/>
  <c r="H34" i="22"/>
  <c r="P139" i="22"/>
  <c r="V29" i="21"/>
  <c r="O14" i="25"/>
  <c r="P8" i="33"/>
  <c r="P10" i="25"/>
  <c r="P11" i="25"/>
  <c r="Q9" i="25"/>
  <c r="P9" i="33"/>
  <c r="P22" i="25"/>
  <c r="P20" i="25"/>
  <c r="P19" i="25"/>
  <c r="P21" i="25"/>
  <c r="P18" i="25"/>
  <c r="P17" i="25"/>
  <c r="P16" i="25"/>
  <c r="P15" i="25"/>
  <c r="P31" i="25"/>
  <c r="P33" i="25"/>
  <c r="P26" i="25"/>
  <c r="P28" i="25"/>
  <c r="P24" i="25"/>
  <c r="P29" i="25"/>
  <c r="P32" i="25"/>
  <c r="P34" i="25"/>
  <c r="P25" i="25"/>
  <c r="P36" i="25"/>
  <c r="P27" i="25"/>
  <c r="P30" i="25"/>
  <c r="P35" i="25"/>
  <c r="I31" i="22" l="1"/>
  <c r="J31" i="22"/>
  <c r="I34" i="22"/>
  <c r="J34" i="22"/>
  <c r="AB17" i="21"/>
  <c r="AA36" i="24"/>
  <c r="AD15" i="24"/>
  <c r="AD18" i="24"/>
  <c r="AD14" i="24"/>
  <c r="AD19" i="24"/>
  <c r="AD16" i="24"/>
  <c r="AD21" i="24"/>
  <c r="AD20" i="24"/>
  <c r="P14" i="25"/>
  <c r="O11" i="33" s="1"/>
  <c r="R9" i="25"/>
  <c r="Q10" i="25"/>
  <c r="Q11" i="25"/>
  <c r="O10" i="33"/>
  <c r="Q21" i="25"/>
  <c r="Q20" i="25"/>
  <c r="Q19" i="25"/>
  <c r="Q22" i="25"/>
  <c r="Q18" i="25"/>
  <c r="Q17" i="25"/>
  <c r="Q16" i="25"/>
  <c r="Q15" i="25"/>
  <c r="Q35" i="25"/>
  <c r="Q29" i="25"/>
  <c r="Q26" i="25"/>
  <c r="Q32" i="25"/>
  <c r="Q30" i="25"/>
  <c r="Q25" i="25"/>
  <c r="Q36" i="25"/>
  <c r="Q28" i="25"/>
  <c r="R36" i="25"/>
  <c r="Q27" i="25"/>
  <c r="Q34" i="25"/>
  <c r="Q33" i="25"/>
  <c r="Q24" i="25"/>
  <c r="Q31" i="25"/>
  <c r="AA35" i="24" l="1"/>
  <c r="AB36" i="24"/>
  <c r="AB35" i="24" s="1"/>
  <c r="Q14" i="25"/>
  <c r="S9" i="25"/>
  <c r="R11" i="25"/>
  <c r="R10" i="25"/>
  <c r="P10" i="33"/>
  <c r="P11" i="33"/>
  <c r="R22" i="25"/>
  <c r="R21" i="25"/>
  <c r="R19" i="25"/>
  <c r="R20" i="25"/>
  <c r="R18" i="25"/>
  <c r="R16" i="25"/>
  <c r="R17" i="25"/>
  <c r="R15" i="25"/>
  <c r="R32" i="25"/>
  <c r="R34" i="25"/>
  <c r="R35" i="25"/>
  <c r="R28" i="25"/>
  <c r="R33" i="25"/>
  <c r="R31" i="25"/>
  <c r="R24" i="25"/>
  <c r="S36" i="25"/>
  <c r="R25" i="25"/>
  <c r="R30" i="25"/>
  <c r="R29" i="25"/>
  <c r="R27" i="25"/>
  <c r="R26" i="25"/>
  <c r="AD7" i="24" l="1"/>
  <c r="Z8" i="22" s="1"/>
  <c r="AD8" i="24"/>
  <c r="AA8" i="22" s="1"/>
  <c r="AD6" i="24"/>
  <c r="Y8" i="22" s="1"/>
  <c r="AD13" i="24"/>
  <c r="AQ8" i="22" s="1"/>
  <c r="AD10" i="24"/>
  <c r="AC8" i="22" s="1"/>
  <c r="AM8" i="22" s="1"/>
  <c r="AB20" i="21"/>
  <c r="AB16" i="21" s="1"/>
  <c r="AD12" i="24"/>
  <c r="AE8" i="22" s="1"/>
  <c r="AD11" i="24"/>
  <c r="AD8" i="22" s="1"/>
  <c r="AB4" i="24"/>
  <c r="AD9" i="24"/>
  <c r="AB8" i="22" s="1"/>
  <c r="R14" i="25"/>
  <c r="O13" i="33" s="1"/>
  <c r="U8" i="22"/>
  <c r="S10" i="25"/>
  <c r="T9" i="25"/>
  <c r="S11" i="25"/>
  <c r="O12" i="33"/>
  <c r="S20" i="25"/>
  <c r="S19" i="25"/>
  <c r="S21" i="25"/>
  <c r="S22" i="25"/>
  <c r="S18" i="25"/>
  <c r="S16" i="25"/>
  <c r="S17" i="25"/>
  <c r="S15" i="25"/>
  <c r="S35" i="25"/>
  <c r="S33" i="25"/>
  <c r="S34" i="25"/>
  <c r="S29" i="25"/>
  <c r="S28" i="25"/>
  <c r="S24" i="25"/>
  <c r="S26" i="25"/>
  <c r="T36" i="25"/>
  <c r="S31" i="25"/>
  <c r="S32" i="25"/>
  <c r="S25" i="25"/>
  <c r="S27" i="25"/>
  <c r="S30" i="25"/>
  <c r="K37" i="22" l="1"/>
  <c r="AO8" i="22"/>
  <c r="L37" i="22" s="1"/>
  <c r="AB24" i="21"/>
  <c r="AP6" i="22"/>
  <c r="AP7" i="22"/>
  <c r="AB10" i="21"/>
  <c r="AI7" i="22"/>
  <c r="AO6" i="22"/>
  <c r="AM7" i="22"/>
  <c r="AN7" i="22"/>
  <c r="AK6" i="22"/>
  <c r="AL7" i="22"/>
  <c r="AJ6" i="22"/>
  <c r="AM6" i="22"/>
  <c r="AJ7" i="22"/>
  <c r="AN6" i="22"/>
  <c r="AL6" i="22"/>
  <c r="AO7" i="22"/>
  <c r="AK7" i="22"/>
  <c r="L33" i="22" s="1"/>
  <c r="AI6" i="22"/>
  <c r="AM11" i="22"/>
  <c r="AO11" i="22"/>
  <c r="AC10" i="22"/>
  <c r="AL11" i="22"/>
  <c r="AI14" i="22"/>
  <c r="AN10" i="22" s="1"/>
  <c r="AN12" i="22" s="1"/>
  <c r="AB10" i="22"/>
  <c r="AI8" i="22"/>
  <c r="L31" i="22" s="1"/>
  <c r="P31" i="22" s="1"/>
  <c r="AD10" i="22"/>
  <c r="AP11" i="22"/>
  <c r="K31" i="22"/>
  <c r="AK11" i="22"/>
  <c r="AJ11" i="22"/>
  <c r="AE10" i="22"/>
  <c r="AI11" i="22"/>
  <c r="AN11" i="22"/>
  <c r="K34" i="22"/>
  <c r="AL8" i="22"/>
  <c r="L34" i="22" s="1"/>
  <c r="AA10" i="22"/>
  <c r="AK8" i="22"/>
  <c r="Z10" i="22"/>
  <c r="K36" i="22"/>
  <c r="AN8" i="22"/>
  <c r="K32" i="22"/>
  <c r="AJ8" i="22"/>
  <c r="L32" i="22" s="1"/>
  <c r="Y10" i="22"/>
  <c r="AF10" i="22"/>
  <c r="Q8" i="22"/>
  <c r="H8" i="22"/>
  <c r="S14" i="25"/>
  <c r="P12" i="33"/>
  <c r="V35" i="21"/>
  <c r="U9" i="25"/>
  <c r="T10" i="25"/>
  <c r="T11" i="25"/>
  <c r="P13" i="33"/>
  <c r="T20" i="25"/>
  <c r="T21" i="25"/>
  <c r="T19" i="25"/>
  <c r="T22" i="25"/>
  <c r="T18" i="25"/>
  <c r="T17" i="25"/>
  <c r="T16" i="25"/>
  <c r="T15" i="25"/>
  <c r="T34" i="25"/>
  <c r="T30" i="25"/>
  <c r="T32" i="25"/>
  <c r="T31" i="25"/>
  <c r="T25" i="25"/>
  <c r="T26" i="25"/>
  <c r="T33" i="25"/>
  <c r="T35" i="25"/>
  <c r="U36" i="25"/>
  <c r="T27" i="25"/>
  <c r="T29" i="25"/>
  <c r="T24" i="25"/>
  <c r="T28" i="25"/>
  <c r="AK10" i="22" l="1"/>
  <c r="AK12" i="22" s="1"/>
  <c r="AP10" i="22"/>
  <c r="AP12" i="22" s="1"/>
  <c r="AM10" i="22"/>
  <c r="AM12" i="22" s="1"/>
  <c r="L35" i="22" s="1"/>
  <c r="AL10" i="22"/>
  <c r="AL12" i="22" s="1"/>
  <c r="AO10" i="22"/>
  <c r="AO12" i="22" s="1"/>
  <c r="AJ10" i="22"/>
  <c r="AJ12" i="22" s="1"/>
  <c r="AM9" i="22"/>
  <c r="AC12" i="22"/>
  <c r="K35" i="22" s="1"/>
  <c r="AJ9" i="22"/>
  <c r="Z12" i="22"/>
  <c r="AP9" i="22"/>
  <c r="AF12" i="22"/>
  <c r="AA12" i="22"/>
  <c r="AK9" i="22"/>
  <c r="M31" i="22"/>
  <c r="N31" i="22"/>
  <c r="O31" i="22"/>
  <c r="Y12" i="22"/>
  <c r="AI9" i="22"/>
  <c r="M34" i="22"/>
  <c r="P34" i="22"/>
  <c r="AI10" i="22"/>
  <c r="AI12" i="22" s="1"/>
  <c r="N32" i="22"/>
  <c r="P32" i="22"/>
  <c r="N34" i="22"/>
  <c r="O34" i="22"/>
  <c r="AN9" i="22"/>
  <c r="AD12" i="22"/>
  <c r="M32" i="22"/>
  <c r="O32" i="22"/>
  <c r="AE11" i="22"/>
  <c r="AC6" i="22"/>
  <c r="AA6" i="22"/>
  <c r="AA9" i="22"/>
  <c r="AB9" i="22"/>
  <c r="AF7" i="22"/>
  <c r="AB7" i="22"/>
  <c r="Y9" i="22"/>
  <c r="Z11" i="22"/>
  <c r="AF6" i="22"/>
  <c r="Z9" i="22"/>
  <c r="AE9" i="22"/>
  <c r="AC9" i="22"/>
  <c r="AB6" i="22"/>
  <c r="Z7" i="22"/>
  <c r="AF9" i="22"/>
  <c r="AE6" i="22"/>
  <c r="AA11" i="22"/>
  <c r="AD7" i="22"/>
  <c r="AD11" i="22"/>
  <c r="AD9" i="22"/>
  <c r="AF11" i="22"/>
  <c r="AD6" i="22"/>
  <c r="AB11" i="22"/>
  <c r="AC7" i="22"/>
  <c r="Y11" i="22"/>
  <c r="Z6" i="22"/>
  <c r="AE7" i="22"/>
  <c r="Y7" i="22"/>
  <c r="Y6" i="22"/>
  <c r="AC11" i="22"/>
  <c r="AA7" i="22"/>
  <c r="K33" i="22" s="1"/>
  <c r="N33" i="22" s="1"/>
  <c r="AB22" i="21"/>
  <c r="I4" i="33" s="1"/>
  <c r="C3" i="33" s="1"/>
  <c r="I12" i="33" s="1"/>
  <c r="L36" i="22"/>
  <c r="L38" i="22"/>
  <c r="AB12" i="22"/>
  <c r="AL9" i="22"/>
  <c r="M37" i="22"/>
  <c r="P37" i="22"/>
  <c r="O36" i="22"/>
  <c r="AE12" i="22"/>
  <c r="AO9" i="22"/>
  <c r="N37" i="22"/>
  <c r="O37" i="22"/>
  <c r="Q139" i="22"/>
  <c r="Q6" i="22"/>
  <c r="Q137" i="22" s="1"/>
  <c r="H139" i="22"/>
  <c r="R11" i="22"/>
  <c r="R142" i="22" s="1"/>
  <c r="P11" i="22"/>
  <c r="P142" i="22" s="1"/>
  <c r="P6" i="22"/>
  <c r="P137" i="22" s="1"/>
  <c r="M6" i="22"/>
  <c r="M137" i="22" s="1"/>
  <c r="R6" i="22"/>
  <c r="R137" i="22" s="1"/>
  <c r="O6" i="22"/>
  <c r="O137" i="22" s="1"/>
  <c r="Q11" i="22"/>
  <c r="Q142" i="22" s="1"/>
  <c r="O11" i="22"/>
  <c r="O142" i="22" s="1"/>
  <c r="M11" i="22"/>
  <c r="M142" i="22" s="1"/>
  <c r="S6" i="22"/>
  <c r="S137" i="22" s="1"/>
  <c r="S11" i="22"/>
  <c r="S142" i="22" s="1"/>
  <c r="M14" i="22"/>
  <c r="M145" i="22" s="1"/>
  <c r="T6" i="22"/>
  <c r="N6" i="22"/>
  <c r="N137" i="22" s="1"/>
  <c r="T11" i="22"/>
  <c r="N11" i="22"/>
  <c r="N142" i="22" s="1"/>
  <c r="T14" i="25"/>
  <c r="O15" i="33" s="1"/>
  <c r="U10" i="25"/>
  <c r="U11" i="25"/>
  <c r="V9" i="25"/>
  <c r="O14" i="33"/>
  <c r="U22" i="25"/>
  <c r="U19" i="25"/>
  <c r="U20" i="25"/>
  <c r="U21" i="25"/>
  <c r="U18" i="25"/>
  <c r="U17" i="25"/>
  <c r="U16" i="25"/>
  <c r="U15" i="25"/>
  <c r="U35" i="25"/>
  <c r="V36" i="25"/>
  <c r="U32" i="25"/>
  <c r="U29" i="25"/>
  <c r="U26" i="25"/>
  <c r="U28" i="25"/>
  <c r="U30" i="25"/>
  <c r="U24" i="25"/>
  <c r="U27" i="25"/>
  <c r="U33" i="25"/>
  <c r="U25" i="25"/>
  <c r="U34" i="25"/>
  <c r="U31" i="25"/>
  <c r="D11" i="22" l="1"/>
  <c r="D142" i="22" s="1"/>
  <c r="G9" i="22"/>
  <c r="G10" i="22" s="1"/>
  <c r="K9" i="22"/>
  <c r="K10" i="22" s="1"/>
  <c r="T9" i="22" s="1"/>
  <c r="F6" i="22"/>
  <c r="F137" i="22" s="1"/>
  <c r="K7" i="22"/>
  <c r="J6" i="22"/>
  <c r="J137" i="22" s="1"/>
  <c r="D7" i="22"/>
  <c r="D138" i="22" s="1"/>
  <c r="F11" i="22"/>
  <c r="F142" i="22" s="1"/>
  <c r="E6" i="22"/>
  <c r="E137" i="22" s="1"/>
  <c r="G7" i="22"/>
  <c r="G138" i="22" s="1"/>
  <c r="I6" i="22"/>
  <c r="I137" i="22" s="1"/>
  <c r="D9" i="22"/>
  <c r="D140" i="22" s="1"/>
  <c r="K6" i="22"/>
  <c r="I7" i="22"/>
  <c r="I138" i="22" s="1"/>
  <c r="H7" i="22"/>
  <c r="H138" i="22" s="1"/>
  <c r="F9" i="22"/>
  <c r="F10" i="22" s="1"/>
  <c r="E9" i="22"/>
  <c r="E140" i="22" s="1"/>
  <c r="G11" i="22"/>
  <c r="G142" i="22" s="1"/>
  <c r="I9" i="22"/>
  <c r="I10" i="22" s="1"/>
  <c r="J9" i="22"/>
  <c r="J140" i="22" s="1"/>
  <c r="E11" i="22"/>
  <c r="E142" i="22" s="1"/>
  <c r="D6" i="22"/>
  <c r="D137" i="22" s="1"/>
  <c r="I11" i="22"/>
  <c r="I142" i="22" s="1"/>
  <c r="H6" i="22"/>
  <c r="H137" i="22" s="1"/>
  <c r="G6" i="22"/>
  <c r="G137" i="22" s="1"/>
  <c r="J7" i="22"/>
  <c r="J138" i="22" s="1"/>
  <c r="AB28" i="21"/>
  <c r="AB30" i="21" s="1"/>
  <c r="AB27" i="21" s="1"/>
  <c r="Q4" i="33" s="1"/>
  <c r="R4" i="33" s="1"/>
  <c r="H11" i="22"/>
  <c r="H142" i="22" s="1"/>
  <c r="K11" i="22"/>
  <c r="Q37" i="22"/>
  <c r="R37" i="22"/>
  <c r="M38" i="22"/>
  <c r="N38" i="22"/>
  <c r="P38" i="22"/>
  <c r="M36" i="22"/>
  <c r="P36" i="22"/>
  <c r="R36" i="22" s="1"/>
  <c r="S11" i="33"/>
  <c r="S6" i="33"/>
  <c r="S7" i="33"/>
  <c r="I13" i="33"/>
  <c r="I14" i="33" s="1"/>
  <c r="S8" i="33"/>
  <c r="S23" i="33"/>
  <c r="S24" i="33"/>
  <c r="S21" i="33"/>
  <c r="S5" i="33"/>
  <c r="S35" i="33"/>
  <c r="S14" i="33"/>
  <c r="S31" i="33"/>
  <c r="S30" i="33"/>
  <c r="S33" i="33"/>
  <c r="S20" i="33"/>
  <c r="S25" i="33"/>
  <c r="S29" i="33"/>
  <c r="S27" i="33"/>
  <c r="S37" i="33"/>
  <c r="S18" i="33"/>
  <c r="S19" i="33"/>
  <c r="S10" i="33"/>
  <c r="S38" i="33"/>
  <c r="S26" i="33"/>
  <c r="S22" i="33"/>
  <c r="S39" i="33"/>
  <c r="S32" i="33"/>
  <c r="S17" i="33"/>
  <c r="S13" i="33"/>
  <c r="S9" i="33"/>
  <c r="S36" i="33"/>
  <c r="S16" i="33"/>
  <c r="S4" i="33"/>
  <c r="S34" i="33"/>
  <c r="S28" i="33"/>
  <c r="S12" i="33"/>
  <c r="S15" i="33"/>
  <c r="R31" i="22"/>
  <c r="Q31" i="22"/>
  <c r="N36" i="22"/>
  <c r="M33" i="22"/>
  <c r="M35" i="22"/>
  <c r="N35" i="22"/>
  <c r="R34" i="22"/>
  <c r="Q34" i="22"/>
  <c r="Q32" i="22"/>
  <c r="R32" i="22"/>
  <c r="H9" i="22"/>
  <c r="H140" i="22" s="1"/>
  <c r="J11" i="22"/>
  <c r="J142" i="22" s="1"/>
  <c r="E7" i="22"/>
  <c r="E138" i="22" s="1"/>
  <c r="F7" i="22"/>
  <c r="G33" i="22" s="1"/>
  <c r="P10" i="22"/>
  <c r="S10" i="22"/>
  <c r="Q10" i="22"/>
  <c r="O10" i="22"/>
  <c r="M10" i="22"/>
  <c r="T10" i="22"/>
  <c r="T12" i="22" s="1"/>
  <c r="N10" i="22"/>
  <c r="R10" i="22"/>
  <c r="U14" i="25"/>
  <c r="O16" i="33" s="1"/>
  <c r="P14" i="33"/>
  <c r="V11" i="25"/>
  <c r="W9" i="25"/>
  <c r="V10" i="25"/>
  <c r="P15" i="33"/>
  <c r="V20" i="25"/>
  <c r="V22" i="25"/>
  <c r="V21" i="25"/>
  <c r="V19" i="25"/>
  <c r="V16" i="25"/>
  <c r="V18" i="25"/>
  <c r="V17" i="25"/>
  <c r="V15" i="25"/>
  <c r="V27" i="25"/>
  <c r="V25" i="25"/>
  <c r="V29" i="25"/>
  <c r="V24" i="25"/>
  <c r="V32" i="25"/>
  <c r="V28" i="25"/>
  <c r="V34" i="25"/>
  <c r="V30" i="25"/>
  <c r="V26" i="25"/>
  <c r="V31" i="25"/>
  <c r="V33" i="25"/>
  <c r="W36" i="25"/>
  <c r="V35" i="25"/>
  <c r="G140" i="22" l="1"/>
  <c r="K12" i="22"/>
  <c r="T7" i="22"/>
  <c r="F140" i="22"/>
  <c r="E10" i="22"/>
  <c r="N7" i="22" s="1"/>
  <c r="N138" i="22" s="1"/>
  <c r="I140" i="22"/>
  <c r="D10" i="22"/>
  <c r="D141" i="22" s="1"/>
  <c r="Q15" i="33"/>
  <c r="R15" i="33" s="1"/>
  <c r="Q14" i="33"/>
  <c r="R14" i="33" s="1"/>
  <c r="Q12" i="33"/>
  <c r="R12" i="33" s="1"/>
  <c r="J10" i="22"/>
  <c r="S9" i="22" s="1"/>
  <c r="S140" i="22" s="1"/>
  <c r="Q13" i="33"/>
  <c r="R13" i="33" s="1"/>
  <c r="Q10" i="33"/>
  <c r="R10" i="33" s="1"/>
  <c r="Q11" i="33"/>
  <c r="R11" i="33" s="1"/>
  <c r="H10" i="22"/>
  <c r="H12" i="22" s="1"/>
  <c r="G35" i="22" s="1"/>
  <c r="Q5" i="33"/>
  <c r="R5" i="33" s="1"/>
  <c r="Q8" i="33"/>
  <c r="R8" i="33" s="1"/>
  <c r="Q6" i="33"/>
  <c r="R6" i="33" s="1"/>
  <c r="F138" i="22"/>
  <c r="Q9" i="33"/>
  <c r="R9" i="33" s="1"/>
  <c r="Q7" i="33"/>
  <c r="R7" i="33" s="1"/>
  <c r="M29" i="22"/>
  <c r="F55" i="25" s="1"/>
  <c r="R38" i="22"/>
  <c r="Q38" i="22"/>
  <c r="S3" i="33"/>
  <c r="T4" i="33"/>
  <c r="T5" i="33" s="1"/>
  <c r="T6" i="33" s="1"/>
  <c r="T7" i="33" s="1"/>
  <c r="T8" i="33" s="1"/>
  <c r="T9" i="33" s="1"/>
  <c r="T10" i="33" s="1"/>
  <c r="Q36" i="22"/>
  <c r="P12" i="22"/>
  <c r="P143" i="22" s="1"/>
  <c r="P141" i="22"/>
  <c r="R12" i="22"/>
  <c r="R143" i="22" s="1"/>
  <c r="R141" i="22"/>
  <c r="O141" i="22"/>
  <c r="O12" i="22"/>
  <c r="O143" i="22" s="1"/>
  <c r="S12" i="22"/>
  <c r="S143" i="22" s="1"/>
  <c r="S141" i="22"/>
  <c r="M12" i="22"/>
  <c r="M143" i="22" s="1"/>
  <c r="M141" i="22"/>
  <c r="N141" i="22"/>
  <c r="N12" i="22"/>
  <c r="N143" i="22" s="1"/>
  <c r="Q12" i="22"/>
  <c r="H35" i="22" s="1"/>
  <c r="Q141" i="22"/>
  <c r="G12" i="22"/>
  <c r="G143" i="22" s="1"/>
  <c r="P9" i="22"/>
  <c r="P140" i="22" s="1"/>
  <c r="G141" i="22"/>
  <c r="P7" i="22"/>
  <c r="P138" i="22" s="1"/>
  <c r="I141" i="22"/>
  <c r="I12" i="22"/>
  <c r="I143" i="22" s="1"/>
  <c r="R9" i="22"/>
  <c r="R140" i="22" s="1"/>
  <c r="R7" i="22"/>
  <c r="R138" i="22" s="1"/>
  <c r="O33" i="22"/>
  <c r="O9" i="22"/>
  <c r="O140" i="22" s="1"/>
  <c r="F12" i="22"/>
  <c r="F143" i="22" s="1"/>
  <c r="F141" i="22"/>
  <c r="O7" i="22"/>
  <c r="H33" i="22" s="1"/>
  <c r="I33" i="22" s="1"/>
  <c r="V14" i="25"/>
  <c r="O17" i="33" s="1"/>
  <c r="F20" i="25"/>
  <c r="X9" i="25"/>
  <c r="W11" i="25"/>
  <c r="W10" i="25"/>
  <c r="P16" i="33"/>
  <c r="Q16" i="33"/>
  <c r="R16" i="33" s="1"/>
  <c r="W21" i="25"/>
  <c r="W20" i="25"/>
  <c r="W22" i="25"/>
  <c r="W19" i="25"/>
  <c r="W18" i="25"/>
  <c r="W16" i="25"/>
  <c r="W17" i="25"/>
  <c r="W15" i="25"/>
  <c r="W34" i="25"/>
  <c r="W28" i="25"/>
  <c r="W29" i="25"/>
  <c r="W26" i="25"/>
  <c r="W30" i="25"/>
  <c r="W35" i="25"/>
  <c r="W33" i="25"/>
  <c r="W24" i="25"/>
  <c r="W27" i="25"/>
  <c r="W32" i="25"/>
  <c r="W31" i="25"/>
  <c r="W25" i="25"/>
  <c r="F21" i="25" l="1"/>
  <c r="F19" i="25"/>
  <c r="N9" i="22"/>
  <c r="N140" i="22" s="1"/>
  <c r="E141" i="22"/>
  <c r="E12" i="22"/>
  <c r="E143" i="22" s="1"/>
  <c r="D12" i="22"/>
  <c r="D143" i="22" s="1"/>
  <c r="M7" i="22"/>
  <c r="M138" i="22" s="1"/>
  <c r="M9" i="22"/>
  <c r="M140" i="22" s="1"/>
  <c r="J12" i="22"/>
  <c r="J143" i="22" s="1"/>
  <c r="J141" i="22"/>
  <c r="S7" i="22"/>
  <c r="S138" i="22" s="1"/>
  <c r="Q7" i="22"/>
  <c r="Q138" i="22" s="1"/>
  <c r="Q9" i="22"/>
  <c r="Q140" i="22" s="1"/>
  <c r="H141" i="22"/>
  <c r="I35" i="22"/>
  <c r="P35" i="22"/>
  <c r="Q143" i="22"/>
  <c r="H143" i="22"/>
  <c r="O138" i="22"/>
  <c r="F24" i="25"/>
  <c r="F51" i="25"/>
  <c r="F45" i="25"/>
  <c r="F47" i="25"/>
  <c r="F54" i="25"/>
  <c r="F49" i="25"/>
  <c r="F46" i="25"/>
  <c r="F44" i="25"/>
  <c r="F48" i="25"/>
  <c r="F50" i="25"/>
  <c r="F52" i="25"/>
  <c r="F53" i="25"/>
  <c r="F18" i="25"/>
  <c r="F33" i="25"/>
  <c r="F17" i="25"/>
  <c r="F16" i="25"/>
  <c r="F15" i="25"/>
  <c r="F30" i="25"/>
  <c r="F39" i="25"/>
  <c r="F38" i="25"/>
  <c r="F37" i="25"/>
  <c r="F36" i="25"/>
  <c r="F34" i="25"/>
  <c r="F25" i="25"/>
  <c r="F27" i="25"/>
  <c r="F32" i="25"/>
  <c r="F26" i="25"/>
  <c r="F31" i="25"/>
  <c r="F22" i="25"/>
  <c r="F35" i="25"/>
  <c r="F28" i="25"/>
  <c r="F29" i="25"/>
  <c r="W14" i="25"/>
  <c r="O18" i="33" s="1"/>
  <c r="T11" i="33"/>
  <c r="Y9" i="25"/>
  <c r="X10" i="25"/>
  <c r="X11" i="25"/>
  <c r="P17" i="33"/>
  <c r="Q17" i="33"/>
  <c r="R17" i="33" s="1"/>
  <c r="X22" i="25"/>
  <c r="X21" i="25"/>
  <c r="X20" i="25"/>
  <c r="X19" i="25"/>
  <c r="X18" i="25"/>
  <c r="X17" i="25"/>
  <c r="X16" i="25"/>
  <c r="X15" i="25"/>
  <c r="X34" i="25"/>
  <c r="X33" i="25"/>
  <c r="X31" i="25"/>
  <c r="X28" i="25"/>
  <c r="Y36" i="25"/>
  <c r="X36" i="25"/>
  <c r="X27" i="25"/>
  <c r="X30" i="25"/>
  <c r="X32" i="25"/>
  <c r="X24" i="25"/>
  <c r="X25" i="25"/>
  <c r="X29" i="25"/>
  <c r="X35" i="25"/>
  <c r="X26" i="25"/>
  <c r="P33" i="22" l="1"/>
  <c r="J33" i="22"/>
  <c r="J35" i="22"/>
  <c r="O35" i="22"/>
  <c r="X14" i="25"/>
  <c r="O19" i="33" s="1"/>
  <c r="T12" i="33"/>
  <c r="Y11" i="25"/>
  <c r="Z9" i="25"/>
  <c r="Y10" i="25"/>
  <c r="P18" i="33"/>
  <c r="Q18" i="33"/>
  <c r="R18" i="33" s="1"/>
  <c r="Y22" i="25"/>
  <c r="Y21" i="25"/>
  <c r="Y19" i="25"/>
  <c r="Y20" i="25"/>
  <c r="Y17" i="25"/>
  <c r="Y16" i="25"/>
  <c r="Y18" i="25"/>
  <c r="Y15" i="25"/>
  <c r="Y33" i="25"/>
  <c r="Y28" i="25"/>
  <c r="Y30" i="25"/>
  <c r="Y34" i="25"/>
  <c r="Y35" i="25"/>
  <c r="Y25" i="25"/>
  <c r="Y32" i="25"/>
  <c r="Y26" i="25"/>
  <c r="Y24" i="25"/>
  <c r="Y31" i="25"/>
  <c r="Y27" i="25"/>
  <c r="Y29" i="25"/>
  <c r="I29" i="22" l="1"/>
  <c r="R35" i="22"/>
  <c r="Q35" i="22"/>
  <c r="Q33" i="22"/>
  <c r="R33" i="22"/>
  <c r="Y14" i="25"/>
  <c r="O20" i="33" s="1"/>
  <c r="T13" i="33"/>
  <c r="Z11" i="25"/>
  <c r="Z10" i="25"/>
  <c r="AA9" i="25"/>
  <c r="P19" i="33"/>
  <c r="Q19" i="33"/>
  <c r="R19" i="33" s="1"/>
  <c r="Z22" i="25"/>
  <c r="Z19" i="25"/>
  <c r="Z20" i="25"/>
  <c r="Z21" i="25"/>
  <c r="Z18" i="25"/>
  <c r="Z16" i="25"/>
  <c r="Z17" i="25"/>
  <c r="Z15" i="25"/>
  <c r="Z32" i="25"/>
  <c r="Z29" i="25"/>
  <c r="AA36" i="25"/>
  <c r="Z25" i="25"/>
  <c r="Z26" i="25"/>
  <c r="Z34" i="25"/>
  <c r="Z27" i="25"/>
  <c r="Z30" i="25"/>
  <c r="Z31" i="25"/>
  <c r="Z36" i="25"/>
  <c r="Z28" i="25"/>
  <c r="Z24" i="25"/>
  <c r="Z33" i="25"/>
  <c r="Z35" i="25"/>
  <c r="Q29" i="22" l="1"/>
  <c r="Z14" i="25"/>
  <c r="O21" i="33" s="1"/>
  <c r="AA10" i="25"/>
  <c r="AA11" i="25"/>
  <c r="AB9" i="25"/>
  <c r="T14" i="33"/>
  <c r="P20" i="33"/>
  <c r="Q20" i="33"/>
  <c r="R20" i="33" s="1"/>
  <c r="AA21" i="25"/>
  <c r="AA19" i="25"/>
  <c r="AA22" i="25"/>
  <c r="AA20" i="25"/>
  <c r="AA18" i="25"/>
  <c r="AA17" i="25"/>
  <c r="AA16" i="25"/>
  <c r="AA15" i="25"/>
  <c r="AA33" i="25"/>
  <c r="AA26" i="25"/>
  <c r="AA34" i="25"/>
  <c r="AA28" i="25"/>
  <c r="AA30" i="25"/>
  <c r="AA27" i="25"/>
  <c r="AA35" i="25"/>
  <c r="AA29" i="25"/>
  <c r="AA31" i="25"/>
  <c r="AB36" i="25"/>
  <c r="AA32" i="25"/>
  <c r="AA25" i="25"/>
  <c r="AA24" i="25"/>
  <c r="AA14" i="25" l="1"/>
  <c r="O22" i="33" s="1"/>
  <c r="AC9" i="25"/>
  <c r="AB10" i="25"/>
  <c r="AB11" i="25"/>
  <c r="T15" i="33"/>
  <c r="P21" i="33"/>
  <c r="Q21" i="33"/>
  <c r="R21" i="33" s="1"/>
  <c r="AB20" i="25"/>
  <c r="AB22" i="25"/>
  <c r="AB21" i="25"/>
  <c r="AB19" i="25"/>
  <c r="AB18" i="25"/>
  <c r="AB16" i="25"/>
  <c r="AB17" i="25"/>
  <c r="AB15" i="25"/>
  <c r="AB29" i="25"/>
  <c r="AB35" i="25"/>
  <c r="AC36" i="25"/>
  <c r="AB34" i="25"/>
  <c r="AB25" i="25"/>
  <c r="AB24" i="25"/>
  <c r="AB33" i="25"/>
  <c r="AB30" i="25"/>
  <c r="AB31" i="25"/>
  <c r="AB32" i="25"/>
  <c r="AB27" i="25"/>
  <c r="AB28" i="25"/>
  <c r="AB26" i="25"/>
  <c r="AB14" i="25" l="1"/>
  <c r="O23" i="33" s="1"/>
  <c r="AC11" i="25"/>
  <c r="AC10" i="25"/>
  <c r="AD9" i="25"/>
  <c r="T16" i="33"/>
  <c r="P22" i="33"/>
  <c r="Q22" i="33"/>
  <c r="R22" i="33" s="1"/>
  <c r="AC21" i="25"/>
  <c r="AC19" i="25"/>
  <c r="AC22" i="25"/>
  <c r="AC20" i="25"/>
  <c r="AC18" i="25"/>
  <c r="AC17" i="25"/>
  <c r="AC16" i="25"/>
  <c r="AC15" i="25"/>
  <c r="AC27" i="25"/>
  <c r="AC35" i="25"/>
  <c r="AD36" i="25"/>
  <c r="AC34" i="25"/>
  <c r="AC25" i="25"/>
  <c r="AC31" i="25"/>
  <c r="AC26" i="25"/>
  <c r="AC32" i="25"/>
  <c r="AC29" i="25"/>
  <c r="AC30" i="25"/>
  <c r="AC33" i="25"/>
  <c r="AC28" i="25"/>
  <c r="AC24" i="25"/>
  <c r="AC14" i="25" l="1"/>
  <c r="O24" i="33" s="1"/>
  <c r="T17" i="33"/>
  <c r="AE9" i="25"/>
  <c r="AD10" i="25"/>
  <c r="AD11" i="25"/>
  <c r="P23" i="33"/>
  <c r="Q23" i="33"/>
  <c r="R23" i="33" s="1"/>
  <c r="AD22" i="25"/>
  <c r="AD21" i="25"/>
  <c r="AD19" i="25"/>
  <c r="AD20" i="25"/>
  <c r="AD17" i="25"/>
  <c r="AD16" i="25"/>
  <c r="AD18" i="25"/>
  <c r="AD15" i="25"/>
  <c r="AE36" i="25"/>
  <c r="AD35" i="25"/>
  <c r="AD31" i="25"/>
  <c r="AD32" i="25"/>
  <c r="AD25" i="25"/>
  <c r="AD29" i="25"/>
  <c r="AD24" i="25"/>
  <c r="AD27" i="25"/>
  <c r="AD30" i="25"/>
  <c r="AD26" i="25"/>
  <c r="AD28" i="25"/>
  <c r="AD33" i="25"/>
  <c r="AD34" i="25"/>
  <c r="AD14" i="25" l="1"/>
  <c r="O25" i="33" s="1"/>
  <c r="AF9" i="25"/>
  <c r="AE11" i="25"/>
  <c r="AE10" i="25"/>
  <c r="T18" i="33"/>
  <c r="P24" i="33"/>
  <c r="Q24" i="33"/>
  <c r="R24" i="33" s="1"/>
  <c r="AE20" i="25"/>
  <c r="AE22" i="25"/>
  <c r="AE19" i="25"/>
  <c r="AE21" i="25"/>
  <c r="AE16" i="25"/>
  <c r="AE17" i="25"/>
  <c r="AE18" i="25"/>
  <c r="AE15" i="25"/>
  <c r="AE27" i="25"/>
  <c r="AE32" i="25"/>
  <c r="AE26" i="25"/>
  <c r="AE29" i="25"/>
  <c r="AE24" i="25"/>
  <c r="AE35" i="25"/>
  <c r="AE30" i="25"/>
  <c r="AE34" i="25"/>
  <c r="AF36" i="25"/>
  <c r="AE28" i="25"/>
  <c r="AE33" i="25"/>
  <c r="AE31" i="25"/>
  <c r="AE25" i="25"/>
  <c r="AE14" i="25" l="1"/>
  <c r="O26" i="33" s="1"/>
  <c r="AG9" i="25"/>
  <c r="AF10" i="25"/>
  <c r="AF11" i="25"/>
  <c r="T19" i="33"/>
  <c r="P25" i="33"/>
  <c r="Q25" i="33"/>
  <c r="R25" i="33" s="1"/>
  <c r="AF20" i="25"/>
  <c r="AF22" i="25"/>
  <c r="AF19" i="25"/>
  <c r="AF21" i="25"/>
  <c r="AF17" i="25"/>
  <c r="AF18" i="25"/>
  <c r="AF16" i="25"/>
  <c r="AF15" i="25"/>
  <c r="AF30" i="25"/>
  <c r="AF24" i="25"/>
  <c r="AF27" i="25"/>
  <c r="AG36" i="25"/>
  <c r="AF28" i="25"/>
  <c r="AF25" i="25"/>
  <c r="AF29" i="25"/>
  <c r="AF35" i="25"/>
  <c r="AF26" i="25"/>
  <c r="AF32" i="25"/>
  <c r="AF34" i="25"/>
  <c r="AF33" i="25"/>
  <c r="AF31" i="25"/>
  <c r="AF14" i="25" l="1"/>
  <c r="O27" i="33" s="1"/>
  <c r="T20" i="33"/>
  <c r="AG11" i="25"/>
  <c r="AG10" i="25"/>
  <c r="P26" i="33"/>
  <c r="Q26" i="33"/>
  <c r="R26" i="33" s="1"/>
  <c r="AG19" i="25"/>
  <c r="AG20" i="25"/>
  <c r="AG22" i="25"/>
  <c r="AG21" i="25"/>
  <c r="AG18" i="25"/>
  <c r="AG16" i="25"/>
  <c r="AG17" i="25"/>
  <c r="AG15" i="25"/>
  <c r="AG35" i="25"/>
  <c r="AG25" i="25"/>
  <c r="AG32" i="25"/>
  <c r="AG24" i="25"/>
  <c r="AG28" i="25"/>
  <c r="AG33" i="25"/>
  <c r="AG26" i="25"/>
  <c r="AG27" i="25"/>
  <c r="AG34" i="25"/>
  <c r="AG31" i="25"/>
  <c r="AG29" i="25"/>
  <c r="AG30" i="25"/>
  <c r="AH36" i="25"/>
  <c r="AG14" i="25" l="1"/>
  <c r="O28" i="33" s="1"/>
  <c r="T21" i="33"/>
  <c r="P27" i="33"/>
  <c r="Q27" i="33"/>
  <c r="R27" i="33" s="1"/>
  <c r="AH21" i="25"/>
  <c r="AH20" i="25"/>
  <c r="AH19" i="25"/>
  <c r="AH22" i="25"/>
  <c r="AH17" i="25"/>
  <c r="AH16" i="25"/>
  <c r="AH18" i="25"/>
  <c r="AH15" i="25"/>
  <c r="AH27" i="25"/>
  <c r="AH30" i="25"/>
  <c r="AH29" i="25"/>
  <c r="AH26" i="25"/>
  <c r="AH34" i="25"/>
  <c r="AH25" i="25"/>
  <c r="AH32" i="25"/>
  <c r="AH28" i="25"/>
  <c r="AH24" i="25"/>
  <c r="AH31" i="25"/>
  <c r="AH35" i="25"/>
  <c r="AH33" i="25"/>
  <c r="AH14" i="25" l="1"/>
  <c r="T22" i="33"/>
  <c r="P28" i="33"/>
  <c r="Q28" i="33"/>
  <c r="R28" i="33" s="1"/>
  <c r="T23" i="33" l="1"/>
  <c r="O29" i="33"/>
  <c r="F5" i="25"/>
  <c r="P29" i="33" l="1"/>
  <c r="Q29" i="33"/>
  <c r="O3" i="33"/>
  <c r="T24" i="33"/>
  <c r="T25" i="33" l="1"/>
  <c r="R29" i="33"/>
  <c r="Q3" i="33"/>
  <c r="L4" i="33" l="1"/>
  <c r="L5" i="33" s="1"/>
  <c r="L6" i="33" s="1"/>
  <c r="L7" i="33" s="1"/>
  <c r="L8" i="33" s="1"/>
  <c r="L9" i="33" s="1"/>
  <c r="L10" i="33" s="1"/>
  <c r="L11" i="33" s="1"/>
  <c r="L12" i="33" s="1"/>
  <c r="L13" i="33" s="1"/>
  <c r="L14" i="33" s="1"/>
  <c r="L15" i="33" s="1"/>
  <c r="L16" i="33" s="1"/>
  <c r="L17" i="33" s="1"/>
  <c r="L18" i="33" s="1"/>
  <c r="L19" i="33" s="1"/>
  <c r="L20" i="33" s="1"/>
  <c r="L21" i="33" s="1"/>
  <c r="L22" i="33" s="1"/>
  <c r="L23" i="33" s="1"/>
  <c r="L24" i="33" s="1"/>
  <c r="L25" i="33" s="1"/>
  <c r="T26" i="33"/>
  <c r="T27" i="33" l="1"/>
  <c r="L26" i="33"/>
  <c r="T28" i="33" l="1"/>
  <c r="L27" i="33"/>
  <c r="T29" i="33" l="1"/>
  <c r="L28" i="33"/>
  <c r="T30" i="33" l="1"/>
  <c r="L29" i="33"/>
  <c r="T31" i="33" l="1"/>
  <c r="L30" i="33"/>
  <c r="T32" i="33" l="1"/>
  <c r="L31" i="33"/>
  <c r="T33" i="33" l="1"/>
  <c r="L32" i="33"/>
  <c r="T34" i="33" l="1"/>
  <c r="T35" i="33" s="1"/>
  <c r="T36" i="33" s="1"/>
  <c r="T37" i="33" s="1"/>
  <c r="T38" i="33" s="1"/>
  <c r="T39" i="33" s="1"/>
  <c r="L33" i="33"/>
  <c r="L34" i="33" l="1"/>
  <c r="L35" i="33" s="1"/>
  <c r="L36" i="33" s="1"/>
  <c r="L37" i="33" s="1"/>
  <c r="L38" i="33" s="1"/>
  <c r="L39" i="33" s="1"/>
  <c r="L40" i="33" s="1"/>
  <c r="L41" i="33" s="1"/>
  <c r="L42" i="33" s="1"/>
  <c r="L43" i="33" s="1"/>
  <c r="L44" i="33" s="1"/>
  <c r="L45" i="33" s="1"/>
  <c r="L46" i="33" s="1"/>
  <c r="L47" i="33" s="1"/>
  <c r="L48" i="33" s="1"/>
  <c r="L49" i="33" s="1"/>
  <c r="L50" i="33" s="1"/>
  <c r="L51" i="33" s="1"/>
  <c r="L52" i="33" s="1"/>
  <c r="L53" i="33" s="1"/>
  <c r="L54" i="33" s="1"/>
  <c r="L55" i="33" s="1"/>
  <c r="L56" i="33" s="1"/>
  <c r="L57" i="33" s="1"/>
  <c r="L58" i="33" s="1"/>
  <c r="L59" i="33" s="1"/>
  <c r="L60" i="33" s="1"/>
  <c r="L61" i="33" s="1"/>
  <c r="L62" i="33" s="1"/>
  <c r="L63" i="33" s="1"/>
  <c r="I15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Paula Barbosa</author>
  </authors>
  <commentList>
    <comment ref="L4" authorId="0" shapeId="0" xr:uid="{3D75C9C4-7DC6-4892-A65D-18378B9C5F19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Please include client's schedule difference</t>
        </r>
      </text>
    </comment>
    <comment ref="N4" authorId="0" shapeId="0" xr:uid="{762D0D9C-616B-4AC4-8B5E-EDBEAD00ED0F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Please include % of time that each resource will work on client's schedule and is entitled to the compensation, according to the defined rules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Paulo.Silva</author>
    <author>Paula Barbosa</author>
  </authors>
  <commentList>
    <comment ref="M14" authorId="0" shapeId="0" xr:uid="{AAA3FCC4-74A3-4947-A17F-DDDD58EE5071}">
      <text>
        <r>
          <rPr>
            <b/>
            <sz val="9"/>
            <color indexed="81"/>
            <rFont val="Tahoma"/>
            <family val="2"/>
          </rPr>
          <t>Paulo.Silva:</t>
        </r>
        <r>
          <rPr>
            <sz val="9"/>
            <color indexed="81"/>
            <rFont val="Tahoma"/>
            <family val="2"/>
          </rPr>
          <t xml:space="preserve">
Valor Sell Geo (onde é P&amp;S)</t>
        </r>
      </text>
    </comment>
    <comment ref="AI14" authorId="0" shapeId="0" xr:uid="{3DE333BC-184F-4B4D-BE9C-73374FE4578D}">
      <text>
        <r>
          <rPr>
            <b/>
            <sz val="9"/>
            <color indexed="81"/>
            <rFont val="Tahoma"/>
            <family val="2"/>
          </rPr>
          <t>Paulo.Silva:</t>
        </r>
        <r>
          <rPr>
            <sz val="9"/>
            <color indexed="81"/>
            <rFont val="Tahoma"/>
            <family val="2"/>
          </rPr>
          <t xml:space="preserve">
Valor Sell Geo (onde é P&amp;S)</t>
        </r>
      </text>
    </comment>
    <comment ref="C16" authorId="1" shapeId="0" xr:uid="{87B98FE6-3B22-42DC-9AB0-D4E00891C9BF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Valor Sell Geo onde é Prime</t>
        </r>
      </text>
    </comment>
    <comment ref="D16" authorId="1" shapeId="0" xr:uid="{89ABB023-AD4D-4117-B698-EB47BA5B5D12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Total MD's T&amp;M</t>
        </r>
      </text>
    </comment>
    <comment ref="C17" authorId="1" shapeId="0" xr:uid="{56FF58AA-01D2-44C0-A548-D6E0AC4DA2A1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Valor cost GEO Prime</t>
        </r>
      </text>
    </comment>
    <comment ref="D17" authorId="1" shapeId="0" xr:uid="{7867B5A4-8ECE-4AB0-B99A-9968A99F126A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MD's Prime</t>
        </r>
      </text>
    </comment>
  </commentList>
</comments>
</file>

<file path=xl/sharedStrings.xml><?xml version="1.0" encoding="utf-8"?>
<sst xmlns="http://schemas.openxmlformats.org/spreadsheetml/2006/main" count="10791" uniqueCount="437">
  <si>
    <t>Total</t>
  </si>
  <si>
    <t>EUR</t>
  </si>
  <si>
    <t>USD</t>
  </si>
  <si>
    <t>%</t>
  </si>
  <si>
    <t>MD</t>
  </si>
  <si>
    <t>Band</t>
  </si>
  <si>
    <t>Level</t>
  </si>
  <si>
    <t>Per-Diem</t>
  </si>
  <si>
    <t>Hotel</t>
  </si>
  <si>
    <t>Taxis</t>
  </si>
  <si>
    <t>Others</t>
  </si>
  <si>
    <t>Air Cost</t>
  </si>
  <si>
    <t>ALL</t>
  </si>
  <si>
    <t>PT</t>
  </si>
  <si>
    <t>USA</t>
  </si>
  <si>
    <t>DE</t>
  </si>
  <si>
    <t>BR</t>
  </si>
  <si>
    <t>Geo</t>
  </si>
  <si>
    <t>Total Sell</t>
  </si>
  <si>
    <t>Margin Value</t>
  </si>
  <si>
    <t>US</t>
  </si>
  <si>
    <t>MT</t>
  </si>
  <si>
    <t>Final Client</t>
  </si>
  <si>
    <t>Client</t>
  </si>
  <si>
    <t>Uplifgt</t>
  </si>
  <si>
    <t>Costs</t>
  </si>
  <si>
    <t>Margin</t>
  </si>
  <si>
    <t>Sell</t>
  </si>
  <si>
    <t>S. Rate</t>
  </si>
  <si>
    <t>C. Rate</t>
  </si>
  <si>
    <t>#MD</t>
  </si>
  <si>
    <t>Effort Estimation</t>
  </si>
  <si>
    <t>Main Activities</t>
  </si>
  <si>
    <t>DURATION</t>
  </si>
  <si>
    <t>START</t>
  </si>
  <si>
    <t>SELL</t>
  </si>
  <si>
    <t>COST</t>
  </si>
  <si>
    <t>GEO</t>
  </si>
  <si>
    <t>LEVEL</t>
  </si>
  <si>
    <t>Starting Date</t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</si>
  <si>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</si>
  <si>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r>
      <rPr>
        <sz val="12"/>
        <color theme="1" tint="0.24994659260841701"/>
        <rFont val="Calibri"/>
        <family val="2"/>
      </rPr>
      <t>Actual (beyond plan</t>
    </r>
    <r>
      <rPr>
        <sz val="10"/>
        <rFont val="Arial"/>
        <family val="2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</si>
  <si>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</si>
  <si>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t>Actual</t>
  </si>
  <si>
    <t>Plan</t>
  </si>
  <si>
    <t xml:space="preserve"> Period Highlight:</t>
  </si>
  <si>
    <t>FINISH</t>
  </si>
  <si>
    <t>AREA</t>
  </si>
  <si>
    <t>ROLE</t>
  </si>
  <si>
    <t>EXT</t>
  </si>
  <si>
    <t>SELL RATE</t>
  </si>
  <si>
    <t>COST RATE</t>
  </si>
  <si>
    <t>TOTAL COST</t>
  </si>
  <si>
    <t>EFFORT</t>
  </si>
  <si>
    <t>Type</t>
  </si>
  <si>
    <t>ESTIMATION by ROLE</t>
  </si>
  <si>
    <t>SIMULATION</t>
  </si>
  <si>
    <t>Services</t>
  </si>
  <si>
    <t>External</t>
  </si>
  <si>
    <t>Expenses</t>
  </si>
  <si>
    <t>Contigency</t>
  </si>
  <si>
    <t>Other Costs</t>
  </si>
  <si>
    <t>Total Costs</t>
  </si>
  <si>
    <t>TOTAL SELL</t>
  </si>
  <si>
    <t>Margin Services</t>
  </si>
  <si>
    <t>Margin Total</t>
  </si>
  <si>
    <t>Client Name</t>
  </si>
  <si>
    <t>Project Name</t>
  </si>
  <si>
    <t>3 Layer BUSINESS</t>
  </si>
  <si>
    <t>BM</t>
  </si>
  <si>
    <t>PRIME</t>
  </si>
  <si>
    <t>BROKER</t>
  </si>
  <si>
    <t>SOURCING</t>
  </si>
  <si>
    <t>REVENUE</t>
  </si>
  <si>
    <t>MARGIN</t>
  </si>
  <si>
    <t>COSTS</t>
  </si>
  <si>
    <t>TYPE</t>
  </si>
  <si>
    <t>YES</t>
  </si>
  <si>
    <t>NO</t>
  </si>
  <si>
    <t>P&amp;S</t>
  </si>
  <si>
    <t>P&amp;B</t>
  </si>
  <si>
    <t>ERROR</t>
  </si>
  <si>
    <t>Blend Rate</t>
  </si>
  <si>
    <t>Currency</t>
  </si>
  <si>
    <t>EXCHANGE RATE</t>
  </si>
  <si>
    <t>BRL</t>
  </si>
  <si>
    <t>FROM</t>
  </si>
  <si>
    <t>TO</t>
  </si>
  <si>
    <t>EX</t>
  </si>
  <si>
    <t>Cost Rate 
(Original EUR)</t>
  </si>
  <si>
    <t>Cost Rate 
(Original in Geo Currency)</t>
  </si>
  <si>
    <t>Cost Rate 
(USD)</t>
  </si>
  <si>
    <t>Original</t>
  </si>
  <si>
    <t>Report</t>
  </si>
  <si>
    <t xml:space="preserve">Cost Rate </t>
  </si>
  <si>
    <t>EXTERNAL COSTS</t>
  </si>
  <si>
    <t>Value</t>
  </si>
  <si>
    <t>STATISTICS</t>
  </si>
  <si>
    <t>Source</t>
  </si>
  <si>
    <t>Services Vs Expenses</t>
  </si>
  <si>
    <t>MX</t>
  </si>
  <si>
    <t>MXN</t>
  </si>
  <si>
    <t>MWk</t>
  </si>
  <si>
    <t>% ON/OFF</t>
  </si>
  <si>
    <t>#Trips</t>
  </si>
  <si>
    <t>#Nights</t>
  </si>
  <si>
    <t>Hotel Rate</t>
  </si>
  <si>
    <t>Parameters</t>
  </si>
  <si>
    <t>Qt</t>
  </si>
  <si>
    <t>Air Fare PT</t>
  </si>
  <si>
    <t>Air Fare US</t>
  </si>
  <si>
    <t>Air Fare DE</t>
  </si>
  <si>
    <t>Air Fare BR</t>
  </si>
  <si>
    <t>Air Fare MX</t>
  </si>
  <si>
    <t>Air Fare EXT</t>
  </si>
  <si>
    <t>Hotel Cost</t>
  </si>
  <si>
    <t>Per-Diem PT</t>
  </si>
  <si>
    <t>Per-Diem US</t>
  </si>
  <si>
    <t>Per-Diem DE</t>
  </si>
  <si>
    <t>Per-Diem BR</t>
  </si>
  <si>
    <t>Per-Diem MX</t>
  </si>
  <si>
    <t>Per-Diem EXT</t>
  </si>
  <si>
    <t>Per-Diem Cost</t>
  </si>
  <si>
    <t>Taxis Cost</t>
  </si>
  <si>
    <t># Taxis</t>
  </si>
  <si>
    <t>Other Cost</t>
  </si>
  <si>
    <t>Other</t>
  </si>
  <si>
    <t>Taxis (per day)</t>
  </si>
  <si>
    <t>Taxis (ratio person per taxi)</t>
  </si>
  <si>
    <t>COST ESTIMATION</t>
  </si>
  <si>
    <t>FTE</t>
  </si>
  <si>
    <t>'Project Estimations'!</t>
  </si>
  <si>
    <t>Total Value</t>
  </si>
  <si>
    <t>Total MD</t>
  </si>
  <si>
    <t>OffSet (Week)</t>
  </si>
  <si>
    <t>Offset (Role)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</si>
  <si>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</si>
  <si>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</si>
  <si>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</si>
  <si>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</si>
  <si>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</si>
  <si>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</si>
  <si>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</si>
  <si>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</si>
  <si>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</si>
  <si>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</si>
  <si>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</si>
  <si>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</si>
  <si>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</si>
  <si>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</si>
  <si>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</si>
  <si>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</si>
  <si>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</si>
  <si>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</si>
  <si>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</si>
  <si>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</si>
  <si>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</si>
  <si>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</si>
  <si>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</si>
  <si>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</si>
  <si>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</si>
  <si>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</si>
  <si>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3PL</t>
  </si>
  <si>
    <t>Weeks/Trip</t>
  </si>
  <si>
    <t>Av. Traveling Ratio (weeks per trip)</t>
  </si>
  <si>
    <t>Av. Num Day OnSite</t>
  </si>
  <si>
    <t># Weeks per Period</t>
  </si>
  <si>
    <t>SELL By MIP</t>
  </si>
  <si>
    <t>-</t>
  </si>
  <si>
    <t>Blended Rate</t>
  </si>
  <si>
    <t>IN</t>
  </si>
  <si>
    <t>Y</t>
  </si>
  <si>
    <t>Manual Override</t>
  </si>
  <si>
    <t>Fixed Margin</t>
  </si>
  <si>
    <t>Rate by MIP</t>
  </si>
  <si>
    <t>Choose Estimation Type</t>
  </si>
  <si>
    <t>Fixed Price</t>
  </si>
  <si>
    <t>Prime</t>
  </si>
  <si>
    <t>CL</t>
  </si>
  <si>
    <t>CLP</t>
  </si>
  <si>
    <t>Per-Diem CL</t>
  </si>
  <si>
    <t>Air Fare CL</t>
  </si>
  <si>
    <t>Project Estimations</t>
  </si>
  <si>
    <t>Finance Value</t>
  </si>
  <si>
    <t>Advance Value</t>
  </si>
  <si>
    <t>Annual Interrest Rate</t>
  </si>
  <si>
    <t>% Year</t>
  </si>
  <si>
    <t>Month Interrest Rate</t>
  </si>
  <si>
    <t>% Month</t>
  </si>
  <si>
    <t>Number of Years</t>
  </si>
  <si>
    <t># Years</t>
  </si>
  <si>
    <t>Number of Months</t>
  </si>
  <si>
    <t># Month</t>
  </si>
  <si>
    <t>Value per Month</t>
  </si>
  <si>
    <t>Other Value</t>
  </si>
  <si>
    <t>Services Value</t>
  </si>
  <si>
    <t>Cost</t>
  </si>
  <si>
    <t>Revenue</t>
  </si>
  <si>
    <t>INPUT</t>
  </si>
  <si>
    <t>Calculation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</si>
  <si>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</si>
  <si>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</si>
  <si>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</si>
  <si>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</si>
  <si>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</si>
  <si>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</si>
  <si>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</si>
  <si>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</si>
  <si>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</si>
  <si>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</si>
  <si>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</si>
  <si>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</si>
  <si>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</si>
  <si>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</si>
  <si>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</si>
  <si>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</si>
  <si>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</si>
  <si>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</si>
  <si>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</si>
  <si>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</si>
  <si>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</si>
  <si>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</si>
  <si>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</si>
  <si>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</si>
  <si>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</si>
  <si>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</si>
  <si>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</si>
  <si>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</si>
  <si>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</si>
  <si>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</si>
  <si>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</si>
  <si>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Finance Type</t>
  </si>
  <si>
    <t>Period</t>
  </si>
  <si>
    <t>P58</t>
  </si>
  <si>
    <t>P59</t>
  </si>
  <si>
    <t>P60</t>
  </si>
  <si>
    <t>Delta</t>
  </si>
  <si>
    <t>Period Cost</t>
  </si>
  <si>
    <t>Company</t>
  </si>
  <si>
    <t>B&amp;S</t>
  </si>
  <si>
    <t>SETUP</t>
  </si>
  <si>
    <t>Priority</t>
  </si>
  <si>
    <t>SLA</t>
  </si>
  <si>
    <t>Effort</t>
  </si>
  <si>
    <r>
      <t xml:space="preserve"># Tickets </t>
    </r>
    <r>
      <rPr>
        <sz val="8"/>
        <color theme="1" tint="0.24994659260841701"/>
        <rFont val="Calibri"/>
        <family val="2"/>
      </rPr>
      <t>(per month)</t>
    </r>
  </si>
  <si>
    <t>#</t>
  </si>
  <si>
    <t>FTEs</t>
  </si>
  <si>
    <t>DISTRIBUTION</t>
  </si>
  <si>
    <t>Y1</t>
  </si>
  <si>
    <t>Y2</t>
  </si>
  <si>
    <t>Y3</t>
  </si>
  <si>
    <t>YEAR 1</t>
  </si>
  <si>
    <t>YEAR 3</t>
  </si>
  <si>
    <t>TOTAL</t>
  </si>
  <si>
    <t>ON CALL</t>
  </si>
  <si>
    <t>Coverage</t>
  </si>
  <si>
    <t>YEAR 2</t>
  </si>
  <si>
    <t>Média de tickets</t>
  </si>
  <si>
    <t xml:space="preserve"> </t>
  </si>
  <si>
    <t>GBP</t>
  </si>
  <si>
    <t>Cost Rate 
(GBP)</t>
  </si>
  <si>
    <t>GRADE_FUNCTION</t>
  </si>
  <si>
    <t>100 - Quality Assurance Analyst</t>
  </si>
  <si>
    <t>100 - Systems Analyst</t>
  </si>
  <si>
    <t>101 - Quality Assurance Analyst</t>
  </si>
  <si>
    <t>101 - Systems Analyst</t>
  </si>
  <si>
    <t>102 - Quality Assurance Analyst</t>
  </si>
  <si>
    <t>102 - Systems Analyst</t>
  </si>
  <si>
    <t>200 - Project Management Officer</t>
  </si>
  <si>
    <t>200 - Quality Assurance Consultant</t>
  </si>
  <si>
    <t>200 - Systems Consultant</t>
  </si>
  <si>
    <t>201 - Project Management Officer</t>
  </si>
  <si>
    <t>201 - Quality Assurance Consultant</t>
  </si>
  <si>
    <t>201 - Systems Consultant</t>
  </si>
  <si>
    <t>202 - Project Management Officer</t>
  </si>
  <si>
    <t>202 - Quality Assurance Consultant</t>
  </si>
  <si>
    <t>202 - Systems Consultant</t>
  </si>
  <si>
    <t>203 - Business Consultant</t>
  </si>
  <si>
    <t>203 - Project Management Officer</t>
  </si>
  <si>
    <t>203 - Quality Assurance Coordinator</t>
  </si>
  <si>
    <t>203 - Solutions Architect</t>
  </si>
  <si>
    <t>203 - Technical Consultant</t>
  </si>
  <si>
    <t>300 - Business Consultant</t>
  </si>
  <si>
    <t>300 - Project Manager</t>
  </si>
  <si>
    <t>300 - Quality Assurance Coordinator</t>
  </si>
  <si>
    <t>300 - Solutions Architect</t>
  </si>
  <si>
    <t>300 - Technical Architect</t>
  </si>
  <si>
    <t>301 - Business Consultant</t>
  </si>
  <si>
    <t>301 - Project Manager</t>
  </si>
  <si>
    <t>301 - Quality Assurance Manager</t>
  </si>
  <si>
    <t>301 - Solutions Architect</t>
  </si>
  <si>
    <t>301 - Technical Architect</t>
  </si>
  <si>
    <t>302 - QA and Compliance Consultant</t>
  </si>
  <si>
    <t>302 - Quality Assurance Manager</t>
  </si>
  <si>
    <t>302 - Senior Business Consultant</t>
  </si>
  <si>
    <t>302 - Senior Project Manager</t>
  </si>
  <si>
    <t>302 - Senior Solutions Architect</t>
  </si>
  <si>
    <t>302 - Senior Technical Architect</t>
  </si>
  <si>
    <t>303 - Quality Assurance Manager</t>
  </si>
  <si>
    <t>303 - Senior Business Consultant</t>
  </si>
  <si>
    <t>303 - Senior Project Manager</t>
  </si>
  <si>
    <t>303 - Senior Solutions Architect</t>
  </si>
  <si>
    <t>303 - Senior Technical Architect</t>
  </si>
  <si>
    <t>400 - Delivery Manager</t>
  </si>
  <si>
    <t>400 - Principal Business Consultant</t>
  </si>
  <si>
    <t>400 - Principal Solutions Architect</t>
  </si>
  <si>
    <t>400 - Principal Technical Architect</t>
  </si>
  <si>
    <t>401 - Delivery Manager</t>
  </si>
  <si>
    <t>401 - Principal Business Consultant</t>
  </si>
  <si>
    <t>401 - Principal Solutions Architect</t>
  </si>
  <si>
    <t>401 - Principal Technical Architect</t>
  </si>
  <si>
    <t>402 - Business Architect</t>
  </si>
  <si>
    <t>402 - Enterprise Architect</t>
  </si>
  <si>
    <t>402 - Program Manager</t>
  </si>
  <si>
    <t>403 - Business Architect</t>
  </si>
  <si>
    <t>403 - Enterprise Architect</t>
  </si>
  <si>
    <t>403 - Non Executive Manager</t>
  </si>
  <si>
    <t>RESOURCE</t>
  </si>
  <si>
    <t>Year</t>
  </si>
  <si>
    <t>Month</t>
  </si>
  <si>
    <t>Currency Orgin</t>
  </si>
  <si>
    <t>Currency Dest</t>
  </si>
  <si>
    <t xml:space="preserve"> GBP </t>
  </si>
  <si>
    <t xml:space="preserve"> BRL </t>
  </si>
  <si>
    <t>Cost Rate 
(MXN)</t>
  </si>
  <si>
    <t>Cost Rate 
(BRL)</t>
  </si>
  <si>
    <t>L400</t>
  </si>
  <si>
    <t>L300</t>
  </si>
  <si>
    <t>L200</t>
  </si>
  <si>
    <t>L100</t>
  </si>
  <si>
    <t>Min</t>
  </si>
  <si>
    <t>Max</t>
  </si>
  <si>
    <t>On target</t>
  </si>
  <si>
    <t>Close to target</t>
  </si>
  <si>
    <t>Below Target</t>
  </si>
  <si>
    <t>Far from Target</t>
  </si>
  <si>
    <t>Rank</t>
  </si>
  <si>
    <t>SCORE</t>
  </si>
  <si>
    <t>Should Be</t>
  </si>
  <si>
    <t># Account</t>
  </si>
  <si>
    <t>Modules</t>
  </si>
  <si>
    <t>MOM 1</t>
  </si>
  <si>
    <t>MOM 2</t>
  </si>
  <si>
    <t>Integration</t>
  </si>
  <si>
    <t>WMS</t>
  </si>
  <si>
    <t>Xstore</t>
  </si>
  <si>
    <t>Planning</t>
  </si>
  <si>
    <t>Infrastructure</t>
  </si>
  <si>
    <t>Technical</t>
  </si>
  <si>
    <t>Service Managers</t>
  </si>
  <si>
    <t>Operations</t>
  </si>
  <si>
    <t>N</t>
  </si>
  <si>
    <t>CNY</t>
  </si>
  <si>
    <t>Cost Rate 
(CNY)</t>
  </si>
  <si>
    <t>CN</t>
  </si>
  <si>
    <t>Time Material</t>
  </si>
  <si>
    <t>TIME MATERIAL PER MD</t>
  </si>
  <si>
    <t>ESTIMATION PER ROLE</t>
  </si>
  <si>
    <t>SELL RATE GEO</t>
  </si>
  <si>
    <t>SELL GEO</t>
  </si>
  <si>
    <t>Per-Diem CN</t>
  </si>
  <si>
    <t>Air Fare CN</t>
  </si>
  <si>
    <t>Client’s sched. &gt;= 3hours PT</t>
  </si>
  <si>
    <t>Client’s sched. &gt;= 6hours PT</t>
  </si>
  <si>
    <t>Client’s sched. includes Sundays PT</t>
  </si>
  <si>
    <t>Client’s sched. &gt;= 3hours US</t>
  </si>
  <si>
    <t>Client’s sched. &gt;= 6hours US</t>
  </si>
  <si>
    <t>Client’s sched. includes Sundays US</t>
  </si>
  <si>
    <t>Client’s sched. &gt;= 3hours DE</t>
  </si>
  <si>
    <t>Client’s sched. &gt;= 6hours DE</t>
  </si>
  <si>
    <t>Client’s sched. includes Sundays DE</t>
  </si>
  <si>
    <t>Client’s sched. &gt;= 3hours BR</t>
  </si>
  <si>
    <t>Client’s sched. Cost</t>
  </si>
  <si>
    <t>Client’s sched. &gt;= 6hours BR</t>
  </si>
  <si>
    <t>&gt;= 3hours PT</t>
  </si>
  <si>
    <t>Client’s sched. includes Sundays BR</t>
  </si>
  <si>
    <t>&gt;= 6hours PT</t>
  </si>
  <si>
    <t>includes Sundays PT</t>
  </si>
  <si>
    <t>&gt;= 3hours US</t>
  </si>
  <si>
    <t>&gt;= 6hours US</t>
  </si>
  <si>
    <t>Client’s sched. &gt;= 3hours MX</t>
  </si>
  <si>
    <t>includes Sundays US</t>
  </si>
  <si>
    <t>Client’s sched. &gt;= 6hours MX</t>
  </si>
  <si>
    <t>&gt;= 3hours DE</t>
  </si>
  <si>
    <t>Client’s sched. includes Sundays MX</t>
  </si>
  <si>
    <t>&gt;= 6hours DE</t>
  </si>
  <si>
    <t>Client’s sched. &gt;= 3hours CL</t>
  </si>
  <si>
    <t>includes Sundays DE</t>
  </si>
  <si>
    <t>Client’s sched. &gt;= 6hours CL</t>
  </si>
  <si>
    <t>&gt;= 3hours BR</t>
  </si>
  <si>
    <t>Client’s sched. includes Sundays CL</t>
  </si>
  <si>
    <t>&gt;= 6hours BR</t>
  </si>
  <si>
    <t>Client’s sched. &gt;= 3hours CN</t>
  </si>
  <si>
    <t>includes Sundays BR</t>
  </si>
  <si>
    <t>Client’s sched. &gt;= 6hours CN</t>
  </si>
  <si>
    <t>Client’s sched. includes Sundays CN</t>
  </si>
  <si>
    <t>Client’s sched. &gt;= 3hours EXT</t>
  </si>
  <si>
    <t>Client’s sched. &gt;= 6hours EXT</t>
  </si>
  <si>
    <t>&gt;= 3hours MX</t>
  </si>
  <si>
    <t>Client’s sched. includes Sundays EXT</t>
  </si>
  <si>
    <t>&gt;= 6hours MX</t>
  </si>
  <si>
    <t>includes Sundays MX</t>
  </si>
  <si>
    <t>&gt;= 3hours CL</t>
  </si>
  <si>
    <t>&gt;= 6hours CL</t>
  </si>
  <si>
    <t>includes Sundays CL</t>
  </si>
  <si>
    <t>&gt;= 3hours CN</t>
  </si>
  <si>
    <t>&gt;= 6hours CN</t>
  </si>
  <si>
    <t>includes Sundays CN</t>
  </si>
  <si>
    <t>&gt;= 3hours EXT</t>
  </si>
  <si>
    <t>&gt;= 6hours EXT</t>
  </si>
  <si>
    <t>includes Sundays EXT</t>
  </si>
  <si>
    <t>Client’s sched.</t>
  </si>
  <si>
    <t>% Client's Sched.</t>
  </si>
  <si>
    <t>#Months</t>
  </si>
  <si>
    <t>Client's schedule</t>
  </si>
  <si>
    <t>Others/</t>
  </si>
  <si>
    <t>Interest</t>
  </si>
  <si>
    <t>KT</t>
  </si>
  <si>
    <t>Per-Diem KT</t>
  </si>
  <si>
    <t>Air Fare KT</t>
  </si>
  <si>
    <t>Client’s sched. &gt;= 3hours KT</t>
  </si>
  <si>
    <t>Client’s sched. &gt;= 6hours KT</t>
  </si>
  <si>
    <t>Client’s sched. includes Sundays KT</t>
  </si>
  <si>
    <t>&gt;= 3hours KT</t>
  </si>
  <si>
    <t>&gt;= 6hours KT</t>
  </si>
  <si>
    <t>includes Sundays KT</t>
  </si>
  <si>
    <t>CHF</t>
  </si>
  <si>
    <t>SEK</t>
  </si>
  <si>
    <t>Cost Rate 
(SEK)</t>
  </si>
  <si>
    <t>SAR</t>
  </si>
  <si>
    <t>Cost Rate 
(SAR)</t>
  </si>
  <si>
    <t>V27 @ 06.2025</t>
  </si>
  <si>
    <t>Service Manager</t>
  </si>
  <si>
    <t>X</t>
  </si>
  <si>
    <t>ENTER FIXED PRICE AMOUNT</t>
  </si>
  <si>
    <t>OPS Manager</t>
  </si>
  <si>
    <t>CMS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</si>
</sst>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-&quot;€&quot;* #,##0.00_-;_-&quot;€&quot;* #,##0.00\-;_-&quot;€&quot;* &quot;-&quot;??_-;_-@_-"/>
    <numFmt numFmtId="43" formatCode="_-* #,##0.00_-;_-* #,##0.00\-;_-* &quot;-&quot;??_-;_-@_-"/>
    <numFmt numFmtId="164" formatCode="_-* #,##0.00\ _€_-;\-* #,##0.00\ _€_-;_-* &quot;-&quot;??\ _€_-;_-@_-"/>
    <numFmt numFmtId="165" formatCode="_-* #,##0\ _€_-;\-* #,##0\ _€_-;_-* &quot;-&quot;??\ _€_-;_-@_-"/>
    <numFmt numFmtId="166" formatCode="dd/mm/yy;@"/>
    <numFmt numFmtId="167" formatCode="[$-409]d/mmm/yy;@"/>
    <numFmt numFmtId="168" formatCode="0.0%"/>
    <numFmt numFmtId="169" formatCode="#,##0.00_-"/>
    <numFmt numFmtId="170" formatCode="_-* #,##0.000\ _€_-;\-* #,##0.000\ _€_-;_-* &quot;-&quot;??\ _€_-;_-@_-"/>
    <numFmt numFmtId="171" formatCode="_-* #,##0_-;_-* #,##0\-;_-* &quot;-&quot;???_-;_-@_-"/>
    <numFmt numFmtId="172" formatCode="0.0"/>
    <numFmt numFmtId="173" formatCode="#,##0\ ;\(#,##0\);\-\ "/>
    <numFmt numFmtId="174" formatCode="##%"/>
    <numFmt numFmtId="175" formatCode="_(* #,##0.00_);_(* \(#,##0.00\);_(* &quot;-&quot;??_);_(@_)"/>
    <numFmt numFmtId="176" formatCode="_-* #,##0.0000_-;_-* #,##0.0000\-;_-* &quot;-&quot;??_-;_-@_-"/>
    <numFmt numFmtId="177" formatCode="#,##0\ ;\(#,##0\);\-"/>
    <numFmt numFmtId="178" formatCode="#,##0.0\ ;\(#,##0.0\);\-\ "/>
    <numFmt numFmtId="179" formatCode="#,##0.000\ ;\(#,##0.000\);\-\ 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name val="Neo Tech Std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 tint="0.24994659260841701"/>
      <name val="Cambria"/>
      <family val="2"/>
      <scheme val="major"/>
    </font>
    <font>
      <b/>
      <sz val="13"/>
      <color theme="7"/>
      <name val="Cambria"/>
      <family val="2"/>
      <scheme val="major"/>
    </font>
    <font>
      <b/>
      <sz val="13"/>
      <color theme="1" tint="0.24994659260841701"/>
      <name val="Cambria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3"/>
      <color theme="1" tint="0.24994659260841701"/>
      <name val="Calibri"/>
      <family val="2"/>
    </font>
    <font>
      <sz val="10"/>
      <color theme="1" tint="0.24994659260841701"/>
      <name val="Cambria"/>
      <family val="2"/>
      <scheme val="major"/>
    </font>
    <font>
      <sz val="10"/>
      <color theme="1" tint="0.24994659260841701"/>
      <name val="Calibri"/>
      <family val="2"/>
    </font>
    <font>
      <b/>
      <sz val="9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42"/>
      <color theme="7"/>
      <name val="Cambria"/>
      <family val="2"/>
      <scheme val="major"/>
    </font>
    <font>
      <b/>
      <sz val="36"/>
      <color theme="8"/>
      <name val="Neo Tech Std"/>
      <family val="2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sz val="14"/>
      <color theme="7"/>
      <name val="Calibri"/>
      <family val="2"/>
      <scheme val="minor"/>
    </font>
    <font>
      <sz val="9"/>
      <color theme="1" tint="0.24994659260841701"/>
      <name val="Neo Tech Std"/>
      <family val="2"/>
    </font>
    <font>
      <b/>
      <sz val="9"/>
      <color theme="1" tint="0.24994659260841701"/>
      <name val="Neo Tech Std"/>
      <family val="2"/>
    </font>
    <font>
      <sz val="10"/>
      <color theme="1" tint="0.499984740745262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b/>
      <sz val="9.5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1" tint="0.249977111117893"/>
      <name val="Arial"/>
      <family val="2"/>
    </font>
    <font>
      <sz val="12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b/>
      <sz val="12"/>
      <color theme="1" tint="0.24994659260841701"/>
      <name val="Calibri"/>
      <family val="2"/>
    </font>
    <font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/>
      <name val="Cambria"/>
      <family val="2"/>
      <scheme val="major"/>
    </font>
    <font>
      <b/>
      <sz val="10"/>
      <color theme="0"/>
      <name val="Calibri"/>
      <family val="2"/>
      <scheme val="minor"/>
    </font>
    <font>
      <b/>
      <sz val="13"/>
      <color theme="0"/>
      <name val="Calibri"/>
      <family val="2"/>
    </font>
    <font>
      <b/>
      <sz val="12"/>
      <color theme="1" tint="0.249977111117893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11"/>
      <color theme="1" tint="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b/>
      <sz val="14"/>
      <color theme="0"/>
      <name val="Arial"/>
      <family val="2"/>
    </font>
    <font>
      <sz val="10"/>
      <color rgb="FF000000"/>
      <name val="Calibri"/>
      <family val="2"/>
      <scheme val="minor"/>
    </font>
    <font>
      <sz val="10"/>
      <color theme="1" tint="0.249977111117893"/>
      <name val="Neo Tech Std"/>
      <family val="2"/>
    </font>
    <font>
      <sz val="10"/>
      <name val="Neo Tech Std"/>
      <family val="2"/>
    </font>
    <font>
      <sz val="10"/>
      <color rgb="FFFF0000"/>
      <name val="Calibri"/>
      <family val="2"/>
      <scheme val="minor"/>
    </font>
    <font>
      <b/>
      <sz val="13"/>
      <color rgb="FFFF0000"/>
      <name val="Calibri"/>
      <family val="2"/>
    </font>
    <font>
      <sz val="16"/>
      <color theme="0"/>
      <name val="Neo Tech Std"/>
      <family val="2"/>
    </font>
    <font>
      <sz val="11"/>
      <color theme="1" tint="0.24994659260841701"/>
      <name val="Calibri"/>
      <family val="2"/>
      <scheme val="minor"/>
    </font>
    <font>
      <b/>
      <sz val="11"/>
      <color theme="0"/>
      <name val="Neo Tech Std"/>
      <family val="2"/>
    </font>
    <font>
      <sz val="10"/>
      <color theme="2" tint="-0.89999084444715716"/>
      <name val="Neo Tech Std"/>
      <family val="2"/>
    </font>
    <font>
      <sz val="11"/>
      <color theme="2" tint="-0.89999084444715716"/>
      <name val="Neo Tech Std"/>
      <family val="2"/>
    </font>
    <font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sz val="10"/>
      <color theme="1" tint="0.499984740745262"/>
      <name val="Neo Tech Std"/>
      <family val="2"/>
    </font>
    <font>
      <sz val="13"/>
      <color theme="1" tint="0.24994659260841701"/>
      <name val="Calibri"/>
      <family val="2"/>
    </font>
    <font>
      <sz val="9.5"/>
      <color theme="1" tint="0.499984740745262"/>
      <name val="Calibri"/>
      <family val="2"/>
      <scheme val="minor"/>
    </font>
    <font>
      <sz val="8"/>
      <color theme="1" tint="0.24994659260841701"/>
      <name val="Calibri"/>
      <family val="2"/>
    </font>
    <font>
      <sz val="9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MS Sans Serif"/>
      <family val="2"/>
    </font>
    <font>
      <sz val="10"/>
      <color theme="0"/>
      <name val="Arial"/>
      <family val="2"/>
    </font>
    <font>
      <b/>
      <sz val="11"/>
      <color rgb="FFFFFFFF"/>
      <name val="Calibri"/>
      <family val="2"/>
      <scheme val="minor"/>
    </font>
    <font>
      <sz val="10"/>
      <color rgb="FFFF0000"/>
      <name val="Arial"/>
      <family val="2"/>
    </font>
    <font>
      <sz val="9"/>
      <name val="Calibri"/>
      <family val="2"/>
      <scheme val="minor"/>
    </font>
    <font>
      <b/>
      <sz val="10"/>
      <color rgb="FF000000"/>
      <name val="Neo Tech Std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8"/>
        <bgColor indexed="64"/>
      </patternFill>
    </fill>
    <fill>
      <patternFill patternType="lightUp">
        <fgColor theme="7"/>
        <bgColor theme="1" tint="0.249977111117893"/>
      </patternFill>
    </fill>
    <fill>
      <patternFill patternType="lightUp">
        <fgColor theme="1" tint="0.34998626667073579"/>
        <bgColor theme="0" tint="-0.34998626667073579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 style="thin">
        <color theme="7"/>
      </top>
      <bottom style="thin">
        <color indexed="64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indexed="64"/>
      </top>
      <bottom style="thin">
        <color theme="7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hair">
        <color theme="0"/>
      </left>
      <right/>
      <top style="thin">
        <color indexed="64"/>
      </top>
      <bottom style="thin">
        <color indexed="64"/>
      </bottom>
      <diagonal/>
    </border>
    <border>
      <left style="dotted">
        <color theme="0"/>
      </left>
      <right/>
      <top style="thin">
        <color indexed="64"/>
      </top>
      <bottom style="thin">
        <color indexed="64"/>
      </bottom>
      <diagonal/>
    </border>
    <border>
      <left style="dotted">
        <color theme="0"/>
      </left>
      <right style="dotted">
        <color theme="0"/>
      </right>
      <top style="thin">
        <color indexed="64"/>
      </top>
      <bottom/>
      <diagonal/>
    </border>
    <border>
      <left style="dotted">
        <color theme="0"/>
      </left>
      <right style="dotted">
        <color theme="0"/>
      </right>
      <top/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theme="0"/>
      </right>
      <top/>
      <bottom style="thin">
        <color indexed="64"/>
      </bottom>
      <diagonal/>
    </border>
    <border>
      <left style="dotted">
        <color theme="0"/>
      </left>
      <right style="dotted">
        <color theme="0"/>
      </right>
      <top/>
      <bottom style="thin">
        <color indexed="64"/>
      </bottom>
      <diagonal/>
    </border>
    <border>
      <left style="dotted">
        <color theme="0"/>
      </left>
      <right/>
      <top/>
      <bottom style="thin">
        <color indexed="64"/>
      </bottom>
      <diagonal/>
    </border>
    <border>
      <left style="thin">
        <color theme="0"/>
      </left>
      <right style="dotted">
        <color theme="0"/>
      </right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dotted">
        <color theme="0"/>
      </right>
      <top/>
      <bottom/>
      <diagonal/>
    </border>
    <border>
      <left style="thin">
        <color theme="0"/>
      </left>
      <right style="dotted">
        <color theme="0"/>
      </right>
      <top/>
      <bottom style="thin">
        <color indexed="64"/>
      </bottom>
      <diagonal/>
    </border>
    <border>
      <left/>
      <right style="dotted">
        <color theme="0"/>
      </right>
      <top style="thin">
        <color indexed="64"/>
      </top>
      <bottom/>
      <diagonal/>
    </border>
    <border>
      <left/>
      <right style="dotted">
        <color theme="0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3">
    <xf numFmtId="0" fontId="0" fillId="0" borderId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3" fillId="0" borderId="0" applyNumberFormat="0" applyFill="0" applyBorder="0" applyProtection="0">
      <alignment vertical="center"/>
    </xf>
    <xf numFmtId="9" fontId="14" fillId="0" borderId="0" applyFill="0" applyBorder="0" applyProtection="0">
      <alignment horizontal="center" vertical="center"/>
    </xf>
    <xf numFmtId="0" fontId="15" fillId="0" borderId="0" applyFill="0" applyBorder="0" applyProtection="0">
      <alignment horizontal="left"/>
    </xf>
    <xf numFmtId="0" fontId="16" fillId="0" borderId="0" applyFill="0" applyBorder="0" applyProtection="0">
      <alignment horizontal="center"/>
    </xf>
    <xf numFmtId="3" fontId="16" fillId="0" borderId="19" applyFill="0" applyProtection="0">
      <alignment horizontal="center"/>
    </xf>
    <xf numFmtId="0" fontId="24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 vertical="center"/>
    </xf>
    <xf numFmtId="0" fontId="23" fillId="9" borderId="23" applyNumberFormat="0" applyProtection="0">
      <alignment horizontal="left" vertical="center"/>
    </xf>
    <xf numFmtId="44" fontId="7" fillId="0" borderId="0" applyFont="0" applyFill="0" applyBorder="0" applyAlignment="0" applyProtection="0"/>
    <xf numFmtId="0" fontId="7" fillId="0" borderId="0"/>
    <xf numFmtId="0" fontId="4" fillId="0" borderId="0"/>
    <xf numFmtId="0" fontId="3" fillId="0" borderId="0"/>
    <xf numFmtId="175" fontId="3" fillId="0" borderId="0" applyFont="0" applyFill="0" applyBorder="0" applyAlignment="0" applyProtection="0"/>
    <xf numFmtId="0" fontId="2" fillId="0" borderId="0"/>
    <xf numFmtId="0" fontId="7" fillId="0" borderId="0"/>
    <xf numFmtId="0" fontId="1" fillId="0" borderId="0"/>
    <xf numFmtId="43" fontId="1" fillId="0" borderId="0" applyFont="0" applyFill="0" applyBorder="0" applyAlignment="0" applyProtection="0"/>
    <xf numFmtId="43" fontId="8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456">
    <xf numFmtId="0" fontId="0" fillId="0" borderId="0" xfId="0"/>
    <xf numFmtId="0" fontId="8" fillId="0" borderId="0" xfId="0" applyFont="1"/>
    <xf numFmtId="0" fontId="9" fillId="0" borderId="0" xfId="0" applyFont="1"/>
    <xf numFmtId="9" fontId="0" fillId="0" borderId="0" xfId="0" applyNumberFormat="1"/>
    <xf numFmtId="0" fontId="13" fillId="0" borderId="0" xfId="3">
      <alignment vertical="center"/>
    </xf>
    <xf numFmtId="0" fontId="13" fillId="0" borderId="0" xfId="3" applyAlignment="1">
      <alignment horizontal="center"/>
    </xf>
    <xf numFmtId="9" fontId="14" fillId="0" borderId="0" xfId="4">
      <alignment horizontal="center" vertical="center"/>
    </xf>
    <xf numFmtId="0" fontId="15" fillId="0" borderId="0" xfId="5">
      <alignment horizontal="left"/>
    </xf>
    <xf numFmtId="3" fontId="16" fillId="0" borderId="20" xfId="7" applyBorder="1">
      <alignment horizontal="center"/>
    </xf>
    <xf numFmtId="0" fontId="18" fillId="0" borderId="1" xfId="5" applyFont="1" applyBorder="1">
      <alignment horizontal="left"/>
    </xf>
    <xf numFmtId="0" fontId="19" fillId="0" borderId="0" xfId="3" applyFont="1">
      <alignment vertical="center"/>
    </xf>
    <xf numFmtId="0" fontId="19" fillId="0" borderId="0" xfId="3" applyFont="1" applyAlignment="1">
      <alignment horizontal="center"/>
    </xf>
    <xf numFmtId="0" fontId="20" fillId="0" borderId="0" xfId="3" applyFont="1" applyAlignment="1">
      <alignment horizontal="center"/>
    </xf>
    <xf numFmtId="3" fontId="16" fillId="0" borderId="19" xfId="7">
      <alignment horizontal="center"/>
    </xf>
    <xf numFmtId="3" fontId="17" fillId="0" borderId="19" xfId="7" applyFont="1">
      <alignment horizontal="center"/>
    </xf>
    <xf numFmtId="0" fontId="15" fillId="0" borderId="21" xfId="5" applyBorder="1">
      <alignment horizontal="left"/>
    </xf>
    <xf numFmtId="0" fontId="18" fillId="0" borderId="21" xfId="5" applyFont="1" applyBorder="1">
      <alignment horizontal="left"/>
    </xf>
    <xf numFmtId="0" fontId="21" fillId="0" borderId="0" xfId="6" applyFont="1">
      <alignment horizontal="center"/>
    </xf>
    <xf numFmtId="0" fontId="13" fillId="0" borderId="21" xfId="3" applyBorder="1">
      <alignment vertical="center"/>
    </xf>
    <xf numFmtId="0" fontId="16" fillId="0" borderId="0" xfId="6">
      <alignment horizontal="center"/>
    </xf>
    <xf numFmtId="0" fontId="25" fillId="0" borderId="0" xfId="8" applyFont="1" applyAlignment="1">
      <alignment horizontal="left"/>
    </xf>
    <xf numFmtId="0" fontId="0" fillId="0" borderId="0" xfId="9" applyFont="1">
      <alignment horizontal="left" vertical="center"/>
    </xf>
    <xf numFmtId="0" fontId="13" fillId="4" borderId="22" xfId="3" applyFill="1" applyBorder="1" applyAlignment="1">
      <alignment horizontal="center"/>
    </xf>
    <xf numFmtId="0" fontId="13" fillId="5" borderId="22" xfId="3" applyFill="1" applyBorder="1" applyAlignment="1">
      <alignment horizontal="center"/>
    </xf>
    <xf numFmtId="0" fontId="13" fillId="6" borderId="22" xfId="3" applyFill="1" applyBorder="1" applyAlignment="1">
      <alignment horizontal="center"/>
    </xf>
    <xf numFmtId="0" fontId="27" fillId="0" borderId="0" xfId="9" applyFont="1">
      <alignment horizontal="left" vertical="center"/>
    </xf>
    <xf numFmtId="0" fontId="13" fillId="7" borderId="22" xfId="3" applyFill="1" applyBorder="1" applyAlignment="1">
      <alignment horizontal="center"/>
    </xf>
    <xf numFmtId="0" fontId="13" fillId="8" borderId="22" xfId="3" applyFill="1" applyBorder="1" applyAlignment="1">
      <alignment horizontal="center"/>
    </xf>
    <xf numFmtId="0" fontId="23" fillId="9" borderId="23" xfId="10">
      <alignment horizontal="left" vertical="center"/>
    </xf>
    <xf numFmtId="0" fontId="29" fillId="0" borderId="0" xfId="3" applyFont="1">
      <alignment vertical="center"/>
    </xf>
    <xf numFmtId="0" fontId="30" fillId="0" borderId="0" xfId="5" applyFont="1">
      <alignment horizontal="left"/>
    </xf>
    <xf numFmtId="0" fontId="15" fillId="0" borderId="1" xfId="5" applyBorder="1">
      <alignment horizontal="left"/>
    </xf>
    <xf numFmtId="1" fontId="31" fillId="0" borderId="0" xfId="5" applyNumberFormat="1" applyFont="1" applyAlignment="1">
      <alignment horizontal="center" vertical="center"/>
    </xf>
    <xf numFmtId="0" fontId="33" fillId="0" borderId="18" xfId="6" applyFont="1" applyBorder="1">
      <alignment horizontal="center"/>
    </xf>
    <xf numFmtId="0" fontId="0" fillId="0" borderId="2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0" borderId="0" xfId="0" applyFill="1"/>
    <xf numFmtId="0" fontId="35" fillId="0" borderId="0" xfId="5" applyFont="1" applyAlignment="1">
      <alignment horizontal="center" vertical="center"/>
    </xf>
    <xf numFmtId="165" fontId="35" fillId="0" borderId="0" xfId="1" applyNumberFormat="1" applyFont="1" applyAlignment="1">
      <alignment horizontal="center" vertical="center"/>
    </xf>
    <xf numFmtId="0" fontId="35" fillId="10" borderId="0" xfId="5" applyFont="1" applyFill="1" applyAlignment="1">
      <alignment horizontal="center" vertical="center"/>
    </xf>
    <xf numFmtId="165" fontId="35" fillId="10" borderId="0" xfId="1" applyNumberFormat="1" applyFont="1" applyFill="1" applyAlignment="1">
      <alignment horizontal="center" vertical="center"/>
    </xf>
    <xf numFmtId="165" fontId="35" fillId="0" borderId="0" xfId="1" applyNumberFormat="1" applyFont="1" applyAlignment="1">
      <alignment horizontal="left" vertical="center" indent="1"/>
    </xf>
    <xf numFmtId="9" fontId="35" fillId="10" borderId="0" xfId="2" applyFont="1" applyFill="1" applyAlignment="1">
      <alignment horizontal="center" vertical="center"/>
    </xf>
    <xf numFmtId="9" fontId="34" fillId="0" borderId="0" xfId="2" applyFont="1" applyAlignment="1">
      <alignment horizontal="center" vertical="center"/>
    </xf>
    <xf numFmtId="0" fontId="35" fillId="10" borderId="0" xfId="5" applyFont="1" applyFill="1" applyAlignment="1">
      <alignment horizontal="left" vertical="center"/>
    </xf>
    <xf numFmtId="0" fontId="35" fillId="0" borderId="0" xfId="5" applyFont="1" applyAlignment="1">
      <alignment horizontal="left" vertical="center"/>
    </xf>
    <xf numFmtId="0" fontId="36" fillId="0" borderId="0" xfId="0" applyFont="1"/>
    <xf numFmtId="0" fontId="37" fillId="0" borderId="0" xfId="0" applyFont="1"/>
    <xf numFmtId="0" fontId="35" fillId="10" borderId="21" xfId="5" applyFont="1" applyFill="1" applyBorder="1" applyAlignment="1">
      <alignment horizontal="center" vertical="center"/>
    </xf>
    <xf numFmtId="9" fontId="35" fillId="0" borderId="0" xfId="2" applyFont="1" applyAlignment="1">
      <alignment horizontal="center" vertical="center"/>
    </xf>
    <xf numFmtId="0" fontId="37" fillId="0" borderId="0" xfId="0" applyFont="1" applyAlignment="1">
      <alignment horizontal="left"/>
    </xf>
    <xf numFmtId="166" fontId="22" fillId="0" borderId="0" xfId="3" applyNumberFormat="1" applyFont="1" applyAlignment="1">
      <alignment horizontal="center" textRotation="90"/>
    </xf>
    <xf numFmtId="10" fontId="35" fillId="0" borderId="0" xfId="2" applyNumberFormat="1" applyFont="1" applyAlignment="1">
      <alignment horizontal="center" vertical="center"/>
    </xf>
    <xf numFmtId="10" fontId="35" fillId="10" borderId="0" xfId="2" applyNumberFormat="1" applyFont="1" applyFill="1" applyAlignment="1">
      <alignment horizontal="center" vertical="center"/>
    </xf>
    <xf numFmtId="0" fontId="43" fillId="12" borderId="0" xfId="3" applyFont="1" applyFill="1" applyAlignment="1">
      <alignment horizontal="center"/>
    </xf>
    <xf numFmtId="0" fontId="41" fillId="12" borderId="0" xfId="5" applyFont="1" applyFill="1" applyAlignment="1">
      <alignment horizontal="center" vertical="center"/>
    </xf>
    <xf numFmtId="0" fontId="44" fillId="12" borderId="0" xfId="5" applyFont="1" applyFill="1" applyAlignment="1">
      <alignment horizontal="center" vertical="center"/>
    </xf>
    <xf numFmtId="165" fontId="44" fillId="12" borderId="0" xfId="1" applyNumberFormat="1" applyFont="1" applyFill="1" applyAlignment="1">
      <alignment horizontal="center" vertical="center"/>
    </xf>
    <xf numFmtId="10" fontId="44" fillId="12" borderId="0" xfId="2" applyNumberFormat="1" applyFont="1" applyFill="1" applyAlignment="1">
      <alignment horizontal="center" vertical="center"/>
    </xf>
    <xf numFmtId="0" fontId="13" fillId="0" borderId="0" xfId="3" applyAlignment="1">
      <alignment horizontal="center" vertical="center"/>
    </xf>
    <xf numFmtId="0" fontId="25" fillId="0" borderId="0" xfId="8" applyFont="1" applyAlignment="1">
      <alignment horizontal="center"/>
    </xf>
    <xf numFmtId="0" fontId="25" fillId="0" borderId="0" xfId="8" applyFont="1"/>
    <xf numFmtId="0" fontId="45" fillId="13" borderId="1" xfId="5" applyFont="1" applyFill="1" applyBorder="1" applyAlignment="1">
      <alignment horizontal="center" vertical="center"/>
    </xf>
    <xf numFmtId="0" fontId="38" fillId="0" borderId="24" xfId="0" applyFont="1" applyBorder="1" applyAlignment="1">
      <alignment horizontal="left"/>
    </xf>
    <xf numFmtId="0" fontId="38" fillId="0" borderId="0" xfId="0" applyFont="1" applyAlignment="1">
      <alignment horizontal="left"/>
    </xf>
    <xf numFmtId="0" fontId="45" fillId="13" borderId="1" xfId="5" applyFont="1" applyFill="1" applyBorder="1" applyAlignment="1" applyProtection="1">
      <alignment horizontal="center" vertical="center"/>
      <protection locked="0"/>
    </xf>
    <xf numFmtId="0" fontId="35" fillId="0" borderId="0" xfId="5" applyFont="1" applyAlignment="1" applyProtection="1">
      <alignment horizontal="center" vertical="center"/>
      <protection locked="0"/>
    </xf>
    <xf numFmtId="0" fontId="35" fillId="10" borderId="0" xfId="5" applyFont="1" applyFill="1" applyAlignment="1" applyProtection="1">
      <alignment horizontal="center" vertical="center"/>
      <protection locked="0"/>
    </xf>
    <xf numFmtId="0" fontId="10" fillId="0" borderId="18" xfId="6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21" xfId="0" applyBorder="1" applyAlignment="1">
      <alignment horizontal="left"/>
    </xf>
    <xf numFmtId="2" fontId="0" fillId="0" borderId="0" xfId="0" applyNumberFormat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3" fontId="35" fillId="10" borderId="0" xfId="1" applyNumberFormat="1" applyFont="1" applyFill="1" applyAlignment="1">
      <alignment horizontal="center" vertical="center"/>
    </xf>
    <xf numFmtId="3" fontId="35" fillId="0" borderId="0" xfId="1" applyNumberFormat="1" applyFont="1" applyAlignment="1">
      <alignment horizontal="center" vertical="center"/>
    </xf>
    <xf numFmtId="3" fontId="41" fillId="11" borderId="0" xfId="1" applyNumberFormat="1" applyFont="1" applyFill="1" applyAlignment="1" applyProtection="1">
      <alignment horizontal="center" vertical="center"/>
      <protection locked="0"/>
    </xf>
    <xf numFmtId="3" fontId="38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3" fontId="10" fillId="0" borderId="18" xfId="6" applyNumberFormat="1" applyFont="1" applyBorder="1" applyAlignment="1">
      <alignment horizontal="center" vertical="center"/>
    </xf>
    <xf numFmtId="4" fontId="0" fillId="0" borderId="0" xfId="0" applyNumberFormat="1"/>
    <xf numFmtId="4" fontId="0" fillId="0" borderId="21" xfId="0" applyNumberFormat="1" applyBorder="1"/>
    <xf numFmtId="4" fontId="44" fillId="2" borderId="0" xfId="1" applyNumberFormat="1" applyFont="1" applyFill="1" applyAlignment="1" applyProtection="1">
      <alignment horizontal="center" vertical="center"/>
      <protection locked="0"/>
    </xf>
    <xf numFmtId="4" fontId="44" fillId="11" borderId="0" xfId="1" applyNumberFormat="1" applyFont="1" applyFill="1" applyAlignment="1" applyProtection="1">
      <alignment horizontal="center" vertical="center"/>
      <protection locked="0"/>
    </xf>
    <xf numFmtId="3" fontId="44" fillId="2" borderId="0" xfId="1" applyNumberFormat="1" applyFont="1" applyFill="1" applyAlignment="1" applyProtection="1">
      <alignment horizontal="center" vertical="center"/>
      <protection locked="0"/>
    </xf>
    <xf numFmtId="3" fontId="44" fillId="11" borderId="0" xfId="1" applyNumberFormat="1" applyFont="1" applyFill="1" applyAlignment="1" applyProtection="1">
      <alignment horizontal="center" vertical="center"/>
      <protection locked="0"/>
    </xf>
    <xf numFmtId="165" fontId="0" fillId="0" borderId="0" xfId="0" applyNumberFormat="1"/>
    <xf numFmtId="0" fontId="42" fillId="0" borderId="21" xfId="6" applyFont="1" applyBorder="1" applyAlignment="1">
      <alignment horizontal="center" vertical="center"/>
    </xf>
    <xf numFmtId="0" fontId="10" fillId="0" borderId="21" xfId="6" applyFont="1" applyBorder="1" applyAlignment="1">
      <alignment horizontal="center" vertical="center"/>
    </xf>
    <xf numFmtId="0" fontId="35" fillId="0" borderId="21" xfId="5" applyFont="1" applyBorder="1" applyAlignment="1">
      <alignment horizontal="center" vertical="center"/>
    </xf>
    <xf numFmtId="0" fontId="42" fillId="0" borderId="1" xfId="6" applyFont="1" applyBorder="1" applyAlignment="1">
      <alignment horizontal="center" vertical="center"/>
    </xf>
    <xf numFmtId="0" fontId="10" fillId="0" borderId="1" xfId="6" applyFont="1" applyBorder="1" applyAlignment="1">
      <alignment horizontal="center" vertical="center"/>
    </xf>
    <xf numFmtId="3" fontId="41" fillId="2" borderId="0" xfId="1" quotePrefix="1" applyNumberFormat="1" applyFont="1" applyFill="1" applyAlignment="1" applyProtection="1">
      <alignment horizontal="center" vertical="center"/>
      <protection locked="0"/>
    </xf>
    <xf numFmtId="3" fontId="41" fillId="11" borderId="0" xfId="1" quotePrefix="1" applyNumberFormat="1" applyFont="1" applyFill="1" applyAlignment="1" applyProtection="1">
      <alignment horizontal="center" vertical="center"/>
      <protection locked="0"/>
    </xf>
    <xf numFmtId="0" fontId="17" fillId="0" borderId="21" xfId="6" applyFont="1" applyBorder="1" applyAlignment="1">
      <alignment horizontal="center" vertical="center"/>
    </xf>
    <xf numFmtId="0" fontId="10" fillId="0" borderId="21" xfId="6" applyFont="1" applyBorder="1" applyAlignment="1">
      <alignment horizontal="left" vertical="center"/>
    </xf>
    <xf numFmtId="3" fontId="10" fillId="0" borderId="21" xfId="6" applyNumberFormat="1" applyFont="1" applyBorder="1" applyAlignment="1">
      <alignment horizontal="center" vertical="center"/>
    </xf>
    <xf numFmtId="3" fontId="16" fillId="0" borderId="1" xfId="7" applyBorder="1">
      <alignment horizontal="center"/>
    </xf>
    <xf numFmtId="3" fontId="17" fillId="0" borderId="1" xfId="7" applyFont="1" applyBorder="1">
      <alignment horizontal="center"/>
    </xf>
    <xf numFmtId="3" fontId="10" fillId="0" borderId="1" xfId="6" applyNumberFormat="1" applyFont="1" applyBorder="1" applyAlignment="1">
      <alignment horizontal="center" vertical="center"/>
    </xf>
    <xf numFmtId="4" fontId="10" fillId="0" borderId="21" xfId="6" applyNumberFormat="1" applyFont="1" applyBorder="1" applyAlignment="1">
      <alignment horizontal="center" vertical="center"/>
    </xf>
    <xf numFmtId="0" fontId="0" fillId="0" borderId="1" xfId="0" applyBorder="1"/>
    <xf numFmtId="4" fontId="0" fillId="0" borderId="1" xfId="0" applyNumberFormat="1" applyBorder="1"/>
    <xf numFmtId="3" fontId="39" fillId="0" borderId="1" xfId="7" applyFont="1" applyBorder="1">
      <alignment horizontal="center"/>
    </xf>
    <xf numFmtId="165" fontId="0" fillId="0" borderId="1" xfId="0" applyNumberFormat="1" applyBorder="1"/>
    <xf numFmtId="0" fontId="13" fillId="0" borderId="21" xfId="3" applyBorder="1" applyAlignment="1">
      <alignment horizontal="center"/>
    </xf>
    <xf numFmtId="3" fontId="16" fillId="0" borderId="21" xfId="7" applyBorder="1">
      <alignment horizontal="center"/>
    </xf>
    <xf numFmtId="3" fontId="17" fillId="0" borderId="21" xfId="7" applyFont="1" applyBorder="1">
      <alignment horizontal="center"/>
    </xf>
    <xf numFmtId="3" fontId="49" fillId="0" borderId="21" xfId="7" applyFont="1" applyBorder="1">
      <alignment horizontal="center"/>
    </xf>
    <xf numFmtId="0" fontId="28" fillId="9" borderId="23" xfId="10" applyFont="1" applyAlignment="1" applyProtection="1">
      <alignment horizontal="center" vertical="center"/>
      <protection locked="0"/>
    </xf>
    <xf numFmtId="0" fontId="46" fillId="0" borderId="0" xfId="0" applyFont="1"/>
    <xf numFmtId="0" fontId="7" fillId="0" borderId="0" xfId="0" applyFont="1"/>
    <xf numFmtId="3" fontId="35" fillId="0" borderId="0" xfId="5" applyNumberFormat="1" applyFont="1" applyAlignment="1">
      <alignment horizontal="center" vertical="center"/>
    </xf>
    <xf numFmtId="3" fontId="35" fillId="10" borderId="0" xfId="5" applyNumberFormat="1" applyFont="1" applyFill="1" applyAlignment="1">
      <alignment horizontal="center" vertical="center"/>
    </xf>
    <xf numFmtId="3" fontId="39" fillId="0" borderId="1" xfId="7" applyFont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168" fontId="35" fillId="10" borderId="0" xfId="2" applyNumberFormat="1" applyFont="1" applyFill="1" applyAlignment="1">
      <alignment horizontal="center" vertical="center"/>
    </xf>
    <xf numFmtId="0" fontId="22" fillId="0" borderId="0" xfId="5" applyFont="1" applyAlignment="1">
      <alignment horizontal="center" vertical="center"/>
    </xf>
    <xf numFmtId="165" fontId="22" fillId="0" borderId="0" xfId="1" applyNumberFormat="1" applyFont="1" applyAlignment="1">
      <alignment horizontal="center" vertical="center"/>
    </xf>
    <xf numFmtId="0" fontId="6" fillId="0" borderId="0" xfId="0" applyFont="1"/>
    <xf numFmtId="0" fontId="10" fillId="15" borderId="21" xfId="6" applyFont="1" applyFill="1" applyBorder="1" applyAlignment="1">
      <alignment horizontal="center" vertical="center"/>
    </xf>
    <xf numFmtId="165" fontId="6" fillId="15" borderId="1" xfId="0" applyNumberFormat="1" applyFont="1" applyFill="1" applyBorder="1"/>
    <xf numFmtId="0" fontId="52" fillId="12" borderId="32" xfId="6" applyFont="1" applyFill="1" applyBorder="1" applyAlignment="1">
      <alignment horizontal="center" vertical="center"/>
    </xf>
    <xf numFmtId="0" fontId="53" fillId="12" borderId="21" xfId="0" applyFont="1" applyFill="1" applyBorder="1"/>
    <xf numFmtId="0" fontId="54" fillId="0" borderId="0" xfId="5" applyFont="1" applyAlignment="1">
      <alignment horizontal="center" vertical="center"/>
    </xf>
    <xf numFmtId="3" fontId="54" fillId="0" borderId="0" xfId="5" applyNumberFormat="1" applyFont="1" applyAlignment="1">
      <alignment horizontal="center" vertical="center"/>
    </xf>
    <xf numFmtId="0" fontId="53" fillId="12" borderId="21" xfId="0" applyFont="1" applyFill="1" applyBorder="1" applyProtection="1">
      <protection locked="0"/>
    </xf>
    <xf numFmtId="165" fontId="53" fillId="12" borderId="21" xfId="0" applyNumberFormat="1" applyFont="1" applyFill="1" applyBorder="1" applyProtection="1">
      <protection locked="0"/>
    </xf>
    <xf numFmtId="0" fontId="53" fillId="12" borderId="21" xfId="0" applyFont="1" applyFill="1" applyBorder="1" applyAlignment="1" applyProtection="1">
      <alignment horizontal="center" vertical="center"/>
      <protection locked="0"/>
    </xf>
    <xf numFmtId="3" fontId="44" fillId="16" borderId="0" xfId="1" applyNumberFormat="1" applyFont="1" applyFill="1" applyAlignment="1" applyProtection="1">
      <alignment horizontal="center" vertical="center"/>
      <protection locked="0"/>
    </xf>
    <xf numFmtId="0" fontId="0" fillId="16" borderId="0" xfId="0" applyFill="1"/>
    <xf numFmtId="0" fontId="18" fillId="16" borderId="0" xfId="5" applyFont="1" applyFill="1">
      <alignment horizontal="left"/>
    </xf>
    <xf numFmtId="0" fontId="35" fillId="10" borderId="33" xfId="5" applyFont="1" applyFill="1" applyBorder="1" applyAlignment="1">
      <alignment horizontal="center" vertical="center"/>
    </xf>
    <xf numFmtId="0" fontId="35" fillId="0" borderId="33" xfId="5" applyFont="1" applyBorder="1" applyAlignment="1">
      <alignment horizontal="center" vertical="center"/>
    </xf>
    <xf numFmtId="3" fontId="44" fillId="11" borderId="33" xfId="1" applyNumberFormat="1" applyFont="1" applyFill="1" applyBorder="1" applyAlignment="1" applyProtection="1">
      <alignment horizontal="center" vertical="center"/>
      <protection locked="0"/>
    </xf>
    <xf numFmtId="0" fontId="10" fillId="16" borderId="1" xfId="6" applyFont="1" applyFill="1" applyBorder="1" applyAlignment="1">
      <alignment horizontal="center" vertical="center"/>
    </xf>
    <xf numFmtId="3" fontId="10" fillId="16" borderId="1" xfId="6" applyNumberFormat="1" applyFont="1" applyFill="1" applyBorder="1" applyAlignment="1">
      <alignment horizontal="center" vertical="center"/>
    </xf>
    <xf numFmtId="0" fontId="35" fillId="0" borderId="24" xfId="5" applyFont="1" applyBorder="1" applyAlignment="1">
      <alignment horizontal="center" vertical="center"/>
    </xf>
    <xf numFmtId="0" fontId="35" fillId="10" borderId="24" xfId="5" applyFont="1" applyFill="1" applyBorder="1" applyAlignment="1">
      <alignment horizontal="center" vertical="center"/>
    </xf>
    <xf numFmtId="3" fontId="44" fillId="11" borderId="24" xfId="1" applyNumberFormat="1" applyFont="1" applyFill="1" applyBorder="1" applyAlignment="1" applyProtection="1">
      <alignment horizontal="center" vertical="center"/>
      <protection locked="0"/>
    </xf>
    <xf numFmtId="0" fontId="27" fillId="16" borderId="0" xfId="5" applyFont="1" applyFill="1" applyAlignment="1">
      <alignment horizontal="right" vertical="center"/>
    </xf>
    <xf numFmtId="0" fontId="27" fillId="16" borderId="24" xfId="5" applyFont="1" applyFill="1" applyBorder="1" applyAlignment="1">
      <alignment horizontal="right" vertical="center"/>
    </xf>
    <xf numFmtId="0" fontId="27" fillId="16" borderId="21" xfId="5" applyFont="1" applyFill="1" applyBorder="1" applyAlignment="1">
      <alignment horizontal="right" vertical="center"/>
    </xf>
    <xf numFmtId="0" fontId="7" fillId="0" borderId="24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168" fontId="35" fillId="0" borderId="0" xfId="2" applyNumberFormat="1" applyFont="1" applyAlignment="1">
      <alignment horizontal="center" vertical="center"/>
    </xf>
    <xf numFmtId="168" fontId="35" fillId="10" borderId="0" xfId="1" applyNumberFormat="1" applyFont="1" applyFill="1" applyAlignment="1">
      <alignment horizontal="center" vertical="center"/>
    </xf>
    <xf numFmtId="1" fontId="32" fillId="10" borderId="0" xfId="1" applyNumberFormat="1" applyFont="1" applyFill="1" applyAlignment="1" applyProtection="1">
      <alignment horizontal="center" vertical="center"/>
      <protection locked="0"/>
    </xf>
    <xf numFmtId="1" fontId="32" fillId="0" borderId="0" xfId="1" applyNumberFormat="1" applyFont="1" applyAlignment="1" applyProtection="1">
      <alignment horizontal="center" vertical="center"/>
      <protection locked="0"/>
    </xf>
    <xf numFmtId="1" fontId="32" fillId="10" borderId="0" xfId="3" applyNumberFormat="1" applyFont="1" applyFill="1" applyAlignment="1" applyProtection="1">
      <alignment horizontal="center" vertical="center"/>
      <protection locked="0"/>
    </xf>
    <xf numFmtId="1" fontId="32" fillId="0" borderId="0" xfId="3" applyNumberFormat="1" applyFont="1" applyAlignment="1" applyProtection="1">
      <alignment horizontal="center" vertical="center"/>
      <protection locked="0"/>
    </xf>
    <xf numFmtId="0" fontId="38" fillId="0" borderId="0" xfId="5" applyFont="1" applyAlignment="1" applyProtection="1">
      <alignment horizontal="left" vertical="center"/>
      <protection locked="0"/>
    </xf>
    <xf numFmtId="0" fontId="32" fillId="10" borderId="0" xfId="3" applyFont="1" applyFill="1" applyAlignment="1" applyProtection="1">
      <alignment horizontal="center" vertical="center"/>
      <protection locked="0"/>
    </xf>
    <xf numFmtId="3" fontId="58" fillId="16" borderId="0" xfId="5" applyNumberFormat="1" applyFont="1" applyFill="1" applyAlignment="1" applyProtection="1">
      <alignment horizontal="center" vertical="center"/>
      <protection locked="0"/>
    </xf>
    <xf numFmtId="0" fontId="45" fillId="13" borderId="21" xfId="5" applyFont="1" applyFill="1" applyBorder="1" applyAlignment="1">
      <alignment horizontal="center" vertical="center"/>
    </xf>
    <xf numFmtId="0" fontId="7" fillId="0" borderId="0" xfId="12"/>
    <xf numFmtId="4" fontId="7" fillId="3" borderId="17" xfId="12" applyNumberFormat="1" applyFill="1" applyBorder="1" applyAlignment="1">
      <alignment horizontal="center"/>
    </xf>
    <xf numFmtId="4" fontId="7" fillId="3" borderId="14" xfId="12" applyNumberFormat="1" applyFill="1" applyBorder="1" applyAlignment="1">
      <alignment horizontal="center"/>
    </xf>
    <xf numFmtId="4" fontId="7" fillId="3" borderId="16" xfId="12" applyNumberFormat="1" applyFill="1" applyBorder="1" applyAlignment="1">
      <alignment horizontal="center"/>
    </xf>
    <xf numFmtId="4" fontId="7" fillId="3" borderId="15" xfId="12" applyNumberFormat="1" applyFill="1" applyBorder="1" applyAlignment="1">
      <alignment horizontal="center"/>
    </xf>
    <xf numFmtId="4" fontId="7" fillId="0" borderId="17" xfId="12" applyNumberFormat="1" applyBorder="1" applyAlignment="1">
      <alignment horizontal="center"/>
    </xf>
    <xf numFmtId="4" fontId="7" fillId="0" borderId="14" xfId="12" applyNumberFormat="1" applyBorder="1" applyAlignment="1">
      <alignment horizontal="center"/>
    </xf>
    <xf numFmtId="4" fontId="7" fillId="0" borderId="0" xfId="12" applyNumberFormat="1"/>
    <xf numFmtId="4" fontId="7" fillId="0" borderId="10" xfId="12" applyNumberFormat="1" applyBorder="1" applyAlignment="1">
      <alignment horizontal="center"/>
    </xf>
    <xf numFmtId="1" fontId="7" fillId="0" borderId="14" xfId="12" applyNumberFormat="1" applyBorder="1" applyAlignment="1">
      <alignment horizontal="center"/>
    </xf>
    <xf numFmtId="4" fontId="7" fillId="0" borderId="16" xfId="12" applyNumberFormat="1" applyBorder="1" applyAlignment="1">
      <alignment horizontal="center"/>
    </xf>
    <xf numFmtId="4" fontId="7" fillId="0" borderId="15" xfId="12" applyNumberFormat="1" applyBorder="1" applyAlignment="1">
      <alignment horizontal="center"/>
    </xf>
    <xf numFmtId="4" fontId="7" fillId="0" borderId="4" xfId="12" applyNumberFormat="1" applyBorder="1" applyAlignment="1">
      <alignment horizontal="center"/>
    </xf>
    <xf numFmtId="1" fontId="7" fillId="0" borderId="15" xfId="12" applyNumberFormat="1" applyBorder="1" applyAlignment="1">
      <alignment horizontal="center"/>
    </xf>
    <xf numFmtId="4" fontId="7" fillId="16" borderId="15" xfId="12" applyNumberFormat="1" applyFill="1" applyBorder="1" applyAlignment="1">
      <alignment horizontal="center"/>
    </xf>
    <xf numFmtId="0" fontId="7" fillId="0" borderId="10" xfId="12" applyBorder="1" applyAlignment="1">
      <alignment horizontal="center" vertical="center"/>
    </xf>
    <xf numFmtId="0" fontId="7" fillId="0" borderId="14" xfId="12" applyBorder="1" applyAlignment="1">
      <alignment horizontal="center" vertical="center"/>
    </xf>
    <xf numFmtId="0" fontId="12" fillId="0" borderId="13" xfId="12" applyFont="1" applyBorder="1" applyAlignment="1">
      <alignment horizontal="center" vertical="center"/>
    </xf>
    <xf numFmtId="0" fontId="12" fillId="0" borderId="12" xfId="12" applyFont="1" applyBorder="1" applyAlignment="1">
      <alignment horizontal="center" vertical="center"/>
    </xf>
    <xf numFmtId="0" fontId="12" fillId="0" borderId="11" xfId="12" applyFont="1" applyBorder="1" applyAlignment="1">
      <alignment horizontal="center" vertical="center"/>
    </xf>
    <xf numFmtId="0" fontId="12" fillId="0" borderId="26" xfId="12" applyFont="1" applyBorder="1" applyAlignment="1">
      <alignment horizontal="center" vertical="center"/>
    </xf>
    <xf numFmtId="0" fontId="10" fillId="0" borderId="11" xfId="12" applyFont="1" applyBorder="1" applyAlignment="1">
      <alignment horizontal="center" vertical="center"/>
    </xf>
    <xf numFmtId="0" fontId="11" fillId="2" borderId="5" xfId="12" applyFont="1" applyFill="1" applyBorder="1" applyAlignment="1">
      <alignment horizontal="center" vertical="center" wrapText="1"/>
    </xf>
    <xf numFmtId="0" fontId="7" fillId="0" borderId="34" xfId="12" applyBorder="1" applyAlignment="1">
      <alignment horizontal="center" vertical="center"/>
    </xf>
    <xf numFmtId="0" fontId="59" fillId="10" borderId="0" xfId="5" applyFont="1" applyFill="1" applyAlignment="1">
      <alignment horizontal="center" vertical="center"/>
    </xf>
    <xf numFmtId="0" fontId="59" fillId="0" borderId="0" xfId="5" applyFont="1" applyAlignment="1">
      <alignment horizontal="center" vertical="center"/>
    </xf>
    <xf numFmtId="0" fontId="60" fillId="10" borderId="0" xfId="12" applyFont="1" applyFill="1" applyAlignment="1">
      <alignment horizontal="center" vertical="center"/>
    </xf>
    <xf numFmtId="0" fontId="60" fillId="0" borderId="0" xfId="12" applyFont="1" applyAlignment="1">
      <alignment horizontal="center" vertical="center"/>
    </xf>
    <xf numFmtId="4" fontId="60" fillId="0" borderId="0" xfId="12" applyNumberFormat="1" applyFont="1" applyAlignment="1">
      <alignment horizontal="center" vertical="center"/>
    </xf>
    <xf numFmtId="4" fontId="60" fillId="10" borderId="0" xfId="12" applyNumberFormat="1" applyFont="1" applyFill="1" applyAlignment="1">
      <alignment horizontal="center" vertical="center"/>
    </xf>
    <xf numFmtId="172" fontId="60" fillId="10" borderId="0" xfId="12" applyNumberFormat="1" applyFont="1" applyFill="1" applyAlignment="1">
      <alignment horizontal="center" vertical="center"/>
    </xf>
    <xf numFmtId="0" fontId="62" fillId="0" borderId="0" xfId="5" applyFont="1" applyAlignment="1">
      <alignment horizontal="center" vertical="center"/>
    </xf>
    <xf numFmtId="0" fontId="42" fillId="0" borderId="0" xfId="6" applyFont="1" applyAlignment="1">
      <alignment horizontal="center" vertical="center"/>
    </xf>
    <xf numFmtId="10" fontId="61" fillId="0" borderId="0" xfId="2" applyNumberFormat="1" applyFont="1" applyAlignment="1">
      <alignment horizontal="center" vertical="center"/>
    </xf>
    <xf numFmtId="0" fontId="10" fillId="0" borderId="36" xfId="6" applyFont="1" applyBorder="1" applyAlignment="1">
      <alignment horizontal="center" vertical="center"/>
    </xf>
    <xf numFmtId="165" fontId="35" fillId="0" borderId="37" xfId="1" applyNumberFormat="1" applyFont="1" applyBorder="1" applyAlignment="1">
      <alignment horizontal="center" vertical="center"/>
    </xf>
    <xf numFmtId="165" fontId="35" fillId="10" borderId="37" xfId="1" applyNumberFormat="1" applyFont="1" applyFill="1" applyBorder="1" applyAlignment="1">
      <alignment horizontal="center" vertical="center"/>
    </xf>
    <xf numFmtId="0" fontId="53" fillId="11" borderId="39" xfId="0" applyFont="1" applyFill="1" applyBorder="1"/>
    <xf numFmtId="0" fontId="53" fillId="11" borderId="24" xfId="0" applyFont="1" applyFill="1" applyBorder="1"/>
    <xf numFmtId="0" fontId="53" fillId="11" borderId="40" xfId="0" applyFont="1" applyFill="1" applyBorder="1"/>
    <xf numFmtId="0" fontId="53" fillId="11" borderId="37" xfId="0" applyFont="1" applyFill="1" applyBorder="1"/>
    <xf numFmtId="0" fontId="53" fillId="11" borderId="41" xfId="0" applyFont="1" applyFill="1" applyBorder="1"/>
    <xf numFmtId="0" fontId="53" fillId="11" borderId="0" xfId="0" applyFont="1" applyFill="1"/>
    <xf numFmtId="0" fontId="53" fillId="11" borderId="36" xfId="0" applyFont="1" applyFill="1" applyBorder="1"/>
    <xf numFmtId="0" fontId="53" fillId="11" borderId="21" xfId="0" applyFont="1" applyFill="1" applyBorder="1"/>
    <xf numFmtId="0" fontId="53" fillId="11" borderId="38" xfId="0" applyFont="1" applyFill="1" applyBorder="1"/>
    <xf numFmtId="0" fontId="64" fillId="0" borderId="0" xfId="3" applyFont="1" applyAlignment="1" applyProtection="1">
      <alignment horizontal="center"/>
      <protection locked="0"/>
    </xf>
    <xf numFmtId="0" fontId="64" fillId="0" borderId="0" xfId="3" applyFont="1" applyAlignment="1">
      <alignment horizontal="center"/>
    </xf>
    <xf numFmtId="166" fontId="17" fillId="0" borderId="0" xfId="3" applyNumberFormat="1" applyFont="1" applyAlignment="1">
      <alignment horizontal="center" textRotation="90"/>
    </xf>
    <xf numFmtId="0" fontId="66" fillId="0" borderId="0" xfId="0" applyFont="1" applyProtection="1">
      <protection locked="0"/>
    </xf>
    <xf numFmtId="4" fontId="66" fillId="0" borderId="0" xfId="0" applyNumberFormat="1" applyFont="1" applyProtection="1">
      <protection locked="0"/>
    </xf>
    <xf numFmtId="0" fontId="67" fillId="0" borderId="0" xfId="0" applyFont="1"/>
    <xf numFmtId="4" fontId="67" fillId="0" borderId="0" xfId="0" applyNumberFormat="1" applyFont="1"/>
    <xf numFmtId="0" fontId="66" fillId="3" borderId="0" xfId="0" applyFont="1" applyFill="1" applyAlignment="1" applyProtection="1">
      <alignment vertical="center"/>
      <protection locked="0"/>
    </xf>
    <xf numFmtId="0" fontId="66" fillId="3" borderId="0" xfId="0" applyFont="1" applyFill="1" applyAlignment="1" applyProtection="1">
      <alignment horizontal="center" vertical="center"/>
      <protection locked="0"/>
    </xf>
    <xf numFmtId="0" fontId="66" fillId="3" borderId="0" xfId="0" applyFont="1" applyFill="1" applyAlignment="1" applyProtection="1">
      <alignment horizontal="left" vertical="center"/>
      <protection locked="0"/>
    </xf>
    <xf numFmtId="3" fontId="66" fillId="3" borderId="0" xfId="11" applyNumberFormat="1" applyFont="1" applyFill="1" applyAlignment="1" applyProtection="1">
      <alignment horizontal="right" vertical="center"/>
      <protection locked="0"/>
    </xf>
    <xf numFmtId="0" fontId="0" fillId="0" borderId="0" xfId="0" applyAlignment="1">
      <alignment vertical="center"/>
    </xf>
    <xf numFmtId="164" fontId="66" fillId="3" borderId="0" xfId="1" applyFont="1" applyFill="1" applyAlignment="1" applyProtection="1">
      <alignment horizontal="right" vertical="center"/>
      <protection locked="0"/>
    </xf>
    <xf numFmtId="3" fontId="66" fillId="3" borderId="0" xfId="0" applyNumberFormat="1" applyFont="1" applyFill="1" applyAlignment="1" applyProtection="1">
      <alignment horizontal="right" vertical="center"/>
      <protection locked="0"/>
    </xf>
    <xf numFmtId="165" fontId="31" fillId="0" borderId="0" xfId="1" applyNumberFormat="1" applyFont="1" applyAlignment="1">
      <alignment horizontal="center" vertical="center"/>
    </xf>
    <xf numFmtId="164" fontId="68" fillId="17" borderId="0" xfId="1" applyFont="1" applyFill="1" applyAlignment="1" applyProtection="1">
      <alignment vertical="center"/>
      <protection locked="0"/>
    </xf>
    <xf numFmtId="9" fontId="68" fillId="17" borderId="0" xfId="2" applyFont="1" applyFill="1" applyAlignment="1" applyProtection="1">
      <alignment horizontal="center" vertical="center"/>
      <protection locked="0"/>
    </xf>
    <xf numFmtId="0" fontId="68" fillId="12" borderId="0" xfId="1" applyNumberFormat="1" applyFont="1" applyFill="1" applyAlignment="1" applyProtection="1">
      <alignment horizontal="center" vertical="center"/>
      <protection locked="0"/>
    </xf>
    <xf numFmtId="0" fontId="18" fillId="0" borderId="1" xfId="5" applyFont="1" applyBorder="1" applyAlignment="1">
      <alignment horizontal="center" vertical="center"/>
    </xf>
    <xf numFmtId="165" fontId="69" fillId="16" borderId="0" xfId="1" applyNumberFormat="1" applyFont="1" applyFill="1" applyAlignment="1">
      <alignment horizontal="center" vertical="center"/>
    </xf>
    <xf numFmtId="165" fontId="69" fillId="3" borderId="0" xfId="1" applyNumberFormat="1" applyFont="1" applyFill="1" applyAlignment="1">
      <alignment horizontal="center" vertical="center"/>
    </xf>
    <xf numFmtId="0" fontId="5" fillId="16" borderId="0" xfId="6" applyFont="1" applyFill="1" applyAlignment="1">
      <alignment horizontal="center" vertical="center"/>
    </xf>
    <xf numFmtId="0" fontId="5" fillId="3" borderId="0" xfId="6" applyFont="1" applyFill="1" applyAlignment="1">
      <alignment horizontal="center" vertical="center"/>
    </xf>
    <xf numFmtId="0" fontId="68" fillId="12" borderId="0" xfId="5" applyFont="1" applyFill="1" applyAlignment="1">
      <alignment horizontal="left" vertical="center"/>
    </xf>
    <xf numFmtId="0" fontId="26" fillId="17" borderId="0" xfId="5" applyFont="1" applyFill="1" applyAlignment="1">
      <alignment horizontal="left" vertical="center"/>
    </xf>
    <xf numFmtId="0" fontId="70" fillId="0" borderId="0" xfId="5" applyFont="1" applyAlignment="1">
      <alignment horizontal="center" vertical="center"/>
    </xf>
    <xf numFmtId="2" fontId="70" fillId="0" borderId="0" xfId="5" applyNumberFormat="1" applyFont="1" applyAlignment="1">
      <alignment horizontal="center" vertical="center"/>
    </xf>
    <xf numFmtId="2" fontId="70" fillId="10" borderId="0" xfId="5" applyNumberFormat="1" applyFont="1" applyFill="1" applyAlignment="1">
      <alignment horizontal="center" vertical="center"/>
    </xf>
    <xf numFmtId="0" fontId="70" fillId="10" borderId="0" xfId="5" applyFont="1" applyFill="1" applyAlignment="1">
      <alignment horizontal="center" vertical="center"/>
    </xf>
    <xf numFmtId="0" fontId="72" fillId="0" borderId="0" xfId="5" applyFont="1" applyAlignment="1">
      <alignment horizontal="center" vertical="center"/>
    </xf>
    <xf numFmtId="9" fontId="71" fillId="11" borderId="0" xfId="2" applyFont="1" applyFill="1" applyAlignment="1" applyProtection="1">
      <alignment horizontal="center" vertical="center"/>
      <protection locked="0"/>
    </xf>
    <xf numFmtId="165" fontId="72" fillId="0" borderId="0" xfId="5" applyNumberFormat="1" applyFont="1" applyAlignment="1">
      <alignment horizontal="center" vertical="center"/>
    </xf>
    <xf numFmtId="173" fontId="0" fillId="0" borderId="0" xfId="0" applyNumberFormat="1"/>
    <xf numFmtId="0" fontId="31" fillId="0" borderId="0" xfId="5" applyFont="1" applyAlignment="1" applyProtection="1">
      <alignment horizontal="center" vertical="center"/>
      <protection locked="0"/>
    </xf>
    <xf numFmtId="3" fontId="56" fillId="0" borderId="35" xfId="7" applyFont="1" applyBorder="1" applyAlignment="1">
      <alignment horizontal="centerContinuous" vertical="center"/>
    </xf>
    <xf numFmtId="3" fontId="56" fillId="0" borderId="1" xfId="7" applyFont="1" applyBorder="1" applyAlignment="1">
      <alignment horizontal="centerContinuous" vertical="center"/>
    </xf>
    <xf numFmtId="173" fontId="35" fillId="0" borderId="0" xfId="5" applyNumberFormat="1" applyFont="1" applyAlignment="1">
      <alignment horizontal="center" vertical="center"/>
    </xf>
    <xf numFmtId="173" fontId="35" fillId="10" borderId="0" xfId="5" applyNumberFormat="1" applyFont="1" applyFill="1" applyAlignment="1">
      <alignment horizontal="center" vertical="center"/>
    </xf>
    <xf numFmtId="0" fontId="73" fillId="0" borderId="0" xfId="5" applyFont="1" applyProtection="1">
      <alignment horizontal="left"/>
      <protection locked="0"/>
    </xf>
    <xf numFmtId="0" fontId="20" fillId="0" borderId="0" xfId="3" applyFont="1" applyAlignment="1" applyProtection="1">
      <alignment horizontal="center"/>
      <protection locked="0"/>
    </xf>
    <xf numFmtId="0" fontId="73" fillId="0" borderId="0" xfId="5" applyFont="1" applyAlignment="1" applyProtection="1">
      <alignment horizontal="left" vertical="center"/>
      <protection locked="0"/>
    </xf>
    <xf numFmtId="0" fontId="73" fillId="0" borderId="0" xfId="5" applyFont="1" applyAlignment="1" applyProtection="1">
      <alignment vertical="center"/>
      <protection locked="0"/>
    </xf>
    <xf numFmtId="1" fontId="31" fillId="0" borderId="0" xfId="5" applyNumberFormat="1" applyFont="1" applyAlignment="1" applyProtection="1">
      <alignment horizontal="center" vertical="center"/>
      <protection locked="0"/>
    </xf>
    <xf numFmtId="0" fontId="34" fillId="0" borderId="0" xfId="0" applyFont="1" applyAlignment="1">
      <alignment horizontal="center" vertical="center"/>
    </xf>
    <xf numFmtId="0" fontId="74" fillId="0" borderId="1" xfId="5" applyFont="1" applyBorder="1">
      <alignment horizontal="left"/>
    </xf>
    <xf numFmtId="3" fontId="75" fillId="0" borderId="20" xfId="7" applyFont="1" applyBorder="1">
      <alignment horizontal="center"/>
    </xf>
    <xf numFmtId="3" fontId="11" fillId="18" borderId="20" xfId="7" applyFont="1" applyFill="1" applyBorder="1" applyAlignment="1">
      <alignment horizontal="center" vertical="center"/>
    </xf>
    <xf numFmtId="0" fontId="34" fillId="0" borderId="21" xfId="0" applyFont="1" applyBorder="1" applyAlignment="1">
      <alignment horizontal="center" vertical="center"/>
    </xf>
    <xf numFmtId="0" fontId="70" fillId="10" borderId="43" xfId="5" applyFont="1" applyFill="1" applyBorder="1" applyAlignment="1">
      <alignment horizontal="center" vertical="center"/>
    </xf>
    <xf numFmtId="0" fontId="38" fillId="0" borderId="18" xfId="0" applyFont="1" applyBorder="1" applyAlignment="1">
      <alignment horizontal="center" vertical="center"/>
    </xf>
    <xf numFmtId="0" fontId="38" fillId="0" borderId="21" xfId="0" applyFont="1" applyBorder="1" applyAlignment="1">
      <alignment horizontal="center"/>
    </xf>
    <xf numFmtId="0" fontId="38" fillId="0" borderId="21" xfId="0" applyFont="1" applyBorder="1" applyAlignment="1">
      <alignment horizontal="center" vertical="center"/>
    </xf>
    <xf numFmtId="3" fontId="71" fillId="2" borderId="45" xfId="2" applyNumberFormat="1" applyFont="1" applyFill="1" applyBorder="1" applyAlignment="1" applyProtection="1">
      <alignment horizontal="center" vertical="center"/>
      <protection locked="0"/>
    </xf>
    <xf numFmtId="3" fontId="71" fillId="11" borderId="46" xfId="2" applyNumberFormat="1" applyFont="1" applyFill="1" applyBorder="1" applyAlignment="1" applyProtection="1">
      <alignment horizontal="center" vertical="center"/>
      <protection locked="0"/>
    </xf>
    <xf numFmtId="3" fontId="71" fillId="2" borderId="47" xfId="2" applyNumberFormat="1" applyFont="1" applyFill="1" applyBorder="1" applyAlignment="1" applyProtection="1">
      <alignment horizontal="center" vertical="center"/>
      <protection locked="0"/>
    </xf>
    <xf numFmtId="3" fontId="71" fillId="11" borderId="48" xfId="2" applyNumberFormat="1" applyFont="1" applyFill="1" applyBorder="1" applyAlignment="1" applyProtection="1">
      <alignment horizontal="center" vertical="center"/>
      <protection locked="0"/>
    </xf>
    <xf numFmtId="9" fontId="71" fillId="2" borderId="45" xfId="2" applyFont="1" applyFill="1" applyBorder="1" applyAlignment="1" applyProtection="1">
      <alignment horizontal="center" vertical="center"/>
      <protection locked="0"/>
    </xf>
    <xf numFmtId="9" fontId="71" fillId="11" borderId="46" xfId="2" applyFont="1" applyFill="1" applyBorder="1" applyAlignment="1" applyProtection="1">
      <alignment horizontal="center" vertical="center"/>
      <protection locked="0"/>
    </xf>
    <xf numFmtId="9" fontId="71" fillId="2" borderId="47" xfId="2" applyFont="1" applyFill="1" applyBorder="1" applyAlignment="1" applyProtection="1">
      <alignment horizontal="center" vertical="center"/>
      <protection locked="0"/>
    </xf>
    <xf numFmtId="9" fontId="71" fillId="11" borderId="48" xfId="2" applyFont="1" applyFill="1" applyBorder="1" applyAlignment="1" applyProtection="1">
      <alignment horizontal="center" vertical="center"/>
      <protection locked="0"/>
    </xf>
    <xf numFmtId="4" fontId="71" fillId="2" borderId="47" xfId="2" applyNumberFormat="1" applyFont="1" applyFill="1" applyBorder="1" applyAlignment="1" applyProtection="1">
      <alignment horizontal="center" vertical="center"/>
      <protection locked="0"/>
    </xf>
    <xf numFmtId="2" fontId="70" fillId="10" borderId="43" xfId="5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3" fontId="75" fillId="0" borderId="19" xfId="7" applyFont="1">
      <alignment horizontal="center"/>
    </xf>
    <xf numFmtId="3" fontId="11" fillId="18" borderId="19" xfId="7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70" fillId="10" borderId="44" xfId="5" applyNumberFormat="1" applyFont="1" applyFill="1" applyBorder="1" applyAlignment="1">
      <alignment horizontal="center" vertical="center"/>
    </xf>
    <xf numFmtId="4" fontId="71" fillId="2" borderId="46" xfId="2" applyNumberFormat="1" applyFont="1" applyFill="1" applyBorder="1" applyAlignment="1" applyProtection="1">
      <alignment horizontal="center" vertical="center"/>
      <protection locked="0"/>
    </xf>
    <xf numFmtId="9" fontId="71" fillId="2" borderId="49" xfId="2" applyFont="1" applyFill="1" applyBorder="1" applyAlignment="1" applyProtection="1">
      <alignment horizontal="center" vertical="center"/>
      <protection locked="0"/>
    </xf>
    <xf numFmtId="9" fontId="71" fillId="2" borderId="50" xfId="2" applyFont="1" applyFill="1" applyBorder="1" applyAlignment="1" applyProtection="1">
      <alignment horizontal="center" vertical="center"/>
      <protection locked="0"/>
    </xf>
    <xf numFmtId="9" fontId="71" fillId="11" borderId="42" xfId="2" applyFont="1" applyFill="1" applyBorder="1" applyAlignment="1" applyProtection="1">
      <alignment horizontal="center" vertical="center"/>
      <protection locked="0"/>
    </xf>
    <xf numFmtId="3" fontId="16" fillId="0" borderId="0" xfId="7" applyBorder="1">
      <alignment horizontal="center"/>
    </xf>
    <xf numFmtId="3" fontId="11" fillId="0" borderId="0" xfId="7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4" fontId="71" fillId="0" borderId="0" xfId="2" applyNumberFormat="1" applyFont="1" applyAlignment="1" applyProtection="1">
      <alignment horizontal="center" vertical="center"/>
      <protection locked="0"/>
    </xf>
    <xf numFmtId="0" fontId="13" fillId="0" borderId="0" xfId="3" applyProtection="1">
      <alignment vertical="center"/>
      <protection locked="0"/>
    </xf>
    <xf numFmtId="9" fontId="41" fillId="11" borderId="46" xfId="2" applyFont="1" applyFill="1" applyBorder="1" applyAlignment="1" applyProtection="1">
      <alignment horizontal="center" vertical="center"/>
      <protection locked="0"/>
    </xf>
    <xf numFmtId="4" fontId="7" fillId="0" borderId="51" xfId="12" applyNumberFormat="1" applyBorder="1" applyAlignment="1">
      <alignment horizontal="center"/>
    </xf>
    <xf numFmtId="4" fontId="7" fillId="0" borderId="52" xfId="12" applyNumberFormat="1" applyBorder="1" applyAlignment="1">
      <alignment horizontal="center"/>
    </xf>
    <xf numFmtId="0" fontId="10" fillId="0" borderId="21" xfId="6" applyFont="1" applyBorder="1" applyAlignment="1">
      <alignment vertical="center"/>
    </xf>
    <xf numFmtId="0" fontId="73" fillId="0" borderId="21" xfId="5" applyFont="1" applyBorder="1" applyAlignment="1" applyProtection="1">
      <alignment horizontal="left" vertical="center"/>
      <protection locked="0"/>
    </xf>
    <xf numFmtId="0" fontId="73" fillId="0" borderId="21" xfId="5" applyFont="1" applyBorder="1" applyAlignment="1" applyProtection="1">
      <alignment vertical="center"/>
      <protection locked="0"/>
    </xf>
    <xf numFmtId="0" fontId="31" fillId="0" borderId="21" xfId="5" applyFont="1" applyBorder="1" applyAlignment="1" applyProtection="1">
      <alignment horizontal="center" vertical="center"/>
      <protection locked="0"/>
    </xf>
    <xf numFmtId="3" fontId="10" fillId="0" borderId="0" xfId="6" applyNumberFormat="1" applyFont="1" applyFill="1" applyBorder="1" applyAlignment="1" applyProtection="1">
      <alignment horizontal="center" vertical="center"/>
      <protection locked="0"/>
    </xf>
    <xf numFmtId="0" fontId="10" fillId="0" borderId="0" xfId="6" applyFont="1" applyFill="1" applyBorder="1" applyAlignment="1" applyProtection="1">
      <alignment horizontal="center" vertical="center"/>
      <protection locked="0"/>
    </xf>
    <xf numFmtId="3" fontId="44" fillId="0" borderId="0" xfId="1" applyNumberFormat="1" applyFont="1" applyFill="1" applyBorder="1" applyAlignment="1" applyProtection="1">
      <alignment horizontal="center" vertical="center"/>
      <protection locked="0"/>
    </xf>
    <xf numFmtId="0" fontId="35" fillId="0" borderId="0" xfId="5" applyFont="1" applyFill="1" applyBorder="1" applyAlignment="1" applyProtection="1">
      <alignment horizontal="center" vertical="center"/>
      <protection locked="0"/>
    </xf>
    <xf numFmtId="0" fontId="45" fillId="0" borderId="0" xfId="5" applyFont="1" applyFill="1" applyBorder="1" applyAlignment="1" applyProtection="1">
      <alignment horizontal="center" vertical="center"/>
      <protection locked="0"/>
    </xf>
    <xf numFmtId="3" fontId="58" fillId="16" borderId="0" xfId="5" applyNumberFormat="1" applyFont="1" applyFill="1" applyAlignment="1" applyProtection="1">
      <alignment horizontal="center" vertical="center"/>
    </xf>
    <xf numFmtId="3" fontId="58" fillId="10" borderId="0" xfId="5" applyNumberFormat="1" applyFont="1" applyFill="1" applyAlignment="1" applyProtection="1">
      <alignment horizontal="center" vertical="center"/>
    </xf>
    <xf numFmtId="0" fontId="77" fillId="19" borderId="0" xfId="14" applyFont="1" applyFill="1" applyAlignment="1">
      <alignment horizontal="center"/>
    </xf>
    <xf numFmtId="0" fontId="77" fillId="19" borderId="0" xfId="14" applyFont="1" applyFill="1" applyAlignment="1">
      <alignment vertical="center"/>
    </xf>
    <xf numFmtId="0" fontId="77" fillId="3" borderId="0" xfId="14" applyFont="1" applyFill="1" applyAlignment="1">
      <alignment horizontal="center"/>
    </xf>
    <xf numFmtId="176" fontId="77" fillId="3" borderId="0" xfId="15" applyNumberFormat="1" applyFont="1" applyFill="1" applyAlignment="1">
      <alignment horizontal="center"/>
    </xf>
    <xf numFmtId="0" fontId="77" fillId="0" borderId="0" xfId="12" applyFont="1"/>
    <xf numFmtId="2" fontId="10" fillId="0" borderId="0" xfId="6" applyNumberFormat="1" applyFont="1" applyFill="1" applyBorder="1" applyAlignment="1">
      <alignment horizontal="center" vertical="center"/>
    </xf>
    <xf numFmtId="0" fontId="35" fillId="0" borderId="0" xfId="5" applyFont="1" applyFill="1" applyBorder="1" applyAlignment="1">
      <alignment horizontal="center" vertical="center"/>
    </xf>
    <xf numFmtId="0" fontId="78" fillId="12" borderId="1" xfId="3" applyFont="1" applyFill="1" applyBorder="1" applyAlignment="1"/>
    <xf numFmtId="0" fontId="35" fillId="0" borderId="0" xfId="5" applyFont="1" applyFill="1" applyAlignment="1" applyProtection="1">
      <alignment horizontal="center" vertical="center"/>
      <protection locked="0"/>
    </xf>
    <xf numFmtId="0" fontId="35" fillId="0" borderId="0" xfId="5" applyFont="1" applyFill="1" applyAlignment="1">
      <alignment horizontal="left" vertical="center"/>
    </xf>
    <xf numFmtId="0" fontId="35" fillId="0" borderId="0" xfId="5" applyFont="1" applyFill="1" applyAlignment="1">
      <alignment horizontal="center" vertical="center"/>
    </xf>
    <xf numFmtId="3" fontId="58" fillId="0" borderId="0" xfId="5" applyNumberFormat="1" applyFont="1" applyFill="1" applyAlignment="1" applyProtection="1">
      <alignment horizontal="center" vertical="center"/>
      <protection locked="0"/>
    </xf>
    <xf numFmtId="165" fontId="35" fillId="0" borderId="0" xfId="1" applyNumberFormat="1" applyFont="1" applyFill="1" applyAlignment="1">
      <alignment horizontal="center" vertical="center"/>
    </xf>
    <xf numFmtId="168" fontId="35" fillId="0" borderId="0" xfId="2" applyNumberFormat="1" applyFont="1" applyFill="1" applyAlignment="1">
      <alignment horizontal="center" vertical="center"/>
    </xf>
    <xf numFmtId="3" fontId="58" fillId="0" borderId="0" xfId="5" applyNumberFormat="1" applyFont="1" applyFill="1" applyAlignment="1" applyProtection="1">
      <alignment horizontal="center" vertical="center"/>
    </xf>
    <xf numFmtId="168" fontId="35" fillId="0" borderId="0" xfId="1" applyNumberFormat="1" applyFont="1" applyFill="1" applyAlignment="1">
      <alignment horizontal="center" vertical="center"/>
    </xf>
    <xf numFmtId="0" fontId="2" fillId="0" borderId="0" xfId="16"/>
    <xf numFmtId="0" fontId="79" fillId="0" borderId="0" xfId="16" applyFont="1" applyAlignment="1">
      <alignment horizontal="center"/>
    </xf>
    <xf numFmtId="0" fontId="79" fillId="0" borderId="0" xfId="16" applyFont="1"/>
    <xf numFmtId="9" fontId="2" fillId="0" borderId="0" xfId="16" applyNumberFormat="1"/>
    <xf numFmtId="0" fontId="80" fillId="0" borderId="0" xfId="0" applyFont="1" applyAlignment="1">
      <alignment horizontal="center"/>
    </xf>
    <xf numFmtId="9" fontId="72" fillId="10" borderId="53" xfId="2" applyFont="1" applyFill="1" applyBorder="1" applyAlignment="1">
      <alignment horizontal="center" vertical="center"/>
    </xf>
    <xf numFmtId="0" fontId="34" fillId="0" borderId="0" xfId="17" applyFont="1" applyAlignment="1">
      <alignment horizontal="left" vertical="center"/>
    </xf>
    <xf numFmtId="0" fontId="34" fillId="0" borderId="0" xfId="17" applyFont="1" applyAlignment="1">
      <alignment horizontal="center" vertical="center"/>
    </xf>
    <xf numFmtId="173" fontId="34" fillId="0" borderId="0" xfId="17" applyNumberFormat="1" applyFont="1" applyAlignment="1">
      <alignment horizontal="center" vertical="center"/>
    </xf>
    <xf numFmtId="173" fontId="35" fillId="0" borderId="0" xfId="5" applyNumberFormat="1" applyFont="1" applyFill="1" applyAlignment="1">
      <alignment horizontal="center" vertical="center"/>
    </xf>
    <xf numFmtId="0" fontId="74" fillId="0" borderId="1" xfId="5" applyFont="1" applyBorder="1" applyAlignment="1">
      <alignment horizontal="center"/>
    </xf>
    <xf numFmtId="0" fontId="74" fillId="0" borderId="0" xfId="5" applyFont="1" applyFill="1" applyBorder="1">
      <alignment horizontal="left"/>
    </xf>
    <xf numFmtId="0" fontId="77" fillId="3" borderId="0" xfId="18" applyFont="1" applyFill="1" applyAlignment="1">
      <alignment horizontal="center"/>
    </xf>
    <xf numFmtId="176" fontId="77" fillId="3" borderId="0" xfId="19" applyNumberFormat="1" applyFont="1" applyFill="1" applyAlignment="1">
      <alignment horizontal="center"/>
    </xf>
    <xf numFmtId="0" fontId="81" fillId="3" borderId="0" xfId="0" applyFont="1" applyFill="1" applyAlignment="1">
      <alignment horizontal="center"/>
    </xf>
    <xf numFmtId="176" fontId="81" fillId="3" borderId="0" xfId="20" applyNumberFormat="1" applyFont="1" applyFill="1" applyAlignment="1">
      <alignment horizontal="center"/>
    </xf>
    <xf numFmtId="0" fontId="11" fillId="13" borderId="5" xfId="12" applyFont="1" applyFill="1" applyBorder="1" applyAlignment="1">
      <alignment horizontal="centerContinuous" vertical="center" wrapText="1"/>
    </xf>
    <xf numFmtId="0" fontId="11" fillId="13" borderId="7" xfId="12" applyFont="1" applyFill="1" applyBorder="1" applyAlignment="1">
      <alignment horizontal="centerContinuous" vertical="center" wrapText="1"/>
    </xf>
    <xf numFmtId="0" fontId="11" fillId="13" borderId="9" xfId="12" applyFont="1" applyFill="1" applyBorder="1" applyAlignment="1">
      <alignment horizontal="centerContinuous" vertical="center" wrapText="1"/>
    </xf>
    <xf numFmtId="0" fontId="47" fillId="0" borderId="2" xfId="12" applyFont="1" applyBorder="1" applyAlignment="1">
      <alignment horizontal="centerContinuous" vertical="center"/>
    </xf>
    <xf numFmtId="0" fontId="47" fillId="0" borderId="3" xfId="12" applyFont="1" applyBorder="1" applyAlignment="1">
      <alignment horizontal="centerContinuous" vertical="center"/>
    </xf>
    <xf numFmtId="0" fontId="47" fillId="0" borderId="8" xfId="12" applyFont="1" applyBorder="1" applyAlignment="1">
      <alignment horizontal="centerContinuous" vertical="center"/>
    </xf>
    <xf numFmtId="0" fontId="11" fillId="14" borderId="27" xfId="12" applyFont="1" applyFill="1" applyBorder="1" applyAlignment="1">
      <alignment horizontal="centerContinuous" vertical="center" wrapText="1"/>
    </xf>
    <xf numFmtId="0" fontId="11" fillId="14" borderId="25" xfId="12" applyFont="1" applyFill="1" applyBorder="1" applyAlignment="1">
      <alignment horizontal="centerContinuous" vertical="center" wrapText="1"/>
    </xf>
    <xf numFmtId="0" fontId="11" fillId="14" borderId="6" xfId="12" applyFont="1" applyFill="1" applyBorder="1" applyAlignment="1">
      <alignment horizontal="centerContinuous" vertical="center" wrapText="1"/>
    </xf>
    <xf numFmtId="0" fontId="11" fillId="14" borderId="5" xfId="12" applyFont="1" applyFill="1" applyBorder="1" applyAlignment="1">
      <alignment horizontal="centerContinuous" vertical="center" wrapText="1"/>
    </xf>
    <xf numFmtId="0" fontId="11" fillId="14" borderId="7" xfId="12" applyFont="1" applyFill="1" applyBorder="1" applyAlignment="1">
      <alignment horizontal="centerContinuous" vertical="center" wrapText="1"/>
    </xf>
    <xf numFmtId="0" fontId="11" fillId="14" borderId="9" xfId="12" applyFont="1" applyFill="1" applyBorder="1" applyAlignment="1">
      <alignment horizontal="centerContinuous" vertical="center" wrapText="1"/>
    </xf>
    <xf numFmtId="0" fontId="48" fillId="14" borderId="0" xfId="12" applyFont="1" applyFill="1" applyAlignment="1">
      <alignment horizontal="centerContinuous" vertical="center"/>
    </xf>
    <xf numFmtId="0" fontId="48" fillId="13" borderId="0" xfId="12" applyFont="1" applyFill="1" applyAlignment="1">
      <alignment horizontal="centerContinuous" vertical="center"/>
    </xf>
    <xf numFmtId="0" fontId="7" fillId="0" borderId="54" xfId="12" applyBorder="1" applyAlignment="1">
      <alignment horizontal="center" vertical="center"/>
    </xf>
    <xf numFmtId="1" fontId="7" fillId="0" borderId="51" xfId="12" applyNumberFormat="1" applyBorder="1" applyAlignment="1">
      <alignment horizontal="center"/>
    </xf>
    <xf numFmtId="4" fontId="7" fillId="0" borderId="55" xfId="12" applyNumberFormat="1" applyBorder="1" applyAlignment="1">
      <alignment horizontal="center"/>
    </xf>
    <xf numFmtId="4" fontId="7" fillId="3" borderId="51" xfId="12" applyNumberFormat="1" applyFill="1" applyBorder="1" applyAlignment="1">
      <alignment horizontal="center"/>
    </xf>
    <xf numFmtId="4" fontId="7" fillId="3" borderId="56" xfId="12" applyNumberFormat="1" applyFill="1" applyBorder="1" applyAlignment="1">
      <alignment horizontal="center"/>
    </xf>
    <xf numFmtId="4" fontId="7" fillId="3" borderId="6" xfId="12" applyNumberFormat="1" applyFill="1" applyBorder="1" applyAlignment="1">
      <alignment horizontal="center"/>
    </xf>
    <xf numFmtId="4" fontId="7" fillId="0" borderId="56" xfId="12" applyNumberFormat="1" applyBorder="1" applyAlignment="1">
      <alignment horizontal="center"/>
    </xf>
    <xf numFmtId="4" fontId="7" fillId="0" borderId="6" xfId="12" applyNumberFormat="1" applyBorder="1" applyAlignment="1">
      <alignment horizontal="center"/>
    </xf>
    <xf numFmtId="4" fontId="7" fillId="0" borderId="57" xfId="12" applyNumberFormat="1" applyBorder="1" applyAlignment="1">
      <alignment horizontal="center"/>
    </xf>
    <xf numFmtId="4" fontId="7" fillId="3" borderId="58" xfId="12" applyNumberFormat="1" applyFill="1" applyBorder="1" applyAlignment="1">
      <alignment horizontal="center"/>
    </xf>
    <xf numFmtId="4" fontId="7" fillId="0" borderId="58" xfId="12" applyNumberFormat="1" applyBorder="1" applyAlignment="1">
      <alignment horizontal="center"/>
    </xf>
    <xf numFmtId="4" fontId="7" fillId="0" borderId="54" xfId="12" applyNumberFormat="1" applyBorder="1" applyAlignment="1">
      <alignment horizontal="center"/>
    </xf>
    <xf numFmtId="4" fontId="7" fillId="3" borderId="59" xfId="12" applyNumberFormat="1" applyFill="1" applyBorder="1" applyAlignment="1">
      <alignment horizontal="center"/>
    </xf>
    <xf numFmtId="4" fontId="7" fillId="0" borderId="59" xfId="12" applyNumberFormat="1" applyBorder="1" applyAlignment="1">
      <alignment horizontal="center"/>
    </xf>
    <xf numFmtId="10" fontId="7" fillId="0" borderId="0" xfId="2" applyNumberFormat="1"/>
    <xf numFmtId="173" fontId="7" fillId="0" borderId="0" xfId="12" applyNumberFormat="1"/>
    <xf numFmtId="9" fontId="7" fillId="0" borderId="0" xfId="2"/>
    <xf numFmtId="0" fontId="7" fillId="0" borderId="21" xfId="0" applyFont="1" applyBorder="1" applyAlignment="1">
      <alignment horizontal="center"/>
    </xf>
    <xf numFmtId="165" fontId="72" fillId="0" borderId="0" xfId="1" applyNumberFormat="1" applyFont="1" applyAlignment="1">
      <alignment horizontal="center" vertical="center"/>
    </xf>
    <xf numFmtId="9" fontId="11" fillId="12" borderId="1" xfId="2" applyFont="1" applyFill="1" applyBorder="1" applyAlignment="1" applyProtection="1">
      <alignment horizontal="centerContinuous"/>
      <protection locked="0"/>
    </xf>
    <xf numFmtId="165" fontId="35" fillId="0" borderId="39" xfId="1" applyNumberFormat="1" applyFont="1" applyBorder="1" applyAlignment="1">
      <alignment horizontal="center" vertical="center"/>
    </xf>
    <xf numFmtId="0" fontId="35" fillId="0" borderId="0" xfId="5" applyFont="1" applyBorder="1" applyAlignment="1">
      <alignment horizontal="center" vertical="center"/>
    </xf>
    <xf numFmtId="173" fontId="35" fillId="0" borderId="0" xfId="5" applyNumberFormat="1" applyFont="1" applyBorder="1" applyAlignment="1">
      <alignment horizontal="center" vertical="center"/>
    </xf>
    <xf numFmtId="165" fontId="35" fillId="0" borderId="0" xfId="1" applyNumberFormat="1" applyFont="1" applyBorder="1" applyAlignment="1">
      <alignment horizontal="center" vertical="center"/>
    </xf>
    <xf numFmtId="10" fontId="35" fillId="0" borderId="0" xfId="2" applyNumberFormat="1" applyFont="1" applyBorder="1" applyAlignment="1">
      <alignment horizontal="center" vertical="center"/>
    </xf>
    <xf numFmtId="0" fontId="35" fillId="10" borderId="0" xfId="5" applyFont="1" applyFill="1" applyBorder="1" applyAlignment="1">
      <alignment horizontal="center" vertical="center"/>
    </xf>
    <xf numFmtId="165" fontId="35" fillId="10" borderId="0" xfId="1" applyNumberFormat="1" applyFont="1" applyFill="1" applyBorder="1" applyAlignment="1">
      <alignment horizontal="center" vertical="center"/>
    </xf>
    <xf numFmtId="10" fontId="35" fillId="10" borderId="0" xfId="2" applyNumberFormat="1" applyFont="1" applyFill="1" applyBorder="1" applyAlignment="1">
      <alignment horizontal="center" vertical="center"/>
    </xf>
    <xf numFmtId="3" fontId="41" fillId="2" borderId="30" xfId="2" applyNumberFormat="1" applyFont="1" applyFill="1" applyBorder="1" applyAlignment="1" applyProtection="1">
      <alignment horizontal="center" vertical="center"/>
      <protection locked="0"/>
    </xf>
    <xf numFmtId="3" fontId="41" fillId="11" borderId="31" xfId="2" applyNumberFormat="1" applyFont="1" applyFill="1" applyBorder="1" applyAlignment="1" applyProtection="1">
      <alignment horizontal="center" vertical="center"/>
      <protection locked="0"/>
    </xf>
    <xf numFmtId="3" fontId="41" fillId="2" borderId="31" xfId="2" applyNumberFormat="1" applyFont="1" applyFill="1" applyBorder="1" applyAlignment="1" applyProtection="1">
      <alignment horizontal="center" vertical="center"/>
      <protection locked="0"/>
    </xf>
    <xf numFmtId="177" fontId="72" fillId="0" borderId="60" xfId="5" applyNumberFormat="1" applyFont="1" applyBorder="1" applyAlignment="1">
      <alignment horizontal="center" vertical="center"/>
    </xf>
    <xf numFmtId="4" fontId="7" fillId="0" borderId="0" xfId="0" applyNumberFormat="1" applyFont="1"/>
    <xf numFmtId="0" fontId="7" fillId="0" borderId="21" xfId="0" applyFont="1" applyBorder="1"/>
    <xf numFmtId="4" fontId="7" fillId="0" borderId="21" xfId="0" applyNumberFormat="1" applyFont="1" applyBorder="1"/>
    <xf numFmtId="3" fontId="16" fillId="0" borderId="24" xfId="7" applyBorder="1">
      <alignment horizontal="center"/>
    </xf>
    <xf numFmtId="2" fontId="35" fillId="10" borderId="0" xfId="5" applyNumberFormat="1" applyFont="1" applyFill="1" applyAlignment="1">
      <alignment horizontal="center" vertical="center"/>
    </xf>
    <xf numFmtId="0" fontId="49" fillId="0" borderId="24" xfId="0" applyFont="1" applyBorder="1" applyAlignment="1">
      <alignment horizontal="left"/>
    </xf>
    <xf numFmtId="0" fontId="49" fillId="0" borderId="0" xfId="0" applyFont="1" applyAlignment="1">
      <alignment horizontal="left"/>
    </xf>
    <xf numFmtId="3" fontId="49" fillId="0" borderId="0" xfId="0" applyNumberFormat="1" applyFont="1" applyAlignment="1">
      <alignment horizontal="center" vertical="center"/>
    </xf>
    <xf numFmtId="3" fontId="41" fillId="2" borderId="0" xfId="1" applyNumberFormat="1" applyFont="1" applyFill="1" applyAlignment="1" applyProtection="1">
      <alignment horizontal="center" vertical="center"/>
      <protection locked="0"/>
    </xf>
    <xf numFmtId="172" fontId="35" fillId="10" borderId="0" xfId="5" applyNumberFormat="1" applyFont="1" applyFill="1" applyAlignment="1">
      <alignment horizontal="center" vertical="center"/>
    </xf>
    <xf numFmtId="172" fontId="35" fillId="0" borderId="0" xfId="5" applyNumberFormat="1" applyFont="1" applyAlignment="1">
      <alignment horizontal="center" vertical="center"/>
    </xf>
    <xf numFmtId="0" fontId="7" fillId="0" borderId="0" xfId="0" applyFont="1" applyAlignment="1">
      <alignment horizontal="left"/>
    </xf>
    <xf numFmtId="3" fontId="7" fillId="0" borderId="0" xfId="0" applyNumberFormat="1" applyFont="1" applyAlignment="1">
      <alignment horizontal="center" vertical="center"/>
    </xf>
    <xf numFmtId="0" fontId="7" fillId="0" borderId="21" xfId="0" applyFont="1" applyBorder="1" applyAlignment="1">
      <alignment horizontal="left"/>
    </xf>
    <xf numFmtId="3" fontId="7" fillId="0" borderId="21" xfId="0" applyNumberFormat="1" applyFont="1" applyBorder="1" applyAlignment="1">
      <alignment horizontal="center" vertical="center"/>
    </xf>
    <xf numFmtId="3" fontId="10" fillId="0" borderId="21" xfId="6" applyNumberFormat="1" applyFont="1" applyBorder="1" applyAlignment="1">
      <alignment horizontal="right" vertical="center"/>
    </xf>
    <xf numFmtId="3" fontId="10" fillId="0" borderId="28" xfId="6" applyNumberFormat="1" applyFont="1" applyBorder="1" applyAlignment="1">
      <alignment horizontal="center" vertical="center"/>
    </xf>
    <xf numFmtId="3" fontId="10" fillId="0" borderId="29" xfId="6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2" fontId="35" fillId="0" borderId="0" xfId="5" applyNumberFormat="1" applyFont="1" applyAlignment="1">
      <alignment horizontal="center" vertical="center"/>
    </xf>
    <xf numFmtId="9" fontId="41" fillId="2" borderId="0" xfId="2" applyFont="1" applyFill="1" applyBorder="1" applyAlignment="1" applyProtection="1">
      <alignment horizontal="center" vertical="center"/>
      <protection locked="0"/>
    </xf>
    <xf numFmtId="3" fontId="41" fillId="2" borderId="0" xfId="2" applyNumberFormat="1" applyFont="1" applyFill="1" applyBorder="1" applyAlignment="1" applyProtection="1">
      <alignment horizontal="center" vertical="center"/>
      <protection locked="0"/>
    </xf>
    <xf numFmtId="173" fontId="41" fillId="2" borderId="0" xfId="2" applyNumberFormat="1" applyFont="1" applyFill="1" applyBorder="1" applyAlignment="1" applyProtection="1">
      <alignment horizontal="center" vertical="center"/>
      <protection locked="0"/>
    </xf>
    <xf numFmtId="178" fontId="35" fillId="0" borderId="0" xfId="5" applyNumberFormat="1" applyFont="1" applyBorder="1" applyAlignment="1">
      <alignment horizontal="center" vertical="center"/>
    </xf>
    <xf numFmtId="178" fontId="35" fillId="0" borderId="0" xfId="5" applyNumberFormat="1" applyFont="1" applyAlignment="1">
      <alignment horizontal="center" vertical="center"/>
    </xf>
    <xf numFmtId="179" fontId="35" fillId="0" borderId="0" xfId="5" applyNumberFormat="1" applyFont="1" applyAlignment="1">
      <alignment horizontal="center" vertical="center"/>
    </xf>
    <xf numFmtId="9" fontId="41" fillId="11" borderId="0" xfId="2" applyFont="1" applyFill="1" applyBorder="1" applyAlignment="1" applyProtection="1">
      <alignment horizontal="center" vertical="center"/>
      <protection locked="0"/>
    </xf>
    <xf numFmtId="3" fontId="41" fillId="11" borderId="0" xfId="2" applyNumberFormat="1" applyFont="1" applyFill="1" applyBorder="1" applyAlignment="1" applyProtection="1">
      <alignment horizontal="center" vertical="center"/>
      <protection locked="0"/>
    </xf>
    <xf numFmtId="173" fontId="41" fillId="11" borderId="0" xfId="2" applyNumberFormat="1" applyFont="1" applyFill="1" applyBorder="1" applyAlignment="1" applyProtection="1">
      <alignment horizontal="center" vertical="center"/>
      <protection locked="0"/>
    </xf>
    <xf numFmtId="178" fontId="35" fillId="10" borderId="0" xfId="5" applyNumberFormat="1" applyFont="1" applyFill="1" applyBorder="1" applyAlignment="1">
      <alignment horizontal="center" vertical="center"/>
    </xf>
    <xf numFmtId="178" fontId="35" fillId="10" borderId="0" xfId="5" applyNumberFormat="1" applyFont="1" applyFill="1" applyAlignment="1">
      <alignment horizontal="center" vertical="center"/>
    </xf>
    <xf numFmtId="179" fontId="35" fillId="10" borderId="0" xfId="5" applyNumberFormat="1" applyFont="1" applyFill="1" applyAlignment="1">
      <alignment horizontal="center" vertical="center"/>
    </xf>
    <xf numFmtId="171" fontId="7" fillId="0" borderId="0" xfId="0" applyNumberFormat="1" applyFont="1"/>
    <xf numFmtId="170" fontId="7" fillId="0" borderId="0" xfId="0" applyNumberFormat="1" applyFont="1"/>
    <xf numFmtId="173" fontId="7" fillId="0" borderId="0" xfId="0" applyNumberFormat="1" applyFont="1"/>
    <xf numFmtId="10" fontId="39" fillId="0" borderId="1" xfId="2" applyNumberFormat="1" applyFont="1" applyBorder="1" applyAlignment="1">
      <alignment horizontal="center"/>
    </xf>
    <xf numFmtId="0" fontId="18" fillId="0" borderId="0" xfId="5" applyFont="1" applyFill="1" applyBorder="1">
      <alignment horizontal="left"/>
    </xf>
    <xf numFmtId="0" fontId="15" fillId="0" borderId="0" xfId="5" applyFill="1" applyBorder="1">
      <alignment horizontal="left"/>
    </xf>
    <xf numFmtId="3" fontId="16" fillId="0" borderId="0" xfId="7" applyFill="1" applyBorder="1">
      <alignment horizontal="center"/>
    </xf>
    <xf numFmtId="0" fontId="45" fillId="0" borderId="0" xfId="5" applyFont="1" applyFill="1" applyBorder="1" applyAlignment="1">
      <alignment horizontal="center" vertical="center"/>
    </xf>
    <xf numFmtId="3" fontId="39" fillId="0" borderId="0" xfId="7" applyFont="1" applyFill="1" applyBorder="1">
      <alignment horizontal="center"/>
    </xf>
    <xf numFmtId="0" fontId="35" fillId="0" borderId="0" xfId="5" applyFont="1" applyFill="1" applyBorder="1" applyAlignment="1">
      <alignment horizontal="left" vertical="center"/>
    </xf>
    <xf numFmtId="3" fontId="35" fillId="0" borderId="0" xfId="1" applyNumberFormat="1" applyFont="1" applyFill="1" applyBorder="1" applyAlignment="1">
      <alignment horizontal="center" vertical="center"/>
    </xf>
    <xf numFmtId="3" fontId="41" fillId="0" borderId="0" xfId="1" applyNumberFormat="1" applyFont="1" applyFill="1" applyBorder="1" applyAlignment="1" applyProtection="1">
      <alignment horizontal="center" vertical="center"/>
      <protection locked="0"/>
    </xf>
    <xf numFmtId="3" fontId="39" fillId="0" borderId="0" xfId="7" applyFont="1" applyFill="1" applyBorder="1" applyAlignment="1">
      <alignment horizontal="center" vertical="center"/>
    </xf>
    <xf numFmtId="3" fontId="41" fillId="0" borderId="0" xfId="1" quotePrefix="1" applyNumberFormat="1" applyFont="1" applyFill="1" applyBorder="1" applyAlignment="1" applyProtection="1">
      <alignment horizontal="center" vertical="center"/>
      <protection locked="0"/>
    </xf>
    <xf numFmtId="10" fontId="39" fillId="0" borderId="0" xfId="2" applyNumberFormat="1" applyFont="1" applyFill="1" applyBorder="1" applyAlignment="1">
      <alignment horizontal="center"/>
    </xf>
    <xf numFmtId="9" fontId="35" fillId="0" borderId="0" xfId="2" applyFont="1" applyFill="1" applyBorder="1" applyAlignment="1">
      <alignment horizontal="center" vertical="center"/>
    </xf>
    <xf numFmtId="0" fontId="12" fillId="20" borderId="26" xfId="12" applyFont="1" applyFill="1" applyBorder="1" applyAlignment="1">
      <alignment horizontal="center" vertical="center"/>
    </xf>
    <xf numFmtId="0" fontId="12" fillId="20" borderId="13" xfId="12" applyFont="1" applyFill="1" applyBorder="1" applyAlignment="1">
      <alignment horizontal="center" vertical="center"/>
    </xf>
    <xf numFmtId="0" fontId="7" fillId="20" borderId="54" xfId="12" applyFill="1" applyBorder="1" applyAlignment="1">
      <alignment horizontal="center" vertical="center"/>
    </xf>
    <xf numFmtId="0" fontId="83" fillId="0" borderId="0" xfId="12" applyFont="1"/>
    <xf numFmtId="174" fontId="55" fillId="0" borderId="0" xfId="5" applyNumberFormat="1" applyFont="1" applyFill="1" applyBorder="1" applyAlignment="1" applyProtection="1">
      <alignment horizontal="right" vertical="center"/>
      <protection locked="0"/>
    </xf>
    <xf numFmtId="0" fontId="85" fillId="0" borderId="0" xfId="12" applyFont="1"/>
    <xf numFmtId="0" fontId="64" fillId="0" borderId="0" xfId="3" applyNumberFormat="1" applyFont="1" applyAlignment="1" applyProtection="1">
      <alignment horizontal="center"/>
      <protection locked="0"/>
    </xf>
    <xf numFmtId="0" fontId="64" fillId="0" borderId="0" xfId="3" applyNumberFormat="1" applyFont="1" applyAlignment="1">
      <alignment horizontal="center"/>
    </xf>
    <xf numFmtId="14" fontId="7" fillId="0" borderId="0" xfId="12" applyNumberFormat="1"/>
    <xf numFmtId="0" fontId="86" fillId="0" borderId="0" xfId="14" applyFont="1" applyAlignment="1">
      <alignment horizontal="center"/>
    </xf>
    <xf numFmtId="0" fontId="10" fillId="0" borderId="0" xfId="5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9" fontId="55" fillId="0" borderId="0" xfId="5" applyNumberFormat="1" applyFont="1" applyFill="1" applyBorder="1" applyAlignment="1" applyProtection="1">
      <alignment horizontal="right" vertical="center"/>
      <protection locked="0"/>
    </xf>
    <xf numFmtId="9" fontId="41" fillId="2" borderId="47" xfId="2" applyFont="1" applyFill="1" applyBorder="1" applyAlignment="1" applyProtection="1">
      <alignment horizontal="center" vertical="center"/>
      <protection locked="0"/>
    </xf>
    <xf numFmtId="9" fontId="41" fillId="11" borderId="48" xfId="2" applyFont="1" applyFill="1" applyBorder="1" applyAlignment="1" applyProtection="1">
      <alignment horizontal="center" vertical="center"/>
      <protection locked="0"/>
    </xf>
    <xf numFmtId="0" fontId="63" fillId="11" borderId="0" xfId="0" applyFont="1" applyFill="1" applyAlignment="1">
      <alignment horizontal="center" wrapText="1"/>
    </xf>
    <xf numFmtId="0" fontId="63" fillId="11" borderId="0" xfId="0" applyFont="1" applyFill="1" applyAlignment="1">
      <alignment horizontal="center"/>
    </xf>
    <xf numFmtId="3" fontId="16" fillId="0" borderId="1" xfId="7" applyBorder="1">
      <alignment horizontal="center"/>
    </xf>
    <xf numFmtId="166" fontId="22" fillId="0" borderId="0" xfId="3" applyNumberFormat="1" applyFont="1" applyAlignment="1">
      <alignment horizontal="center" textRotation="90"/>
    </xf>
    <xf numFmtId="0" fontId="40" fillId="0" borderId="1" xfId="5" applyFont="1" applyBorder="1" applyAlignment="1">
      <alignment horizontal="center"/>
    </xf>
    <xf numFmtId="0" fontId="40" fillId="0" borderId="1" xfId="5" applyFont="1" applyBorder="1" applyAlignment="1">
      <alignment horizontal="center" vertical="center"/>
    </xf>
    <xf numFmtId="167" fontId="11" fillId="12" borderId="1" xfId="3" applyNumberFormat="1" applyFont="1" applyFill="1" applyBorder="1" applyAlignment="1" applyProtection="1">
      <alignment horizontal="center" vertical="center"/>
      <protection locked="0"/>
    </xf>
    <xf numFmtId="0" fontId="11" fillId="12" borderId="1" xfId="3" applyFont="1" applyFill="1" applyBorder="1" applyAlignment="1" applyProtection="1">
      <alignment horizontal="center"/>
      <protection locked="0"/>
    </xf>
    <xf numFmtId="0" fontId="10" fillId="16" borderId="1" xfId="6" applyFont="1" applyFill="1" applyBorder="1" applyAlignment="1" applyProtection="1">
      <alignment horizontal="center" vertical="center"/>
      <protection locked="0"/>
    </xf>
    <xf numFmtId="169" fontId="84" fillId="17" borderId="0" xfId="5" applyNumberFormat="1" applyFont="1" applyFill="1" applyBorder="1" applyAlignment="1" applyProtection="1">
      <alignment horizontal="right" vertical="center"/>
      <protection locked="0"/>
    </xf>
    <xf numFmtId="3" fontId="10" fillId="0" borderId="1" xfId="6" applyNumberFormat="1" applyFont="1" applyFill="1" applyBorder="1" applyAlignment="1" applyProtection="1">
      <alignment horizontal="center" vertical="center"/>
      <protection locked="0"/>
    </xf>
    <xf numFmtId="9" fontId="11" fillId="12" borderId="1" xfId="2" applyFont="1" applyFill="1" applyBorder="1" applyAlignment="1" applyProtection="1">
      <alignment horizontal="center"/>
      <protection locked="0"/>
    </xf>
    <xf numFmtId="0" fontId="57" fillId="2" borderId="0" xfId="0" applyFont="1" applyFill="1" applyAlignment="1">
      <alignment horizontal="center"/>
    </xf>
    <xf numFmtId="0" fontId="11" fillId="12" borderId="0" xfId="3" applyFont="1" applyFill="1" applyAlignment="1">
      <alignment horizontal="center" vertical="center"/>
    </xf>
    <xf numFmtId="165" fontId="11" fillId="12" borderId="0" xfId="3" applyNumberFormat="1" applyFont="1" applyFill="1" applyAlignment="1">
      <alignment horizontal="center" vertical="center"/>
    </xf>
    <xf numFmtId="165" fontId="11" fillId="12" borderId="0" xfId="1" applyNumberFormat="1" applyFont="1" applyFill="1" applyAlignment="1">
      <alignment horizontal="center" vertical="center"/>
    </xf>
    <xf numFmtId="0" fontId="11" fillId="12" borderId="0" xfId="3" applyFont="1" applyFill="1" applyAlignment="1" applyProtection="1">
      <alignment horizontal="center" vertical="center"/>
      <protection locked="0"/>
    </xf>
    <xf numFmtId="0" fontId="65" fillId="15" borderId="0" xfId="0" applyFont="1" applyFill="1" applyAlignment="1">
      <alignment horizontal="center" vertical="center"/>
    </xf>
    <xf numFmtId="165" fontId="68" fillId="12" borderId="0" xfId="1" applyNumberFormat="1" applyFont="1" applyFill="1" applyAlignment="1" applyProtection="1">
      <alignment horizontal="right" vertical="center"/>
      <protection locked="0"/>
    </xf>
    <xf numFmtId="165" fontId="68" fillId="17" borderId="0" xfId="1" applyNumberFormat="1" applyFont="1" applyFill="1" applyAlignment="1" applyProtection="1">
      <alignment horizontal="right" vertical="center"/>
      <protection locked="0"/>
    </xf>
    <xf numFmtId="165" fontId="68" fillId="17" borderId="0" xfId="1" applyNumberFormat="1" applyFont="1" applyFill="1" applyAlignment="1" applyProtection="1">
      <alignment horizontal="center" vertical="center"/>
      <protection locked="0"/>
    </xf>
    <xf numFmtId="0" fontId="18" fillId="0" borderId="1" xfId="5" applyFont="1" applyBorder="1" applyAlignment="1">
      <alignment horizontal="center" vertical="center"/>
    </xf>
  </cellXfs>
  <cellStyles count="23">
    <cellStyle name="Activity" xfId="5" xr:uid="{00000000-0005-0000-0000-000000000000}"/>
    <cellStyle name="Comma" xfId="1" builtinId="3"/>
    <cellStyle name="Comma 133" xfId="15" xr:uid="{00000000-0005-0000-0000-000002000000}"/>
    <cellStyle name="Comma 133 4" xfId="22" xr:uid="{0DF8D72E-3700-4CEE-BBC0-AB3F21E379B8}"/>
    <cellStyle name="Comma 142" xfId="20" xr:uid="{1DAC3AE4-7886-404B-99E4-3C9C63F97C06}"/>
    <cellStyle name="Comma 225" xfId="19" xr:uid="{0241C48E-7DFD-45FE-AFDE-0A81A4BC3836}"/>
    <cellStyle name="Currency 2" xfId="11" xr:uid="{00000000-0005-0000-0000-000003000000}"/>
    <cellStyle name="Heading 1 2" xfId="8" xr:uid="{00000000-0005-0000-0000-000004000000}"/>
    <cellStyle name="Label" xfId="9" xr:uid="{00000000-0005-0000-0000-000005000000}"/>
    <cellStyle name="Normal" xfId="0" builtinId="0"/>
    <cellStyle name="Normal 2" xfId="3" xr:uid="{00000000-0005-0000-0000-000007000000}"/>
    <cellStyle name="Normal 3" xfId="12" xr:uid="{00000000-0005-0000-0000-000008000000}"/>
    <cellStyle name="Normal 3 2" xfId="13" xr:uid="{00000000-0005-0000-0000-000009000000}"/>
    <cellStyle name="Normal 4" xfId="17" xr:uid="{B5EAFFAF-ADF6-4CB9-8F2E-42DD44B7E530}"/>
    <cellStyle name="Normal 41" xfId="14" xr:uid="{00000000-0005-0000-0000-00000A000000}"/>
    <cellStyle name="Normal 41 5" xfId="21" xr:uid="{DDB3DA95-724E-4ACE-AD47-7CA98B668D99}"/>
    <cellStyle name="Normal 5" xfId="16" xr:uid="{00000000-0005-0000-0000-00000B000000}"/>
    <cellStyle name="Normal 54" xfId="18" xr:uid="{C10BF602-7936-4862-8A3E-7BE20C2AB40E}"/>
    <cellStyle name="Percent" xfId="2" builtinId="5"/>
    <cellStyle name="Percent Complete" xfId="4" xr:uid="{00000000-0005-0000-0000-00000D000000}"/>
    <cellStyle name="Period Headers" xfId="7" xr:uid="{00000000-0005-0000-0000-00000E000000}"/>
    <cellStyle name="Period Highlight Control" xfId="10" xr:uid="{00000000-0005-0000-0000-00000F000000}"/>
    <cellStyle name="Project Headers" xfId="6" xr:uid="{00000000-0005-0000-0000-000010000000}"/>
  </cellStyles>
  <dxfs count="76">
    <dxf>
      <fill>
        <patternFill>
          <bgColor rgb="FFFF6B00"/>
        </patternFill>
      </fill>
    </dxf>
    <dxf>
      <font>
        <color theme="1" tint="0.499984740745262"/>
      </font>
      <fill>
        <patternFill patternType="solid">
          <bgColor theme="1" tint="0.499984740745262"/>
        </patternFill>
      </fill>
    </dxf>
    <dxf>
      <font>
        <color theme="1" tint="0.24994659260841701"/>
      </font>
      <fill>
        <patternFill patternType="solid">
          <bgColor theme="1" tint="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1" tint="4.9989318521683403E-2"/>
          <bgColor theme="0" tint="-0.34998626667073579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>
          <fgColor theme="1" tint="0.499984740745262"/>
          <bgColor theme="1" tint="0.24994659260841701"/>
        </patternFill>
      </fill>
      <border>
        <bottom style="thin">
          <color theme="0"/>
        </bottom>
      </border>
    </dxf>
    <dxf>
      <fill>
        <patternFill patternType="lightGrid">
          <fgColor rgb="FFFF0000"/>
          <bgColor rgb="FFFF0000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8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F6B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6" fmlaLink="period_selected" max="60" min="1" page="10" val="4"/>
</file>

<file path=xl/ctrlProps/ctrlProp4.xml><?xml version="1.0" encoding="utf-8"?>
<formControlPr xmlns="http://schemas.microsoft.com/office/spreadsheetml/2009/9/main" objectType="Spin" dx="35" max="30000" page="10" val="0"/>
</file>

<file path=xl/ctrlProps/ctrlProp5.xml><?xml version="1.0" encoding="utf-8"?>
<formControlPr xmlns="http://schemas.microsoft.com/office/spreadsheetml/2009/9/main" objectType="Spin" dx="35" max="30000" page="10" val="0"/>
</file>

<file path=xl/ctrlProps/ctrlProp6.xml><?xml version="1.0" encoding="utf-8"?>
<formControlPr xmlns="http://schemas.microsoft.com/office/spreadsheetml/2009/9/main" objectType="Spin" dx="35" max="30000" page="10" val="0"/>
</file>

<file path=xl/ctrlProps/ctrlProp7.xml><?xml version="1.0" encoding="utf-8"?>
<formControlPr xmlns="http://schemas.microsoft.com/office/spreadsheetml/2009/9/main" objectType="Spin" dx="35" max="30000" page="10" val="0"/>
</file>

<file path=xl/ctrlProps/ctrlProp8.xml><?xml version="1.0" encoding="utf-8"?>
<formControlPr xmlns="http://schemas.microsoft.com/office/spreadsheetml/2009/9/main" objectType="Spin" dx="35" max="30000" page="10" val="0"/>
</file>

<file path=xl/ctrlProps/ctrlProp9.xml><?xml version="1.0" encoding="utf-8"?>
<formControlPr xmlns="http://schemas.microsoft.com/office/spreadsheetml/2009/9/main" objectType="Spin" dx="35" max="30000" page="10" val="0"/>
</file>

<file path=xl/ctrlProps/ctrlProp10.xml><?xml version="1.0" encoding="utf-8"?>
<formControlPr xmlns="http://schemas.microsoft.com/office/spreadsheetml/2009/9/main" objectType="Spin" dx="35" max="30000" page="10" val="0"/>
</file>

<file path=xl/ctrlProps/ctrlProp11.xml><?xml version="1.0" encoding="utf-8"?>
<formControlPr xmlns="http://schemas.microsoft.com/office/spreadsheetml/2009/9/main" objectType="Spin" dx="35" max="30000" page="10" val="0"/>
</file>

<file path=xl/ctrlProps/ctrlProp12.xml><?xml version="1.0" encoding="utf-8"?>
<formControlPr xmlns="http://schemas.microsoft.com/office/spreadsheetml/2009/9/main" objectType="Spin" dx="35" max="30000" page="10" val="0"/>
</file>

<file path=xl/ctrlProps/ctrlProp13.xml><?xml version="1.0" encoding="utf-8"?>
<formControlPr xmlns="http://schemas.microsoft.com/office/spreadsheetml/2009/9/main" objectType="Spin" dx="35" max="30000" page="10" val="0"/>
</file>

<file path=xl/ctrlProps/ctrlProp14.xml><?xml version="1.0" encoding="utf-8"?>
<formControlPr xmlns="http://schemas.microsoft.com/office/spreadsheetml/2009/9/main" objectType="Spin" dx="35" max="30000" page="10" val="0"/>
</file>

<file path=xl/ctrlProps/ctrlProp15.xml><?xml version="1.0" encoding="utf-8"?>
<formControlPr xmlns="http://schemas.microsoft.com/office/spreadsheetml/2009/9/main" objectType="Spin" dx="35" max="30000" page="10" val="0"/>
</file>

<file path=xl/ctrlProps/ctrlProp16.xml><?xml version="1.0" encoding="utf-8"?>
<formControlPr xmlns="http://schemas.microsoft.com/office/spreadsheetml/2009/9/main" objectType="Spin" dx="35" max="30000" page="10" val="0"/>
</file>

<file path=xl/ctrlProps/ctrlProp17.xml><?xml version="1.0" encoding="utf-8"?>
<formControlPr xmlns="http://schemas.microsoft.com/office/spreadsheetml/2009/9/main" objectType="Spin" dx="35" max="30000" page="10" val="0"/>
</file>

<file path=xl/ctrlProps/ctrlProp18.xml><?xml version="1.0" encoding="utf-8"?>
<formControlPr xmlns="http://schemas.microsoft.com/office/spreadsheetml/2009/9/main" objectType="Spin" dx="35" max="30000" page="10" val="0"/>
</file>

<file path=xl/ctrlProps/ctrlProp19.xml><?xml version="1.0" encoding="utf-8"?>
<formControlPr xmlns="http://schemas.microsoft.com/office/spreadsheetml/2009/9/main" objectType="Spin" dx="35" max="30000" page="10" val="0"/>
</file>

<file path=xl/ctrlProps/ctrlProp20.xml><?xml version="1.0" encoding="utf-8"?>
<formControlPr xmlns="http://schemas.microsoft.com/office/spreadsheetml/2009/9/main" objectType="Spin" dx="35" max="30000" page="10" val="0"/>
</file>

<file path=xl/ctrlProps/ctrlProp21.xml><?xml version="1.0" encoding="utf-8"?>
<formControlPr xmlns="http://schemas.microsoft.com/office/spreadsheetml/2009/9/main" objectType="Spin" dx="35" max="30000" page="10" val="0"/>
</file>

<file path=xl/ctrlProps/ctrlProp22.xml><?xml version="1.0" encoding="utf-8"?>
<formControlPr xmlns="http://schemas.microsoft.com/office/spreadsheetml/2009/9/main" objectType="Spin" dx="35" max="30000" page="10" val="0"/>
</file>

<file path=xl/ctrlProps/ctrlProp23.xml><?xml version="1.0" encoding="utf-8"?>
<formControlPr xmlns="http://schemas.microsoft.com/office/spreadsheetml/2009/9/main" objectType="Spin" dx="35" max="30000" page="10" val="0"/>
</file>

<file path=xl/ctrlProps/ctrlProp24.xml><?xml version="1.0" encoding="utf-8"?>
<formControlPr xmlns="http://schemas.microsoft.com/office/spreadsheetml/2009/9/main" objectType="Spin" dx="35" max="30000" page="10" val="0"/>
</file>

<file path=xl/ctrlProps/ctrlProp25.xml><?xml version="1.0" encoding="utf-8"?>
<formControlPr xmlns="http://schemas.microsoft.com/office/spreadsheetml/2009/9/main" objectType="Spin" dx="35" max="30000" page="10" val="0"/>
</file>

<file path=xl/ctrlProps/ctrlProp26.xml><?xml version="1.0" encoding="utf-8"?>
<formControlPr xmlns="http://schemas.microsoft.com/office/spreadsheetml/2009/9/main" objectType="Spin" dx="35" max="30000" page="10" val="0"/>
</file>

<file path=xl/ctrlProps/ctrlProp27.xml><?xml version="1.0" encoding="utf-8"?>
<formControlPr xmlns="http://schemas.microsoft.com/office/spreadsheetml/2009/9/main" objectType="Spin" dx="35" max="30000" page="10" val="0"/>
</file>

<file path=xl/ctrlProps/ctrlProp28.xml><?xml version="1.0" encoding="utf-8"?>
<formControlPr xmlns="http://schemas.microsoft.com/office/spreadsheetml/2009/9/main" objectType="Spin" dx="35" max="30000" page="10" val="0"/>
</file>

<file path=xl/ctrlProps/ctrlProp29.xml><?xml version="1.0" encoding="utf-8"?>
<formControlPr xmlns="http://schemas.microsoft.com/office/spreadsheetml/2009/9/main" objectType="Spin" dx="35" max="30000" page="10" val="0"/>
</file>

<file path=xl/ctrlProps/ctrlProp30.xml><?xml version="1.0" encoding="utf-8"?>
<formControlPr xmlns="http://schemas.microsoft.com/office/spreadsheetml/2009/9/main" objectType="Spin" dx="35" max="30000" page="10" val="0"/>
</file>

<file path=xl/ctrlProps/ctrlProp31.xml><?xml version="1.0" encoding="utf-8"?>
<formControlPr xmlns="http://schemas.microsoft.com/office/spreadsheetml/2009/9/main" objectType="Spin" dx="35" max="30000" page="10" val="0"/>
</file>

<file path=xl/ctrlProps/ctrlProp32.xml><?xml version="1.0" encoding="utf-8"?>
<formControlPr xmlns="http://schemas.microsoft.com/office/spreadsheetml/2009/9/main" objectType="Spin" dx="35" max="30000" page="10" val="0"/>
</file>

<file path=xl/ctrlProps/ctrlProp33.xml><?xml version="1.0" encoding="utf-8"?>
<formControlPr xmlns="http://schemas.microsoft.com/office/spreadsheetml/2009/9/main" objectType="Spin" dx="35" max="30000" page="10" val="0"/>
</file>

<file path=xl/ctrlProps/ctrlProp34.xml><?xml version="1.0" encoding="utf-8"?>
<formControlPr xmlns="http://schemas.microsoft.com/office/spreadsheetml/2009/9/main" objectType="Spin" dx="35" max="30000" page="10" val="0"/>
</file>

<file path=xl/ctrlProps/ctrlProp35.xml><?xml version="1.0" encoding="utf-8"?>
<formControlPr xmlns="http://schemas.microsoft.com/office/spreadsheetml/2009/9/main" objectType="Spin" dx="35" max="30000" page="10" val="0"/>
</file>

<file path=xl/ctrlProps/ctrlProp36.xml><?xml version="1.0" encoding="utf-8"?>
<formControlPr xmlns="http://schemas.microsoft.com/office/spreadsheetml/2009/9/main" objectType="Spin" dx="35" max="30000" page="10" val="0"/>
</file>

<file path=xl/ctrlProps/ctrlProp37.xml><?xml version="1.0" encoding="utf-8"?>
<formControlPr xmlns="http://schemas.microsoft.com/office/spreadsheetml/2009/9/main" objectType="Spin" dx="35" max="30000" page="10" val="0"/>
</file>

<file path=xl/ctrlProps/ctrlProp38.xml><?xml version="1.0" encoding="utf-8"?>
<formControlPr xmlns="http://schemas.microsoft.com/office/spreadsheetml/2009/9/main" objectType="Spin" dx="35" max="30000" page="10" val="0"/>
</file>

<file path=xl/ctrlProps/ctrlProp39.xml><?xml version="1.0" encoding="utf-8"?>
<formControlPr xmlns="http://schemas.microsoft.com/office/spreadsheetml/2009/9/main" objectType="Spin" dx="35" max="30000" page="10" val="0"/>
</file>

<file path=xl/ctrlProps/ctrlProp40.xml><?xml version="1.0" encoding="utf-8"?>
<formControlPr xmlns="http://schemas.microsoft.com/office/spreadsheetml/2009/9/main" objectType="Spin" dx="35" max="30000" page="10" val="0"/>
</file>

<file path=xl/ctrlProps/ctrlProp41.xml><?xml version="1.0" encoding="utf-8"?>
<formControlPr xmlns="http://schemas.microsoft.com/office/spreadsheetml/2009/9/main" objectType="Spin" dx="35" max="30000" page="10" val="0"/>
</file>

<file path=xl/ctrlProps/ctrlProp42.xml><?xml version="1.0" encoding="utf-8"?>
<formControlPr xmlns="http://schemas.microsoft.com/office/spreadsheetml/2009/9/main" objectType="Spin" dx="35" max="30000" page="10" val="0"/>
</file>

<file path=xl/ctrlProps/ctrlProp43.xml><?xml version="1.0" encoding="utf-8"?>
<formControlPr xmlns="http://schemas.microsoft.com/office/spreadsheetml/2009/9/main" objectType="Spin" dx="35" max="30000" page="10" val="0"/>
</file>

<file path=xl/ctrlProps/ctrlProp44.xml><?xml version="1.0" encoding="utf-8"?>
<formControlPr xmlns="http://schemas.microsoft.com/office/spreadsheetml/2009/9/main" objectType="Spin" dx="35" max="30000" page="10" val="0"/>
</file>

<file path=xl/ctrlProps/ctrlProp45.xml><?xml version="1.0" encoding="utf-8"?>
<formControlPr xmlns="http://schemas.microsoft.com/office/spreadsheetml/2009/9/main" objectType="Spin" dx="35" max="30000" page="10" val="0"/>
</file>

<file path=xl/ctrlProps/ctrlProp46.xml><?xml version="1.0" encoding="utf-8"?>
<formControlPr xmlns="http://schemas.microsoft.com/office/spreadsheetml/2009/9/main" objectType="Spin" dx="35" max="30000" page="10" val="0"/>
</file>

<file path=xl/ctrlProps/ctrlProp47.xml><?xml version="1.0" encoding="utf-8"?>
<formControlPr xmlns="http://schemas.microsoft.com/office/spreadsheetml/2009/9/main" objectType="Spin" dx="3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88900</xdr:colOff>
          <xdr:row>7</xdr:row>
          <xdr:rowOff>177800</xdr:rowOff>
        </xdr:from>
        <xdr:to>
          <xdr:col>11</xdr:col>
          <xdr:colOff>558800</xdr:colOff>
          <xdr:row>9</xdr:row>
          <xdr:rowOff>88900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150" sz="1000" b="1" i="0" u="none" strike="noStrike" baseline="0">
                  <a:solidFill>
                    <a:srgbClr val="000000"/>
                  </a:solidFill>
                  <a:latin typeface="Neo Tech Std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63500</xdr:colOff>
          <xdr:row>10</xdr:row>
          <xdr:rowOff>63500</xdr:rowOff>
        </xdr:from>
        <xdr:to>
          <xdr:col>11</xdr:col>
          <xdr:colOff>546100</xdr:colOff>
          <xdr:row>11</xdr:row>
          <xdr:rowOff>165100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150" sz="1000" b="1" i="0" u="none" strike="noStrike" baseline="0">
                  <a:solidFill>
                    <a:srgbClr val="000000"/>
                  </a:solidFill>
                  <a:latin typeface="Neo Tech Std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563880</xdr:colOff>
      <xdr:row>1</xdr:row>
      <xdr:rowOff>38100</xdr:rowOff>
    </xdr:from>
    <xdr:to>
      <xdr:col>4</xdr:col>
      <xdr:colOff>438042</xdr:colOff>
      <xdr:row>4</xdr:row>
      <xdr:rowOff>107013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" y="205740"/>
          <a:ext cx="2312562" cy="5718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144780</xdr:rowOff>
    </xdr:from>
    <xdr:to>
      <xdr:col>6</xdr:col>
      <xdr:colOff>49422</xdr:colOff>
      <xdr:row>5</xdr:row>
      <xdr:rowOff>46053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312420"/>
          <a:ext cx="2312562" cy="5718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63500</xdr:colOff>
          <xdr:row>2</xdr:row>
          <xdr:rowOff>25400</xdr:rowOff>
        </xdr:from>
        <xdr:to>
          <xdr:col>16</xdr:col>
          <xdr:colOff>203200</xdr:colOff>
          <xdr:row>2</xdr:row>
          <xdr:rowOff>254000</xdr:rowOff>
        </xdr:to>
        <xdr:sp macro="" textlink="">
          <xdr:nvSpPr>
            <xdr:cNvPr id="8193" name="Spinner 1" descr="Period Highlight Spin Contro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0" name="Spinner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3" name="Spinner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6" name="Spinner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2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2" name="Spinner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2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5" name="Spinner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2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2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1" name="Spinner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2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2" name="Spinner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2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3" name="Spinner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2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4" name="Spinner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2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5" name="Spinner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2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6" name="Spinner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7" name="Spinner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8" name="Spinner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9" name="Spinner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0" name="Spinner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4" name="Spinner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5" name="Spinner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6" name="Spinner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7" name="Spinner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8" name="Spinner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9" name="Spinner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0" name="Spinner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1" name="Spinner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2" name="Spinner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3" name="Spinner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4" name="Spinner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6" name="Spinner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9" name="Spinner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1" name="Spinner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2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4" name="Spinner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2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7" name="Spinner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2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2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2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38874</xdr:colOff>
      <xdr:row>1</xdr:row>
      <xdr:rowOff>101084</xdr:rowOff>
    </xdr:from>
    <xdr:to>
      <xdr:col>2</xdr:col>
      <xdr:colOff>2157048</xdr:colOff>
      <xdr:row>2</xdr:row>
      <xdr:rowOff>97529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262" y="311023"/>
          <a:ext cx="2312562" cy="5718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42333</xdr:colOff>
      <xdr:row>0</xdr:row>
      <xdr:rowOff>262467</xdr:rowOff>
    </xdr:from>
    <xdr:to>
      <xdr:col>3</xdr:col>
      <xdr:colOff>2143228</xdr:colOff>
      <xdr:row>0</xdr:row>
      <xdr:rowOff>834300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866" y="262467"/>
          <a:ext cx="2312562" cy="5718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0</xdr:row>
      <xdr:rowOff>190500</xdr:rowOff>
    </xdr:from>
    <xdr:to>
      <xdr:col>3</xdr:col>
      <xdr:colOff>2360187</xdr:colOff>
      <xdr:row>0</xdr:row>
      <xdr:rowOff>762333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" y="190500"/>
          <a:ext cx="2312562" cy="5718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0</xdr:row>
      <xdr:rowOff>352425</xdr:rowOff>
    </xdr:from>
    <xdr:to>
      <xdr:col>4</xdr:col>
      <xdr:colOff>845712</xdr:colOff>
      <xdr:row>0</xdr:row>
      <xdr:rowOff>924258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352425"/>
          <a:ext cx="2312562" cy="5718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srsa.sharepoint.com/sites/RCFinanceManagement/Shared%20Documents/09.ALL%20Restricted/2.Simuladores/RC%20Estimation_RCXXXXX_Project%20Name_Account_V23.xlsm" TargetMode="External"/><Relationship Id="rId1" Type="http://schemas.openxmlformats.org/officeDocument/2006/relationships/externalLinkPath" Target="https://ksrsa.sharepoint.com/sites/RCFinanceManagement/Shared%20Documents/02.RETAIL%20CONSULT%20RESTRICTED/09.ALL%20Restricted/2.Simuladores/RC%20Estimation_RCXXXXX_Project%20Name_Account_V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Allocations_Requests Base"/>
      <sheetName val="Allocation Requests"/>
      <sheetName val="Effort Allocations DR"/>
      <sheetName val="Project Estimations"/>
      <sheetName val="Margin Calculation"/>
      <sheetName val="Expenses Estimation"/>
      <sheetName val="Business Model"/>
      <sheetName val="Margin Calculation PRJ"/>
      <sheetName val="Business Model PRJ"/>
      <sheetName val="Margin Calculation INT"/>
      <sheetName val="Business Model INT"/>
      <sheetName val="Margin Calculation TIS"/>
      <sheetName val="Business Model TIS"/>
      <sheetName val="Margin Calculation TST"/>
      <sheetName val="Business Model TST"/>
      <sheetName val="Catalog"/>
      <sheetName val="Invoice Plan"/>
      <sheetName val="Financial"/>
      <sheetName val="CostRate"/>
      <sheetName val="Currency"/>
      <sheetName val="Config"/>
      <sheetName val="Auxiliary_Data"/>
      <sheetName val="Sheet7"/>
      <sheetName val="Sheet2"/>
      <sheetName val="Sheet1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FF6B00"/>
  </sheetPr>
  <dimension ref="I6:M13"/>
  <sheetViews>
    <sheetView showGridLines="0" workbookViewId="0">
      <selection activeCell="G24" sqref="G24"/>
    </sheetView>
  </sheetViews>
  <sheetFormatPr defaultColWidth="8.81640625" defaultRowHeight="12.5" x14ac:dyDescent="0.25"/>
  <sheetData>
    <row r="6" spans="9:13" ht="14.5" x14ac:dyDescent="0.35">
      <c r="I6" s="194"/>
      <c r="J6" s="195"/>
      <c r="K6" s="195"/>
      <c r="L6" s="195"/>
      <c r="M6" s="196"/>
    </row>
    <row r="7" spans="9:13" ht="20" x14ac:dyDescent="0.4">
      <c r="I7" s="197"/>
      <c r="J7" s="434" t="s">
        <v>182</v>
      </c>
      <c r="K7" s="435"/>
      <c r="L7" s="435"/>
      <c r="M7" s="198"/>
    </row>
    <row r="8" spans="9:13" ht="14.5" x14ac:dyDescent="0.35">
      <c r="I8" s="197"/>
      <c r="J8" s="199"/>
      <c r="K8" s="199"/>
      <c r="L8" s="199"/>
      <c r="M8" s="198"/>
    </row>
    <row r="9" spans="9:13" ht="14.5" x14ac:dyDescent="0.35">
      <c r="I9" s="197"/>
      <c r="J9" s="199"/>
      <c r="K9" s="199"/>
      <c r="L9" s="199"/>
      <c r="M9" s="198"/>
    </row>
    <row r="10" spans="9:13" ht="14.5" x14ac:dyDescent="0.35">
      <c r="I10" s="197"/>
      <c r="J10" s="199"/>
      <c r="K10" s="199"/>
      <c r="L10" s="199"/>
      <c r="M10" s="198"/>
    </row>
    <row r="11" spans="9:13" ht="14.5" x14ac:dyDescent="0.35">
      <c r="I11" s="197"/>
      <c r="J11" s="199"/>
      <c r="K11" s="199"/>
      <c r="L11" s="199"/>
      <c r="M11" s="198"/>
    </row>
    <row r="12" spans="9:13" ht="14.5" x14ac:dyDescent="0.35">
      <c r="I12" s="197"/>
      <c r="J12" s="199"/>
      <c r="K12" s="199"/>
      <c r="L12" s="199"/>
      <c r="M12" s="198"/>
    </row>
    <row r="13" spans="9:13" ht="14.5" x14ac:dyDescent="0.35">
      <c r="I13" s="200"/>
      <c r="J13" s="201"/>
      <c r="K13" s="201"/>
      <c r="L13" s="201"/>
      <c r="M13" s="202"/>
    </row>
  </sheetData>
  <mergeCells count="1">
    <mergeCell ref="J7:L7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Export_Estimations">
                <anchor moveWithCells="1">
                  <from>
                    <xdr:col>9</xdr:col>
                    <xdr:colOff>88900</xdr:colOff>
                    <xdr:row>7</xdr:row>
                    <xdr:rowOff>177800</xdr:rowOff>
                  </from>
                  <to>
                    <xdr:col>11</xdr:col>
                    <xdr:colOff>558800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OpenAndCopy">
                <anchor moveWithCells="1">
                  <from>
                    <xdr:col>9</xdr:col>
                    <xdr:colOff>63500</xdr:colOff>
                    <xdr:row>10</xdr:row>
                    <xdr:rowOff>63500</xdr:rowOff>
                  </from>
                  <to>
                    <xdr:col>11</xdr:col>
                    <xdr:colOff>546100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B8:V36"/>
  <sheetViews>
    <sheetView showGridLines="0" topLeftCell="A9" workbookViewId="0">
      <selection activeCell="P28" sqref="P28"/>
    </sheetView>
  </sheetViews>
  <sheetFormatPr defaultColWidth="8.81640625" defaultRowHeight="12.5" x14ac:dyDescent="0.25"/>
  <cols>
    <col min="3" max="6" width="6.08984375" customWidth="1"/>
    <col min="7" max="7" width="7" bestFit="1" customWidth="1"/>
    <col min="8" max="8" width="2" customWidth="1"/>
    <col min="9" max="13" width="6.08984375" customWidth="1"/>
    <col min="14" max="14" width="1.81640625" customWidth="1"/>
    <col min="15" max="18" width="6.08984375" customWidth="1"/>
    <col min="21" max="21" width="14.6328125" bestFit="1" customWidth="1"/>
    <col min="22" max="22" width="11" bestFit="1" customWidth="1"/>
    <col min="25" max="25" width="9.81640625" bestFit="1" customWidth="1"/>
  </cols>
  <sheetData>
    <row r="8" spans="2:19" x14ac:dyDescent="0.25">
      <c r="I8" s="34"/>
      <c r="J8" s="34"/>
      <c r="K8" s="34"/>
      <c r="L8" s="34"/>
      <c r="M8" s="34"/>
      <c r="O8" s="34"/>
      <c r="P8" s="34"/>
      <c r="Q8" s="34"/>
      <c r="R8" s="34"/>
      <c r="S8" s="34"/>
    </row>
    <row r="9" spans="2:19" ht="17" x14ac:dyDescent="0.4">
      <c r="B9" s="9" t="s">
        <v>240</v>
      </c>
      <c r="C9" s="436" t="s">
        <v>251</v>
      </c>
      <c r="D9" s="436"/>
      <c r="E9" s="436"/>
      <c r="F9" s="436"/>
      <c r="G9" s="436"/>
      <c r="H9" s="274"/>
      <c r="I9" s="436" t="s">
        <v>256</v>
      </c>
      <c r="J9" s="436"/>
      <c r="K9" s="436"/>
      <c r="L9" s="436"/>
      <c r="M9" s="436"/>
      <c r="N9" s="274"/>
      <c r="O9" s="436" t="s">
        <v>252</v>
      </c>
      <c r="P9" s="436"/>
      <c r="Q9" s="436"/>
      <c r="R9" s="436"/>
      <c r="S9" s="436"/>
    </row>
    <row r="10" spans="2:19" ht="17" x14ac:dyDescent="0.4">
      <c r="B10" s="247" t="s">
        <v>244</v>
      </c>
      <c r="C10" s="266"/>
      <c r="E10" s="266"/>
      <c r="F10" s="266"/>
      <c r="G10" s="267">
        <v>30</v>
      </c>
      <c r="H10" s="275"/>
      <c r="I10" s="247" t="s">
        <v>244</v>
      </c>
      <c r="K10" s="248"/>
      <c r="L10" s="248"/>
      <c r="M10" s="249">
        <v>0</v>
      </c>
      <c r="N10" s="275"/>
      <c r="O10" s="247" t="s">
        <v>244</v>
      </c>
      <c r="Q10" s="248"/>
      <c r="R10" s="248"/>
      <c r="S10" s="249">
        <v>0</v>
      </c>
    </row>
    <row r="11" spans="2:19" ht="14.5" x14ac:dyDescent="0.35">
      <c r="B11" s="253" t="s">
        <v>241</v>
      </c>
      <c r="C11" s="254"/>
      <c r="D11" s="252" t="s">
        <v>245</v>
      </c>
      <c r="E11" s="254" t="s">
        <v>242</v>
      </c>
      <c r="F11" s="254" t="s">
        <v>243</v>
      </c>
      <c r="G11" s="254" t="s">
        <v>246</v>
      </c>
      <c r="H11" s="276"/>
      <c r="I11" s="254"/>
      <c r="J11" s="252" t="s">
        <v>245</v>
      </c>
      <c r="K11" s="254" t="s">
        <v>242</v>
      </c>
      <c r="L11" s="254" t="s">
        <v>243</v>
      </c>
      <c r="M11" s="254" t="s">
        <v>246</v>
      </c>
      <c r="N11" s="276"/>
      <c r="O11" s="254"/>
      <c r="P11" s="252" t="s">
        <v>245</v>
      </c>
      <c r="Q11" s="254" t="s">
        <v>242</v>
      </c>
      <c r="R11" s="254" t="s">
        <v>243</v>
      </c>
      <c r="S11" s="254" t="s">
        <v>246</v>
      </c>
    </row>
    <row r="12" spans="2:19" ht="13" x14ac:dyDescent="0.25">
      <c r="B12" s="40" t="s">
        <v>136</v>
      </c>
      <c r="C12" s="259">
        <v>0.11</v>
      </c>
      <c r="D12" s="228">
        <f t="shared" ref="D12:D13" si="0">C12*$G$10</f>
        <v>3.3</v>
      </c>
      <c r="E12" s="255">
        <v>4</v>
      </c>
      <c r="F12" s="255">
        <v>4.4000000000000004</v>
      </c>
      <c r="G12" s="229">
        <f>IF((F12/E12)&lt;=1,F12*D12/20/8,F12*D12/20/8*(F12/E12))</f>
        <v>9.9825000000000011E-2</v>
      </c>
      <c r="H12" s="229"/>
      <c r="I12" s="259"/>
      <c r="J12" s="228">
        <f>I12*$M$10</f>
        <v>0</v>
      </c>
      <c r="K12" s="255"/>
      <c r="L12" s="255"/>
      <c r="M12" s="229" t="e">
        <f>IF((L12/K12)&lt;=1,L12*J12/20/8,L12*J12/20/8*(L12/K12))</f>
        <v>#DIV/0!</v>
      </c>
      <c r="N12" s="229"/>
      <c r="O12" s="271"/>
      <c r="P12" s="228">
        <f>O12*$S$10</f>
        <v>0</v>
      </c>
      <c r="Q12" s="255"/>
      <c r="R12" s="255"/>
      <c r="S12" s="229" t="e">
        <f>IF((R12/Q12)&lt;=1,R12*P12/20/8,R12*P12/20/8*(R12/Q12))</f>
        <v>#DIV/0!</v>
      </c>
    </row>
    <row r="13" spans="2:19" ht="13" x14ac:dyDescent="0.25">
      <c r="B13" s="246" t="s">
        <v>137</v>
      </c>
      <c r="C13" s="260">
        <v>0.71</v>
      </c>
      <c r="D13" s="228">
        <f t="shared" si="0"/>
        <v>21.299999999999997</v>
      </c>
      <c r="E13" s="256">
        <v>8</v>
      </c>
      <c r="F13" s="255">
        <v>4.4000000000000004</v>
      </c>
      <c r="G13" s="230">
        <f t="shared" ref="G13:G15" si="1">IF((F13/E13)&lt;=1,F13*D13/20/8,F13*D13/20/8*(F13/E13))</f>
        <v>0.58574999999999999</v>
      </c>
      <c r="H13" s="229"/>
      <c r="I13" s="279"/>
      <c r="J13" s="231">
        <f t="shared" ref="J13:J15" si="2">I13*$M$10</f>
        <v>0</v>
      </c>
      <c r="K13" s="256"/>
      <c r="L13" s="256"/>
      <c r="M13" s="230" t="e">
        <f t="shared" ref="M13:M15" si="3">IF((L13/K13)&lt;=1,L13*J13/20/8,L13*J13/20/8*(L13/K13))</f>
        <v>#DIV/0!</v>
      </c>
      <c r="N13" s="229"/>
      <c r="O13" s="233"/>
      <c r="P13" s="231">
        <f t="shared" ref="P13:P15" si="4">O13*$S$10</f>
        <v>0</v>
      </c>
      <c r="Q13" s="256"/>
      <c r="R13" s="256"/>
      <c r="S13" s="230" t="e">
        <f t="shared" ref="S13:S15" si="5">IF((R13/Q13)&lt;=1,R13*P13/20/8,R13*P13/20/8*(R13/Q13))</f>
        <v>#DIV/0!</v>
      </c>
    </row>
    <row r="14" spans="2:19" ht="13" x14ac:dyDescent="0.25">
      <c r="B14" s="40" t="s">
        <v>138</v>
      </c>
      <c r="C14" s="261">
        <v>0.16</v>
      </c>
      <c r="D14" s="228">
        <f>C14*$G$10</f>
        <v>4.8</v>
      </c>
      <c r="E14" s="257">
        <v>16</v>
      </c>
      <c r="F14" s="255">
        <v>4.4000000000000004</v>
      </c>
      <c r="G14" s="229">
        <f t="shared" si="1"/>
        <v>0.13200000000000001</v>
      </c>
      <c r="H14" s="229"/>
      <c r="I14" s="261"/>
      <c r="J14" s="228">
        <f t="shared" si="2"/>
        <v>0</v>
      </c>
      <c r="K14" s="257"/>
      <c r="L14" s="257"/>
      <c r="M14" s="229" t="e">
        <f t="shared" si="3"/>
        <v>#DIV/0!</v>
      </c>
      <c r="N14" s="229"/>
      <c r="O14" s="272"/>
      <c r="P14" s="228">
        <f t="shared" si="4"/>
        <v>0</v>
      </c>
      <c r="Q14" s="257"/>
      <c r="R14" s="257"/>
      <c r="S14" s="229" t="e">
        <f t="shared" si="5"/>
        <v>#DIV/0!</v>
      </c>
    </row>
    <row r="15" spans="2:19" ht="13" x14ac:dyDescent="0.25">
      <c r="B15" s="250" t="s">
        <v>139</v>
      </c>
      <c r="C15" s="262">
        <v>0.02</v>
      </c>
      <c r="D15" s="228">
        <f>C15*$G$10</f>
        <v>0.6</v>
      </c>
      <c r="E15" s="258">
        <v>24</v>
      </c>
      <c r="F15" s="255">
        <v>4.4000000000000004</v>
      </c>
      <c r="G15" s="264">
        <f t="shared" si="1"/>
        <v>1.6500000000000001E-2</v>
      </c>
      <c r="H15" s="229"/>
      <c r="I15" s="262"/>
      <c r="J15" s="251">
        <f t="shared" si="2"/>
        <v>0</v>
      </c>
      <c r="K15" s="258"/>
      <c r="L15" s="258"/>
      <c r="M15" s="269" t="e">
        <f t="shared" si="3"/>
        <v>#DIV/0!</v>
      </c>
      <c r="N15" s="229"/>
      <c r="O15" s="273"/>
      <c r="P15" s="251">
        <f t="shared" si="4"/>
        <v>0</v>
      </c>
      <c r="Q15" s="258"/>
      <c r="R15" s="258"/>
      <c r="S15" s="264" t="e">
        <f t="shared" si="5"/>
        <v>#DIV/0!</v>
      </c>
    </row>
    <row r="16" spans="2:19" ht="13" x14ac:dyDescent="0.25">
      <c r="C16" s="261">
        <f>SUM(C12:C15)</f>
        <v>1</v>
      </c>
      <c r="G16" s="263">
        <f>SUM(G12:G15)</f>
        <v>0.83407500000000001</v>
      </c>
      <c r="H16" s="277"/>
      <c r="I16" s="261">
        <f>SUM(I12:I15)</f>
        <v>0</v>
      </c>
      <c r="M16" s="270" t="e">
        <f>SUM(M12:M15)</f>
        <v>#DIV/0!</v>
      </c>
      <c r="N16" s="277"/>
      <c r="O16" s="272">
        <f>SUM(O12:O15)</f>
        <v>0</v>
      </c>
      <c r="S16" s="263" t="e">
        <f>SUM(S12:S15)</f>
        <v>#DIV/0!</v>
      </c>
    </row>
    <row r="20" spans="2:22" x14ac:dyDescent="0.25">
      <c r="C20" s="34"/>
      <c r="D20" s="34"/>
      <c r="E20" s="34"/>
      <c r="F20" s="34"/>
      <c r="I20" s="34"/>
      <c r="J20" s="34"/>
      <c r="K20" s="34"/>
      <c r="L20" s="34"/>
      <c r="M20" s="34"/>
    </row>
    <row r="21" spans="2:22" ht="17" x14ac:dyDescent="0.4">
      <c r="B21" s="9" t="s">
        <v>247</v>
      </c>
      <c r="C21" s="102"/>
      <c r="D21" s="102"/>
      <c r="E21" s="102"/>
      <c r="F21" s="102"/>
    </row>
    <row r="22" spans="2:22" x14ac:dyDescent="0.25">
      <c r="B22" s="102"/>
      <c r="C22" s="265" t="s">
        <v>136</v>
      </c>
      <c r="D22" s="265" t="s">
        <v>137</v>
      </c>
      <c r="E22" s="265" t="s">
        <v>138</v>
      </c>
      <c r="F22" s="268" t="s">
        <v>139</v>
      </c>
      <c r="H22" s="268"/>
      <c r="I22" s="102"/>
      <c r="J22" s="265" t="s">
        <v>248</v>
      </c>
      <c r="K22" s="265" t="s">
        <v>249</v>
      </c>
      <c r="L22" s="265" t="s">
        <v>250</v>
      </c>
      <c r="M22" s="265" t="s">
        <v>253</v>
      </c>
      <c r="N22" s="268"/>
    </row>
    <row r="23" spans="2:22" ht="13" x14ac:dyDescent="0.25">
      <c r="B23" s="40">
        <v>100</v>
      </c>
      <c r="C23" s="259"/>
      <c r="D23" s="259"/>
      <c r="E23" s="259"/>
      <c r="F23" s="259"/>
      <c r="H23" s="38"/>
      <c r="I23" s="40">
        <v>100</v>
      </c>
      <c r="J23" s="40">
        <f>($C23*$G$12+$D23*$G$13+$E23*$G$14+$F23*$G$15)*52*5</f>
        <v>0</v>
      </c>
      <c r="K23" s="40" t="e">
        <f>($C23*$M$12+$D23*$M$13+$E23*$M$14+$F23*$M$15)*52*5</f>
        <v>#DIV/0!</v>
      </c>
      <c r="L23" s="40" t="e">
        <f>($C23*$S$12+$D23*$S$13+$E23*$S$14+$F23*$S$15)*52*5</f>
        <v>#DIV/0!</v>
      </c>
      <c r="M23" s="40" t="e">
        <f>SUM(J23:L23)</f>
        <v>#DIV/0!</v>
      </c>
      <c r="N23" s="38"/>
      <c r="V23" s="303"/>
    </row>
    <row r="24" spans="2:22" ht="13" x14ac:dyDescent="0.25">
      <c r="B24" s="246">
        <v>101</v>
      </c>
      <c r="C24" s="279">
        <v>0.25</v>
      </c>
      <c r="D24" s="279">
        <v>0.25</v>
      </c>
      <c r="E24" s="279">
        <v>0.25</v>
      </c>
      <c r="F24" s="279">
        <v>0.25</v>
      </c>
      <c r="H24" s="246"/>
      <c r="I24" s="246">
        <v>101</v>
      </c>
      <c r="J24" s="40">
        <f t="shared" ref="J24:J30" si="6">($C24*$G$12+$D24*$G$13+$E24*$G$14+$F24*$G$15)*52*5</f>
        <v>54.214875000000006</v>
      </c>
      <c r="K24" s="246" t="e">
        <f>($C24*$M$12+$D24*$M$13+$E24*$M$14+$F24*$M$15)*52*5</f>
        <v>#DIV/0!</v>
      </c>
      <c r="L24" s="246" t="e">
        <f t="shared" ref="L24:L35" si="7">($C24*$S$12+$D24*$S$13+$E24*$S$14+$F24*$S$15)*52*5</f>
        <v>#DIV/0!</v>
      </c>
      <c r="M24" s="246" t="e">
        <f t="shared" ref="M24:M35" si="8">SUM(J24:L24)</f>
        <v>#DIV/0!</v>
      </c>
      <c r="N24" s="246"/>
    </row>
    <row r="25" spans="2:22" ht="13" x14ac:dyDescent="0.25">
      <c r="B25" s="40">
        <v>102</v>
      </c>
      <c r="C25" s="279">
        <v>0.26</v>
      </c>
      <c r="D25" s="279">
        <v>0.26</v>
      </c>
      <c r="E25" s="279">
        <v>0.26</v>
      </c>
      <c r="F25" s="279">
        <v>0.26</v>
      </c>
      <c r="H25" s="38"/>
      <c r="I25" s="40">
        <v>102</v>
      </c>
      <c r="J25" s="40">
        <f>($C25*$G$12+$D25*$G$13+$E25*$G$14+$F25*$G$15)*52*5</f>
        <v>56.383470000000003</v>
      </c>
      <c r="K25" s="246" t="e">
        <f>($C25*$M$12+$D25*$M$13+$E25*$M$14+$F25*$M$15)*52*5</f>
        <v>#DIV/0!</v>
      </c>
      <c r="L25" s="40" t="e">
        <f>($C25*$S$12+$D25*$S$13+$E25*$S$14+$F25*$S$15)*52*5</f>
        <v>#DIV/0!</v>
      </c>
      <c r="M25" s="40" t="e">
        <f t="shared" si="8"/>
        <v>#DIV/0!</v>
      </c>
      <c r="N25" s="38"/>
      <c r="S25" t="s">
        <v>257</v>
      </c>
    </row>
    <row r="26" spans="2:22" ht="13" x14ac:dyDescent="0.25">
      <c r="B26" s="246">
        <v>200</v>
      </c>
      <c r="C26" s="432">
        <v>0.1</v>
      </c>
      <c r="D26" s="432">
        <v>0.1</v>
      </c>
      <c r="E26" s="432">
        <v>0.1</v>
      </c>
      <c r="F26" s="432">
        <v>0.1</v>
      </c>
      <c r="H26" s="246"/>
      <c r="I26" s="246">
        <v>200</v>
      </c>
      <c r="J26" s="40">
        <f>($C26*$G$12+$D26*$G$13+$E26*$G$14+$F26*$G$15)*52*5</f>
        <v>21.685950000000002</v>
      </c>
      <c r="K26" s="246" t="e">
        <f>($C26*$M$12+$D26*$M$13+$E26*$M$14+$F26*$M$15)*52*5</f>
        <v>#DIV/0!</v>
      </c>
      <c r="L26" s="246" t="e">
        <f>($C26*$S$12+$D26*$S$13+$E26*$S$14+$F26*$S$15)*52*5</f>
        <v>#DIV/0!</v>
      </c>
      <c r="M26" s="246" t="e">
        <f t="shared" si="8"/>
        <v>#DIV/0!</v>
      </c>
      <c r="N26" s="246"/>
      <c r="Q26" s="112"/>
      <c r="R26" s="112"/>
    </row>
    <row r="27" spans="2:22" ht="13" x14ac:dyDescent="0.25">
      <c r="B27" s="40">
        <v>201</v>
      </c>
      <c r="C27" s="432">
        <v>0.1</v>
      </c>
      <c r="D27" s="432">
        <v>0.1</v>
      </c>
      <c r="E27" s="432">
        <v>0.1</v>
      </c>
      <c r="F27" s="432">
        <v>0.1</v>
      </c>
      <c r="H27" s="38"/>
      <c r="I27" s="40">
        <v>201</v>
      </c>
      <c r="J27" s="40">
        <f t="shared" si="6"/>
        <v>21.685950000000002</v>
      </c>
      <c r="K27" s="246" t="e">
        <f t="shared" ref="K27:K35" si="9">($C27*$M$12+$D27*$M$13+$E27*$M$14+$F27*$M$15)*52*5</f>
        <v>#DIV/0!</v>
      </c>
      <c r="L27" s="40" t="e">
        <f t="shared" si="7"/>
        <v>#DIV/0!</v>
      </c>
      <c r="M27" s="40" t="e">
        <f t="shared" si="8"/>
        <v>#DIV/0!</v>
      </c>
      <c r="N27" s="38"/>
    </row>
    <row r="28" spans="2:22" ht="13" x14ac:dyDescent="0.25">
      <c r="B28" s="246">
        <v>202</v>
      </c>
      <c r="C28" s="279">
        <v>0.1</v>
      </c>
      <c r="D28" s="279">
        <v>0.1</v>
      </c>
      <c r="E28" s="279">
        <v>0.1</v>
      </c>
      <c r="F28" s="279">
        <v>0.1</v>
      </c>
      <c r="H28" s="246"/>
      <c r="I28" s="246">
        <v>202</v>
      </c>
      <c r="J28" s="40">
        <f t="shared" si="6"/>
        <v>21.685950000000002</v>
      </c>
      <c r="K28" s="246" t="e">
        <f t="shared" si="9"/>
        <v>#DIV/0!</v>
      </c>
      <c r="L28" s="246" t="e">
        <f t="shared" si="7"/>
        <v>#DIV/0!</v>
      </c>
      <c r="M28" s="246" t="e">
        <f t="shared" si="8"/>
        <v>#DIV/0!</v>
      </c>
      <c r="N28" s="246"/>
    </row>
    <row r="29" spans="2:22" ht="13" x14ac:dyDescent="0.25">
      <c r="B29" s="40">
        <v>203</v>
      </c>
      <c r="C29" s="432">
        <v>0.11</v>
      </c>
      <c r="D29" s="432">
        <v>0.11</v>
      </c>
      <c r="E29" s="432">
        <v>0.11</v>
      </c>
      <c r="F29" s="432">
        <v>0.11</v>
      </c>
      <c r="H29" s="38"/>
      <c r="I29" s="40">
        <v>203</v>
      </c>
      <c r="J29" s="40">
        <f t="shared" si="6"/>
        <v>23.854545000000002</v>
      </c>
      <c r="K29" s="246" t="e">
        <f t="shared" si="9"/>
        <v>#DIV/0!</v>
      </c>
      <c r="L29" s="40" t="e">
        <f t="shared" si="7"/>
        <v>#DIV/0!</v>
      </c>
      <c r="M29" s="40" t="e">
        <f t="shared" si="8"/>
        <v>#DIV/0!</v>
      </c>
      <c r="N29" s="38"/>
    </row>
    <row r="30" spans="2:22" ht="13" x14ac:dyDescent="0.25">
      <c r="B30" s="246">
        <v>300</v>
      </c>
      <c r="C30" s="433">
        <v>0.02</v>
      </c>
      <c r="D30" s="433">
        <v>0.02</v>
      </c>
      <c r="E30" s="433">
        <v>0.02</v>
      </c>
      <c r="F30" s="433">
        <v>0.02</v>
      </c>
      <c r="H30" s="246"/>
      <c r="I30" s="246">
        <v>300</v>
      </c>
      <c r="J30" s="40">
        <f t="shared" si="6"/>
        <v>4.3371899999999997</v>
      </c>
      <c r="K30" s="246" t="e">
        <f t="shared" si="9"/>
        <v>#DIV/0!</v>
      </c>
      <c r="L30" s="246" t="e">
        <f t="shared" si="7"/>
        <v>#DIV/0!</v>
      </c>
      <c r="M30" s="246" t="e">
        <f t="shared" si="8"/>
        <v>#DIV/0!</v>
      </c>
      <c r="N30" s="246"/>
    </row>
    <row r="31" spans="2:22" ht="13" x14ac:dyDescent="0.25">
      <c r="B31" s="40">
        <v>301</v>
      </c>
      <c r="C31" s="259"/>
      <c r="D31" s="259"/>
      <c r="E31" s="259"/>
      <c r="F31" s="259"/>
      <c r="H31" s="38"/>
      <c r="I31" s="40">
        <v>301</v>
      </c>
      <c r="J31" s="40">
        <f t="shared" ref="J31:J35" si="10">(C31*$G$12+D31*$G$13+E31*$G$14+F31*$G$15)*52*5</f>
        <v>0</v>
      </c>
      <c r="K31" s="246" t="e">
        <f t="shared" si="9"/>
        <v>#DIV/0!</v>
      </c>
      <c r="L31" s="40" t="e">
        <f t="shared" si="7"/>
        <v>#DIV/0!</v>
      </c>
      <c r="M31" s="40" t="e">
        <f t="shared" si="8"/>
        <v>#DIV/0!</v>
      </c>
      <c r="N31" s="38"/>
    </row>
    <row r="32" spans="2:22" ht="13" x14ac:dyDescent="0.25">
      <c r="B32" s="246">
        <v>302</v>
      </c>
      <c r="C32" s="260"/>
      <c r="D32" s="260"/>
      <c r="E32" s="260"/>
      <c r="F32" s="260"/>
      <c r="H32" s="246"/>
      <c r="I32" s="246">
        <v>302</v>
      </c>
      <c r="J32" s="246">
        <f t="shared" si="10"/>
        <v>0</v>
      </c>
      <c r="K32" s="246" t="e">
        <f t="shared" si="9"/>
        <v>#DIV/0!</v>
      </c>
      <c r="L32" s="246" t="e">
        <f t="shared" si="7"/>
        <v>#DIV/0!</v>
      </c>
      <c r="M32" s="246" t="e">
        <f t="shared" si="8"/>
        <v>#DIV/0!</v>
      </c>
      <c r="N32" s="246"/>
    </row>
    <row r="33" spans="2:14" ht="13" x14ac:dyDescent="0.25">
      <c r="B33" s="40">
        <v>303</v>
      </c>
      <c r="C33" s="261"/>
      <c r="D33" s="261"/>
      <c r="E33" s="261"/>
      <c r="F33" s="261"/>
      <c r="H33" s="38"/>
      <c r="I33" s="40">
        <v>303</v>
      </c>
      <c r="J33" s="40">
        <f t="shared" si="10"/>
        <v>0</v>
      </c>
      <c r="K33" s="246" t="e">
        <f t="shared" si="9"/>
        <v>#DIV/0!</v>
      </c>
      <c r="L33" s="40" t="e">
        <f t="shared" si="7"/>
        <v>#DIV/0!</v>
      </c>
      <c r="M33" s="40" t="e">
        <f t="shared" si="8"/>
        <v>#DIV/0!</v>
      </c>
      <c r="N33" s="38"/>
    </row>
    <row r="34" spans="2:14" ht="13" x14ac:dyDescent="0.25">
      <c r="B34" s="246">
        <v>304</v>
      </c>
      <c r="C34" s="262"/>
      <c r="D34" s="262"/>
      <c r="E34" s="262"/>
      <c r="F34" s="262"/>
      <c r="H34" s="246"/>
      <c r="I34" s="246">
        <v>304</v>
      </c>
      <c r="J34" s="246">
        <f t="shared" si="10"/>
        <v>0</v>
      </c>
      <c r="K34" s="246" t="e">
        <f t="shared" si="9"/>
        <v>#DIV/0!</v>
      </c>
      <c r="L34" s="246" t="e">
        <f t="shared" si="7"/>
        <v>#DIV/0!</v>
      </c>
      <c r="M34" s="246" t="e">
        <f t="shared" si="8"/>
        <v>#DIV/0!</v>
      </c>
      <c r="N34" s="246"/>
    </row>
    <row r="35" spans="2:14" ht="13" x14ac:dyDescent="0.25">
      <c r="B35" s="49">
        <v>400</v>
      </c>
      <c r="C35" s="259"/>
      <c r="D35" s="259"/>
      <c r="E35" s="259"/>
      <c r="F35" s="259"/>
      <c r="H35" s="38"/>
      <c r="I35" s="49">
        <v>400</v>
      </c>
      <c r="J35" s="49">
        <f t="shared" si="10"/>
        <v>0</v>
      </c>
      <c r="K35" s="246" t="e">
        <f t="shared" si="9"/>
        <v>#DIV/0!</v>
      </c>
      <c r="L35" s="49" t="e">
        <f t="shared" si="7"/>
        <v>#DIV/0!</v>
      </c>
      <c r="M35" s="49" t="e">
        <f t="shared" si="8"/>
        <v>#DIV/0!</v>
      </c>
      <c r="N35" s="38"/>
    </row>
    <row r="36" spans="2:14" ht="13" x14ac:dyDescent="0.25">
      <c r="H36" s="246"/>
      <c r="J36" s="246">
        <f>SUM(J23:J35)</f>
        <v>203.84792999999999</v>
      </c>
      <c r="K36" s="246" t="e">
        <f t="shared" ref="K36:M36" si="11">SUM(K23:K35)</f>
        <v>#DIV/0!</v>
      </c>
      <c r="L36" s="246" t="e">
        <f t="shared" si="11"/>
        <v>#DIV/0!</v>
      </c>
      <c r="M36" s="246" t="e">
        <f t="shared" si="11"/>
        <v>#DIV/0!</v>
      </c>
      <c r="N36" s="246"/>
    </row>
  </sheetData>
  <mergeCells count="3">
    <mergeCell ref="C9:G9"/>
    <mergeCell ref="I9:M9"/>
    <mergeCell ref="O9:S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DO119"/>
  <sheetViews>
    <sheetView showGridLines="0" zoomScale="98" zoomScaleNormal="98" zoomScaleSheetLayoutView="112" workbookViewId="0">
      <pane xSplit="10" ySplit="8" topLeftCell="K26" activePane="bottomRight" state="frozen"/>
      <selection pane="topRight" activeCell="M1" sqref="M1"/>
      <selection pane="bottomLeft" activeCell="A9" sqref="A9"/>
      <selection pane="bottomRight" activeCell="K33" sqref="K33"/>
    </sheetView>
  </sheetViews>
  <sheetFormatPr defaultColWidth="2.81640625" defaultRowHeight="16.5" outlineLevelRow="1" x14ac:dyDescent="0.35"/>
  <cols>
    <col min="1" max="2" width="2.81640625" style="4" customWidth="1"/>
    <col min="3" max="3" width="31.81640625" style="7" bestFit="1" customWidth="1"/>
    <col min="4" max="4" width="27.81640625" style="5" bestFit="1" customWidth="1"/>
    <col min="5" max="5" width="10.08984375" style="5" bestFit="1" customWidth="1"/>
    <col min="6" max="6" width="10.453125" style="6" bestFit="1" customWidth="1"/>
    <col min="7" max="8" width="7.6328125" style="6" customWidth="1"/>
    <col min="9" max="9" width="7.6328125" style="6" hidden="1" customWidth="1"/>
    <col min="10" max="10" width="8.08984375" style="5" hidden="1" customWidth="1"/>
    <col min="11" max="30" width="3.08984375" style="5" customWidth="1"/>
    <col min="31" max="70" width="3.08984375" style="4" customWidth="1"/>
    <col min="71" max="16384" width="2.81640625" style="4"/>
  </cols>
  <sheetData>
    <row r="1" spans="1:119" x14ac:dyDescent="0.3">
      <c r="A1" s="29" t="s">
        <v>431</v>
      </c>
      <c r="B1" s="29"/>
      <c r="C1" s="30"/>
    </row>
    <row r="2" spans="1:119" ht="45.5" x14ac:dyDescent="0.9">
      <c r="C2" s="62"/>
      <c r="D2" s="62"/>
      <c r="E2" s="62"/>
      <c r="F2" s="20"/>
      <c r="G2" s="20"/>
      <c r="H2" s="20"/>
      <c r="I2" s="20"/>
    </row>
    <row r="3" spans="1:119" ht="21.25" customHeight="1" x14ac:dyDescent="0.9">
      <c r="C3" s="62"/>
      <c r="D3" s="62"/>
      <c r="E3" s="62"/>
      <c r="F3" s="20"/>
      <c r="G3" s="20"/>
      <c r="H3" s="20"/>
      <c r="I3" s="20"/>
      <c r="K3" s="28" t="s">
        <v>45</v>
      </c>
      <c r="L3" s="28"/>
      <c r="M3" s="28"/>
      <c r="N3" s="28"/>
      <c r="O3" s="28"/>
      <c r="P3" s="110">
        <v>4</v>
      </c>
      <c r="Q3" s="28"/>
      <c r="S3" s="27"/>
      <c r="T3" s="25" t="s">
        <v>44</v>
      </c>
      <c r="V3" s="26"/>
      <c r="W3" s="25" t="s">
        <v>43</v>
      </c>
      <c r="Z3" s="24"/>
      <c r="AA3" s="21" t="s">
        <v>42</v>
      </c>
      <c r="AE3" s="23"/>
      <c r="AF3" s="21" t="s">
        <v>41</v>
      </c>
      <c r="AI3" s="5"/>
      <c r="AJ3" s="5"/>
      <c r="AK3" s="5"/>
      <c r="AL3" s="5"/>
      <c r="AM3" s="22"/>
      <c r="AN3" s="21" t="s">
        <v>40</v>
      </c>
    </row>
    <row r="4" spans="1:119" s="60" customFormat="1" ht="15" customHeight="1" x14ac:dyDescent="0.9">
      <c r="B4" s="439" t="s">
        <v>39</v>
      </c>
      <c r="C4" s="439"/>
      <c r="D4" s="440">
        <v>45536</v>
      </c>
      <c r="E4" s="440"/>
      <c r="F4" s="61"/>
      <c r="G4" s="61"/>
      <c r="H4" s="61"/>
      <c r="I4" s="61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V4" s="5"/>
      <c r="AW4" s="5"/>
      <c r="AX4" s="5"/>
      <c r="AY4" s="5"/>
      <c r="AZ4" s="5"/>
    </row>
    <row r="5" spans="1:119" ht="15" customHeight="1" x14ac:dyDescent="0.35">
      <c r="B5" s="438" t="s">
        <v>66</v>
      </c>
      <c r="C5" s="438"/>
      <c r="D5" s="441"/>
      <c r="E5" s="441"/>
      <c r="K5" s="437">
        <f>D4</f>
        <v>45536</v>
      </c>
      <c r="L5" s="437">
        <f t="shared" ref="L5:BP5" si="0">IF(K5="","",K5+7)</f>
        <v>45543</v>
      </c>
      <c r="M5" s="437">
        <f t="shared" si="0"/>
        <v>45550</v>
      </c>
      <c r="N5" s="437">
        <f t="shared" si="0"/>
        <v>45557</v>
      </c>
      <c r="O5" s="437">
        <f t="shared" si="0"/>
        <v>45564</v>
      </c>
      <c r="P5" s="437">
        <f t="shared" si="0"/>
        <v>45571</v>
      </c>
      <c r="Q5" s="437">
        <f t="shared" si="0"/>
        <v>45578</v>
      </c>
      <c r="R5" s="437">
        <f t="shared" si="0"/>
        <v>45585</v>
      </c>
      <c r="S5" s="437">
        <f t="shared" si="0"/>
        <v>45592</v>
      </c>
      <c r="T5" s="437">
        <f t="shared" si="0"/>
        <v>45599</v>
      </c>
      <c r="U5" s="437">
        <f t="shared" si="0"/>
        <v>45606</v>
      </c>
      <c r="V5" s="437">
        <f t="shared" si="0"/>
        <v>45613</v>
      </c>
      <c r="W5" s="437">
        <f t="shared" si="0"/>
        <v>45620</v>
      </c>
      <c r="X5" s="437">
        <f t="shared" si="0"/>
        <v>45627</v>
      </c>
      <c r="Y5" s="437">
        <f t="shared" si="0"/>
        <v>45634</v>
      </c>
      <c r="Z5" s="437">
        <f t="shared" si="0"/>
        <v>45641</v>
      </c>
      <c r="AA5" s="437">
        <f t="shared" si="0"/>
        <v>45648</v>
      </c>
      <c r="AB5" s="437">
        <f t="shared" si="0"/>
        <v>45655</v>
      </c>
      <c r="AC5" s="437">
        <f t="shared" si="0"/>
        <v>45662</v>
      </c>
      <c r="AD5" s="437">
        <f t="shared" si="0"/>
        <v>45669</v>
      </c>
      <c r="AE5" s="437">
        <f t="shared" si="0"/>
        <v>45676</v>
      </c>
      <c r="AF5" s="437">
        <f t="shared" si="0"/>
        <v>45683</v>
      </c>
      <c r="AG5" s="437">
        <f t="shared" si="0"/>
        <v>45690</v>
      </c>
      <c r="AH5" s="437">
        <f t="shared" si="0"/>
        <v>45697</v>
      </c>
      <c r="AI5" s="437">
        <f t="shared" si="0"/>
        <v>45704</v>
      </c>
      <c r="AJ5" s="437">
        <f t="shared" si="0"/>
        <v>45711</v>
      </c>
      <c r="AK5" s="437">
        <f t="shared" si="0"/>
        <v>45718</v>
      </c>
      <c r="AL5" s="437">
        <f t="shared" si="0"/>
        <v>45725</v>
      </c>
      <c r="AM5" s="437">
        <f t="shared" si="0"/>
        <v>45732</v>
      </c>
      <c r="AN5" s="437">
        <f t="shared" si="0"/>
        <v>45739</v>
      </c>
      <c r="AO5" s="437">
        <f t="shared" si="0"/>
        <v>45746</v>
      </c>
      <c r="AP5" s="437">
        <f t="shared" si="0"/>
        <v>45753</v>
      </c>
      <c r="AQ5" s="437">
        <f t="shared" si="0"/>
        <v>45760</v>
      </c>
      <c r="AR5" s="437">
        <f t="shared" si="0"/>
        <v>45767</v>
      </c>
      <c r="AS5" s="437">
        <f t="shared" si="0"/>
        <v>45774</v>
      </c>
      <c r="AT5" s="437">
        <f t="shared" si="0"/>
        <v>45781</v>
      </c>
      <c r="AU5" s="437">
        <f t="shared" si="0"/>
        <v>45788</v>
      </c>
      <c r="AV5" s="437">
        <f t="shared" si="0"/>
        <v>45795</v>
      </c>
      <c r="AW5" s="437">
        <f t="shared" si="0"/>
        <v>45802</v>
      </c>
      <c r="AX5" s="437">
        <f t="shared" si="0"/>
        <v>45809</v>
      </c>
      <c r="AY5" s="437">
        <f t="shared" si="0"/>
        <v>45816</v>
      </c>
      <c r="AZ5" s="437">
        <f t="shared" si="0"/>
        <v>45823</v>
      </c>
      <c r="BA5" s="437">
        <f t="shared" si="0"/>
        <v>45830</v>
      </c>
      <c r="BB5" s="437">
        <f t="shared" si="0"/>
        <v>45837</v>
      </c>
      <c r="BC5" s="437">
        <f t="shared" si="0"/>
        <v>45844</v>
      </c>
      <c r="BD5" s="437">
        <f t="shared" si="0"/>
        <v>45851</v>
      </c>
      <c r="BE5" s="437">
        <f t="shared" si="0"/>
        <v>45858</v>
      </c>
      <c r="BF5" s="437">
        <f t="shared" si="0"/>
        <v>45865</v>
      </c>
      <c r="BG5" s="437">
        <f t="shared" si="0"/>
        <v>45872</v>
      </c>
      <c r="BH5" s="437">
        <f t="shared" si="0"/>
        <v>45879</v>
      </c>
      <c r="BI5" s="437">
        <f t="shared" si="0"/>
        <v>45886</v>
      </c>
      <c r="BJ5" s="437">
        <f t="shared" si="0"/>
        <v>45893</v>
      </c>
      <c r="BK5" s="437">
        <f t="shared" si="0"/>
        <v>45900</v>
      </c>
      <c r="BL5" s="437">
        <f t="shared" si="0"/>
        <v>45907</v>
      </c>
      <c r="BM5" s="437">
        <f t="shared" si="0"/>
        <v>45914</v>
      </c>
      <c r="BN5" s="437">
        <f t="shared" si="0"/>
        <v>45921</v>
      </c>
      <c r="BO5" s="437">
        <f t="shared" si="0"/>
        <v>45928</v>
      </c>
      <c r="BP5" s="437">
        <f t="shared" si="0"/>
        <v>45935</v>
      </c>
      <c r="BQ5" s="437">
        <f>IF(BP5="","",BP5+30)</f>
        <v>45965</v>
      </c>
      <c r="BR5" s="437">
        <f t="shared" ref="BR5:CR5" si="1">IF(BQ5="","",BQ5+30)</f>
        <v>45995</v>
      </c>
      <c r="BS5" s="437">
        <f t="shared" si="1"/>
        <v>46025</v>
      </c>
      <c r="BT5" s="437">
        <f t="shared" si="1"/>
        <v>46055</v>
      </c>
      <c r="BU5" s="437">
        <f t="shared" si="1"/>
        <v>46085</v>
      </c>
      <c r="BV5" s="437">
        <f t="shared" si="1"/>
        <v>46115</v>
      </c>
      <c r="BW5" s="437">
        <f t="shared" si="1"/>
        <v>46145</v>
      </c>
      <c r="BX5" s="437">
        <f t="shared" si="1"/>
        <v>46175</v>
      </c>
      <c r="BY5" s="437">
        <f t="shared" si="1"/>
        <v>46205</v>
      </c>
      <c r="BZ5" s="437">
        <f t="shared" si="1"/>
        <v>46235</v>
      </c>
      <c r="CA5" s="437">
        <f t="shared" si="1"/>
        <v>46265</v>
      </c>
      <c r="CB5" s="437">
        <f t="shared" si="1"/>
        <v>46295</v>
      </c>
      <c r="CC5" s="437">
        <f t="shared" si="1"/>
        <v>46325</v>
      </c>
      <c r="CD5" s="437">
        <f t="shared" si="1"/>
        <v>46355</v>
      </c>
      <c r="CE5" s="437">
        <f t="shared" si="1"/>
        <v>46385</v>
      </c>
      <c r="CF5" s="437">
        <f t="shared" si="1"/>
        <v>46415</v>
      </c>
      <c r="CG5" s="437">
        <f t="shared" si="1"/>
        <v>46445</v>
      </c>
      <c r="CH5" s="437">
        <f t="shared" si="1"/>
        <v>46475</v>
      </c>
      <c r="CI5" s="437">
        <f t="shared" si="1"/>
        <v>46505</v>
      </c>
      <c r="CJ5" s="437">
        <f t="shared" si="1"/>
        <v>46535</v>
      </c>
      <c r="CK5" s="437">
        <f t="shared" si="1"/>
        <v>46565</v>
      </c>
      <c r="CL5" s="437">
        <f t="shared" si="1"/>
        <v>46595</v>
      </c>
      <c r="CM5" s="437">
        <f t="shared" si="1"/>
        <v>46625</v>
      </c>
      <c r="CN5" s="437">
        <f t="shared" si="1"/>
        <v>46655</v>
      </c>
      <c r="CO5" s="437">
        <f t="shared" si="1"/>
        <v>46685</v>
      </c>
      <c r="CP5" s="437">
        <f t="shared" si="1"/>
        <v>46715</v>
      </c>
      <c r="CQ5" s="437">
        <f t="shared" si="1"/>
        <v>46745</v>
      </c>
      <c r="CR5" s="437">
        <f t="shared" si="1"/>
        <v>46775</v>
      </c>
      <c r="CS5" s="437">
        <f>IF(CR5="","",CR5+7)</f>
        <v>46782</v>
      </c>
      <c r="CT5" s="437">
        <f t="shared" ref="CT5:DO5" si="2">IF(CS5="","",CS5+7)</f>
        <v>46789</v>
      </c>
      <c r="CU5" s="437">
        <f t="shared" si="2"/>
        <v>46796</v>
      </c>
      <c r="CV5" s="437">
        <f t="shared" si="2"/>
        <v>46803</v>
      </c>
      <c r="CW5" s="437">
        <f t="shared" si="2"/>
        <v>46810</v>
      </c>
      <c r="CX5" s="437">
        <f t="shared" si="2"/>
        <v>46817</v>
      </c>
      <c r="CY5" s="437">
        <f t="shared" si="2"/>
        <v>46824</v>
      </c>
      <c r="CZ5" s="437">
        <f t="shared" si="2"/>
        <v>46831</v>
      </c>
      <c r="DA5" s="437">
        <f t="shared" si="2"/>
        <v>46838</v>
      </c>
      <c r="DB5" s="437">
        <f t="shared" si="2"/>
        <v>46845</v>
      </c>
      <c r="DC5" s="437">
        <f t="shared" si="2"/>
        <v>46852</v>
      </c>
      <c r="DD5" s="437">
        <f t="shared" si="2"/>
        <v>46859</v>
      </c>
      <c r="DE5" s="437">
        <f t="shared" si="2"/>
        <v>46866</v>
      </c>
      <c r="DF5" s="437">
        <f t="shared" si="2"/>
        <v>46873</v>
      </c>
      <c r="DG5" s="437">
        <f t="shared" si="2"/>
        <v>46880</v>
      </c>
      <c r="DH5" s="437">
        <f t="shared" si="2"/>
        <v>46887</v>
      </c>
      <c r="DI5" s="437">
        <f t="shared" si="2"/>
        <v>46894</v>
      </c>
      <c r="DJ5" s="437">
        <f t="shared" si="2"/>
        <v>46901</v>
      </c>
      <c r="DK5" s="437">
        <f t="shared" si="2"/>
        <v>46908</v>
      </c>
      <c r="DL5" s="437">
        <f t="shared" si="2"/>
        <v>46915</v>
      </c>
      <c r="DM5" s="437">
        <f t="shared" si="2"/>
        <v>46922</v>
      </c>
      <c r="DN5" s="437">
        <f t="shared" si="2"/>
        <v>46929</v>
      </c>
      <c r="DO5" s="437">
        <f t="shared" si="2"/>
        <v>46936</v>
      </c>
    </row>
    <row r="6" spans="1:119" ht="15" customHeight="1" x14ac:dyDescent="0.35">
      <c r="B6" s="438" t="s">
        <v>67</v>
      </c>
      <c r="C6" s="438"/>
      <c r="D6" s="441"/>
      <c r="E6" s="441"/>
      <c r="F6" s="19"/>
      <c r="G6" s="4"/>
      <c r="H6" s="19"/>
      <c r="I6" s="19"/>
      <c r="J6" s="19"/>
      <c r="K6" s="437"/>
      <c r="L6" s="437"/>
      <c r="M6" s="437"/>
      <c r="N6" s="437"/>
      <c r="O6" s="437"/>
      <c r="P6" s="437"/>
      <c r="Q6" s="437"/>
      <c r="R6" s="437"/>
      <c r="S6" s="437"/>
      <c r="T6" s="437"/>
      <c r="U6" s="437"/>
      <c r="V6" s="437"/>
      <c r="W6" s="437"/>
      <c r="X6" s="437"/>
      <c r="Y6" s="437"/>
      <c r="Z6" s="437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437"/>
      <c r="AS6" s="437"/>
      <c r="AT6" s="437"/>
      <c r="AU6" s="437"/>
      <c r="AV6" s="437"/>
      <c r="AW6" s="437"/>
      <c r="AX6" s="437"/>
      <c r="AY6" s="437"/>
      <c r="AZ6" s="437"/>
      <c r="BA6" s="437"/>
      <c r="BB6" s="437"/>
      <c r="BC6" s="437"/>
      <c r="BD6" s="437"/>
      <c r="BE6" s="437"/>
      <c r="BF6" s="437"/>
      <c r="BG6" s="437"/>
      <c r="BH6" s="437"/>
      <c r="BI6" s="437"/>
      <c r="BJ6" s="437"/>
      <c r="BK6" s="437"/>
      <c r="BL6" s="437"/>
      <c r="BM6" s="437"/>
      <c r="BN6" s="437"/>
      <c r="BO6" s="437"/>
      <c r="BP6" s="437"/>
      <c r="BQ6" s="437"/>
      <c r="BR6" s="437"/>
      <c r="BS6" s="437"/>
      <c r="BT6" s="437"/>
      <c r="BU6" s="437"/>
      <c r="BV6" s="437"/>
      <c r="BW6" s="437"/>
      <c r="BX6" s="437"/>
      <c r="BY6" s="437"/>
      <c r="BZ6" s="437"/>
      <c r="CA6" s="437"/>
      <c r="CB6" s="437"/>
      <c r="CC6" s="437"/>
      <c r="CD6" s="437"/>
      <c r="CE6" s="437"/>
      <c r="CF6" s="437"/>
      <c r="CG6" s="437"/>
      <c r="CH6" s="437"/>
      <c r="CI6" s="437"/>
      <c r="CJ6" s="437"/>
      <c r="CK6" s="437"/>
      <c r="CL6" s="437"/>
      <c r="CM6" s="437"/>
      <c r="CN6" s="437"/>
      <c r="CO6" s="437"/>
      <c r="CP6" s="437"/>
      <c r="CQ6" s="437"/>
      <c r="CR6" s="437"/>
      <c r="CS6" s="437"/>
      <c r="CT6" s="437"/>
      <c r="CU6" s="437"/>
      <c r="CV6" s="437"/>
      <c r="CW6" s="437"/>
      <c r="CX6" s="437"/>
      <c r="CY6" s="437"/>
      <c r="CZ6" s="437"/>
      <c r="DA6" s="437"/>
      <c r="DB6" s="437"/>
      <c r="DC6" s="437"/>
      <c r="DD6" s="437"/>
      <c r="DE6" s="437"/>
      <c r="DF6" s="437"/>
      <c r="DG6" s="437"/>
      <c r="DH6" s="437"/>
      <c r="DI6" s="437"/>
      <c r="DJ6" s="437"/>
      <c r="DK6" s="437"/>
      <c r="DL6" s="437"/>
      <c r="DM6" s="437"/>
      <c r="DN6" s="437"/>
      <c r="DO6" s="437"/>
    </row>
    <row r="7" spans="1:119" ht="15" customHeight="1" x14ac:dyDescent="0.35">
      <c r="B7" s="438" t="s">
        <v>83</v>
      </c>
      <c r="C7" s="438"/>
      <c r="D7" s="66" t="s">
        <v>2</v>
      </c>
      <c r="E7" s="300">
        <f>IF(D7="EUR",0,IF(D7="USD",9,IF(D7="GBP",18,IF(D7="CNY",27,IF(D7="MXN",36,IF(D7="BRL",45,IF(D7="SEK",54,IF(D7="SAR",63,"ERROR"))))))))</f>
        <v>9</v>
      </c>
      <c r="F7" s="19"/>
      <c r="G7" s="19"/>
      <c r="H7" s="19"/>
      <c r="I7" s="19"/>
      <c r="J7" s="19"/>
      <c r="K7" s="437"/>
      <c r="L7" s="437"/>
      <c r="M7" s="437"/>
      <c r="N7" s="437"/>
      <c r="O7" s="437"/>
      <c r="P7" s="437"/>
      <c r="Q7" s="437"/>
      <c r="R7" s="437"/>
      <c r="S7" s="437"/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  <c r="AE7" s="437"/>
      <c r="AF7" s="437"/>
      <c r="AG7" s="437"/>
      <c r="AH7" s="437"/>
      <c r="AI7" s="437"/>
      <c r="AJ7" s="437"/>
      <c r="AK7" s="437"/>
      <c r="AL7" s="437"/>
      <c r="AM7" s="437"/>
      <c r="AN7" s="437"/>
      <c r="AO7" s="437"/>
      <c r="AP7" s="437"/>
      <c r="AQ7" s="437"/>
      <c r="AR7" s="437"/>
      <c r="AS7" s="437"/>
      <c r="AT7" s="437"/>
      <c r="AU7" s="437"/>
      <c r="AV7" s="437"/>
      <c r="AW7" s="437"/>
      <c r="AX7" s="437"/>
      <c r="AY7" s="437"/>
      <c r="AZ7" s="437"/>
      <c r="BA7" s="437"/>
      <c r="BB7" s="437"/>
      <c r="BC7" s="437"/>
      <c r="BD7" s="437"/>
      <c r="BE7" s="437"/>
      <c r="BF7" s="437"/>
      <c r="BG7" s="437"/>
      <c r="BH7" s="437"/>
      <c r="BI7" s="437"/>
      <c r="BJ7" s="437"/>
      <c r="BK7" s="437"/>
      <c r="BL7" s="437"/>
      <c r="BM7" s="437"/>
      <c r="BN7" s="437"/>
      <c r="BO7" s="437"/>
      <c r="BP7" s="437"/>
      <c r="BQ7" s="437"/>
      <c r="BR7" s="437"/>
      <c r="BS7" s="437"/>
      <c r="BT7" s="437"/>
      <c r="BU7" s="437"/>
      <c r="BV7" s="437"/>
      <c r="BW7" s="437"/>
      <c r="BX7" s="437"/>
      <c r="BY7" s="437"/>
      <c r="BZ7" s="437"/>
      <c r="CA7" s="437"/>
      <c r="CB7" s="437"/>
      <c r="CC7" s="437"/>
      <c r="CD7" s="437"/>
      <c r="CE7" s="437"/>
      <c r="CF7" s="437"/>
      <c r="CG7" s="437"/>
      <c r="CH7" s="437"/>
      <c r="CI7" s="437"/>
      <c r="CJ7" s="437"/>
      <c r="CK7" s="437"/>
      <c r="CL7" s="437"/>
      <c r="CM7" s="437"/>
      <c r="CN7" s="437"/>
      <c r="CO7" s="437"/>
      <c r="CP7" s="437"/>
      <c r="CQ7" s="437"/>
      <c r="CR7" s="437"/>
      <c r="CS7" s="437"/>
      <c r="CT7" s="437"/>
      <c r="CU7" s="437"/>
      <c r="CV7" s="437"/>
      <c r="CW7" s="437"/>
      <c r="CX7" s="437"/>
      <c r="CY7" s="437"/>
      <c r="CZ7" s="437"/>
      <c r="DA7" s="437"/>
      <c r="DB7" s="437"/>
      <c r="DC7" s="437"/>
      <c r="DD7" s="437"/>
      <c r="DE7" s="437"/>
      <c r="DF7" s="437"/>
      <c r="DG7" s="437"/>
      <c r="DH7" s="437"/>
      <c r="DI7" s="437"/>
      <c r="DJ7" s="437"/>
      <c r="DK7" s="437"/>
      <c r="DL7" s="437"/>
      <c r="DM7" s="437"/>
      <c r="DN7" s="437"/>
      <c r="DO7" s="437"/>
    </row>
    <row r="8" spans="1:119" ht="20.75" customHeight="1" x14ac:dyDescent="0.35">
      <c r="B8" s="18"/>
      <c r="C8" s="13"/>
      <c r="D8" s="13"/>
      <c r="E8" s="13"/>
      <c r="F8" s="14"/>
      <c r="G8" s="14"/>
      <c r="H8" s="14"/>
      <c r="I8" s="14"/>
      <c r="J8" s="17"/>
      <c r="K8" s="13">
        <v>1</v>
      </c>
      <c r="L8" s="13">
        <v>2</v>
      </c>
      <c r="M8" s="13">
        <v>3</v>
      </c>
      <c r="N8" s="13">
        <v>4</v>
      </c>
      <c r="O8" s="13">
        <v>5</v>
      </c>
      <c r="P8" s="13">
        <v>6</v>
      </c>
      <c r="Q8" s="13">
        <v>7</v>
      </c>
      <c r="R8" s="13">
        <v>8</v>
      </c>
      <c r="S8" s="13">
        <v>9</v>
      </c>
      <c r="T8" s="13">
        <v>10</v>
      </c>
      <c r="U8" s="13">
        <v>11</v>
      </c>
      <c r="V8" s="13">
        <v>12</v>
      </c>
      <c r="W8" s="13">
        <v>13</v>
      </c>
      <c r="X8" s="13">
        <v>14</v>
      </c>
      <c r="Y8" s="13">
        <v>15</v>
      </c>
      <c r="Z8" s="13">
        <v>16</v>
      </c>
      <c r="AA8" s="13">
        <v>17</v>
      </c>
      <c r="AB8" s="13">
        <v>18</v>
      </c>
      <c r="AC8" s="13">
        <v>19</v>
      </c>
      <c r="AD8" s="13">
        <v>20</v>
      </c>
      <c r="AE8" s="13">
        <v>21</v>
      </c>
      <c r="AF8" s="13">
        <v>22</v>
      </c>
      <c r="AG8" s="13">
        <v>23</v>
      </c>
      <c r="AH8" s="13">
        <v>24</v>
      </c>
      <c r="AI8" s="13">
        <v>25</v>
      </c>
      <c r="AJ8" s="13">
        <v>26</v>
      </c>
      <c r="AK8" s="13">
        <v>27</v>
      </c>
      <c r="AL8" s="13">
        <v>28</v>
      </c>
      <c r="AM8" s="13">
        <v>29</v>
      </c>
      <c r="AN8" s="13">
        <v>30</v>
      </c>
      <c r="AO8" s="13">
        <v>31</v>
      </c>
      <c r="AP8" s="13">
        <v>32</v>
      </c>
      <c r="AQ8" s="13">
        <v>33</v>
      </c>
      <c r="AR8" s="13">
        <v>34</v>
      </c>
      <c r="AS8" s="13">
        <v>35</v>
      </c>
      <c r="AT8" s="13">
        <v>36</v>
      </c>
      <c r="AU8" s="13">
        <v>37</v>
      </c>
      <c r="AV8" s="13">
        <v>38</v>
      </c>
      <c r="AW8" s="13">
        <v>39</v>
      </c>
      <c r="AX8" s="13">
        <v>40</v>
      </c>
      <c r="AY8" s="13">
        <v>41</v>
      </c>
      <c r="AZ8" s="13">
        <v>42</v>
      </c>
      <c r="BA8" s="13">
        <v>43</v>
      </c>
      <c r="BB8" s="13">
        <v>44</v>
      </c>
      <c r="BC8" s="13">
        <v>45</v>
      </c>
      <c r="BD8" s="13">
        <v>46</v>
      </c>
      <c r="BE8" s="13">
        <v>47</v>
      </c>
      <c r="BF8" s="13">
        <v>48</v>
      </c>
      <c r="BG8" s="13">
        <v>49</v>
      </c>
      <c r="BH8" s="13">
        <v>50</v>
      </c>
      <c r="BI8" s="13">
        <v>51</v>
      </c>
      <c r="BJ8" s="13">
        <v>52</v>
      </c>
      <c r="BK8" s="13">
        <v>53</v>
      </c>
      <c r="BL8" s="13">
        <v>54</v>
      </c>
      <c r="BM8" s="13">
        <v>55</v>
      </c>
      <c r="BN8" s="13">
        <v>56</v>
      </c>
      <c r="BO8" s="13">
        <v>57</v>
      </c>
      <c r="BP8" s="13">
        <v>58</v>
      </c>
      <c r="BQ8" s="13">
        <v>59</v>
      </c>
      <c r="BR8" s="13">
        <v>60</v>
      </c>
      <c r="BS8" s="13">
        <v>61</v>
      </c>
      <c r="BT8" s="13">
        <v>62</v>
      </c>
      <c r="BU8" s="13">
        <v>63</v>
      </c>
      <c r="BV8" s="13">
        <v>64</v>
      </c>
      <c r="BW8" s="13">
        <v>65</v>
      </c>
      <c r="BX8" s="13">
        <v>66</v>
      </c>
      <c r="BY8" s="13">
        <v>67</v>
      </c>
      <c r="BZ8" s="13">
        <v>68</v>
      </c>
      <c r="CA8" s="13">
        <v>69</v>
      </c>
      <c r="CB8" s="13">
        <v>70</v>
      </c>
      <c r="CC8" s="13">
        <v>71</v>
      </c>
      <c r="CD8" s="13">
        <v>72</v>
      </c>
      <c r="CE8" s="13">
        <v>73</v>
      </c>
      <c r="CF8" s="13">
        <v>74</v>
      </c>
      <c r="CG8" s="13">
        <v>75</v>
      </c>
      <c r="CH8" s="13">
        <v>76</v>
      </c>
      <c r="CI8" s="13">
        <v>77</v>
      </c>
      <c r="CJ8" s="13">
        <v>78</v>
      </c>
      <c r="CK8" s="13">
        <v>79</v>
      </c>
      <c r="CL8" s="13">
        <v>80</v>
      </c>
      <c r="CM8" s="13">
        <v>81</v>
      </c>
      <c r="CN8" s="13">
        <v>82</v>
      </c>
      <c r="CO8" s="13">
        <v>83</v>
      </c>
      <c r="CP8" s="13">
        <v>84</v>
      </c>
      <c r="CQ8" s="13">
        <v>85</v>
      </c>
      <c r="CR8" s="13">
        <v>86</v>
      </c>
      <c r="CS8" s="13">
        <v>87</v>
      </c>
      <c r="CT8" s="13">
        <v>88</v>
      </c>
      <c r="CU8" s="13">
        <v>89</v>
      </c>
      <c r="CV8" s="13">
        <v>90</v>
      </c>
      <c r="CW8" s="13">
        <v>91</v>
      </c>
      <c r="CX8" s="13">
        <v>92</v>
      </c>
      <c r="CY8" s="13">
        <v>93</v>
      </c>
      <c r="CZ8" s="13">
        <v>94</v>
      </c>
      <c r="DA8" s="13">
        <v>95</v>
      </c>
      <c r="DB8" s="13">
        <v>96</v>
      </c>
      <c r="DC8" s="13">
        <v>97</v>
      </c>
      <c r="DD8" s="13">
        <v>98</v>
      </c>
      <c r="DE8" s="13">
        <v>99</v>
      </c>
      <c r="DF8" s="13">
        <v>100</v>
      </c>
      <c r="DG8" s="13">
        <v>101</v>
      </c>
      <c r="DH8" s="13">
        <v>102</v>
      </c>
      <c r="DI8" s="13">
        <v>103</v>
      </c>
      <c r="DJ8" s="13">
        <v>104</v>
      </c>
      <c r="DK8" s="13">
        <v>105</v>
      </c>
      <c r="DL8" s="13">
        <v>106</v>
      </c>
      <c r="DM8" s="13">
        <v>107</v>
      </c>
      <c r="DN8" s="13">
        <v>108</v>
      </c>
      <c r="DO8" s="13">
        <v>109</v>
      </c>
    </row>
    <row r="9" spans="1:119" ht="15.75" customHeight="1" outlineLevel="1" x14ac:dyDescent="0.4">
      <c r="B9" s="16" t="s">
        <v>32</v>
      </c>
      <c r="C9" s="15"/>
      <c r="D9" s="33" t="s">
        <v>34</v>
      </c>
      <c r="E9" s="33" t="s">
        <v>33</v>
      </c>
      <c r="F9" s="33" t="s">
        <v>46</v>
      </c>
      <c r="G9" s="108"/>
      <c r="H9" s="108"/>
      <c r="I9" s="108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7"/>
      <c r="CS9" s="107"/>
      <c r="CT9" s="107"/>
      <c r="CU9" s="107"/>
      <c r="CV9" s="107"/>
      <c r="CW9" s="107"/>
      <c r="CX9" s="107"/>
      <c r="CY9" s="107"/>
      <c r="CZ9" s="107"/>
      <c r="DA9" s="107"/>
      <c r="DB9" s="107"/>
      <c r="DC9" s="107"/>
      <c r="DD9" s="107"/>
      <c r="DE9" s="107"/>
      <c r="DF9" s="107"/>
      <c r="DG9" s="107"/>
      <c r="DH9" s="107"/>
      <c r="DI9" s="107"/>
      <c r="DJ9" s="107"/>
      <c r="DK9" s="107"/>
      <c r="DL9" s="107"/>
      <c r="DM9" s="107"/>
      <c r="DN9" s="107"/>
      <c r="DO9" s="107"/>
    </row>
    <row r="10" spans="1:119" s="10" customFormat="1" ht="16.25" customHeight="1" outlineLevel="1" x14ac:dyDescent="0.35">
      <c r="C10" s="153"/>
      <c r="D10" s="425"/>
      <c r="E10" s="425"/>
      <c r="F10" s="426"/>
      <c r="G10" s="204"/>
      <c r="H10" s="204"/>
      <c r="I10" s="12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</row>
    <row r="11" spans="1:119" s="10" customFormat="1" ht="16.25" customHeight="1" outlineLevel="1" x14ac:dyDescent="0.35">
      <c r="C11" s="153"/>
      <c r="D11" s="425"/>
      <c r="E11" s="425"/>
      <c r="F11" s="426"/>
      <c r="G11" s="204"/>
      <c r="H11" s="204"/>
      <c r="I11" s="12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</row>
    <row r="12" spans="1:119" s="10" customFormat="1" ht="16.25" customHeight="1" outlineLevel="1" x14ac:dyDescent="0.35">
      <c r="C12" s="241"/>
      <c r="D12" s="242"/>
      <c r="E12" s="242"/>
      <c r="F12" s="12"/>
      <c r="G12" s="204"/>
      <c r="H12" s="204"/>
      <c r="I12" s="12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</row>
    <row r="13" spans="1:119" s="10" customFormat="1" ht="16.25" customHeight="1" outlineLevel="1" x14ac:dyDescent="0.35">
      <c r="C13" s="241"/>
      <c r="D13" s="242"/>
      <c r="E13" s="242"/>
      <c r="F13" s="12"/>
      <c r="G13" s="204"/>
      <c r="H13" s="204"/>
      <c r="I13" s="12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</row>
    <row r="14" spans="1:119" s="10" customFormat="1" ht="16.25" customHeight="1" outlineLevel="1" x14ac:dyDescent="0.35">
      <c r="C14" s="241"/>
      <c r="D14" s="242"/>
      <c r="E14" s="242"/>
      <c r="F14" s="12"/>
      <c r="G14" s="204"/>
      <c r="H14" s="205"/>
      <c r="I14" s="52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</row>
    <row r="15" spans="1:119" s="10" customFormat="1" ht="16.25" customHeight="1" outlineLevel="1" x14ac:dyDescent="0.35">
      <c r="C15" s="241"/>
      <c r="D15" s="242"/>
      <c r="E15" s="242"/>
      <c r="F15" s="12"/>
      <c r="G15" s="204"/>
      <c r="H15" s="204"/>
      <c r="I15" s="12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</row>
    <row r="16" spans="1:119" s="10" customFormat="1" ht="16.25" customHeight="1" outlineLevel="1" x14ac:dyDescent="0.35">
      <c r="C16" s="241"/>
      <c r="D16" s="242"/>
      <c r="E16" s="242"/>
      <c r="F16" s="12"/>
      <c r="G16" s="204"/>
      <c r="H16" s="204"/>
      <c r="I16" s="12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</row>
    <row r="17" spans="2:119" s="10" customFormat="1" ht="16.25" customHeight="1" outlineLevel="1" x14ac:dyDescent="0.35">
      <c r="C17" s="153"/>
      <c r="D17" s="203"/>
      <c r="E17" s="203"/>
      <c r="F17" s="204" t="str">
        <f t="shared" ref="F17:F26" si="3">IF(D17="","",IF(E17+D17-1&lt;0,0,E17+D17-1))</f>
        <v/>
      </c>
      <c r="G17" s="204"/>
      <c r="H17" s="204"/>
      <c r="I17" s="12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</row>
    <row r="18" spans="2:119" s="10" customFormat="1" ht="16.25" customHeight="1" outlineLevel="1" x14ac:dyDescent="0.35">
      <c r="C18" s="153"/>
      <c r="D18" s="203"/>
      <c r="E18" s="203"/>
      <c r="F18" s="204" t="str">
        <f t="shared" si="3"/>
        <v/>
      </c>
      <c r="G18" s="204"/>
      <c r="H18" s="204"/>
      <c r="I18" s="12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</row>
    <row r="19" spans="2:119" s="10" customFormat="1" ht="16.25" customHeight="1" outlineLevel="1" x14ac:dyDescent="0.35">
      <c r="C19" s="153"/>
      <c r="D19" s="203"/>
      <c r="E19" s="203"/>
      <c r="F19" s="204" t="str">
        <f t="shared" si="3"/>
        <v/>
      </c>
      <c r="G19" s="204"/>
      <c r="H19" s="204"/>
      <c r="I19" s="12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</row>
    <row r="20" spans="2:119" s="10" customFormat="1" ht="16.25" customHeight="1" outlineLevel="1" x14ac:dyDescent="0.35">
      <c r="C20" s="153"/>
      <c r="D20" s="203"/>
      <c r="E20" s="203"/>
      <c r="F20" s="204" t="str">
        <f t="shared" si="3"/>
        <v/>
      </c>
      <c r="G20" s="204"/>
      <c r="H20" s="204"/>
      <c r="I20" s="12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</row>
    <row r="21" spans="2:119" s="10" customFormat="1" ht="16.25" customHeight="1" outlineLevel="1" x14ac:dyDescent="0.35">
      <c r="C21" s="153"/>
      <c r="D21" s="203"/>
      <c r="E21" s="203"/>
      <c r="F21" s="204" t="str">
        <f t="shared" si="3"/>
        <v/>
      </c>
      <c r="G21" s="204"/>
      <c r="H21" s="204"/>
      <c r="I21" s="12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</row>
    <row r="22" spans="2:119" s="10" customFormat="1" ht="16.25" customHeight="1" outlineLevel="1" x14ac:dyDescent="0.35">
      <c r="C22" s="153"/>
      <c r="D22" s="203"/>
      <c r="E22" s="203"/>
      <c r="F22" s="204" t="str">
        <f t="shared" si="3"/>
        <v/>
      </c>
      <c r="G22" s="204"/>
      <c r="H22" s="204"/>
      <c r="I22" s="12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</row>
    <row r="23" spans="2:119" s="10" customFormat="1" ht="16.25" customHeight="1" outlineLevel="1" x14ac:dyDescent="0.35">
      <c r="C23" s="153"/>
      <c r="D23" s="203"/>
      <c r="E23" s="203"/>
      <c r="F23" s="204" t="str">
        <f t="shared" si="3"/>
        <v/>
      </c>
      <c r="G23" s="204"/>
      <c r="H23" s="204"/>
      <c r="I23" s="12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</row>
    <row r="24" spans="2:119" s="10" customFormat="1" ht="16.25" customHeight="1" outlineLevel="1" x14ac:dyDescent="0.35">
      <c r="C24" s="153"/>
      <c r="D24" s="203"/>
      <c r="E24" s="203"/>
      <c r="F24" s="204" t="str">
        <f t="shared" si="3"/>
        <v/>
      </c>
      <c r="G24" s="204"/>
      <c r="H24" s="204"/>
      <c r="I24" s="12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</row>
    <row r="25" spans="2:119" s="10" customFormat="1" ht="16.25" customHeight="1" outlineLevel="1" x14ac:dyDescent="0.35">
      <c r="C25" s="153"/>
      <c r="D25" s="203"/>
      <c r="E25" s="203"/>
      <c r="F25" s="204" t="str">
        <f t="shared" si="3"/>
        <v/>
      </c>
      <c r="G25" s="204"/>
      <c r="H25" s="204"/>
      <c r="I25" s="12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119" s="10" customFormat="1" ht="16.25" customHeight="1" outlineLevel="1" x14ac:dyDescent="0.35">
      <c r="C26" s="153"/>
      <c r="D26" s="203"/>
      <c r="E26" s="203"/>
      <c r="F26" s="204" t="str">
        <f t="shared" si="3"/>
        <v/>
      </c>
      <c r="G26" s="204"/>
      <c r="H26" s="204"/>
      <c r="I26" s="12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</row>
    <row r="27" spans="2:119" s="10" customFormat="1" ht="16.25" customHeight="1" x14ac:dyDescent="0.35">
      <c r="C27" s="153"/>
      <c r="D27" s="203"/>
      <c r="E27" s="203"/>
      <c r="F27" s="204" t="str">
        <f t="shared" ref="F27" si="4">IF(D27="","",IF(E27+D27-1&lt;0,0,E27+D27-1))</f>
        <v/>
      </c>
      <c r="G27" s="204"/>
      <c r="H27" s="204"/>
      <c r="I27" s="12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</row>
    <row r="28" spans="2:119" ht="15.75" customHeight="1" outlineLevel="1" collapsed="1" x14ac:dyDescent="0.4">
      <c r="B28" s="16" t="s">
        <v>31</v>
      </c>
      <c r="C28" s="15"/>
      <c r="D28" s="107"/>
      <c r="E28" s="107"/>
      <c r="F28" s="108"/>
      <c r="G28" s="108"/>
      <c r="H28" s="109">
        <f>SUM(H30:H119)</f>
        <v>278.84792999999996</v>
      </c>
      <c r="I28" s="108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6"/>
      <c r="BT28" s="106"/>
      <c r="BU28" s="106"/>
      <c r="BV28" s="106"/>
      <c r="BW28" s="106"/>
      <c r="BX28" s="106"/>
      <c r="BY28" s="106"/>
      <c r="BZ28" s="106"/>
      <c r="CA28" s="106"/>
      <c r="CB28" s="106"/>
      <c r="CC28" s="106"/>
      <c r="CD28" s="106"/>
      <c r="CE28" s="106"/>
      <c r="CF28" s="106"/>
      <c r="CG28" s="106"/>
      <c r="CH28" s="106"/>
      <c r="CI28" s="106"/>
      <c r="CJ28" s="106"/>
      <c r="CK28" s="106"/>
      <c r="CL28" s="106"/>
      <c r="CM28" s="106"/>
      <c r="CN28" s="106"/>
      <c r="CO28" s="106"/>
      <c r="CP28" s="106"/>
      <c r="CQ28" s="106"/>
      <c r="CR28" s="106"/>
      <c r="CS28" s="106"/>
      <c r="CT28" s="106"/>
      <c r="CU28" s="106"/>
      <c r="CV28" s="106"/>
      <c r="CW28" s="106"/>
      <c r="CX28" s="106"/>
      <c r="CY28" s="106"/>
      <c r="CZ28" s="106"/>
      <c r="DA28" s="106"/>
      <c r="DB28" s="106"/>
      <c r="DC28" s="106"/>
      <c r="DD28" s="106"/>
      <c r="DE28" s="106"/>
      <c r="DF28" s="106"/>
      <c r="DG28" s="106"/>
      <c r="DH28" s="106"/>
      <c r="DI28" s="106"/>
      <c r="DJ28" s="106"/>
      <c r="DK28" s="106"/>
      <c r="DL28" s="106"/>
      <c r="DM28" s="106"/>
      <c r="DN28" s="106"/>
      <c r="DO28" s="106"/>
    </row>
    <row r="29" spans="2:119" ht="14.5" outlineLevel="1" x14ac:dyDescent="0.3">
      <c r="B29" s="95"/>
      <c r="C29" s="89" t="s">
        <v>47</v>
      </c>
      <c r="D29" s="282" t="s">
        <v>48</v>
      </c>
      <c r="E29" s="89" t="s">
        <v>317</v>
      </c>
      <c r="F29" s="89" t="s">
        <v>38</v>
      </c>
      <c r="G29" s="89" t="s">
        <v>37</v>
      </c>
      <c r="H29" s="89" t="s">
        <v>30</v>
      </c>
      <c r="I29" s="89" t="s">
        <v>29</v>
      </c>
      <c r="J29" s="89" t="s">
        <v>28</v>
      </c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</row>
    <row r="30" spans="2:119" ht="14" outlineLevel="1" x14ac:dyDescent="0.3">
      <c r="C30" s="243"/>
      <c r="D30" s="244"/>
      <c r="F30" s="236" t="str">
        <f t="shared" ref="F30:F37" si="5">+IF(D30="","",(_xlfn.NUMBERVALUE(LEFT(D30,3))))</f>
        <v/>
      </c>
      <c r="G30" s="236"/>
      <c r="H30" s="67" t="str">
        <f>IF(SUM(K30:CV30)=0,"",SUM(K30:CV30))</f>
        <v/>
      </c>
      <c r="I30" s="32" t="str">
        <f>IF(F30="","",(IF(G30="PT",VLOOKUP(F30,#REF!,2,FALSE))+IF(G30="US",VLOOKUP(F30,#REF!,3,FALSE))+IF(G30="DE",VLOOKUP(F30,#REF!,4,FALSE))+IF(G30="BR",VLOOKUP(F30,#REF!,5,FALSE))))</f>
        <v/>
      </c>
      <c r="J30" s="32">
        <v>600</v>
      </c>
      <c r="K30" s="154"/>
      <c r="L30" s="152"/>
      <c r="M30" s="151"/>
      <c r="N30" s="152"/>
      <c r="O30" s="151"/>
      <c r="P30" s="152"/>
      <c r="Q30" s="151"/>
      <c r="R30" s="152"/>
      <c r="S30" s="151"/>
      <c r="T30" s="152"/>
      <c r="U30" s="151"/>
      <c r="V30" s="152"/>
      <c r="W30" s="151"/>
      <c r="X30" s="152"/>
      <c r="Y30" s="151"/>
      <c r="Z30" s="152"/>
      <c r="AA30" s="151"/>
      <c r="AB30" s="152"/>
      <c r="AC30" s="151"/>
      <c r="AD30" s="152"/>
      <c r="AE30" s="151"/>
      <c r="AF30" s="152"/>
      <c r="AG30" s="151"/>
      <c r="AH30" s="152"/>
      <c r="AI30" s="151"/>
      <c r="AJ30" s="152"/>
      <c r="AK30" s="151"/>
      <c r="AL30" s="152"/>
      <c r="AM30" s="151"/>
      <c r="AN30" s="152"/>
      <c r="AO30" s="151"/>
      <c r="AP30" s="152"/>
      <c r="AQ30" s="151"/>
      <c r="AR30" s="152"/>
      <c r="AS30" s="151"/>
      <c r="AT30" s="152"/>
      <c r="AU30" s="151"/>
      <c r="AV30" s="152"/>
      <c r="AW30" s="151"/>
      <c r="AX30" s="152"/>
      <c r="AY30" s="151"/>
      <c r="AZ30" s="152"/>
      <c r="BA30" s="151"/>
      <c r="BB30" s="152"/>
      <c r="BC30" s="151"/>
      <c r="BD30" s="152"/>
      <c r="BE30" s="151"/>
      <c r="BF30" s="152"/>
      <c r="BG30" s="151"/>
      <c r="BH30" s="152"/>
      <c r="BI30" s="151"/>
      <c r="BJ30" s="152"/>
      <c r="BK30" s="151"/>
      <c r="BL30" s="152"/>
      <c r="BM30" s="151"/>
      <c r="BN30" s="152"/>
      <c r="BO30" s="151"/>
      <c r="BP30" s="152"/>
      <c r="BQ30" s="151"/>
      <c r="BR30" s="152"/>
      <c r="BS30" s="151"/>
      <c r="BT30" s="152"/>
      <c r="BU30" s="151"/>
      <c r="BV30" s="152"/>
      <c r="BW30" s="151"/>
      <c r="BX30" s="152"/>
      <c r="BY30" s="151"/>
      <c r="BZ30" s="152"/>
      <c r="CA30" s="151"/>
      <c r="CB30" s="152"/>
      <c r="CC30" s="151"/>
      <c r="CD30" s="152"/>
      <c r="CE30" s="149"/>
      <c r="CF30" s="150"/>
      <c r="CG30" s="149"/>
      <c r="CH30" s="150"/>
      <c r="CI30" s="149"/>
      <c r="CJ30" s="150"/>
      <c r="CK30" s="149"/>
      <c r="CL30" s="150"/>
      <c r="CM30" s="149"/>
      <c r="CN30" s="150"/>
      <c r="CO30" s="149"/>
      <c r="CP30" s="150"/>
      <c r="CQ30" s="149"/>
      <c r="CR30" s="150"/>
      <c r="CS30" s="149"/>
      <c r="CT30" s="150"/>
      <c r="CU30" s="149"/>
      <c r="CV30" s="150"/>
      <c r="CW30" s="149"/>
      <c r="CX30" s="150"/>
      <c r="CY30" s="149"/>
      <c r="CZ30" s="150"/>
      <c r="DA30" s="149"/>
      <c r="DB30" s="150"/>
      <c r="DC30" s="149"/>
      <c r="DD30" s="150"/>
      <c r="DE30" s="149"/>
      <c r="DF30" s="150"/>
      <c r="DG30" s="149"/>
      <c r="DH30" s="150"/>
      <c r="DI30" s="149"/>
      <c r="DJ30" s="150"/>
      <c r="DK30" s="149"/>
      <c r="DL30" s="150"/>
      <c r="DM30" s="149"/>
      <c r="DN30" s="150"/>
      <c r="DO30" s="149"/>
    </row>
    <row r="31" spans="2:119" ht="14" outlineLevel="1" x14ac:dyDescent="0.3">
      <c r="C31" s="243" t="s">
        <v>432</v>
      </c>
      <c r="D31" s="244" t="s">
        <v>283</v>
      </c>
      <c r="F31" s="236">
        <f t="shared" si="5"/>
        <v>300</v>
      </c>
      <c r="G31" s="236" t="s">
        <v>13</v>
      </c>
      <c r="H31" s="67">
        <f>IF(SUM(K31:CV31)=0,"",SUM(K31:CV31))</f>
        <v>61</v>
      </c>
      <c r="I31" s="32" t="e">
        <f>IF(F31="","",(IF(G31="PT",VLOOKUP(F31,#REF!,2,FALSE))+IF(G31="US",VLOOKUP(F31,#REF!,3,FALSE))+IF(G31="DE",VLOOKUP(F31,#REF!,4,FALSE))+IF(G31="BR",VLOOKUP(F31,#REF!,5,FALSE))))</f>
        <v>#REF!</v>
      </c>
      <c r="J31" s="32">
        <v>600</v>
      </c>
      <c r="K31" s="154">
        <v>61</v>
      </c>
      <c r="L31" s="152"/>
      <c r="M31" s="151"/>
      <c r="N31" s="152"/>
      <c r="O31" s="151"/>
      <c r="P31" s="152"/>
      <c r="Q31" s="151"/>
      <c r="R31" s="152"/>
      <c r="S31" s="151"/>
      <c r="T31" s="152"/>
      <c r="U31" s="151"/>
      <c r="V31" s="152"/>
      <c r="W31" s="151"/>
      <c r="X31" s="152"/>
      <c r="Y31" s="151"/>
      <c r="Z31" s="152"/>
      <c r="AA31" s="151"/>
      <c r="AB31" s="152"/>
      <c r="AC31" s="151"/>
      <c r="AD31" s="152"/>
      <c r="AE31" s="151"/>
      <c r="AF31" s="152"/>
      <c r="AG31" s="151"/>
      <c r="AH31" s="152"/>
      <c r="AI31" s="151"/>
      <c r="AJ31" s="152"/>
      <c r="AK31" s="151"/>
      <c r="AL31" s="152"/>
      <c r="AM31" s="151"/>
      <c r="AN31" s="152"/>
      <c r="AO31" s="151"/>
      <c r="AP31" s="152"/>
      <c r="AQ31" s="151"/>
      <c r="AR31" s="152"/>
      <c r="AS31" s="151"/>
      <c r="AT31" s="152"/>
      <c r="AU31" s="151"/>
      <c r="AV31" s="152"/>
      <c r="AW31" s="151"/>
      <c r="AX31" s="152"/>
      <c r="AY31" s="151"/>
      <c r="AZ31" s="152"/>
      <c r="BA31" s="151"/>
      <c r="BB31" s="152"/>
      <c r="BC31" s="151"/>
      <c r="BD31" s="152"/>
      <c r="BE31" s="151"/>
      <c r="BF31" s="152"/>
      <c r="BG31" s="151"/>
      <c r="BH31" s="152"/>
      <c r="BI31" s="151"/>
      <c r="BJ31" s="152"/>
      <c r="BK31" s="151"/>
      <c r="BL31" s="152"/>
      <c r="BM31" s="151"/>
      <c r="BN31" s="152"/>
      <c r="BO31" s="151"/>
      <c r="BP31" s="152"/>
      <c r="BQ31" s="151"/>
      <c r="BR31" s="152"/>
      <c r="BS31" s="151"/>
      <c r="BT31" s="152"/>
      <c r="BU31" s="151"/>
      <c r="BV31" s="152"/>
      <c r="BW31" s="151"/>
      <c r="BX31" s="152"/>
      <c r="BY31" s="151"/>
      <c r="BZ31" s="152"/>
      <c r="CA31" s="151"/>
      <c r="CB31" s="152"/>
      <c r="CC31" s="151"/>
      <c r="CD31" s="152"/>
      <c r="CE31" s="149"/>
      <c r="CF31" s="150"/>
      <c r="CG31" s="149"/>
      <c r="CH31" s="150"/>
      <c r="CI31" s="149"/>
      <c r="CJ31" s="150"/>
      <c r="CK31" s="149"/>
      <c r="CL31" s="150"/>
      <c r="CM31" s="149"/>
      <c r="CN31" s="150"/>
      <c r="CO31" s="149"/>
      <c r="CP31" s="150"/>
      <c r="CQ31" s="149"/>
      <c r="CR31" s="150"/>
      <c r="CS31" s="149"/>
      <c r="CT31" s="150"/>
      <c r="CU31" s="149"/>
      <c r="CV31" s="150"/>
      <c r="CW31" s="149"/>
      <c r="CX31" s="150"/>
      <c r="CY31" s="149"/>
      <c r="CZ31" s="150"/>
      <c r="DA31" s="149"/>
      <c r="DB31" s="150"/>
      <c r="DC31" s="149"/>
      <c r="DD31" s="150"/>
      <c r="DE31" s="149"/>
      <c r="DF31" s="150"/>
      <c r="DG31" s="149"/>
      <c r="DH31" s="150"/>
      <c r="DI31" s="149"/>
      <c r="DJ31" s="150"/>
      <c r="DK31" s="149"/>
      <c r="DL31" s="150"/>
      <c r="DM31" s="149"/>
      <c r="DN31" s="150"/>
      <c r="DO31" s="149"/>
    </row>
    <row r="32" spans="2:119" ht="14" outlineLevel="1" x14ac:dyDescent="0.3">
      <c r="C32" s="243" t="s">
        <v>435</v>
      </c>
      <c r="D32" s="244" t="s">
        <v>300</v>
      </c>
      <c r="F32" s="236">
        <f t="shared" si="5"/>
        <v>303</v>
      </c>
      <c r="G32" s="236" t="s">
        <v>16</v>
      </c>
      <c r="H32" s="67">
        <f t="shared" ref="H32:H37" si="6">IF(SUM(K32:CV32)=0,"",SUM(K32:CV32))</f>
        <v>8</v>
      </c>
      <c r="I32" s="32"/>
      <c r="J32" s="32"/>
      <c r="K32" s="154">
        <v>8</v>
      </c>
      <c r="L32" s="152"/>
      <c r="M32" s="151"/>
      <c r="N32" s="152"/>
      <c r="O32" s="151"/>
      <c r="P32" s="152"/>
      <c r="Q32" s="151"/>
      <c r="R32" s="152"/>
      <c r="S32" s="151"/>
      <c r="T32" s="152"/>
      <c r="U32" s="151"/>
      <c r="V32" s="152"/>
      <c r="W32" s="151"/>
      <c r="X32" s="152"/>
      <c r="Y32" s="151"/>
      <c r="Z32" s="152"/>
      <c r="AA32" s="151"/>
      <c r="AB32" s="152"/>
      <c r="AC32" s="151"/>
      <c r="AD32" s="152"/>
      <c r="AE32" s="151"/>
      <c r="AF32" s="152"/>
      <c r="AG32" s="151"/>
      <c r="AH32" s="152"/>
      <c r="AI32" s="151"/>
      <c r="AJ32" s="152"/>
      <c r="AK32" s="151"/>
      <c r="AL32" s="152"/>
      <c r="AM32" s="151"/>
      <c r="AN32" s="152"/>
      <c r="AO32" s="151"/>
      <c r="AP32" s="152"/>
      <c r="AQ32" s="151"/>
      <c r="AR32" s="152"/>
      <c r="AS32" s="151"/>
      <c r="AT32" s="152"/>
      <c r="AU32" s="151"/>
      <c r="AV32" s="152"/>
      <c r="AW32" s="151"/>
      <c r="AX32" s="152"/>
      <c r="AY32" s="151"/>
      <c r="AZ32" s="152"/>
      <c r="BA32" s="151"/>
      <c r="BB32" s="152"/>
      <c r="BC32" s="151"/>
      <c r="BD32" s="152"/>
      <c r="BE32" s="151"/>
      <c r="BF32" s="152"/>
      <c r="BG32" s="151"/>
      <c r="BH32" s="152"/>
      <c r="BI32" s="151"/>
      <c r="BJ32" s="152"/>
      <c r="BK32" s="151"/>
      <c r="BL32" s="152"/>
      <c r="BM32" s="151"/>
      <c r="BN32" s="152"/>
      <c r="BO32" s="151"/>
      <c r="BP32" s="152"/>
      <c r="BQ32" s="151"/>
      <c r="BR32" s="152"/>
      <c r="BS32" s="151"/>
      <c r="BT32" s="152"/>
      <c r="BU32" s="151"/>
      <c r="BV32" s="152"/>
      <c r="BW32" s="151"/>
      <c r="BX32" s="152"/>
      <c r="BY32" s="151"/>
      <c r="BZ32" s="152"/>
      <c r="CA32" s="151"/>
      <c r="CB32" s="152"/>
      <c r="CC32" s="151"/>
      <c r="CD32" s="152"/>
      <c r="CE32" s="149"/>
      <c r="CF32" s="150"/>
      <c r="CG32" s="149"/>
      <c r="CH32" s="150"/>
      <c r="CI32" s="149"/>
      <c r="CJ32" s="150"/>
      <c r="CK32" s="149"/>
      <c r="CL32" s="150"/>
      <c r="CM32" s="149"/>
      <c r="CN32" s="150"/>
      <c r="CO32" s="149"/>
      <c r="CP32" s="150"/>
      <c r="CQ32" s="149"/>
      <c r="CR32" s="150"/>
      <c r="CS32" s="149"/>
      <c r="CT32" s="150"/>
      <c r="CU32" s="149"/>
      <c r="CV32" s="150"/>
      <c r="CW32" s="149"/>
      <c r="CX32" s="150"/>
      <c r="CY32" s="149"/>
      <c r="CZ32" s="150"/>
      <c r="DA32" s="149"/>
      <c r="DB32" s="150"/>
      <c r="DC32" s="149"/>
      <c r="DD32" s="150"/>
      <c r="DE32" s="149"/>
      <c r="DF32" s="150"/>
      <c r="DG32" s="149"/>
      <c r="DH32" s="150"/>
      <c r="DI32" s="149"/>
      <c r="DJ32" s="150"/>
      <c r="DK32" s="149"/>
      <c r="DL32" s="150"/>
      <c r="DM32" s="149"/>
      <c r="DN32" s="150"/>
      <c r="DO32" s="149"/>
    </row>
    <row r="33" spans="3:119" ht="14" outlineLevel="1" x14ac:dyDescent="0.3">
      <c r="C33" s="243"/>
      <c r="D33" s="244"/>
      <c r="F33" s="236" t="str">
        <f t="shared" si="5"/>
        <v/>
      </c>
      <c r="G33" s="236"/>
      <c r="H33" s="67" t="str">
        <f t="shared" si="6"/>
        <v/>
      </c>
      <c r="I33" s="32"/>
      <c r="J33" s="32"/>
      <c r="K33" s="154"/>
      <c r="L33" s="152"/>
      <c r="M33" s="151"/>
      <c r="N33" s="152"/>
      <c r="O33" s="151"/>
      <c r="P33" s="152"/>
      <c r="Q33" s="151"/>
      <c r="R33" s="152"/>
      <c r="S33" s="151"/>
      <c r="T33" s="152"/>
      <c r="U33" s="151"/>
      <c r="V33" s="152"/>
      <c r="W33" s="151"/>
      <c r="X33" s="152"/>
      <c r="Y33" s="151"/>
      <c r="Z33" s="152"/>
      <c r="AA33" s="151"/>
      <c r="AB33" s="152"/>
      <c r="AC33" s="151"/>
      <c r="AD33" s="152"/>
      <c r="AE33" s="151"/>
      <c r="AF33" s="152"/>
      <c r="AG33" s="151"/>
      <c r="AH33" s="152"/>
      <c r="AI33" s="151"/>
      <c r="AJ33" s="152"/>
      <c r="AK33" s="151"/>
      <c r="AL33" s="152"/>
      <c r="AM33" s="151"/>
      <c r="AN33" s="152"/>
      <c r="AO33" s="151"/>
      <c r="AP33" s="152"/>
      <c r="AQ33" s="151"/>
      <c r="AR33" s="152"/>
      <c r="AS33" s="151"/>
      <c r="AT33" s="152"/>
      <c r="AU33" s="151"/>
      <c r="AV33" s="152"/>
      <c r="AW33" s="151"/>
      <c r="AX33" s="152"/>
      <c r="AY33" s="151"/>
      <c r="AZ33" s="152"/>
      <c r="BA33" s="151"/>
      <c r="BB33" s="152"/>
      <c r="BC33" s="151"/>
      <c r="BD33" s="152"/>
      <c r="BE33" s="151"/>
      <c r="BF33" s="152"/>
      <c r="BG33" s="151"/>
      <c r="BH33" s="152"/>
      <c r="BI33" s="151"/>
      <c r="BJ33" s="152"/>
      <c r="BK33" s="151"/>
      <c r="BL33" s="152"/>
      <c r="BM33" s="151"/>
      <c r="BN33" s="152"/>
      <c r="BO33" s="151"/>
      <c r="BP33" s="152"/>
      <c r="BQ33" s="151"/>
      <c r="BR33" s="152"/>
      <c r="BS33" s="151"/>
      <c r="BT33" s="152"/>
      <c r="BU33" s="151"/>
      <c r="BV33" s="152"/>
      <c r="BW33" s="151"/>
      <c r="BX33" s="152"/>
      <c r="BY33" s="151"/>
      <c r="BZ33" s="152"/>
      <c r="CA33" s="151"/>
      <c r="CB33" s="152"/>
      <c r="CC33" s="151"/>
      <c r="CD33" s="152"/>
      <c r="CE33" s="149"/>
      <c r="CF33" s="150"/>
      <c r="CG33" s="149"/>
      <c r="CH33" s="150"/>
      <c r="CI33" s="149"/>
      <c r="CJ33" s="150"/>
      <c r="CK33" s="149"/>
      <c r="CL33" s="150"/>
      <c r="CM33" s="149"/>
      <c r="CN33" s="150"/>
      <c r="CO33" s="149"/>
      <c r="CP33" s="150"/>
      <c r="CQ33" s="149"/>
      <c r="CR33" s="150"/>
      <c r="CS33" s="149"/>
      <c r="CT33" s="150"/>
      <c r="CU33" s="149"/>
      <c r="CV33" s="150"/>
      <c r="CW33" s="149"/>
      <c r="CX33" s="150"/>
      <c r="CY33" s="149"/>
      <c r="CZ33" s="150"/>
      <c r="DA33" s="149"/>
      <c r="DB33" s="150"/>
      <c r="DC33" s="149"/>
      <c r="DD33" s="150"/>
      <c r="DE33" s="149"/>
      <c r="DF33" s="150"/>
      <c r="DG33" s="149"/>
      <c r="DH33" s="150"/>
      <c r="DI33" s="149"/>
      <c r="DJ33" s="150"/>
      <c r="DK33" s="149"/>
      <c r="DL33" s="150"/>
      <c r="DM33" s="149"/>
      <c r="DN33" s="150"/>
      <c r="DO33" s="149"/>
    </row>
    <row r="34" spans="3:119" ht="14" outlineLevel="1" x14ac:dyDescent="0.3">
      <c r="C34" s="243" t="s">
        <v>436</v>
      </c>
      <c r="D34" s="244" t="s">
        <v>316</v>
      </c>
      <c r="F34" s="236">
        <f t="shared" si="5"/>
        <v>403</v>
      </c>
      <c r="G34" s="236" t="s">
        <v>13</v>
      </c>
      <c r="H34" s="67">
        <f t="shared" si="6"/>
        <v>1</v>
      </c>
      <c r="I34" s="32"/>
      <c r="J34" s="32"/>
      <c r="K34" s="154">
        <v>1</v>
      </c>
      <c r="L34" s="152"/>
      <c r="M34" s="151"/>
      <c r="N34" s="152"/>
      <c r="O34" s="151"/>
      <c r="P34" s="152"/>
      <c r="Q34" s="151"/>
      <c r="R34" s="152"/>
      <c r="S34" s="151"/>
      <c r="T34" s="152"/>
      <c r="U34" s="151"/>
      <c r="V34" s="152"/>
      <c r="W34" s="151"/>
      <c r="X34" s="152"/>
      <c r="Y34" s="151"/>
      <c r="Z34" s="152"/>
      <c r="AA34" s="151"/>
      <c r="AB34" s="152"/>
      <c r="AC34" s="151"/>
      <c r="AD34" s="152"/>
      <c r="AE34" s="151"/>
      <c r="AF34" s="152"/>
      <c r="AG34" s="151"/>
      <c r="AH34" s="152"/>
      <c r="AI34" s="151"/>
      <c r="AJ34" s="152"/>
      <c r="AK34" s="151"/>
      <c r="AL34" s="152"/>
      <c r="AM34" s="151"/>
      <c r="AN34" s="152"/>
      <c r="AO34" s="151"/>
      <c r="AP34" s="152"/>
      <c r="AQ34" s="151"/>
      <c r="AR34" s="152"/>
      <c r="AS34" s="151"/>
      <c r="AT34" s="152"/>
      <c r="AU34" s="151"/>
      <c r="AV34" s="152"/>
      <c r="AW34" s="151"/>
      <c r="AX34" s="152"/>
      <c r="AY34" s="151"/>
      <c r="AZ34" s="152"/>
      <c r="BA34" s="151"/>
      <c r="BB34" s="152"/>
      <c r="BC34" s="151"/>
      <c r="BD34" s="152"/>
      <c r="BE34" s="151"/>
      <c r="BF34" s="152"/>
      <c r="BG34" s="151"/>
      <c r="BH34" s="152"/>
      <c r="BI34" s="151"/>
      <c r="BJ34" s="152"/>
      <c r="BK34" s="151"/>
      <c r="BL34" s="152"/>
      <c r="BM34" s="151"/>
      <c r="BN34" s="152"/>
      <c r="BO34" s="151"/>
      <c r="BP34" s="152"/>
      <c r="BQ34" s="151"/>
      <c r="BR34" s="152"/>
      <c r="BS34" s="151"/>
      <c r="BT34" s="152"/>
      <c r="BU34" s="151"/>
      <c r="BV34" s="152"/>
      <c r="BW34" s="151"/>
      <c r="BX34" s="152"/>
      <c r="BY34" s="151"/>
      <c r="BZ34" s="152"/>
      <c r="CA34" s="151"/>
      <c r="CB34" s="152"/>
      <c r="CC34" s="151"/>
      <c r="CD34" s="152"/>
      <c r="CE34" s="149"/>
      <c r="CF34" s="150"/>
      <c r="CG34" s="149"/>
      <c r="CH34" s="150"/>
      <c r="CI34" s="149"/>
      <c r="CJ34" s="150"/>
      <c r="CK34" s="149"/>
      <c r="CL34" s="150"/>
      <c r="CM34" s="149"/>
      <c r="CN34" s="150"/>
      <c r="CO34" s="149"/>
      <c r="CP34" s="150"/>
      <c r="CQ34" s="149"/>
      <c r="CR34" s="150"/>
      <c r="CS34" s="149"/>
      <c r="CT34" s="150"/>
      <c r="CU34" s="149"/>
      <c r="CV34" s="150"/>
      <c r="CW34" s="149"/>
      <c r="CX34" s="150"/>
      <c r="CY34" s="149"/>
      <c r="CZ34" s="150"/>
      <c r="DA34" s="149"/>
      <c r="DB34" s="150"/>
      <c r="DC34" s="149"/>
      <c r="DD34" s="150"/>
      <c r="DE34" s="149"/>
      <c r="DF34" s="150"/>
      <c r="DG34" s="149"/>
      <c r="DH34" s="150"/>
      <c r="DI34" s="149"/>
      <c r="DJ34" s="150"/>
      <c r="DK34" s="149"/>
      <c r="DL34" s="150"/>
      <c r="DM34" s="149"/>
      <c r="DN34" s="150"/>
      <c r="DO34" s="149"/>
    </row>
    <row r="35" spans="3:119" ht="14" outlineLevel="1" x14ac:dyDescent="0.3">
      <c r="C35" s="243" t="s">
        <v>436</v>
      </c>
      <c r="D35" s="244" t="s">
        <v>303</v>
      </c>
      <c r="F35" s="236">
        <f t="shared" si="5"/>
        <v>400</v>
      </c>
      <c r="G35" s="236" t="s">
        <v>13</v>
      </c>
      <c r="H35" s="67">
        <f t="shared" si="6"/>
        <v>1</v>
      </c>
      <c r="I35" s="32"/>
      <c r="J35" s="32"/>
      <c r="K35" s="154">
        <v>1</v>
      </c>
      <c r="L35" s="152"/>
      <c r="M35" s="151"/>
      <c r="N35" s="152"/>
      <c r="O35" s="151"/>
      <c r="P35" s="152"/>
      <c r="Q35" s="151"/>
      <c r="R35" s="152"/>
      <c r="S35" s="151"/>
      <c r="T35" s="152"/>
      <c r="U35" s="151"/>
      <c r="V35" s="152"/>
      <c r="W35" s="151"/>
      <c r="X35" s="152"/>
      <c r="Y35" s="151"/>
      <c r="Z35" s="152"/>
      <c r="AA35" s="151"/>
      <c r="AB35" s="152"/>
      <c r="AC35" s="151"/>
      <c r="AD35" s="152"/>
      <c r="AE35" s="151"/>
      <c r="AF35" s="152"/>
      <c r="AG35" s="151"/>
      <c r="AH35" s="152"/>
      <c r="AI35" s="151"/>
      <c r="AJ35" s="152"/>
      <c r="AK35" s="151"/>
      <c r="AL35" s="152"/>
      <c r="AM35" s="151"/>
      <c r="AN35" s="152"/>
      <c r="AO35" s="151"/>
      <c r="AP35" s="152"/>
      <c r="AQ35" s="151"/>
      <c r="AR35" s="152"/>
      <c r="AS35" s="151"/>
      <c r="AT35" s="152"/>
      <c r="AU35" s="151"/>
      <c r="AV35" s="152"/>
      <c r="AW35" s="151"/>
      <c r="AX35" s="152"/>
      <c r="AY35" s="151"/>
      <c r="AZ35" s="152"/>
      <c r="BA35" s="151"/>
      <c r="BB35" s="152"/>
      <c r="BC35" s="151"/>
      <c r="BD35" s="152"/>
      <c r="BE35" s="151"/>
      <c r="BF35" s="152"/>
      <c r="BG35" s="151"/>
      <c r="BH35" s="152"/>
      <c r="BI35" s="151"/>
      <c r="BJ35" s="152"/>
      <c r="BK35" s="151"/>
      <c r="BL35" s="152"/>
      <c r="BM35" s="151"/>
      <c r="BN35" s="152"/>
      <c r="BO35" s="151"/>
      <c r="BP35" s="152"/>
      <c r="BQ35" s="151"/>
      <c r="BR35" s="152"/>
      <c r="BS35" s="151"/>
      <c r="BT35" s="152"/>
      <c r="BU35" s="151"/>
      <c r="BV35" s="152"/>
      <c r="BW35" s="151"/>
      <c r="BX35" s="152"/>
      <c r="BY35" s="151"/>
      <c r="BZ35" s="152"/>
      <c r="CA35" s="151"/>
      <c r="CB35" s="152"/>
      <c r="CC35" s="151"/>
      <c r="CD35" s="152"/>
      <c r="CE35" s="149"/>
      <c r="CF35" s="150"/>
      <c r="CG35" s="149"/>
      <c r="CH35" s="150"/>
      <c r="CI35" s="149"/>
      <c r="CJ35" s="150"/>
      <c r="CK35" s="149"/>
      <c r="CL35" s="150"/>
      <c r="CM35" s="149"/>
      <c r="CN35" s="150"/>
      <c r="CO35" s="149"/>
      <c r="CP35" s="150"/>
      <c r="CQ35" s="149"/>
      <c r="CR35" s="150"/>
      <c r="CS35" s="149"/>
      <c r="CT35" s="150"/>
      <c r="CU35" s="149"/>
      <c r="CV35" s="150"/>
      <c r="CW35" s="149"/>
      <c r="CX35" s="150"/>
      <c r="CY35" s="149"/>
      <c r="CZ35" s="150"/>
      <c r="DA35" s="149"/>
      <c r="DB35" s="150"/>
      <c r="DC35" s="149"/>
      <c r="DD35" s="150"/>
      <c r="DE35" s="149"/>
      <c r="DF35" s="150"/>
      <c r="DG35" s="149"/>
      <c r="DH35" s="150"/>
      <c r="DI35" s="149"/>
      <c r="DJ35" s="150"/>
      <c r="DK35" s="149"/>
      <c r="DL35" s="150"/>
      <c r="DM35" s="149"/>
      <c r="DN35" s="150"/>
      <c r="DO35" s="149"/>
    </row>
    <row r="36" spans="3:119" ht="14" outlineLevel="1" x14ac:dyDescent="0.3">
      <c r="C36" s="243" t="s">
        <v>436</v>
      </c>
      <c r="D36" s="244" t="s">
        <v>305</v>
      </c>
      <c r="F36" s="236">
        <f t="shared" si="5"/>
        <v>400</v>
      </c>
      <c r="G36" s="236" t="s">
        <v>13</v>
      </c>
      <c r="H36" s="67">
        <f t="shared" si="6"/>
        <v>2</v>
      </c>
      <c r="I36" s="32"/>
      <c r="J36" s="32"/>
      <c r="K36" s="154">
        <v>2</v>
      </c>
      <c r="L36" s="152"/>
      <c r="M36" s="151"/>
      <c r="N36" s="152"/>
      <c r="O36" s="151"/>
      <c r="P36" s="152"/>
      <c r="Q36" s="151"/>
      <c r="R36" s="152"/>
      <c r="S36" s="151"/>
      <c r="T36" s="152"/>
      <c r="U36" s="151"/>
      <c r="V36" s="152"/>
      <c r="W36" s="151"/>
      <c r="X36" s="152"/>
      <c r="Y36" s="151"/>
      <c r="Z36" s="152"/>
      <c r="AA36" s="151"/>
      <c r="AB36" s="152"/>
      <c r="AC36" s="151"/>
      <c r="AD36" s="152"/>
      <c r="AE36" s="151"/>
      <c r="AF36" s="152"/>
      <c r="AG36" s="151"/>
      <c r="AH36" s="152"/>
      <c r="AI36" s="151"/>
      <c r="AJ36" s="152"/>
      <c r="AK36" s="151"/>
      <c r="AL36" s="152"/>
      <c r="AM36" s="151"/>
      <c r="AN36" s="152"/>
      <c r="AO36" s="151"/>
      <c r="AP36" s="152"/>
      <c r="AQ36" s="151"/>
      <c r="AR36" s="152"/>
      <c r="AS36" s="151"/>
      <c r="AT36" s="152"/>
      <c r="AU36" s="151"/>
      <c r="AV36" s="152"/>
      <c r="AW36" s="151"/>
      <c r="AX36" s="152"/>
      <c r="AY36" s="151"/>
      <c r="AZ36" s="152"/>
      <c r="BA36" s="151"/>
      <c r="BB36" s="152"/>
      <c r="BC36" s="151"/>
      <c r="BD36" s="152"/>
      <c r="BE36" s="151"/>
      <c r="BF36" s="152"/>
      <c r="BG36" s="151"/>
      <c r="BH36" s="152"/>
      <c r="BI36" s="151"/>
      <c r="BJ36" s="152"/>
      <c r="BK36" s="151"/>
      <c r="BL36" s="152"/>
      <c r="BM36" s="151"/>
      <c r="BN36" s="152"/>
      <c r="BO36" s="151"/>
      <c r="BP36" s="152"/>
      <c r="BQ36" s="151"/>
      <c r="BR36" s="152"/>
      <c r="BS36" s="151"/>
      <c r="BT36" s="152"/>
      <c r="BU36" s="151"/>
      <c r="BV36" s="152"/>
      <c r="BW36" s="151"/>
      <c r="BX36" s="152"/>
      <c r="BY36" s="151"/>
      <c r="BZ36" s="152"/>
      <c r="CA36" s="151"/>
      <c r="CB36" s="152"/>
      <c r="CC36" s="151"/>
      <c r="CD36" s="152"/>
      <c r="CE36" s="149"/>
      <c r="CF36" s="150"/>
      <c r="CG36" s="149"/>
      <c r="CH36" s="150"/>
      <c r="CI36" s="149"/>
      <c r="CJ36" s="150"/>
      <c r="CK36" s="149"/>
      <c r="CL36" s="150"/>
      <c r="CM36" s="149"/>
      <c r="CN36" s="150"/>
      <c r="CO36" s="149"/>
      <c r="CP36" s="150"/>
      <c r="CQ36" s="149"/>
      <c r="CR36" s="150"/>
      <c r="CS36" s="149"/>
      <c r="CT36" s="150"/>
      <c r="CU36" s="149"/>
      <c r="CV36" s="150"/>
      <c r="CW36" s="149"/>
      <c r="CX36" s="150"/>
      <c r="CY36" s="149"/>
      <c r="CZ36" s="150"/>
      <c r="DA36" s="149"/>
      <c r="DB36" s="150"/>
      <c r="DC36" s="149"/>
      <c r="DD36" s="150"/>
      <c r="DE36" s="149"/>
      <c r="DF36" s="150"/>
      <c r="DG36" s="149"/>
      <c r="DH36" s="150"/>
      <c r="DI36" s="149"/>
      <c r="DJ36" s="150"/>
      <c r="DK36" s="149"/>
      <c r="DL36" s="150"/>
      <c r="DM36" s="149"/>
      <c r="DN36" s="150"/>
      <c r="DO36" s="149"/>
    </row>
    <row r="37" spans="3:119" ht="14" outlineLevel="1" x14ac:dyDescent="0.3">
      <c r="C37" s="243" t="s">
        <v>436</v>
      </c>
      <c r="D37" s="244" t="s">
        <v>295</v>
      </c>
      <c r="F37" s="236">
        <f t="shared" si="5"/>
        <v>302</v>
      </c>
      <c r="G37" s="236" t="s">
        <v>13</v>
      </c>
      <c r="H37" s="67">
        <f t="shared" si="6"/>
        <v>2</v>
      </c>
      <c r="I37" s="32"/>
      <c r="J37" s="32"/>
      <c r="K37" s="154">
        <v>2</v>
      </c>
      <c r="L37" s="152"/>
      <c r="M37" s="151"/>
      <c r="N37" s="152"/>
      <c r="O37" s="151"/>
      <c r="P37" s="152"/>
      <c r="Q37" s="151"/>
      <c r="R37" s="152"/>
      <c r="S37" s="151"/>
      <c r="T37" s="152"/>
      <c r="U37" s="151"/>
      <c r="V37" s="152"/>
      <c r="W37" s="151"/>
      <c r="X37" s="152"/>
      <c r="Y37" s="151"/>
      <c r="Z37" s="152"/>
      <c r="AA37" s="151"/>
      <c r="AB37" s="152"/>
      <c r="AC37" s="151"/>
      <c r="AD37" s="152"/>
      <c r="AE37" s="151"/>
      <c r="AF37" s="152"/>
      <c r="AG37" s="151"/>
      <c r="AH37" s="152"/>
      <c r="AI37" s="151"/>
      <c r="AJ37" s="152"/>
      <c r="AK37" s="151"/>
      <c r="AL37" s="152"/>
      <c r="AM37" s="151"/>
      <c r="AN37" s="152"/>
      <c r="AO37" s="151"/>
      <c r="AP37" s="152"/>
      <c r="AQ37" s="151"/>
      <c r="AR37" s="152"/>
      <c r="AS37" s="151"/>
      <c r="AT37" s="152"/>
      <c r="AU37" s="151"/>
      <c r="AV37" s="152"/>
      <c r="AW37" s="151"/>
      <c r="AX37" s="152"/>
      <c r="AY37" s="151"/>
      <c r="AZ37" s="152"/>
      <c r="BA37" s="151"/>
      <c r="BB37" s="152"/>
      <c r="BC37" s="151"/>
      <c r="BD37" s="152"/>
      <c r="BE37" s="151"/>
      <c r="BF37" s="152"/>
      <c r="BG37" s="151"/>
      <c r="BH37" s="152"/>
      <c r="BI37" s="151"/>
      <c r="BJ37" s="152"/>
      <c r="BK37" s="151"/>
      <c r="BL37" s="152"/>
      <c r="BM37" s="151"/>
      <c r="BN37" s="152"/>
      <c r="BO37" s="151"/>
      <c r="BP37" s="152"/>
      <c r="BQ37" s="151"/>
      <c r="BR37" s="152"/>
      <c r="BS37" s="151"/>
      <c r="BT37" s="152"/>
      <c r="BU37" s="151"/>
      <c r="BV37" s="152"/>
      <c r="BW37" s="151"/>
      <c r="BX37" s="152"/>
      <c r="BY37" s="151"/>
      <c r="BZ37" s="152"/>
      <c r="CA37" s="151"/>
      <c r="CB37" s="152"/>
      <c r="CC37" s="151"/>
      <c r="CD37" s="152"/>
      <c r="CE37" s="149"/>
      <c r="CF37" s="150"/>
      <c r="CG37" s="149"/>
      <c r="CH37" s="150"/>
      <c r="CI37" s="149"/>
      <c r="CJ37" s="150"/>
      <c r="CK37" s="149"/>
      <c r="CL37" s="150"/>
      <c r="CM37" s="149"/>
      <c r="CN37" s="150"/>
      <c r="CO37" s="149"/>
      <c r="CP37" s="150"/>
      <c r="CQ37" s="149"/>
      <c r="CR37" s="150"/>
      <c r="CS37" s="149"/>
      <c r="CT37" s="150"/>
      <c r="CU37" s="149"/>
      <c r="CV37" s="150"/>
      <c r="CW37" s="149"/>
      <c r="CX37" s="150"/>
      <c r="CY37" s="149"/>
      <c r="CZ37" s="150"/>
      <c r="DA37" s="149"/>
      <c r="DB37" s="150"/>
      <c r="DC37" s="149"/>
      <c r="DD37" s="150"/>
      <c r="DE37" s="149"/>
      <c r="DF37" s="150"/>
      <c r="DG37" s="149"/>
      <c r="DH37" s="150"/>
      <c r="DI37" s="149"/>
      <c r="DJ37" s="150"/>
      <c r="DK37" s="149"/>
      <c r="DL37" s="150"/>
      <c r="DM37" s="149"/>
      <c r="DN37" s="150"/>
      <c r="DO37" s="149"/>
    </row>
    <row r="38" spans="3:119" ht="14" outlineLevel="1" x14ac:dyDescent="0.3">
      <c r="C38" s="243"/>
      <c r="D38" s="244"/>
      <c r="F38" s="236" t="str">
        <f t="shared" ref="F38:F62" si="7">+IF(D38="","",(_xlfn.NUMBERVALUE(LEFT(D38,3))))</f>
        <v/>
      </c>
      <c r="G38" s="236"/>
      <c r="H38" s="67" t="str">
        <f t="shared" ref="H38:H59" si="8">IF(SUM(K38:CV38)=0,"",SUM(K38:CV38))</f>
        <v/>
      </c>
      <c r="I38" s="32"/>
      <c r="J38" s="32"/>
      <c r="K38" s="154"/>
      <c r="L38" s="152"/>
      <c r="M38" s="151"/>
      <c r="N38" s="152"/>
      <c r="O38" s="151"/>
      <c r="P38" s="152"/>
      <c r="Q38" s="151"/>
      <c r="R38" s="152"/>
      <c r="S38" s="151"/>
      <c r="T38" s="152"/>
      <c r="U38" s="151"/>
      <c r="V38" s="152"/>
      <c r="W38" s="151"/>
      <c r="X38" s="152"/>
      <c r="Y38" s="151"/>
      <c r="Z38" s="152"/>
      <c r="AA38" s="151"/>
      <c r="AB38" s="152"/>
      <c r="AC38" s="151"/>
      <c r="AD38" s="152"/>
      <c r="AE38" s="151"/>
      <c r="AF38" s="152"/>
      <c r="AG38" s="151"/>
      <c r="AH38" s="152"/>
      <c r="AI38" s="151"/>
      <c r="AJ38" s="152"/>
      <c r="AK38" s="151"/>
      <c r="AL38" s="152"/>
      <c r="AM38" s="151"/>
      <c r="AN38" s="152"/>
      <c r="AO38" s="151"/>
      <c r="AP38" s="152"/>
      <c r="AQ38" s="151"/>
      <c r="AR38" s="152"/>
      <c r="AS38" s="151"/>
      <c r="AT38" s="152"/>
      <c r="AU38" s="151"/>
      <c r="AV38" s="152"/>
      <c r="AW38" s="151"/>
      <c r="AX38" s="152"/>
      <c r="AY38" s="151"/>
      <c r="AZ38" s="152"/>
      <c r="BA38" s="151"/>
      <c r="BB38" s="152"/>
      <c r="BC38" s="151"/>
      <c r="BD38" s="152"/>
      <c r="BE38" s="151"/>
      <c r="BF38" s="152"/>
      <c r="BG38" s="151"/>
      <c r="BH38" s="152"/>
      <c r="BI38" s="151"/>
      <c r="BJ38" s="152"/>
      <c r="BK38" s="151"/>
      <c r="BL38" s="152"/>
      <c r="BM38" s="151"/>
      <c r="BN38" s="152"/>
      <c r="BO38" s="151"/>
      <c r="BP38" s="152"/>
      <c r="BQ38" s="151"/>
      <c r="BR38" s="152"/>
      <c r="BS38" s="151"/>
      <c r="BT38" s="152"/>
      <c r="BU38" s="151"/>
      <c r="BV38" s="152"/>
      <c r="BW38" s="151"/>
      <c r="BX38" s="152"/>
      <c r="BY38" s="151"/>
      <c r="BZ38" s="152"/>
      <c r="CA38" s="151"/>
      <c r="CB38" s="152"/>
      <c r="CC38" s="151"/>
      <c r="CD38" s="152"/>
      <c r="CE38" s="149"/>
      <c r="CF38" s="150"/>
      <c r="CG38" s="149"/>
      <c r="CH38" s="150"/>
      <c r="CI38" s="149"/>
      <c r="CJ38" s="150"/>
      <c r="CK38" s="149"/>
      <c r="CL38" s="150"/>
      <c r="CM38" s="149"/>
      <c r="CN38" s="150"/>
      <c r="CO38" s="149"/>
      <c r="CP38" s="150"/>
      <c r="CQ38" s="149"/>
      <c r="CR38" s="150"/>
      <c r="CS38" s="149"/>
      <c r="CT38" s="150"/>
      <c r="CU38" s="149"/>
      <c r="CV38" s="150"/>
      <c r="CW38" s="149"/>
      <c r="CX38" s="150"/>
      <c r="CY38" s="149"/>
      <c r="CZ38" s="150"/>
      <c r="DA38" s="149"/>
      <c r="DB38" s="150"/>
      <c r="DC38" s="149"/>
      <c r="DD38" s="150"/>
      <c r="DE38" s="149"/>
      <c r="DF38" s="150"/>
      <c r="DG38" s="149"/>
      <c r="DH38" s="150"/>
      <c r="DI38" s="149"/>
      <c r="DJ38" s="150"/>
      <c r="DK38" s="149"/>
      <c r="DL38" s="150"/>
      <c r="DM38" s="149"/>
      <c r="DN38" s="150"/>
      <c r="DO38" s="149"/>
    </row>
    <row r="39" spans="3:119" ht="14" outlineLevel="1" x14ac:dyDescent="0.3">
      <c r="C39" s="243"/>
      <c r="D39" s="244"/>
      <c r="F39" s="236" t="str">
        <f t="shared" si="7"/>
        <v/>
      </c>
      <c r="G39" s="236"/>
      <c r="H39" s="67" t="str">
        <f t="shared" si="8"/>
        <v/>
      </c>
      <c r="I39" s="32"/>
      <c r="J39" s="32"/>
      <c r="K39" s="154"/>
      <c r="L39" s="152"/>
      <c r="M39" s="151"/>
      <c r="N39" s="152"/>
      <c r="O39" s="151"/>
      <c r="P39" s="152"/>
      <c r="Q39" s="151"/>
      <c r="R39" s="152"/>
      <c r="S39" s="151"/>
      <c r="T39" s="152"/>
      <c r="U39" s="151"/>
      <c r="V39" s="152"/>
      <c r="W39" s="151"/>
      <c r="X39" s="152"/>
      <c r="Y39" s="151"/>
      <c r="Z39" s="152"/>
      <c r="AA39" s="151"/>
      <c r="AB39" s="152"/>
      <c r="AC39" s="151"/>
      <c r="AD39" s="152"/>
      <c r="AE39" s="151"/>
      <c r="AF39" s="152"/>
      <c r="AG39" s="151"/>
      <c r="AH39" s="152"/>
      <c r="AI39" s="151"/>
      <c r="AJ39" s="152"/>
      <c r="AK39" s="151"/>
      <c r="AL39" s="152"/>
      <c r="AM39" s="151"/>
      <c r="AN39" s="152"/>
      <c r="AO39" s="151"/>
      <c r="AP39" s="152"/>
      <c r="AQ39" s="151"/>
      <c r="AR39" s="152"/>
      <c r="AS39" s="151"/>
      <c r="AT39" s="152"/>
      <c r="AU39" s="151"/>
      <c r="AV39" s="152"/>
      <c r="AW39" s="151"/>
      <c r="AX39" s="152"/>
      <c r="AY39" s="151"/>
      <c r="AZ39" s="152"/>
      <c r="BA39" s="151"/>
      <c r="BB39" s="152"/>
      <c r="BC39" s="151"/>
      <c r="BD39" s="152"/>
      <c r="BE39" s="151"/>
      <c r="BF39" s="152"/>
      <c r="BG39" s="151"/>
      <c r="BH39" s="152"/>
      <c r="BI39" s="151"/>
      <c r="BJ39" s="152"/>
      <c r="BK39" s="151"/>
      <c r="BL39" s="152"/>
      <c r="BM39" s="151"/>
      <c r="BN39" s="152"/>
      <c r="BO39" s="151"/>
      <c r="BP39" s="152"/>
      <c r="BQ39" s="151"/>
      <c r="BR39" s="152"/>
      <c r="BS39" s="151"/>
      <c r="BT39" s="152"/>
      <c r="BU39" s="151"/>
      <c r="BV39" s="152"/>
      <c r="BW39" s="151"/>
      <c r="BX39" s="152"/>
      <c r="BY39" s="151"/>
      <c r="BZ39" s="152"/>
      <c r="CA39" s="151"/>
      <c r="CB39" s="152"/>
      <c r="CC39" s="151"/>
      <c r="CD39" s="152"/>
      <c r="CE39" s="149"/>
      <c r="CF39" s="150"/>
      <c r="CG39" s="149"/>
      <c r="CH39" s="150"/>
      <c r="CI39" s="149"/>
      <c r="CJ39" s="150"/>
      <c r="CK39" s="149"/>
      <c r="CL39" s="150"/>
      <c r="CM39" s="149"/>
      <c r="CN39" s="150"/>
      <c r="CO39" s="149"/>
      <c r="CP39" s="150"/>
      <c r="CQ39" s="149"/>
      <c r="CR39" s="150"/>
      <c r="CS39" s="149"/>
      <c r="CT39" s="150"/>
      <c r="CU39" s="149"/>
      <c r="CV39" s="150"/>
      <c r="CW39" s="149"/>
      <c r="CX39" s="150"/>
      <c r="CY39" s="149"/>
      <c r="CZ39" s="150"/>
      <c r="DA39" s="149"/>
      <c r="DB39" s="150"/>
      <c r="DC39" s="149"/>
      <c r="DD39" s="150"/>
      <c r="DE39" s="149"/>
      <c r="DF39" s="150"/>
      <c r="DG39" s="149"/>
      <c r="DH39" s="150"/>
      <c r="DI39" s="149"/>
      <c r="DJ39" s="150"/>
      <c r="DK39" s="149"/>
      <c r="DL39" s="150"/>
      <c r="DM39" s="149"/>
      <c r="DN39" s="150"/>
      <c r="DO39" s="149"/>
    </row>
    <row r="40" spans="3:119" ht="14" outlineLevel="1" x14ac:dyDescent="0.3">
      <c r="C40" s="243"/>
      <c r="D40" s="244"/>
      <c r="F40" s="236" t="str">
        <f t="shared" si="7"/>
        <v/>
      </c>
      <c r="G40" s="236"/>
      <c r="H40" s="67" t="str">
        <f t="shared" si="8"/>
        <v/>
      </c>
      <c r="I40" s="32"/>
      <c r="J40" s="32"/>
      <c r="K40" s="154"/>
      <c r="L40" s="152"/>
      <c r="M40" s="151"/>
      <c r="N40" s="152"/>
      <c r="O40" s="151"/>
      <c r="P40" s="152"/>
      <c r="Q40" s="151"/>
      <c r="R40" s="152"/>
      <c r="S40" s="151"/>
      <c r="T40" s="152"/>
      <c r="U40" s="151"/>
      <c r="V40" s="152"/>
      <c r="W40" s="151"/>
      <c r="X40" s="152"/>
      <c r="Y40" s="151"/>
      <c r="Z40" s="152"/>
      <c r="AA40" s="151"/>
      <c r="AB40" s="152"/>
      <c r="AC40" s="151"/>
      <c r="AD40" s="152"/>
      <c r="AE40" s="151"/>
      <c r="AF40" s="152"/>
      <c r="AG40" s="151"/>
      <c r="AH40" s="152"/>
      <c r="AI40" s="151"/>
      <c r="AJ40" s="152"/>
      <c r="AK40" s="151"/>
      <c r="AL40" s="152"/>
      <c r="AM40" s="151"/>
      <c r="AN40" s="152"/>
      <c r="AO40" s="151"/>
      <c r="AP40" s="152"/>
      <c r="AQ40" s="151"/>
      <c r="AR40" s="152"/>
      <c r="AS40" s="151"/>
      <c r="AT40" s="152"/>
      <c r="AU40" s="151"/>
      <c r="AV40" s="152"/>
      <c r="AW40" s="151"/>
      <c r="AX40" s="152"/>
      <c r="AY40" s="151"/>
      <c r="AZ40" s="152"/>
      <c r="BA40" s="151"/>
      <c r="BB40" s="152"/>
      <c r="BC40" s="151"/>
      <c r="BD40" s="152"/>
      <c r="BE40" s="151"/>
      <c r="BF40" s="152"/>
      <c r="BG40" s="151"/>
      <c r="BH40" s="152"/>
      <c r="BI40" s="151"/>
      <c r="BJ40" s="152"/>
      <c r="BK40" s="151"/>
      <c r="BL40" s="152"/>
      <c r="BM40" s="151"/>
      <c r="BN40" s="152"/>
      <c r="BO40" s="151"/>
      <c r="BP40" s="152"/>
      <c r="BQ40" s="151"/>
      <c r="BR40" s="152"/>
      <c r="BS40" s="151"/>
      <c r="BT40" s="152"/>
      <c r="BU40" s="151"/>
      <c r="BV40" s="152"/>
      <c r="BW40" s="151"/>
      <c r="BX40" s="152"/>
      <c r="BY40" s="151"/>
      <c r="BZ40" s="152"/>
      <c r="CA40" s="151"/>
      <c r="CB40" s="152"/>
      <c r="CC40" s="151"/>
      <c r="CD40" s="152"/>
      <c r="CE40" s="149"/>
      <c r="CF40" s="150"/>
      <c r="CG40" s="149"/>
      <c r="CH40" s="150"/>
      <c r="CI40" s="149"/>
      <c r="CJ40" s="150"/>
      <c r="CK40" s="149"/>
      <c r="CL40" s="150"/>
      <c r="CM40" s="149"/>
      <c r="CN40" s="150"/>
      <c r="CO40" s="149"/>
      <c r="CP40" s="150"/>
      <c r="CQ40" s="149"/>
      <c r="CR40" s="150"/>
      <c r="CS40" s="149"/>
      <c r="CT40" s="150"/>
      <c r="CU40" s="149"/>
      <c r="CV40" s="150"/>
      <c r="CW40" s="149"/>
      <c r="CX40" s="150"/>
      <c r="CY40" s="149"/>
      <c r="CZ40" s="150"/>
      <c r="DA40" s="149"/>
      <c r="DB40" s="150"/>
      <c r="DC40" s="149"/>
      <c r="DD40" s="150"/>
      <c r="DE40" s="149"/>
      <c r="DF40" s="150"/>
      <c r="DG40" s="149"/>
      <c r="DH40" s="150"/>
      <c r="DI40" s="149"/>
      <c r="DJ40" s="150"/>
      <c r="DK40" s="149"/>
      <c r="DL40" s="150"/>
      <c r="DM40" s="149"/>
      <c r="DN40" s="150"/>
      <c r="DO40" s="149"/>
    </row>
    <row r="41" spans="3:119" ht="14" outlineLevel="1" x14ac:dyDescent="0.3">
      <c r="C41" s="243"/>
      <c r="D41" s="244"/>
      <c r="F41" s="236" t="str">
        <f t="shared" si="7"/>
        <v/>
      </c>
      <c r="G41" s="236"/>
      <c r="H41" s="67" t="str">
        <f t="shared" si="8"/>
        <v/>
      </c>
      <c r="I41" s="32"/>
      <c r="J41" s="32"/>
      <c r="K41" s="154"/>
      <c r="L41" s="152"/>
      <c r="M41" s="151"/>
      <c r="N41" s="152"/>
      <c r="O41" s="151"/>
      <c r="P41" s="152"/>
      <c r="Q41" s="151"/>
      <c r="R41" s="152"/>
      <c r="S41" s="151"/>
      <c r="T41" s="152"/>
      <c r="U41" s="151"/>
      <c r="V41" s="152"/>
      <c r="W41" s="151"/>
      <c r="X41" s="152"/>
      <c r="Y41" s="151"/>
      <c r="Z41" s="152"/>
      <c r="AA41" s="151"/>
      <c r="AB41" s="152"/>
      <c r="AC41" s="151"/>
      <c r="AD41" s="152"/>
      <c r="AE41" s="151"/>
      <c r="AF41" s="152"/>
      <c r="AG41" s="151"/>
      <c r="AH41" s="152"/>
      <c r="AI41" s="151"/>
      <c r="AJ41" s="152"/>
      <c r="AK41" s="151"/>
      <c r="AL41" s="152"/>
      <c r="AM41" s="151"/>
      <c r="AN41" s="152"/>
      <c r="AO41" s="151"/>
      <c r="AP41" s="152"/>
      <c r="AQ41" s="151"/>
      <c r="AR41" s="152"/>
      <c r="AS41" s="151"/>
      <c r="AT41" s="152"/>
      <c r="AU41" s="151"/>
      <c r="AV41" s="152"/>
      <c r="AW41" s="151"/>
      <c r="AX41" s="152"/>
      <c r="AY41" s="151"/>
      <c r="AZ41" s="152"/>
      <c r="BA41" s="151"/>
      <c r="BB41" s="152"/>
      <c r="BC41" s="151"/>
      <c r="BD41" s="152"/>
      <c r="BE41" s="151"/>
      <c r="BF41" s="152"/>
      <c r="BG41" s="151"/>
      <c r="BH41" s="152"/>
      <c r="BI41" s="151"/>
      <c r="BJ41" s="152"/>
      <c r="BK41" s="151"/>
      <c r="BL41" s="152"/>
      <c r="BM41" s="151"/>
      <c r="BN41" s="152"/>
      <c r="BO41" s="151"/>
      <c r="BP41" s="152"/>
      <c r="BQ41" s="151"/>
      <c r="BR41" s="152"/>
      <c r="BS41" s="151"/>
      <c r="BT41" s="152"/>
      <c r="BU41" s="151"/>
      <c r="BV41" s="152"/>
      <c r="BW41" s="151"/>
      <c r="BX41" s="152"/>
      <c r="BY41" s="151"/>
      <c r="BZ41" s="152"/>
      <c r="CA41" s="151"/>
      <c r="CB41" s="152"/>
      <c r="CC41" s="151"/>
      <c r="CD41" s="152"/>
      <c r="CE41" s="149"/>
      <c r="CF41" s="150"/>
      <c r="CG41" s="149"/>
      <c r="CH41" s="150"/>
      <c r="CI41" s="149"/>
      <c r="CJ41" s="150"/>
      <c r="CK41" s="149"/>
      <c r="CL41" s="150"/>
      <c r="CM41" s="149"/>
      <c r="CN41" s="150"/>
      <c r="CO41" s="149"/>
      <c r="CP41" s="150"/>
      <c r="CQ41" s="149"/>
      <c r="CR41" s="150"/>
      <c r="CS41" s="149"/>
      <c r="CT41" s="150"/>
      <c r="CU41" s="149"/>
      <c r="CV41" s="150"/>
      <c r="CW41" s="149"/>
      <c r="CX41" s="150"/>
      <c r="CY41" s="149"/>
      <c r="CZ41" s="150"/>
      <c r="DA41" s="149"/>
      <c r="DB41" s="150"/>
      <c r="DC41" s="149"/>
      <c r="DD41" s="150"/>
      <c r="DE41" s="149"/>
      <c r="DF41" s="150"/>
      <c r="DG41" s="149"/>
      <c r="DH41" s="150"/>
      <c r="DI41" s="149"/>
      <c r="DJ41" s="150"/>
      <c r="DK41" s="149"/>
      <c r="DL41" s="150"/>
      <c r="DM41" s="149"/>
      <c r="DN41" s="150"/>
      <c r="DO41" s="149"/>
    </row>
    <row r="42" spans="3:119" ht="14" outlineLevel="1" x14ac:dyDescent="0.3">
      <c r="C42" s="243"/>
      <c r="D42" s="244"/>
      <c r="F42" s="236" t="str">
        <f t="shared" si="7"/>
        <v/>
      </c>
      <c r="G42" s="236"/>
      <c r="H42" s="67" t="str">
        <f t="shared" si="8"/>
        <v/>
      </c>
      <c r="I42" s="32"/>
      <c r="J42" s="32"/>
      <c r="K42" s="154"/>
      <c r="L42" s="152"/>
      <c r="M42" s="151"/>
      <c r="N42" s="152"/>
      <c r="O42" s="151"/>
      <c r="P42" s="152"/>
      <c r="Q42" s="151"/>
      <c r="R42" s="152"/>
      <c r="S42" s="151"/>
      <c r="T42" s="152"/>
      <c r="U42" s="151"/>
      <c r="V42" s="152"/>
      <c r="W42" s="151"/>
      <c r="X42" s="152"/>
      <c r="Y42" s="151"/>
      <c r="Z42" s="152"/>
      <c r="AA42" s="151"/>
      <c r="AB42" s="152"/>
      <c r="AC42" s="151"/>
      <c r="AD42" s="152"/>
      <c r="AE42" s="151"/>
      <c r="AF42" s="152"/>
      <c r="AG42" s="151"/>
      <c r="AH42" s="152"/>
      <c r="AI42" s="151"/>
      <c r="AJ42" s="152"/>
      <c r="AK42" s="151"/>
      <c r="AL42" s="152"/>
      <c r="AM42" s="151"/>
      <c r="AN42" s="152"/>
      <c r="AO42" s="151"/>
      <c r="AP42" s="152"/>
      <c r="AQ42" s="151"/>
      <c r="AR42" s="152"/>
      <c r="AS42" s="151"/>
      <c r="AT42" s="152"/>
      <c r="AU42" s="151"/>
      <c r="AV42" s="152"/>
      <c r="AW42" s="151"/>
      <c r="AX42" s="152"/>
      <c r="AY42" s="151"/>
      <c r="AZ42" s="152"/>
      <c r="BA42" s="151"/>
      <c r="BB42" s="152"/>
      <c r="BC42" s="151"/>
      <c r="BD42" s="152"/>
      <c r="BE42" s="151"/>
      <c r="BF42" s="152"/>
      <c r="BG42" s="151"/>
      <c r="BH42" s="152"/>
      <c r="BI42" s="151"/>
      <c r="BJ42" s="152"/>
      <c r="BK42" s="151"/>
      <c r="BL42" s="152"/>
      <c r="BM42" s="151"/>
      <c r="BN42" s="152"/>
      <c r="BO42" s="151"/>
      <c r="BP42" s="152"/>
      <c r="BQ42" s="151"/>
      <c r="BR42" s="152"/>
      <c r="BS42" s="151"/>
      <c r="BT42" s="152"/>
      <c r="BU42" s="151"/>
      <c r="BV42" s="152"/>
      <c r="BW42" s="151"/>
      <c r="BX42" s="152"/>
      <c r="BY42" s="151"/>
      <c r="BZ42" s="152"/>
      <c r="CA42" s="151"/>
      <c r="CB42" s="152"/>
      <c r="CC42" s="151"/>
      <c r="CD42" s="152"/>
      <c r="CE42" s="149"/>
      <c r="CF42" s="150"/>
      <c r="CG42" s="149"/>
      <c r="CH42" s="150"/>
      <c r="CI42" s="149"/>
      <c r="CJ42" s="150"/>
      <c r="CK42" s="149"/>
      <c r="CL42" s="150"/>
      <c r="CM42" s="149"/>
      <c r="CN42" s="150"/>
      <c r="CO42" s="149"/>
      <c r="CP42" s="150"/>
      <c r="CQ42" s="149"/>
      <c r="CR42" s="150"/>
      <c r="CS42" s="149"/>
      <c r="CT42" s="150"/>
      <c r="CU42" s="149"/>
      <c r="CV42" s="150"/>
      <c r="CW42" s="149"/>
      <c r="CX42" s="150"/>
      <c r="CY42" s="149"/>
      <c r="CZ42" s="150"/>
      <c r="DA42" s="149"/>
      <c r="DB42" s="150"/>
      <c r="DC42" s="149"/>
      <c r="DD42" s="150"/>
      <c r="DE42" s="149"/>
      <c r="DF42" s="150"/>
      <c r="DG42" s="149"/>
      <c r="DH42" s="150"/>
      <c r="DI42" s="149"/>
      <c r="DJ42" s="150"/>
      <c r="DK42" s="149"/>
      <c r="DL42" s="150"/>
      <c r="DM42" s="149"/>
      <c r="DN42" s="150"/>
      <c r="DO42" s="149"/>
    </row>
    <row r="43" spans="3:119" ht="14" outlineLevel="1" x14ac:dyDescent="0.3">
      <c r="C43" s="243"/>
      <c r="D43" s="244"/>
      <c r="F43" s="236" t="str">
        <f t="shared" si="7"/>
        <v/>
      </c>
      <c r="G43" s="236"/>
      <c r="H43" s="67" t="str">
        <f t="shared" si="8"/>
        <v/>
      </c>
      <c r="I43" s="32"/>
      <c r="J43" s="32"/>
      <c r="K43" s="154"/>
      <c r="L43" s="152"/>
      <c r="M43" s="151"/>
      <c r="N43" s="152"/>
      <c r="O43" s="151"/>
      <c r="P43" s="152"/>
      <c r="Q43" s="151"/>
      <c r="R43" s="152"/>
      <c r="S43" s="151"/>
      <c r="T43" s="152"/>
      <c r="U43" s="151"/>
      <c r="V43" s="152"/>
      <c r="W43" s="151"/>
      <c r="X43" s="152"/>
      <c r="Y43" s="151"/>
      <c r="Z43" s="152"/>
      <c r="AA43" s="151"/>
      <c r="AB43" s="152"/>
      <c r="AC43" s="151"/>
      <c r="AD43" s="152"/>
      <c r="AE43" s="151"/>
      <c r="AF43" s="152"/>
      <c r="AG43" s="151"/>
      <c r="AH43" s="152"/>
      <c r="AI43" s="151"/>
      <c r="AJ43" s="152"/>
      <c r="AK43" s="151"/>
      <c r="AL43" s="152"/>
      <c r="AM43" s="151"/>
      <c r="AN43" s="152"/>
      <c r="AO43" s="151"/>
      <c r="AP43" s="152"/>
      <c r="AQ43" s="151"/>
      <c r="AR43" s="152"/>
      <c r="AS43" s="151"/>
      <c r="AT43" s="152"/>
      <c r="AU43" s="151"/>
      <c r="AV43" s="152"/>
      <c r="AW43" s="151"/>
      <c r="AX43" s="152"/>
      <c r="AY43" s="151"/>
      <c r="AZ43" s="152"/>
      <c r="BA43" s="151"/>
      <c r="BB43" s="152"/>
      <c r="BC43" s="151"/>
      <c r="BD43" s="152"/>
      <c r="BE43" s="151"/>
      <c r="BF43" s="152"/>
      <c r="BG43" s="151"/>
      <c r="BH43" s="152"/>
      <c r="BI43" s="151"/>
      <c r="BJ43" s="152"/>
      <c r="BK43" s="151"/>
      <c r="BL43" s="152"/>
      <c r="BM43" s="151"/>
      <c r="BN43" s="152"/>
      <c r="BO43" s="151"/>
      <c r="BP43" s="152"/>
      <c r="BQ43" s="151"/>
      <c r="BR43" s="152"/>
      <c r="BS43" s="151"/>
      <c r="BT43" s="152"/>
      <c r="BU43" s="151"/>
      <c r="BV43" s="152"/>
      <c r="BW43" s="151"/>
      <c r="BX43" s="152"/>
      <c r="BY43" s="151"/>
      <c r="BZ43" s="152"/>
      <c r="CA43" s="151"/>
      <c r="CB43" s="152"/>
      <c r="CC43" s="151"/>
      <c r="CD43" s="152"/>
      <c r="CE43" s="149"/>
      <c r="CF43" s="150"/>
      <c r="CG43" s="149"/>
      <c r="CH43" s="150"/>
      <c r="CI43" s="149"/>
      <c r="CJ43" s="150"/>
      <c r="CK43" s="149"/>
      <c r="CL43" s="150"/>
      <c r="CM43" s="149"/>
      <c r="CN43" s="150"/>
      <c r="CO43" s="149"/>
      <c r="CP43" s="150"/>
      <c r="CQ43" s="149"/>
      <c r="CR43" s="150"/>
      <c r="CS43" s="149"/>
      <c r="CT43" s="150"/>
      <c r="CU43" s="149"/>
      <c r="CV43" s="150"/>
      <c r="CW43" s="149"/>
      <c r="CX43" s="150"/>
      <c r="CY43" s="149"/>
      <c r="CZ43" s="150"/>
      <c r="DA43" s="149"/>
      <c r="DB43" s="150"/>
      <c r="DC43" s="149"/>
      <c r="DD43" s="150"/>
      <c r="DE43" s="149"/>
      <c r="DF43" s="150"/>
      <c r="DG43" s="149"/>
      <c r="DH43" s="150"/>
      <c r="DI43" s="149"/>
      <c r="DJ43" s="150"/>
      <c r="DK43" s="149"/>
      <c r="DL43" s="150"/>
      <c r="DM43" s="149"/>
      <c r="DN43" s="150"/>
      <c r="DO43" s="149"/>
    </row>
    <row r="44" spans="3:119" ht="14" outlineLevel="1" x14ac:dyDescent="0.3">
      <c r="C44" s="243"/>
      <c r="D44" s="244"/>
      <c r="F44" s="236" t="str">
        <f t="shared" si="7"/>
        <v/>
      </c>
      <c r="G44" s="236"/>
      <c r="H44" s="67" t="str">
        <f t="shared" si="8"/>
        <v/>
      </c>
      <c r="I44" s="32"/>
      <c r="J44" s="32"/>
      <c r="K44" s="154"/>
      <c r="L44" s="152"/>
      <c r="M44" s="151"/>
      <c r="N44" s="152"/>
      <c r="O44" s="151"/>
      <c r="P44" s="152"/>
      <c r="Q44" s="151"/>
      <c r="R44" s="152"/>
      <c r="S44" s="151"/>
      <c r="T44" s="152"/>
      <c r="U44" s="151"/>
      <c r="V44" s="152"/>
      <c r="W44" s="151"/>
      <c r="X44" s="152"/>
      <c r="Y44" s="151"/>
      <c r="Z44" s="152"/>
      <c r="AA44" s="151"/>
      <c r="AB44" s="152"/>
      <c r="AC44" s="151"/>
      <c r="AD44" s="152"/>
      <c r="AE44" s="151"/>
      <c r="AF44" s="152"/>
      <c r="AG44" s="151"/>
      <c r="AH44" s="152"/>
      <c r="AI44" s="151"/>
      <c r="AJ44" s="152"/>
      <c r="AK44" s="151"/>
      <c r="AL44" s="152"/>
      <c r="AM44" s="151"/>
      <c r="AN44" s="152"/>
      <c r="AO44" s="151"/>
      <c r="AP44" s="152"/>
      <c r="AQ44" s="151"/>
      <c r="AR44" s="152"/>
      <c r="AS44" s="151"/>
      <c r="AT44" s="152"/>
      <c r="AU44" s="151"/>
      <c r="AV44" s="152"/>
      <c r="AW44" s="151"/>
      <c r="AX44" s="152"/>
      <c r="AY44" s="151"/>
      <c r="AZ44" s="152"/>
      <c r="BA44" s="151"/>
      <c r="BB44" s="152"/>
      <c r="BC44" s="151"/>
      <c r="BD44" s="152"/>
      <c r="BE44" s="151"/>
      <c r="BF44" s="152"/>
      <c r="BG44" s="151"/>
      <c r="BH44" s="152"/>
      <c r="BI44" s="151"/>
      <c r="BJ44" s="152"/>
      <c r="BK44" s="151"/>
      <c r="BL44" s="152"/>
      <c r="BM44" s="151"/>
      <c r="BN44" s="152"/>
      <c r="BO44" s="151"/>
      <c r="BP44" s="152"/>
      <c r="BQ44" s="151"/>
      <c r="BR44" s="152"/>
      <c r="BS44" s="151"/>
      <c r="BT44" s="152"/>
      <c r="BU44" s="151"/>
      <c r="BV44" s="152"/>
      <c r="BW44" s="151"/>
      <c r="BX44" s="152"/>
      <c r="BY44" s="151"/>
      <c r="BZ44" s="152"/>
      <c r="CA44" s="151"/>
      <c r="CB44" s="152"/>
      <c r="CC44" s="151"/>
      <c r="CD44" s="152"/>
      <c r="CE44" s="149"/>
      <c r="CF44" s="150"/>
      <c r="CG44" s="149"/>
      <c r="CH44" s="150"/>
      <c r="CI44" s="149"/>
      <c r="CJ44" s="150"/>
      <c r="CK44" s="149"/>
      <c r="CL44" s="150"/>
      <c r="CM44" s="149"/>
      <c r="CN44" s="150"/>
      <c r="CO44" s="149"/>
      <c r="CP44" s="150"/>
      <c r="CQ44" s="149"/>
      <c r="CR44" s="150"/>
      <c r="CS44" s="149"/>
      <c r="CT44" s="150"/>
      <c r="CU44" s="149"/>
      <c r="CV44" s="150"/>
      <c r="CW44" s="149"/>
      <c r="CX44" s="150"/>
      <c r="CY44" s="149"/>
      <c r="CZ44" s="150"/>
      <c r="DA44" s="149"/>
      <c r="DB44" s="150"/>
      <c r="DC44" s="149"/>
      <c r="DD44" s="150"/>
      <c r="DE44" s="149"/>
      <c r="DF44" s="150"/>
      <c r="DG44" s="149"/>
      <c r="DH44" s="150"/>
      <c r="DI44" s="149"/>
      <c r="DJ44" s="150"/>
      <c r="DK44" s="149"/>
      <c r="DL44" s="150"/>
      <c r="DM44" s="149"/>
      <c r="DN44" s="150"/>
      <c r="DO44" s="149"/>
    </row>
    <row r="45" spans="3:119" ht="14" outlineLevel="1" x14ac:dyDescent="0.3">
      <c r="C45" s="243"/>
      <c r="D45" s="244"/>
      <c r="F45" s="236" t="str">
        <f t="shared" si="7"/>
        <v/>
      </c>
      <c r="G45" s="236"/>
      <c r="H45" s="67" t="str">
        <f t="shared" si="8"/>
        <v/>
      </c>
      <c r="I45" s="32"/>
      <c r="J45" s="32"/>
      <c r="K45" s="154"/>
      <c r="L45" s="152"/>
      <c r="M45" s="151"/>
      <c r="N45" s="152"/>
      <c r="O45" s="151"/>
      <c r="P45" s="152"/>
      <c r="Q45" s="151"/>
      <c r="R45" s="152"/>
      <c r="S45" s="151"/>
      <c r="T45" s="152"/>
      <c r="U45" s="151"/>
      <c r="V45" s="152"/>
      <c r="W45" s="151"/>
      <c r="X45" s="152"/>
      <c r="Y45" s="151"/>
      <c r="Z45" s="152"/>
      <c r="AA45" s="151"/>
      <c r="AB45" s="152"/>
      <c r="AC45" s="151"/>
      <c r="AD45" s="152"/>
      <c r="AE45" s="151"/>
      <c r="AF45" s="152"/>
      <c r="AG45" s="151"/>
      <c r="AH45" s="152"/>
      <c r="AI45" s="151"/>
      <c r="AJ45" s="152"/>
      <c r="AK45" s="151"/>
      <c r="AL45" s="152"/>
      <c r="AM45" s="151"/>
      <c r="AN45" s="152"/>
      <c r="AO45" s="151"/>
      <c r="AP45" s="152"/>
      <c r="AQ45" s="151"/>
      <c r="AR45" s="152"/>
      <c r="AS45" s="151"/>
      <c r="AT45" s="152"/>
      <c r="AU45" s="151"/>
      <c r="AV45" s="152"/>
      <c r="AW45" s="151"/>
      <c r="AX45" s="152"/>
      <c r="AY45" s="151"/>
      <c r="AZ45" s="152"/>
      <c r="BA45" s="151"/>
      <c r="BB45" s="152"/>
      <c r="BC45" s="151"/>
      <c r="BD45" s="152"/>
      <c r="BE45" s="151"/>
      <c r="BF45" s="152"/>
      <c r="BG45" s="151"/>
      <c r="BH45" s="152"/>
      <c r="BI45" s="151"/>
      <c r="BJ45" s="152"/>
      <c r="BK45" s="151"/>
      <c r="BL45" s="152"/>
      <c r="BM45" s="151"/>
      <c r="BN45" s="152"/>
      <c r="BO45" s="151"/>
      <c r="BP45" s="152"/>
      <c r="BQ45" s="151"/>
      <c r="BR45" s="152"/>
      <c r="BS45" s="151"/>
      <c r="BT45" s="152"/>
      <c r="BU45" s="151"/>
      <c r="BV45" s="152"/>
      <c r="BW45" s="151"/>
      <c r="BX45" s="152"/>
      <c r="BY45" s="151"/>
      <c r="BZ45" s="152"/>
      <c r="CA45" s="151"/>
      <c r="CB45" s="152"/>
      <c r="CC45" s="151"/>
      <c r="CD45" s="152"/>
      <c r="CE45" s="149"/>
      <c r="CF45" s="150"/>
      <c r="CG45" s="149"/>
      <c r="CH45" s="150"/>
      <c r="CI45" s="149"/>
      <c r="CJ45" s="150"/>
      <c r="CK45" s="149"/>
      <c r="CL45" s="150"/>
      <c r="CM45" s="149"/>
      <c r="CN45" s="150"/>
      <c r="CO45" s="149"/>
      <c r="CP45" s="150"/>
      <c r="CQ45" s="149"/>
      <c r="CR45" s="150"/>
      <c r="CS45" s="149"/>
      <c r="CT45" s="150"/>
      <c r="CU45" s="149"/>
      <c r="CV45" s="150"/>
      <c r="CW45" s="149"/>
      <c r="CX45" s="150"/>
      <c r="CY45" s="149"/>
      <c r="CZ45" s="150"/>
      <c r="DA45" s="149"/>
      <c r="DB45" s="150"/>
      <c r="DC45" s="149"/>
      <c r="DD45" s="150"/>
      <c r="DE45" s="149"/>
      <c r="DF45" s="150"/>
      <c r="DG45" s="149"/>
      <c r="DH45" s="150"/>
      <c r="DI45" s="149"/>
      <c r="DJ45" s="150"/>
      <c r="DK45" s="149"/>
      <c r="DL45" s="150"/>
      <c r="DM45" s="149"/>
      <c r="DN45" s="150"/>
      <c r="DO45" s="149"/>
    </row>
    <row r="46" spans="3:119" ht="14" outlineLevel="1" x14ac:dyDescent="0.3">
      <c r="C46" s="243"/>
      <c r="D46" s="244"/>
      <c r="F46" s="236" t="str">
        <f t="shared" si="7"/>
        <v/>
      </c>
      <c r="G46" s="236"/>
      <c r="H46" s="67" t="str">
        <f t="shared" si="8"/>
        <v/>
      </c>
      <c r="I46" s="32"/>
      <c r="J46" s="32"/>
      <c r="K46" s="154"/>
      <c r="L46" s="152"/>
      <c r="M46" s="151"/>
      <c r="N46" s="152"/>
      <c r="O46" s="151"/>
      <c r="P46" s="152"/>
      <c r="Q46" s="151"/>
      <c r="R46" s="152"/>
      <c r="S46" s="151"/>
      <c r="T46" s="152"/>
      <c r="U46" s="151"/>
      <c r="V46" s="152"/>
      <c r="W46" s="151"/>
      <c r="X46" s="152"/>
      <c r="Y46" s="151"/>
      <c r="Z46" s="152"/>
      <c r="AA46" s="151"/>
      <c r="AB46" s="152"/>
      <c r="AC46" s="151"/>
      <c r="AD46" s="152"/>
      <c r="AE46" s="151"/>
      <c r="AF46" s="152"/>
      <c r="AG46" s="151"/>
      <c r="AH46" s="152"/>
      <c r="AI46" s="151"/>
      <c r="AJ46" s="152"/>
      <c r="AK46" s="151"/>
      <c r="AL46" s="152"/>
      <c r="AM46" s="151"/>
      <c r="AN46" s="152"/>
      <c r="AO46" s="151"/>
      <c r="AP46" s="152"/>
      <c r="AQ46" s="151"/>
      <c r="AR46" s="152"/>
      <c r="AS46" s="151"/>
      <c r="AT46" s="152"/>
      <c r="AU46" s="151"/>
      <c r="AV46" s="152"/>
      <c r="AW46" s="151"/>
      <c r="AX46" s="152"/>
      <c r="AY46" s="151"/>
      <c r="AZ46" s="152"/>
      <c r="BA46" s="151"/>
      <c r="BB46" s="152"/>
      <c r="BC46" s="151"/>
      <c r="BD46" s="152"/>
      <c r="BE46" s="151"/>
      <c r="BF46" s="152"/>
      <c r="BG46" s="151"/>
      <c r="BH46" s="152"/>
      <c r="BI46" s="151"/>
      <c r="BJ46" s="152"/>
      <c r="BK46" s="151"/>
      <c r="BL46" s="152"/>
      <c r="BM46" s="151"/>
      <c r="BN46" s="152"/>
      <c r="BO46" s="151"/>
      <c r="BP46" s="152"/>
      <c r="BQ46" s="151"/>
      <c r="BR46" s="152"/>
      <c r="BS46" s="151"/>
      <c r="BT46" s="152"/>
      <c r="BU46" s="151"/>
      <c r="BV46" s="152"/>
      <c r="BW46" s="151"/>
      <c r="BX46" s="152"/>
      <c r="BY46" s="151"/>
      <c r="BZ46" s="152"/>
      <c r="CA46" s="151"/>
      <c r="CB46" s="152"/>
      <c r="CC46" s="151"/>
      <c r="CD46" s="152"/>
      <c r="CE46" s="149"/>
      <c r="CF46" s="150"/>
      <c r="CG46" s="149"/>
      <c r="CH46" s="150"/>
      <c r="CI46" s="149"/>
      <c r="CJ46" s="150"/>
      <c r="CK46" s="149"/>
      <c r="CL46" s="150"/>
      <c r="CM46" s="149"/>
      <c r="CN46" s="150"/>
      <c r="CO46" s="149"/>
      <c r="CP46" s="150"/>
      <c r="CQ46" s="149"/>
      <c r="CR46" s="150"/>
      <c r="CS46" s="149"/>
      <c r="CT46" s="150"/>
      <c r="CU46" s="149"/>
      <c r="CV46" s="150"/>
      <c r="CW46" s="149"/>
      <c r="CX46" s="150"/>
      <c r="CY46" s="149"/>
      <c r="CZ46" s="150"/>
      <c r="DA46" s="149"/>
      <c r="DB46" s="150"/>
      <c r="DC46" s="149"/>
      <c r="DD46" s="150"/>
      <c r="DE46" s="149"/>
      <c r="DF46" s="150"/>
      <c r="DG46" s="149"/>
      <c r="DH46" s="150"/>
      <c r="DI46" s="149"/>
      <c r="DJ46" s="150"/>
      <c r="DK46" s="149"/>
      <c r="DL46" s="150"/>
      <c r="DM46" s="149"/>
      <c r="DN46" s="150"/>
      <c r="DO46" s="149"/>
    </row>
    <row r="47" spans="3:119" ht="14" outlineLevel="1" x14ac:dyDescent="0.3">
      <c r="C47" s="243"/>
      <c r="D47" s="244"/>
      <c r="F47" s="236" t="str">
        <f t="shared" si="7"/>
        <v/>
      </c>
      <c r="G47" s="236"/>
      <c r="H47" s="67" t="str">
        <f t="shared" si="8"/>
        <v/>
      </c>
      <c r="I47" s="32"/>
      <c r="J47" s="32"/>
      <c r="K47" s="154"/>
      <c r="L47" s="152"/>
      <c r="M47" s="151"/>
      <c r="N47" s="152"/>
      <c r="O47" s="151"/>
      <c r="P47" s="152"/>
      <c r="Q47" s="151"/>
      <c r="R47" s="152"/>
      <c r="S47" s="151"/>
      <c r="T47" s="152"/>
      <c r="U47" s="151"/>
      <c r="V47" s="152"/>
      <c r="W47" s="151"/>
      <c r="X47" s="152"/>
      <c r="Y47" s="151"/>
      <c r="Z47" s="152"/>
      <c r="AA47" s="151"/>
      <c r="AB47" s="152"/>
      <c r="AC47" s="151"/>
      <c r="AD47" s="152"/>
      <c r="AE47" s="151"/>
      <c r="AF47" s="152"/>
      <c r="AG47" s="151"/>
      <c r="AH47" s="152"/>
      <c r="AI47" s="151"/>
      <c r="AJ47" s="152"/>
      <c r="AK47" s="151"/>
      <c r="AL47" s="152"/>
      <c r="AM47" s="151"/>
      <c r="AN47" s="152"/>
      <c r="AO47" s="151"/>
      <c r="AP47" s="152"/>
      <c r="AQ47" s="151"/>
      <c r="AR47" s="152"/>
      <c r="AS47" s="151"/>
      <c r="AT47" s="152"/>
      <c r="AU47" s="151"/>
      <c r="AV47" s="152"/>
      <c r="AW47" s="151"/>
      <c r="AX47" s="152"/>
      <c r="AY47" s="151"/>
      <c r="AZ47" s="152"/>
      <c r="BA47" s="151"/>
      <c r="BB47" s="152"/>
      <c r="BC47" s="151"/>
      <c r="BD47" s="152"/>
      <c r="BE47" s="151"/>
      <c r="BF47" s="152"/>
      <c r="BG47" s="151"/>
      <c r="BH47" s="152"/>
      <c r="BI47" s="151"/>
      <c r="BJ47" s="152"/>
      <c r="BK47" s="151"/>
      <c r="BL47" s="152"/>
      <c r="BM47" s="151"/>
      <c r="BN47" s="152"/>
      <c r="BO47" s="151"/>
      <c r="BP47" s="152"/>
      <c r="BQ47" s="151"/>
      <c r="BR47" s="152"/>
      <c r="BS47" s="151"/>
      <c r="BT47" s="152"/>
      <c r="BU47" s="151"/>
      <c r="BV47" s="152"/>
      <c r="BW47" s="151"/>
      <c r="BX47" s="152"/>
      <c r="BY47" s="151"/>
      <c r="BZ47" s="152"/>
      <c r="CA47" s="151"/>
      <c r="CB47" s="152"/>
      <c r="CC47" s="151"/>
      <c r="CD47" s="152"/>
      <c r="CE47" s="149"/>
      <c r="CF47" s="150"/>
      <c r="CG47" s="149"/>
      <c r="CH47" s="150"/>
      <c r="CI47" s="149"/>
      <c r="CJ47" s="150"/>
      <c r="CK47" s="149"/>
      <c r="CL47" s="150"/>
      <c r="CM47" s="149"/>
      <c r="CN47" s="150"/>
      <c r="CO47" s="149"/>
      <c r="CP47" s="150"/>
      <c r="CQ47" s="149"/>
      <c r="CR47" s="150"/>
      <c r="CS47" s="149"/>
      <c r="CT47" s="150"/>
      <c r="CU47" s="149"/>
      <c r="CV47" s="150"/>
      <c r="CW47" s="149"/>
      <c r="CX47" s="150"/>
      <c r="CY47" s="149"/>
      <c r="CZ47" s="150"/>
      <c r="DA47" s="149"/>
      <c r="DB47" s="150"/>
      <c r="DC47" s="149"/>
      <c r="DD47" s="150"/>
      <c r="DE47" s="149"/>
      <c r="DF47" s="150"/>
      <c r="DG47" s="149"/>
      <c r="DH47" s="150"/>
      <c r="DI47" s="149"/>
      <c r="DJ47" s="150"/>
      <c r="DK47" s="149"/>
      <c r="DL47" s="150"/>
      <c r="DM47" s="149"/>
      <c r="DN47" s="150"/>
      <c r="DO47" s="149"/>
    </row>
    <row r="48" spans="3:119" ht="14" outlineLevel="1" x14ac:dyDescent="0.3">
      <c r="C48" s="243"/>
      <c r="D48" s="244"/>
      <c r="F48" s="236" t="str">
        <f t="shared" si="7"/>
        <v/>
      </c>
      <c r="G48" s="236"/>
      <c r="H48" s="67" t="str">
        <f t="shared" si="8"/>
        <v/>
      </c>
      <c r="I48" s="32"/>
      <c r="J48" s="32"/>
      <c r="K48" s="154"/>
      <c r="L48" s="152"/>
      <c r="M48" s="151"/>
      <c r="N48" s="152"/>
      <c r="O48" s="151"/>
      <c r="P48" s="152"/>
      <c r="Q48" s="151"/>
      <c r="R48" s="152"/>
      <c r="S48" s="151"/>
      <c r="T48" s="152"/>
      <c r="U48" s="151"/>
      <c r="V48" s="152"/>
      <c r="W48" s="151"/>
      <c r="X48" s="152"/>
      <c r="Y48" s="151"/>
      <c r="Z48" s="152"/>
      <c r="AA48" s="151"/>
      <c r="AB48" s="152"/>
      <c r="AC48" s="151"/>
      <c r="AD48" s="152"/>
      <c r="AE48" s="151"/>
      <c r="AF48" s="152"/>
      <c r="AG48" s="151"/>
      <c r="AH48" s="152"/>
      <c r="AI48" s="151"/>
      <c r="AJ48" s="152"/>
      <c r="AK48" s="151"/>
      <c r="AL48" s="152"/>
      <c r="AM48" s="151"/>
      <c r="AN48" s="152"/>
      <c r="AO48" s="151"/>
      <c r="AP48" s="152"/>
      <c r="AQ48" s="151"/>
      <c r="AR48" s="152"/>
      <c r="AS48" s="151"/>
      <c r="AT48" s="152"/>
      <c r="AU48" s="151"/>
      <c r="AV48" s="152"/>
      <c r="AW48" s="151"/>
      <c r="AX48" s="152"/>
      <c r="AY48" s="151"/>
      <c r="AZ48" s="152"/>
      <c r="BA48" s="151"/>
      <c r="BB48" s="152"/>
      <c r="BC48" s="151"/>
      <c r="BD48" s="152"/>
      <c r="BE48" s="151"/>
      <c r="BF48" s="152"/>
      <c r="BG48" s="151"/>
      <c r="BH48" s="152"/>
      <c r="BI48" s="151"/>
      <c r="BJ48" s="152"/>
      <c r="BK48" s="151"/>
      <c r="BL48" s="152"/>
      <c r="BM48" s="151"/>
      <c r="BN48" s="152"/>
      <c r="BO48" s="151"/>
      <c r="BP48" s="152"/>
      <c r="BQ48" s="151"/>
      <c r="BR48" s="152"/>
      <c r="BS48" s="151"/>
      <c r="BT48" s="152"/>
      <c r="BU48" s="151"/>
      <c r="BV48" s="152"/>
      <c r="BW48" s="151"/>
      <c r="BX48" s="152"/>
      <c r="BY48" s="151"/>
      <c r="BZ48" s="152"/>
      <c r="CA48" s="151"/>
      <c r="CB48" s="152"/>
      <c r="CC48" s="151"/>
      <c r="CD48" s="152"/>
      <c r="CE48" s="149"/>
      <c r="CF48" s="150"/>
      <c r="CG48" s="149"/>
      <c r="CH48" s="150"/>
      <c r="CI48" s="149"/>
      <c r="CJ48" s="150"/>
      <c r="CK48" s="149"/>
      <c r="CL48" s="150"/>
      <c r="CM48" s="149"/>
      <c r="CN48" s="150"/>
      <c r="CO48" s="149"/>
      <c r="CP48" s="150"/>
      <c r="CQ48" s="149"/>
      <c r="CR48" s="150"/>
      <c r="CS48" s="149"/>
      <c r="CT48" s="150"/>
      <c r="CU48" s="149"/>
      <c r="CV48" s="150"/>
      <c r="CW48" s="149"/>
      <c r="CX48" s="150"/>
      <c r="CY48" s="149"/>
      <c r="CZ48" s="150"/>
      <c r="DA48" s="149"/>
      <c r="DB48" s="150"/>
      <c r="DC48" s="149"/>
      <c r="DD48" s="150"/>
      <c r="DE48" s="149"/>
      <c r="DF48" s="150"/>
      <c r="DG48" s="149"/>
      <c r="DH48" s="150"/>
      <c r="DI48" s="149"/>
      <c r="DJ48" s="150"/>
      <c r="DK48" s="149"/>
      <c r="DL48" s="150"/>
      <c r="DM48" s="149"/>
      <c r="DN48" s="150"/>
      <c r="DO48" s="149"/>
    </row>
    <row r="49" spans="1:119" ht="14" outlineLevel="1" x14ac:dyDescent="0.3">
      <c r="C49" s="243"/>
      <c r="D49" s="244"/>
      <c r="F49" s="236" t="str">
        <f t="shared" si="7"/>
        <v/>
      </c>
      <c r="G49" s="236"/>
      <c r="H49" s="67" t="str">
        <f t="shared" si="8"/>
        <v/>
      </c>
      <c r="I49" s="32"/>
      <c r="J49" s="32"/>
      <c r="K49" s="154"/>
      <c r="L49" s="152"/>
      <c r="M49" s="151"/>
      <c r="N49" s="152"/>
      <c r="O49" s="151"/>
      <c r="P49" s="152"/>
      <c r="Q49" s="151"/>
      <c r="R49" s="152"/>
      <c r="S49" s="151"/>
      <c r="T49" s="152"/>
      <c r="U49" s="151"/>
      <c r="V49" s="152"/>
      <c r="W49" s="151"/>
      <c r="X49" s="152"/>
      <c r="Y49" s="151"/>
      <c r="Z49" s="152"/>
      <c r="AA49" s="151"/>
      <c r="AB49" s="152"/>
      <c r="AC49" s="151"/>
      <c r="AD49" s="152"/>
      <c r="AE49" s="151"/>
      <c r="AF49" s="152"/>
      <c r="AG49" s="151"/>
      <c r="AH49" s="152"/>
      <c r="AI49" s="151"/>
      <c r="AJ49" s="152"/>
      <c r="AK49" s="151"/>
      <c r="AL49" s="152"/>
      <c r="AM49" s="151"/>
      <c r="AN49" s="152"/>
      <c r="AO49" s="151"/>
      <c r="AP49" s="152"/>
      <c r="AQ49" s="151"/>
      <c r="AR49" s="152"/>
      <c r="AS49" s="151"/>
      <c r="AT49" s="152"/>
      <c r="AU49" s="151"/>
      <c r="AV49" s="152"/>
      <c r="AW49" s="151"/>
      <c r="AX49" s="152"/>
      <c r="AY49" s="151"/>
      <c r="AZ49" s="152"/>
      <c r="BA49" s="151"/>
      <c r="BB49" s="152"/>
      <c r="BC49" s="151"/>
      <c r="BD49" s="152"/>
      <c r="BE49" s="151"/>
      <c r="BF49" s="152"/>
      <c r="BG49" s="151"/>
      <c r="BH49" s="152"/>
      <c r="BI49" s="151"/>
      <c r="BJ49" s="152"/>
      <c r="BK49" s="151"/>
      <c r="BL49" s="152"/>
      <c r="BM49" s="151"/>
      <c r="BN49" s="152"/>
      <c r="BO49" s="151"/>
      <c r="BP49" s="152"/>
      <c r="BQ49" s="151"/>
      <c r="BR49" s="152"/>
      <c r="BS49" s="151"/>
      <c r="BT49" s="152"/>
      <c r="BU49" s="151"/>
      <c r="BV49" s="152"/>
      <c r="BW49" s="151"/>
      <c r="BX49" s="152"/>
      <c r="BY49" s="151"/>
      <c r="BZ49" s="152"/>
      <c r="CA49" s="151"/>
      <c r="CB49" s="152"/>
      <c r="CC49" s="151"/>
      <c r="CD49" s="152"/>
      <c r="CE49" s="149"/>
      <c r="CF49" s="150"/>
      <c r="CG49" s="149"/>
      <c r="CH49" s="150"/>
      <c r="CI49" s="149"/>
      <c r="CJ49" s="150"/>
      <c r="CK49" s="149"/>
      <c r="CL49" s="150"/>
      <c r="CM49" s="149"/>
      <c r="CN49" s="150"/>
      <c r="CO49" s="149"/>
      <c r="CP49" s="150"/>
      <c r="CQ49" s="149"/>
      <c r="CR49" s="150"/>
      <c r="CS49" s="149"/>
      <c r="CT49" s="150"/>
      <c r="CU49" s="149"/>
      <c r="CV49" s="150"/>
      <c r="CW49" s="149"/>
      <c r="CX49" s="150"/>
      <c r="CY49" s="149"/>
      <c r="CZ49" s="150"/>
      <c r="DA49" s="149"/>
      <c r="DB49" s="150"/>
      <c r="DC49" s="149"/>
      <c r="DD49" s="150"/>
      <c r="DE49" s="149"/>
      <c r="DF49" s="150"/>
      <c r="DG49" s="149"/>
      <c r="DH49" s="150"/>
      <c r="DI49" s="149"/>
      <c r="DJ49" s="150"/>
      <c r="DK49" s="149"/>
      <c r="DL49" s="150"/>
      <c r="DM49" s="149"/>
      <c r="DN49" s="150"/>
      <c r="DO49" s="149"/>
    </row>
    <row r="50" spans="1:119" ht="14" outlineLevel="1" x14ac:dyDescent="0.3">
      <c r="C50" s="243"/>
      <c r="D50" s="244"/>
      <c r="F50" s="236" t="str">
        <f t="shared" si="7"/>
        <v/>
      </c>
      <c r="G50" s="236"/>
      <c r="H50" s="67" t="str">
        <f t="shared" si="8"/>
        <v/>
      </c>
      <c r="I50" s="32"/>
      <c r="J50" s="32"/>
      <c r="K50" s="154"/>
      <c r="L50" s="152"/>
      <c r="M50" s="151"/>
      <c r="N50" s="152"/>
      <c r="O50" s="151"/>
      <c r="P50" s="152"/>
      <c r="Q50" s="151"/>
      <c r="R50" s="152"/>
      <c r="S50" s="151"/>
      <c r="T50" s="152"/>
      <c r="U50" s="151"/>
      <c r="V50" s="152"/>
      <c r="W50" s="151"/>
      <c r="X50" s="152"/>
      <c r="Y50" s="151"/>
      <c r="Z50" s="152"/>
      <c r="AA50" s="151"/>
      <c r="AB50" s="152"/>
      <c r="AC50" s="151"/>
      <c r="AD50" s="152"/>
      <c r="AE50" s="151"/>
      <c r="AF50" s="152"/>
      <c r="AG50" s="151"/>
      <c r="AH50" s="152"/>
      <c r="AI50" s="151"/>
      <c r="AJ50" s="152"/>
      <c r="AK50" s="151"/>
      <c r="AL50" s="152"/>
      <c r="AM50" s="151"/>
      <c r="AN50" s="152"/>
      <c r="AO50" s="151"/>
      <c r="AP50" s="152"/>
      <c r="AQ50" s="151"/>
      <c r="AR50" s="152"/>
      <c r="AS50" s="151"/>
      <c r="AT50" s="152"/>
      <c r="AU50" s="151"/>
      <c r="AV50" s="152"/>
      <c r="AW50" s="151"/>
      <c r="AX50" s="152"/>
      <c r="AY50" s="151"/>
      <c r="AZ50" s="152"/>
      <c r="BA50" s="151"/>
      <c r="BB50" s="152"/>
      <c r="BC50" s="151"/>
      <c r="BD50" s="152"/>
      <c r="BE50" s="151"/>
      <c r="BF50" s="152"/>
      <c r="BG50" s="151"/>
      <c r="BH50" s="152"/>
      <c r="BI50" s="151"/>
      <c r="BJ50" s="152"/>
      <c r="BK50" s="151"/>
      <c r="BL50" s="152"/>
      <c r="BM50" s="151"/>
      <c r="BN50" s="152"/>
      <c r="BO50" s="151"/>
      <c r="BP50" s="152"/>
      <c r="BQ50" s="151"/>
      <c r="BR50" s="152"/>
      <c r="BS50" s="151"/>
      <c r="BT50" s="152"/>
      <c r="BU50" s="151"/>
      <c r="BV50" s="152"/>
      <c r="BW50" s="151"/>
      <c r="BX50" s="152"/>
      <c r="BY50" s="151"/>
      <c r="BZ50" s="152"/>
      <c r="CA50" s="151"/>
      <c r="CB50" s="152"/>
      <c r="CC50" s="151"/>
      <c r="CD50" s="152"/>
      <c r="CE50" s="149"/>
      <c r="CF50" s="150"/>
      <c r="CG50" s="149"/>
      <c r="CH50" s="150"/>
      <c r="CI50" s="149"/>
      <c r="CJ50" s="150"/>
      <c r="CK50" s="149"/>
      <c r="CL50" s="150"/>
      <c r="CM50" s="149"/>
      <c r="CN50" s="150"/>
      <c r="CO50" s="149"/>
      <c r="CP50" s="150"/>
      <c r="CQ50" s="149"/>
      <c r="CR50" s="150"/>
      <c r="CS50" s="149"/>
      <c r="CT50" s="150"/>
      <c r="CU50" s="149"/>
      <c r="CV50" s="150"/>
      <c r="CW50" s="149"/>
      <c r="CX50" s="150"/>
      <c r="CY50" s="149"/>
      <c r="CZ50" s="150"/>
      <c r="DA50" s="149"/>
      <c r="DB50" s="150"/>
      <c r="DC50" s="149"/>
      <c r="DD50" s="150"/>
      <c r="DE50" s="149"/>
      <c r="DF50" s="150"/>
      <c r="DG50" s="149"/>
      <c r="DH50" s="150"/>
      <c r="DI50" s="149"/>
      <c r="DJ50" s="150"/>
      <c r="DK50" s="149"/>
      <c r="DL50" s="150"/>
      <c r="DM50" s="149"/>
      <c r="DN50" s="150"/>
      <c r="DO50" s="149"/>
    </row>
    <row r="51" spans="1:119" ht="14" outlineLevel="1" x14ac:dyDescent="0.3">
      <c r="C51" s="243"/>
      <c r="D51" s="244"/>
      <c r="F51" s="236" t="str">
        <f t="shared" si="7"/>
        <v/>
      </c>
      <c r="G51" s="236"/>
      <c r="H51" s="67" t="str">
        <f t="shared" si="8"/>
        <v/>
      </c>
      <c r="I51" s="32"/>
      <c r="J51" s="32"/>
      <c r="K51" s="154"/>
      <c r="L51" s="152"/>
      <c r="M51" s="151"/>
      <c r="N51" s="152"/>
      <c r="O51" s="151"/>
      <c r="P51" s="152"/>
      <c r="Q51" s="151"/>
      <c r="R51" s="152"/>
      <c r="S51" s="151"/>
      <c r="T51" s="152"/>
      <c r="U51" s="151"/>
      <c r="V51" s="152"/>
      <c r="W51" s="151"/>
      <c r="X51" s="152"/>
      <c r="Y51" s="151"/>
      <c r="Z51" s="152"/>
      <c r="AA51" s="151"/>
      <c r="AB51" s="152"/>
      <c r="AC51" s="151"/>
      <c r="AD51" s="152"/>
      <c r="AE51" s="151"/>
      <c r="AF51" s="152"/>
      <c r="AG51" s="151"/>
      <c r="AH51" s="152"/>
      <c r="AI51" s="151"/>
      <c r="AJ51" s="152"/>
      <c r="AK51" s="151"/>
      <c r="AL51" s="152"/>
      <c r="AM51" s="151"/>
      <c r="AN51" s="152"/>
      <c r="AO51" s="151"/>
      <c r="AP51" s="152"/>
      <c r="AQ51" s="151"/>
      <c r="AR51" s="152"/>
      <c r="AS51" s="151"/>
      <c r="AT51" s="152"/>
      <c r="AU51" s="151"/>
      <c r="AV51" s="152"/>
      <c r="AW51" s="151"/>
      <c r="AX51" s="152"/>
      <c r="AY51" s="151"/>
      <c r="AZ51" s="152"/>
      <c r="BA51" s="151"/>
      <c r="BB51" s="152"/>
      <c r="BC51" s="151"/>
      <c r="BD51" s="152"/>
      <c r="BE51" s="151"/>
      <c r="BF51" s="152"/>
      <c r="BG51" s="151"/>
      <c r="BH51" s="152"/>
      <c r="BI51" s="151"/>
      <c r="BJ51" s="152"/>
      <c r="BK51" s="151"/>
      <c r="BL51" s="152"/>
      <c r="BM51" s="151"/>
      <c r="BN51" s="152"/>
      <c r="BO51" s="151"/>
      <c r="BP51" s="152"/>
      <c r="BQ51" s="151"/>
      <c r="BR51" s="152"/>
      <c r="BS51" s="151"/>
      <c r="BT51" s="152"/>
      <c r="BU51" s="151"/>
      <c r="BV51" s="152"/>
      <c r="BW51" s="151"/>
      <c r="BX51" s="152"/>
      <c r="BY51" s="151"/>
      <c r="BZ51" s="152"/>
      <c r="CA51" s="151"/>
      <c r="CB51" s="152"/>
      <c r="CC51" s="151"/>
      <c r="CD51" s="152"/>
      <c r="CE51" s="149"/>
      <c r="CF51" s="150"/>
      <c r="CG51" s="149"/>
      <c r="CH51" s="150"/>
      <c r="CI51" s="149"/>
      <c r="CJ51" s="150"/>
      <c r="CK51" s="149"/>
      <c r="CL51" s="150"/>
      <c r="CM51" s="149"/>
      <c r="CN51" s="150"/>
      <c r="CO51" s="149"/>
      <c r="CP51" s="150"/>
      <c r="CQ51" s="149"/>
      <c r="CR51" s="150"/>
      <c r="CS51" s="149"/>
      <c r="CT51" s="150"/>
      <c r="CU51" s="149"/>
      <c r="CV51" s="150"/>
      <c r="CW51" s="149"/>
      <c r="CX51" s="150"/>
      <c r="CY51" s="149"/>
      <c r="CZ51" s="150"/>
      <c r="DA51" s="149"/>
      <c r="DB51" s="150"/>
      <c r="DC51" s="149"/>
      <c r="DD51" s="150"/>
      <c r="DE51" s="149"/>
      <c r="DF51" s="150"/>
      <c r="DG51" s="149"/>
      <c r="DH51" s="150"/>
      <c r="DI51" s="149"/>
      <c r="DJ51" s="150"/>
      <c r="DK51" s="149"/>
      <c r="DL51" s="150"/>
      <c r="DM51" s="149"/>
      <c r="DN51" s="150"/>
      <c r="DO51" s="149"/>
    </row>
    <row r="52" spans="1:119" ht="14" outlineLevel="1" x14ac:dyDescent="0.3">
      <c r="C52" s="243"/>
      <c r="D52" s="244"/>
      <c r="F52" s="236" t="str">
        <f t="shared" si="7"/>
        <v/>
      </c>
      <c r="G52" s="236"/>
      <c r="H52" s="67" t="str">
        <f t="shared" si="8"/>
        <v/>
      </c>
      <c r="I52" s="32"/>
      <c r="J52" s="32"/>
      <c r="K52" s="154"/>
      <c r="L52" s="152"/>
      <c r="M52" s="151"/>
      <c r="N52" s="152"/>
      <c r="O52" s="151"/>
      <c r="P52" s="152"/>
      <c r="Q52" s="151"/>
      <c r="R52" s="152"/>
      <c r="S52" s="151"/>
      <c r="T52" s="152"/>
      <c r="U52" s="151"/>
      <c r="V52" s="152"/>
      <c r="W52" s="151"/>
      <c r="X52" s="152"/>
      <c r="Y52" s="151"/>
      <c r="Z52" s="152"/>
      <c r="AA52" s="151"/>
      <c r="AB52" s="152"/>
      <c r="AC52" s="151"/>
      <c r="AD52" s="152"/>
      <c r="AE52" s="151"/>
      <c r="AF52" s="152"/>
      <c r="AG52" s="151"/>
      <c r="AH52" s="152"/>
      <c r="AI52" s="151"/>
      <c r="AJ52" s="152"/>
      <c r="AK52" s="151"/>
      <c r="AL52" s="152"/>
      <c r="AM52" s="151"/>
      <c r="AN52" s="152"/>
      <c r="AO52" s="151"/>
      <c r="AP52" s="152"/>
      <c r="AQ52" s="151"/>
      <c r="AR52" s="152"/>
      <c r="AS52" s="151"/>
      <c r="AT52" s="152"/>
      <c r="AU52" s="151"/>
      <c r="AV52" s="152"/>
      <c r="AW52" s="151"/>
      <c r="AX52" s="152"/>
      <c r="AY52" s="151"/>
      <c r="AZ52" s="152"/>
      <c r="BA52" s="151"/>
      <c r="BB52" s="152"/>
      <c r="BC52" s="151"/>
      <c r="BD52" s="152"/>
      <c r="BE52" s="151"/>
      <c r="BF52" s="152"/>
      <c r="BG52" s="151"/>
      <c r="BH52" s="152"/>
      <c r="BI52" s="151"/>
      <c r="BJ52" s="152"/>
      <c r="BK52" s="151"/>
      <c r="BL52" s="152"/>
      <c r="BM52" s="151"/>
      <c r="BN52" s="152"/>
      <c r="BO52" s="151"/>
      <c r="BP52" s="152"/>
      <c r="BQ52" s="151"/>
      <c r="BR52" s="152"/>
      <c r="BS52" s="151"/>
      <c r="BT52" s="152"/>
      <c r="BU52" s="151"/>
      <c r="BV52" s="152"/>
      <c r="BW52" s="151"/>
      <c r="BX52" s="152"/>
      <c r="BY52" s="151"/>
      <c r="BZ52" s="152"/>
      <c r="CA52" s="151"/>
      <c r="CB52" s="152"/>
      <c r="CC52" s="151"/>
      <c r="CD52" s="152"/>
      <c r="CE52" s="149"/>
      <c r="CF52" s="150"/>
      <c r="CG52" s="149"/>
      <c r="CH52" s="150"/>
      <c r="CI52" s="149"/>
      <c r="CJ52" s="150"/>
      <c r="CK52" s="149"/>
      <c r="CL52" s="150"/>
      <c r="CM52" s="149"/>
      <c r="CN52" s="150"/>
      <c r="CO52" s="149"/>
      <c r="CP52" s="150"/>
      <c r="CQ52" s="149"/>
      <c r="CR52" s="150"/>
      <c r="CS52" s="149"/>
      <c r="CT52" s="150"/>
      <c r="CU52" s="149"/>
      <c r="CV52" s="150"/>
      <c r="CW52" s="149"/>
      <c r="CX52" s="150"/>
      <c r="CY52" s="149"/>
      <c r="CZ52" s="150"/>
      <c r="DA52" s="149"/>
      <c r="DB52" s="150"/>
      <c r="DC52" s="149"/>
      <c r="DD52" s="150"/>
      <c r="DE52" s="149"/>
      <c r="DF52" s="150"/>
      <c r="DG52" s="149"/>
      <c r="DH52" s="150"/>
      <c r="DI52" s="149"/>
      <c r="DJ52" s="150"/>
      <c r="DK52" s="149"/>
      <c r="DL52" s="150"/>
      <c r="DM52" s="149"/>
      <c r="DN52" s="150"/>
      <c r="DO52" s="149"/>
    </row>
    <row r="53" spans="1:119" ht="14" outlineLevel="1" x14ac:dyDescent="0.3">
      <c r="C53" s="243"/>
      <c r="D53" s="244"/>
      <c r="F53" s="236" t="str">
        <f t="shared" si="7"/>
        <v/>
      </c>
      <c r="G53" s="236"/>
      <c r="H53" s="67" t="str">
        <f t="shared" si="8"/>
        <v/>
      </c>
      <c r="I53" s="245" t="str">
        <f>IF(F53="","",(IF(G53="PT",VLOOKUP(F53,#REF!,2,FALSE))+IF(G53="US",VLOOKUP(F53,#REF!,3,FALSE))+IF(G53="DE",VLOOKUP(F53,#REF!,4,FALSE))+IF(G53="BR",VLOOKUP(F53,#REF!,5,FALSE))))</f>
        <v/>
      </c>
      <c r="J53" s="32"/>
      <c r="K53" s="154"/>
      <c r="L53" s="152"/>
      <c r="M53" s="151"/>
      <c r="N53" s="152"/>
      <c r="O53" s="151"/>
      <c r="P53" s="152"/>
      <c r="Q53" s="151"/>
      <c r="R53" s="152"/>
      <c r="S53" s="151"/>
      <c r="T53" s="152"/>
      <c r="U53" s="151"/>
      <c r="V53" s="152"/>
      <c r="W53" s="151"/>
      <c r="X53" s="152"/>
      <c r="Y53" s="151"/>
      <c r="Z53" s="152"/>
      <c r="AA53" s="151"/>
      <c r="AB53" s="152"/>
      <c r="AC53" s="151"/>
      <c r="AD53" s="152"/>
      <c r="AE53" s="151"/>
      <c r="AF53" s="152"/>
      <c r="AG53" s="151"/>
      <c r="AH53" s="152"/>
      <c r="AI53" s="151"/>
      <c r="AJ53" s="152"/>
      <c r="AK53" s="151"/>
      <c r="AL53" s="152"/>
      <c r="AM53" s="151"/>
      <c r="AN53" s="152"/>
      <c r="AO53" s="151"/>
      <c r="AP53" s="152"/>
      <c r="AQ53" s="151"/>
      <c r="AR53" s="152"/>
      <c r="AS53" s="151"/>
      <c r="AT53" s="152"/>
      <c r="AU53" s="151"/>
      <c r="AV53" s="152"/>
      <c r="AW53" s="151"/>
      <c r="AX53" s="152"/>
      <c r="AY53" s="151"/>
      <c r="AZ53" s="152"/>
      <c r="BA53" s="151"/>
      <c r="BB53" s="152"/>
      <c r="BC53" s="151"/>
      <c r="BD53" s="152"/>
      <c r="BE53" s="151"/>
      <c r="BF53" s="152"/>
      <c r="BG53" s="151"/>
      <c r="BH53" s="152"/>
      <c r="BI53" s="151"/>
      <c r="BJ53" s="152"/>
      <c r="BK53" s="151"/>
      <c r="BL53" s="152"/>
      <c r="BM53" s="151"/>
      <c r="BN53" s="152"/>
      <c r="BO53" s="151"/>
      <c r="BP53" s="152"/>
      <c r="BQ53" s="151"/>
      <c r="BR53" s="152"/>
      <c r="BS53" s="151"/>
      <c r="BT53" s="152"/>
      <c r="BU53" s="151"/>
      <c r="BV53" s="152"/>
      <c r="BW53" s="151"/>
      <c r="BX53" s="152"/>
      <c r="BY53" s="151"/>
      <c r="BZ53" s="152"/>
      <c r="CA53" s="151"/>
      <c r="CB53" s="152"/>
      <c r="CC53" s="151"/>
      <c r="CD53" s="152"/>
      <c r="CE53" s="149"/>
      <c r="CF53" s="150"/>
      <c r="CG53" s="149"/>
      <c r="CH53" s="150"/>
      <c r="CI53" s="149"/>
      <c r="CJ53" s="150"/>
      <c r="CK53" s="149"/>
      <c r="CL53" s="150"/>
      <c r="CM53" s="149"/>
      <c r="CN53" s="150"/>
      <c r="CO53" s="149"/>
      <c r="CP53" s="150"/>
      <c r="CQ53" s="149"/>
      <c r="CR53" s="150"/>
      <c r="CS53" s="149"/>
      <c r="CT53" s="150"/>
      <c r="CU53" s="149"/>
      <c r="CV53" s="150"/>
      <c r="CW53" s="149"/>
      <c r="CX53" s="150"/>
      <c r="CY53" s="149"/>
      <c r="CZ53" s="150"/>
      <c r="DA53" s="149"/>
      <c r="DB53" s="150"/>
      <c r="DC53" s="149"/>
      <c r="DD53" s="150"/>
      <c r="DE53" s="149"/>
      <c r="DF53" s="150"/>
      <c r="DG53" s="149"/>
      <c r="DH53" s="150"/>
      <c r="DI53" s="149"/>
      <c r="DJ53" s="150"/>
      <c r="DK53" s="149"/>
      <c r="DL53" s="150"/>
      <c r="DM53" s="149"/>
      <c r="DN53" s="150"/>
      <c r="DO53" s="149"/>
    </row>
    <row r="54" spans="1:119" ht="14" outlineLevel="1" x14ac:dyDescent="0.3">
      <c r="C54" s="243"/>
      <c r="D54" s="244"/>
      <c r="F54" s="236" t="str">
        <f t="shared" si="7"/>
        <v/>
      </c>
      <c r="G54" s="236"/>
      <c r="H54" s="67" t="str">
        <f t="shared" si="8"/>
        <v/>
      </c>
      <c r="I54" s="32" t="str">
        <f>IF(F54="","",(IF(G54="PT",VLOOKUP(F54,#REF!,2,FALSE))+IF(G54="US",VLOOKUP(F54,#REF!,3,FALSE))+IF(G54="DE",VLOOKUP(F54,#REF!,4,FALSE))+IF(G54="BR",VLOOKUP(F54,#REF!,5,FALSE))))</f>
        <v/>
      </c>
      <c r="J54" s="32">
        <v>500</v>
      </c>
      <c r="K54" s="154"/>
      <c r="L54" s="152"/>
      <c r="M54" s="151"/>
      <c r="N54" s="152"/>
      <c r="O54" s="151"/>
      <c r="P54" s="152"/>
      <c r="Q54" s="151"/>
      <c r="R54" s="152"/>
      <c r="S54" s="151"/>
      <c r="T54" s="152"/>
      <c r="U54" s="151"/>
      <c r="V54" s="152"/>
      <c r="W54" s="151"/>
      <c r="X54" s="152"/>
      <c r="Y54" s="151"/>
      <c r="Z54" s="152"/>
      <c r="AA54" s="151"/>
      <c r="AB54" s="152"/>
      <c r="AC54" s="151"/>
      <c r="AD54" s="152"/>
      <c r="AE54" s="151"/>
      <c r="AF54" s="152"/>
      <c r="AG54" s="151"/>
      <c r="AH54" s="152"/>
      <c r="AI54" s="151"/>
      <c r="AJ54" s="152"/>
      <c r="AK54" s="151"/>
      <c r="AL54" s="152"/>
      <c r="AM54" s="151"/>
      <c r="AN54" s="152"/>
      <c r="AO54" s="151"/>
      <c r="AP54" s="152"/>
      <c r="AQ54" s="151"/>
      <c r="AR54" s="152"/>
      <c r="AS54" s="151"/>
      <c r="AT54" s="152"/>
      <c r="AU54" s="151"/>
      <c r="AV54" s="152"/>
      <c r="AW54" s="151"/>
      <c r="AX54" s="152"/>
      <c r="AY54" s="151"/>
      <c r="AZ54" s="152"/>
      <c r="BA54" s="151"/>
      <c r="BB54" s="152"/>
      <c r="BC54" s="151"/>
      <c r="BD54" s="152"/>
      <c r="BE54" s="151"/>
      <c r="BF54" s="152"/>
      <c r="BG54" s="151"/>
      <c r="BH54" s="152"/>
      <c r="BI54" s="151"/>
      <c r="BJ54" s="152"/>
      <c r="BK54" s="151"/>
      <c r="BL54" s="152"/>
      <c r="BM54" s="151"/>
      <c r="BN54" s="152"/>
      <c r="BO54" s="151"/>
      <c r="BP54" s="152"/>
      <c r="BQ54" s="151"/>
      <c r="BR54" s="152"/>
      <c r="BS54" s="151"/>
      <c r="BT54" s="152"/>
      <c r="BU54" s="151"/>
      <c r="BV54" s="152"/>
      <c r="BW54" s="151"/>
      <c r="BX54" s="152"/>
      <c r="BY54" s="151"/>
      <c r="BZ54" s="152"/>
      <c r="CA54" s="151"/>
      <c r="CB54" s="152"/>
      <c r="CC54" s="151"/>
      <c r="CD54" s="152"/>
      <c r="CE54" s="149"/>
      <c r="CF54" s="150"/>
      <c r="CG54" s="149"/>
      <c r="CH54" s="150"/>
      <c r="CI54" s="149"/>
      <c r="CJ54" s="150"/>
      <c r="CK54" s="149"/>
      <c r="CL54" s="150"/>
      <c r="CM54" s="149"/>
      <c r="CN54" s="150"/>
      <c r="CO54" s="149"/>
      <c r="CP54" s="150"/>
      <c r="CQ54" s="149"/>
      <c r="CR54" s="150"/>
      <c r="CS54" s="149"/>
      <c r="CT54" s="150"/>
      <c r="CU54" s="149"/>
      <c r="CV54" s="150"/>
      <c r="CW54" s="149"/>
      <c r="CX54" s="150"/>
      <c r="CY54" s="149"/>
      <c r="CZ54" s="150"/>
      <c r="DA54" s="149"/>
      <c r="DB54" s="150"/>
      <c r="DC54" s="149"/>
      <c r="DD54" s="150"/>
      <c r="DE54" s="149"/>
      <c r="DF54" s="150"/>
      <c r="DG54" s="149"/>
      <c r="DH54" s="150"/>
      <c r="DI54" s="149"/>
      <c r="DJ54" s="150"/>
      <c r="DK54" s="149"/>
      <c r="DL54" s="150"/>
      <c r="DM54" s="149"/>
      <c r="DN54" s="150"/>
      <c r="DO54" s="149"/>
    </row>
    <row r="55" spans="1:119" ht="14" outlineLevel="1" x14ac:dyDescent="0.3">
      <c r="C55" s="243"/>
      <c r="D55" s="244"/>
      <c r="F55" s="236" t="str">
        <f t="shared" si="7"/>
        <v/>
      </c>
      <c r="G55" s="236"/>
      <c r="H55" s="67" t="str">
        <f t="shared" si="8"/>
        <v/>
      </c>
      <c r="I55" s="32" t="str">
        <f>IF(F55="","",(IF(G55="PT",VLOOKUP(F55,#REF!,2,FALSE))+IF(G55="US",VLOOKUP(F55,#REF!,3,FALSE))+IF(G55="DE",VLOOKUP(F55,#REF!,4,FALSE))+IF(G55="BR",VLOOKUP(F55,#REF!,5,FALSE))))</f>
        <v/>
      </c>
      <c r="J55" s="32">
        <v>300</v>
      </c>
      <c r="K55" s="154"/>
      <c r="L55" s="152"/>
      <c r="M55" s="151"/>
      <c r="N55" s="152"/>
      <c r="O55" s="151"/>
      <c r="P55" s="152"/>
      <c r="Q55" s="151"/>
      <c r="R55" s="152"/>
      <c r="S55" s="151"/>
      <c r="T55" s="152"/>
      <c r="U55" s="151"/>
      <c r="V55" s="152"/>
      <c r="W55" s="151"/>
      <c r="X55" s="152"/>
      <c r="Y55" s="151"/>
      <c r="Z55" s="152"/>
      <c r="AA55" s="151"/>
      <c r="AB55" s="152"/>
      <c r="AC55" s="151"/>
      <c r="AD55" s="152"/>
      <c r="AE55" s="151"/>
      <c r="AF55" s="152"/>
      <c r="AG55" s="151"/>
      <c r="AH55" s="152"/>
      <c r="AI55" s="151"/>
      <c r="AJ55" s="152"/>
      <c r="AK55" s="151"/>
      <c r="AL55" s="152"/>
      <c r="AM55" s="151"/>
      <c r="AN55" s="152"/>
      <c r="AO55" s="151"/>
      <c r="AP55" s="152"/>
      <c r="AQ55" s="151"/>
      <c r="AR55" s="152"/>
      <c r="AS55" s="151"/>
      <c r="AT55" s="152"/>
      <c r="AU55" s="151"/>
      <c r="AV55" s="152"/>
      <c r="AW55" s="151"/>
      <c r="AX55" s="152"/>
      <c r="AY55" s="151"/>
      <c r="AZ55" s="152"/>
      <c r="BA55" s="151"/>
      <c r="BB55" s="152"/>
      <c r="BC55" s="151"/>
      <c r="BD55" s="152"/>
      <c r="BE55" s="151"/>
      <c r="BF55" s="152"/>
      <c r="BG55" s="151"/>
      <c r="BH55" s="152"/>
      <c r="BI55" s="151"/>
      <c r="BJ55" s="152"/>
      <c r="BK55" s="151"/>
      <c r="BL55" s="152"/>
      <c r="BM55" s="151"/>
      <c r="BN55" s="152"/>
      <c r="BO55" s="151"/>
      <c r="BP55" s="152"/>
      <c r="BQ55" s="151"/>
      <c r="BR55" s="152"/>
      <c r="BS55" s="151"/>
      <c r="BT55" s="152"/>
      <c r="BU55" s="151"/>
      <c r="BV55" s="152"/>
      <c r="BW55" s="151"/>
      <c r="BX55" s="152"/>
      <c r="BY55" s="151"/>
      <c r="BZ55" s="152"/>
      <c r="CA55" s="151"/>
      <c r="CB55" s="152"/>
      <c r="CC55" s="151"/>
      <c r="CD55" s="152"/>
      <c r="CE55" s="149"/>
      <c r="CF55" s="150"/>
      <c r="CG55" s="149"/>
      <c r="CH55" s="150"/>
      <c r="CI55" s="149"/>
      <c r="CJ55" s="150"/>
      <c r="CK55" s="149"/>
      <c r="CL55" s="150"/>
      <c r="CM55" s="149"/>
      <c r="CN55" s="150"/>
      <c r="CO55" s="149"/>
      <c r="CP55" s="150"/>
      <c r="CQ55" s="149"/>
      <c r="CR55" s="150"/>
      <c r="CS55" s="149"/>
      <c r="CT55" s="150"/>
      <c r="CU55" s="149"/>
      <c r="CV55" s="150"/>
      <c r="CW55" s="149"/>
      <c r="CX55" s="150"/>
      <c r="CY55" s="149"/>
      <c r="CZ55" s="150"/>
      <c r="DA55" s="149"/>
      <c r="DB55" s="150"/>
      <c r="DC55" s="149"/>
      <c r="DD55" s="150"/>
      <c r="DE55" s="149"/>
      <c r="DF55" s="150"/>
      <c r="DG55" s="149"/>
      <c r="DH55" s="150"/>
      <c r="DI55" s="149"/>
      <c r="DJ55" s="150"/>
      <c r="DK55" s="149"/>
      <c r="DL55" s="150"/>
      <c r="DM55" s="149"/>
      <c r="DN55" s="150"/>
      <c r="DO55" s="149"/>
    </row>
    <row r="56" spans="1:119" ht="14" outlineLevel="1" x14ac:dyDescent="0.3">
      <c r="C56" s="243"/>
      <c r="D56" s="244"/>
      <c r="F56" s="236" t="str">
        <f t="shared" si="7"/>
        <v/>
      </c>
      <c r="G56" s="236"/>
      <c r="H56" s="67" t="str">
        <f t="shared" si="8"/>
        <v/>
      </c>
      <c r="I56" s="32" t="str">
        <f>IF(F56="","",(IF(G56="PT",VLOOKUP(F56,#REF!,2,FALSE))+IF(G56="US",VLOOKUP(F56,#REF!,3,FALSE))+IF(G56="DE",VLOOKUP(F56,#REF!,4,FALSE))+IF(G56="BR",VLOOKUP(F56,#REF!,5,FALSE))))</f>
        <v/>
      </c>
      <c r="J56" s="32">
        <v>300</v>
      </c>
      <c r="K56" s="154"/>
      <c r="L56" s="152"/>
      <c r="M56" s="151"/>
      <c r="N56" s="152"/>
      <c r="O56" s="151"/>
      <c r="P56" s="152"/>
      <c r="Q56" s="151"/>
      <c r="R56" s="152"/>
      <c r="S56" s="151"/>
      <c r="T56" s="152"/>
      <c r="U56" s="151"/>
      <c r="V56" s="152"/>
      <c r="W56" s="151"/>
      <c r="X56" s="152"/>
      <c r="Y56" s="151"/>
      <c r="Z56" s="152"/>
      <c r="AA56" s="151"/>
      <c r="AB56" s="152"/>
      <c r="AC56" s="151"/>
      <c r="AD56" s="152"/>
      <c r="AE56" s="151"/>
      <c r="AF56" s="152"/>
      <c r="AG56" s="151"/>
      <c r="AH56" s="152"/>
      <c r="AI56" s="151"/>
      <c r="AJ56" s="152"/>
      <c r="AK56" s="151"/>
      <c r="AL56" s="152"/>
      <c r="AM56" s="151"/>
      <c r="AN56" s="152"/>
      <c r="AO56" s="151"/>
      <c r="AP56" s="152"/>
      <c r="AQ56" s="151"/>
      <c r="AR56" s="152"/>
      <c r="AS56" s="151"/>
      <c r="AT56" s="152"/>
      <c r="AU56" s="151"/>
      <c r="AV56" s="152"/>
      <c r="AW56" s="151"/>
      <c r="AX56" s="152"/>
      <c r="AY56" s="151"/>
      <c r="AZ56" s="152"/>
      <c r="BA56" s="151"/>
      <c r="BB56" s="152"/>
      <c r="BC56" s="151"/>
      <c r="BD56" s="152"/>
      <c r="BE56" s="151"/>
      <c r="BF56" s="152"/>
      <c r="BG56" s="151"/>
      <c r="BH56" s="152"/>
      <c r="BI56" s="151"/>
      <c r="BJ56" s="152"/>
      <c r="BK56" s="151"/>
      <c r="BL56" s="152"/>
      <c r="BM56" s="151"/>
      <c r="BN56" s="152"/>
      <c r="BO56" s="151"/>
      <c r="BP56" s="152"/>
      <c r="BQ56" s="151"/>
      <c r="BR56" s="152"/>
      <c r="BS56" s="151"/>
      <c r="BT56" s="152"/>
      <c r="BU56" s="151"/>
      <c r="BV56" s="152"/>
      <c r="BW56" s="151"/>
      <c r="BX56" s="152"/>
      <c r="BY56" s="151"/>
      <c r="BZ56" s="152"/>
      <c r="CA56" s="151"/>
      <c r="CB56" s="152"/>
      <c r="CC56" s="151"/>
      <c r="CD56" s="152"/>
      <c r="CE56" s="149"/>
      <c r="CF56" s="150"/>
      <c r="CG56" s="149"/>
      <c r="CH56" s="150"/>
      <c r="CI56" s="149"/>
      <c r="CJ56" s="150"/>
      <c r="CK56" s="149"/>
      <c r="CL56" s="150"/>
      <c r="CM56" s="149"/>
      <c r="CN56" s="150"/>
      <c r="CO56" s="149"/>
      <c r="CP56" s="150"/>
      <c r="CQ56" s="149"/>
      <c r="CR56" s="150"/>
      <c r="CS56" s="149"/>
      <c r="CT56" s="150"/>
      <c r="CU56" s="149"/>
      <c r="CV56" s="150"/>
      <c r="CW56" s="149"/>
      <c r="CX56" s="150"/>
      <c r="CY56" s="149"/>
      <c r="CZ56" s="150"/>
      <c r="DA56" s="149"/>
      <c r="DB56" s="150"/>
      <c r="DC56" s="149"/>
      <c r="DD56" s="150"/>
      <c r="DE56" s="149"/>
      <c r="DF56" s="150"/>
      <c r="DG56" s="149"/>
      <c r="DH56" s="150"/>
      <c r="DI56" s="149"/>
      <c r="DJ56" s="150"/>
      <c r="DK56" s="149"/>
      <c r="DL56" s="150"/>
      <c r="DM56" s="149"/>
      <c r="DN56" s="150"/>
      <c r="DO56" s="149"/>
    </row>
    <row r="57" spans="1:119" ht="14" outlineLevel="1" x14ac:dyDescent="0.3">
      <c r="C57" s="243"/>
      <c r="D57" s="244"/>
      <c r="F57" s="236" t="str">
        <f t="shared" si="7"/>
        <v/>
      </c>
      <c r="G57" s="236"/>
      <c r="H57" s="67" t="str">
        <f t="shared" si="8"/>
        <v/>
      </c>
      <c r="I57" s="32" t="str">
        <f>IF(F57="","",(IF(G57="PT",VLOOKUP(F57,#REF!,2,FALSE))+IF(G57="US",VLOOKUP(F57,#REF!,3,FALSE))+IF(G57="DE",VLOOKUP(F57,#REF!,4,FALSE))+IF(G57="BR",VLOOKUP(F57,#REF!,5,FALSE))))</f>
        <v/>
      </c>
      <c r="J57" s="32">
        <v>300</v>
      </c>
      <c r="K57" s="154" t="s">
        <v>258</v>
      </c>
      <c r="L57" s="152"/>
      <c r="M57" s="151"/>
      <c r="N57" s="152"/>
      <c r="O57" s="151"/>
      <c r="P57" s="152"/>
      <c r="Q57" s="151"/>
      <c r="R57" s="152"/>
      <c r="S57" s="151"/>
      <c r="T57" s="152"/>
      <c r="U57" s="151"/>
      <c r="V57" s="152"/>
      <c r="W57" s="151"/>
      <c r="X57" s="152"/>
      <c r="Y57" s="151"/>
      <c r="Z57" s="152"/>
      <c r="AA57" s="151"/>
      <c r="AB57" s="152"/>
      <c r="AC57" s="151"/>
      <c r="AD57" s="152"/>
      <c r="AE57" s="151"/>
      <c r="AF57" s="152"/>
      <c r="AG57" s="151"/>
      <c r="AH57" s="152"/>
      <c r="AI57" s="151"/>
      <c r="AJ57" s="152"/>
      <c r="AK57" s="151"/>
      <c r="AL57" s="152"/>
      <c r="AM57" s="151"/>
      <c r="AN57" s="152"/>
      <c r="AO57" s="151"/>
      <c r="AP57" s="152"/>
      <c r="AQ57" s="151"/>
      <c r="AR57" s="152"/>
      <c r="AS57" s="151"/>
      <c r="AT57" s="152"/>
      <c r="AU57" s="151"/>
      <c r="AV57" s="152"/>
      <c r="AW57" s="151"/>
      <c r="AX57" s="152"/>
      <c r="AY57" s="151"/>
      <c r="AZ57" s="152"/>
      <c r="BA57" s="151"/>
      <c r="BB57" s="152"/>
      <c r="BC57" s="151"/>
      <c r="BD57" s="152"/>
      <c r="BE57" s="151"/>
      <c r="BF57" s="152"/>
      <c r="BG57" s="151"/>
      <c r="BH57" s="152"/>
      <c r="BI57" s="151"/>
      <c r="BJ57" s="152"/>
      <c r="BK57" s="151"/>
      <c r="BL57" s="152"/>
      <c r="BM57" s="151"/>
      <c r="BN57" s="152"/>
      <c r="BO57" s="151"/>
      <c r="BP57" s="152"/>
      <c r="BQ57" s="151"/>
      <c r="BR57" s="152"/>
      <c r="BS57" s="151"/>
      <c r="BT57" s="152"/>
      <c r="BU57" s="151"/>
      <c r="BV57" s="152"/>
      <c r="BW57" s="151"/>
      <c r="BX57" s="152"/>
      <c r="BY57" s="151"/>
      <c r="BZ57" s="152"/>
      <c r="CA57" s="151"/>
      <c r="CB57" s="152"/>
      <c r="CC57" s="151"/>
      <c r="CD57" s="152"/>
      <c r="CE57" s="149"/>
      <c r="CF57" s="150"/>
      <c r="CG57" s="149"/>
      <c r="CH57" s="150"/>
      <c r="CI57" s="149"/>
      <c r="CJ57" s="150"/>
      <c r="CK57" s="149"/>
      <c r="CL57" s="150"/>
      <c r="CM57" s="149"/>
      <c r="CN57" s="150"/>
      <c r="CO57" s="149"/>
      <c r="CP57" s="150"/>
      <c r="CQ57" s="149"/>
      <c r="CR57" s="150"/>
      <c r="CS57" s="149"/>
      <c r="CT57" s="150"/>
      <c r="CU57" s="149"/>
      <c r="CV57" s="150"/>
      <c r="CW57" s="149"/>
      <c r="CX57" s="150"/>
      <c r="CY57" s="149"/>
      <c r="CZ57" s="150"/>
      <c r="DA57" s="149"/>
      <c r="DB57" s="150"/>
      <c r="DC57" s="149"/>
      <c r="DD57" s="150"/>
      <c r="DE57" s="149"/>
      <c r="DF57" s="150"/>
      <c r="DG57" s="149"/>
      <c r="DH57" s="150"/>
      <c r="DI57" s="149"/>
      <c r="DJ57" s="150"/>
      <c r="DK57" s="149"/>
      <c r="DL57" s="150"/>
      <c r="DM57" s="149"/>
      <c r="DN57" s="150"/>
      <c r="DO57" s="149"/>
    </row>
    <row r="58" spans="1:119" ht="14" outlineLevel="1" x14ac:dyDescent="0.3">
      <c r="C58" s="243"/>
      <c r="D58" s="244"/>
      <c r="F58" s="236" t="str">
        <f t="shared" si="7"/>
        <v/>
      </c>
      <c r="G58" s="236"/>
      <c r="H58" s="67" t="str">
        <f t="shared" si="8"/>
        <v/>
      </c>
      <c r="I58" s="32" t="str">
        <f>IF(F58="","",(IF(G58="PT",VLOOKUP(F58,#REF!,2,FALSE))+IF(G58="US",VLOOKUP(F58,#REF!,3,FALSE))+IF(G58="DE",VLOOKUP(F58,#REF!,4,FALSE))+IF(G58="BR",VLOOKUP(F58,#REF!,5,FALSE))))</f>
        <v/>
      </c>
      <c r="J58" s="32">
        <v>300</v>
      </c>
      <c r="K58" s="154"/>
      <c r="L58" s="152"/>
      <c r="M58" s="151"/>
      <c r="N58" s="152"/>
      <c r="O58" s="151"/>
      <c r="P58" s="152"/>
      <c r="Q58" s="151"/>
      <c r="R58" s="152"/>
      <c r="S58" s="151"/>
      <c r="T58" s="152"/>
      <c r="U58" s="151"/>
      <c r="V58" s="152"/>
      <c r="W58" s="151"/>
      <c r="X58" s="152"/>
      <c r="Y58" s="151"/>
      <c r="Z58" s="152"/>
      <c r="AA58" s="151"/>
      <c r="AB58" s="152"/>
      <c r="AC58" s="151"/>
      <c r="AD58" s="152"/>
      <c r="AE58" s="151"/>
      <c r="AF58" s="152"/>
      <c r="AG58" s="151"/>
      <c r="AH58" s="152"/>
      <c r="AI58" s="151"/>
      <c r="AJ58" s="152"/>
      <c r="AK58" s="151"/>
      <c r="AL58" s="152"/>
      <c r="AM58" s="151"/>
      <c r="AN58" s="152"/>
      <c r="AO58" s="151"/>
      <c r="AP58" s="152"/>
      <c r="AQ58" s="151"/>
      <c r="AR58" s="152"/>
      <c r="AS58" s="151"/>
      <c r="AT58" s="152"/>
      <c r="AU58" s="151"/>
      <c r="AV58" s="152"/>
      <c r="AW58" s="151"/>
      <c r="AX58" s="152"/>
      <c r="AY58" s="151"/>
      <c r="AZ58" s="152"/>
      <c r="BA58" s="151"/>
      <c r="BB58" s="152"/>
      <c r="BC58" s="151"/>
      <c r="BD58" s="152"/>
      <c r="BE58" s="151"/>
      <c r="BF58" s="152"/>
      <c r="BG58" s="151"/>
      <c r="BH58" s="152"/>
      <c r="BI58" s="151"/>
      <c r="BJ58" s="152"/>
      <c r="BK58" s="151"/>
      <c r="BL58" s="152"/>
      <c r="BM58" s="151"/>
      <c r="BN58" s="152"/>
      <c r="BO58" s="151"/>
      <c r="BP58" s="152"/>
      <c r="BQ58" s="151"/>
      <c r="BR58" s="152"/>
      <c r="BS58" s="151"/>
      <c r="BT58" s="152"/>
      <c r="BU58" s="151"/>
      <c r="BV58" s="152"/>
      <c r="BW58" s="151"/>
      <c r="BX58" s="152"/>
      <c r="BY58" s="151"/>
      <c r="BZ58" s="152"/>
      <c r="CA58" s="151"/>
      <c r="CB58" s="152"/>
      <c r="CC58" s="151"/>
      <c r="CD58" s="152"/>
      <c r="CE58" s="149"/>
      <c r="CF58" s="150"/>
      <c r="CG58" s="149"/>
      <c r="CH58" s="150"/>
      <c r="CI58" s="149"/>
      <c r="CJ58" s="150"/>
      <c r="CK58" s="149"/>
      <c r="CL58" s="150"/>
      <c r="CM58" s="149"/>
      <c r="CN58" s="150"/>
      <c r="CO58" s="149"/>
      <c r="CP58" s="150"/>
      <c r="CQ58" s="149"/>
      <c r="CR58" s="150"/>
      <c r="CS58" s="149"/>
      <c r="CT58" s="150"/>
      <c r="CU58" s="149"/>
      <c r="CV58" s="150"/>
      <c r="CW58" s="149"/>
      <c r="CX58" s="150"/>
      <c r="CY58" s="149"/>
      <c r="CZ58" s="150"/>
      <c r="DA58" s="149"/>
      <c r="DB58" s="150"/>
      <c r="DC58" s="149"/>
      <c r="DD58" s="150"/>
      <c r="DE58" s="149"/>
      <c r="DF58" s="150"/>
      <c r="DG58" s="149"/>
      <c r="DH58" s="150"/>
      <c r="DI58" s="149"/>
      <c r="DJ58" s="150"/>
      <c r="DK58" s="149"/>
      <c r="DL58" s="150"/>
      <c r="DM58" s="149"/>
      <c r="DN58" s="150"/>
      <c r="DO58" s="149"/>
    </row>
    <row r="59" spans="1:119" ht="14" outlineLevel="1" x14ac:dyDescent="0.3">
      <c r="C59" s="243"/>
      <c r="D59" s="244"/>
      <c r="F59" s="236" t="str">
        <f t="shared" si="7"/>
        <v/>
      </c>
      <c r="G59" s="236"/>
      <c r="H59" s="67" t="str">
        <f t="shared" si="8"/>
        <v/>
      </c>
      <c r="I59" s="32"/>
      <c r="J59" s="32"/>
      <c r="K59" s="154"/>
      <c r="L59" s="152"/>
      <c r="M59" s="151"/>
      <c r="N59" s="152"/>
      <c r="O59" s="151"/>
      <c r="P59" s="152"/>
      <c r="Q59" s="151"/>
      <c r="R59" s="152"/>
      <c r="S59" s="151"/>
      <c r="T59" s="152"/>
      <c r="U59" s="151"/>
      <c r="V59" s="152"/>
      <c r="W59" s="151"/>
      <c r="X59" s="152"/>
      <c r="Y59" s="151"/>
      <c r="Z59" s="152"/>
      <c r="AA59" s="151"/>
      <c r="AB59" s="152"/>
      <c r="AC59" s="151"/>
      <c r="AD59" s="152"/>
      <c r="AE59" s="151"/>
      <c r="AF59" s="152"/>
      <c r="AG59" s="151"/>
      <c r="AH59" s="152"/>
      <c r="AI59" s="151"/>
      <c r="AJ59" s="152"/>
      <c r="AK59" s="151"/>
      <c r="AL59" s="152"/>
      <c r="AM59" s="151"/>
      <c r="AN59" s="152"/>
      <c r="AO59" s="151"/>
      <c r="AP59" s="152"/>
      <c r="AQ59" s="151"/>
      <c r="AR59" s="152"/>
      <c r="AS59" s="151"/>
      <c r="AT59" s="152"/>
      <c r="AU59" s="151"/>
      <c r="AV59" s="152"/>
      <c r="AW59" s="151"/>
      <c r="AX59" s="152"/>
      <c r="AY59" s="151"/>
      <c r="AZ59" s="152"/>
      <c r="BA59" s="151"/>
      <c r="BB59" s="152"/>
      <c r="BC59" s="151"/>
      <c r="BD59" s="152"/>
      <c r="BE59" s="151"/>
      <c r="BF59" s="152"/>
      <c r="BG59" s="151"/>
      <c r="BH59" s="152"/>
      <c r="BI59" s="151"/>
      <c r="BJ59" s="152"/>
      <c r="BK59" s="151"/>
      <c r="BL59" s="152"/>
      <c r="BM59" s="151"/>
      <c r="BN59" s="152"/>
      <c r="BO59" s="151"/>
      <c r="BP59" s="152"/>
      <c r="BQ59" s="151"/>
      <c r="BR59" s="152"/>
      <c r="BS59" s="151"/>
      <c r="BT59" s="152"/>
      <c r="BU59" s="151"/>
      <c r="BV59" s="152"/>
      <c r="BW59" s="151"/>
      <c r="BX59" s="152"/>
      <c r="BY59" s="151"/>
      <c r="BZ59" s="152"/>
      <c r="CA59" s="151"/>
      <c r="CB59" s="152"/>
      <c r="CC59" s="151"/>
      <c r="CD59" s="152"/>
      <c r="CE59" s="149"/>
      <c r="CF59" s="150"/>
      <c r="CG59" s="149"/>
      <c r="CH59" s="150"/>
      <c r="CI59" s="149"/>
      <c r="CJ59" s="150"/>
      <c r="CK59" s="149"/>
      <c r="CL59" s="150"/>
      <c r="CM59" s="149"/>
      <c r="CN59" s="150"/>
      <c r="CO59" s="149"/>
      <c r="CP59" s="150"/>
      <c r="CQ59" s="149"/>
      <c r="CR59" s="150"/>
      <c r="CS59" s="149"/>
      <c r="CT59" s="150"/>
      <c r="CU59" s="149"/>
      <c r="CV59" s="150"/>
      <c r="CW59" s="149"/>
      <c r="CX59" s="150"/>
      <c r="CY59" s="149"/>
      <c r="CZ59" s="150"/>
      <c r="DA59" s="149"/>
      <c r="DB59" s="150"/>
      <c r="DC59" s="149"/>
      <c r="DD59" s="150"/>
      <c r="DE59" s="149"/>
      <c r="DF59" s="150"/>
      <c r="DG59" s="149"/>
      <c r="DH59" s="150"/>
      <c r="DI59" s="149"/>
      <c r="DJ59" s="150"/>
      <c r="DK59" s="149"/>
      <c r="DL59" s="150"/>
      <c r="DM59" s="149"/>
      <c r="DN59" s="150"/>
      <c r="DO59" s="149"/>
    </row>
    <row r="60" spans="1:119" ht="14" outlineLevel="1" x14ac:dyDescent="0.3">
      <c r="C60" s="278"/>
      <c r="D60" s="244"/>
      <c r="F60" s="236" t="str">
        <f t="shared" si="7"/>
        <v/>
      </c>
      <c r="G60" s="236"/>
      <c r="H60" s="67" t="str">
        <f t="shared" ref="H60:H62" si="9">IF(SUM(K60:CV60)=0,"",SUM(K60:CV60))</f>
        <v/>
      </c>
      <c r="I60" s="32"/>
      <c r="J60" s="32"/>
      <c r="K60" s="154"/>
      <c r="L60" s="152"/>
      <c r="M60" s="151"/>
      <c r="N60" s="152"/>
      <c r="O60" s="151"/>
      <c r="P60" s="152"/>
      <c r="Q60" s="151"/>
      <c r="R60" s="152"/>
      <c r="S60" s="151"/>
      <c r="T60" s="152"/>
      <c r="U60" s="151"/>
      <c r="V60" s="152"/>
      <c r="W60" s="151"/>
      <c r="X60" s="152"/>
      <c r="Y60" s="151"/>
      <c r="Z60" s="152"/>
      <c r="AA60" s="151"/>
      <c r="AB60" s="152"/>
      <c r="AC60" s="151"/>
      <c r="AD60" s="152"/>
      <c r="AE60" s="151"/>
      <c r="AF60" s="152"/>
      <c r="AG60" s="151"/>
      <c r="AH60" s="152"/>
      <c r="AI60" s="151"/>
      <c r="AJ60" s="152"/>
      <c r="AK60" s="151"/>
      <c r="AL60" s="152"/>
      <c r="AM60" s="151"/>
      <c r="AN60" s="152"/>
      <c r="AO60" s="151"/>
      <c r="AP60" s="152"/>
      <c r="AQ60" s="151"/>
      <c r="AR60" s="152"/>
      <c r="AS60" s="151"/>
      <c r="AT60" s="152"/>
      <c r="AU60" s="151"/>
      <c r="AV60" s="152"/>
      <c r="AW60" s="151"/>
      <c r="AX60" s="152"/>
      <c r="AY60" s="151"/>
      <c r="AZ60" s="152"/>
      <c r="BA60" s="151"/>
      <c r="BB60" s="152"/>
      <c r="BC60" s="151"/>
      <c r="BD60" s="152"/>
      <c r="BE60" s="151"/>
      <c r="BF60" s="152"/>
      <c r="BG60" s="151"/>
      <c r="BH60" s="152"/>
      <c r="BI60" s="151"/>
      <c r="BJ60" s="152"/>
      <c r="BK60" s="151"/>
      <c r="BL60" s="152"/>
      <c r="BM60" s="151"/>
      <c r="BN60" s="152"/>
      <c r="BO60" s="151"/>
      <c r="BP60" s="152"/>
      <c r="BQ60" s="151"/>
      <c r="BR60" s="152"/>
      <c r="BS60" s="151"/>
      <c r="BT60" s="152"/>
      <c r="BU60" s="151"/>
      <c r="BV60" s="152"/>
      <c r="BW60" s="151"/>
      <c r="BX60" s="152"/>
      <c r="BY60" s="151"/>
      <c r="BZ60" s="152"/>
      <c r="CA60" s="151"/>
      <c r="CB60" s="152"/>
      <c r="CC60" s="151"/>
      <c r="CD60" s="152"/>
      <c r="CE60" s="149"/>
      <c r="CF60" s="150"/>
      <c r="CG60" s="149"/>
      <c r="CH60" s="150"/>
      <c r="CI60" s="149"/>
      <c r="CJ60" s="150"/>
      <c r="CK60" s="149"/>
      <c r="CL60" s="150"/>
      <c r="CM60" s="149"/>
      <c r="CN60" s="150"/>
      <c r="CO60" s="149"/>
      <c r="CP60" s="150"/>
      <c r="CQ60" s="149"/>
      <c r="CR60" s="150"/>
      <c r="CS60" s="149"/>
      <c r="CT60" s="150"/>
      <c r="CU60" s="149"/>
      <c r="CV60" s="150"/>
      <c r="CW60" s="149"/>
      <c r="CX60" s="150"/>
      <c r="CY60" s="149"/>
      <c r="CZ60" s="150"/>
      <c r="DA60" s="149"/>
      <c r="DB60" s="150"/>
      <c r="DC60" s="149"/>
      <c r="DD60" s="150"/>
      <c r="DE60" s="149"/>
      <c r="DF60" s="150"/>
      <c r="DG60" s="149"/>
      <c r="DH60" s="150"/>
      <c r="DI60" s="149"/>
      <c r="DJ60" s="150"/>
      <c r="DK60" s="149"/>
      <c r="DL60" s="150"/>
      <c r="DM60" s="149"/>
      <c r="DN60" s="150"/>
      <c r="DO60" s="149"/>
    </row>
    <row r="61" spans="1:119" ht="14" outlineLevel="1" x14ac:dyDescent="0.3">
      <c r="C61" s="243"/>
      <c r="D61" s="244"/>
      <c r="F61" s="236" t="str">
        <f t="shared" si="7"/>
        <v/>
      </c>
      <c r="G61" s="236"/>
      <c r="H61" s="67" t="str">
        <f t="shared" si="9"/>
        <v/>
      </c>
      <c r="I61" s="32" t="str">
        <f>IF(F61="","",(IF(G61="PT",VLOOKUP(F61,#REF!,2,FALSE))+IF(G61="US",VLOOKUP(F61,#REF!,3,FALSE))+IF(G61="DE",VLOOKUP(F61,#REF!,4,FALSE))+IF(G61="BR",VLOOKUP(F61,#REF!,5,FALSE))))</f>
        <v/>
      </c>
      <c r="J61" s="32">
        <v>300</v>
      </c>
      <c r="K61" s="154"/>
      <c r="L61" s="152"/>
      <c r="M61" s="151"/>
      <c r="N61" s="152"/>
      <c r="O61" s="151"/>
      <c r="P61" s="152"/>
      <c r="Q61" s="151"/>
      <c r="R61" s="152"/>
      <c r="S61" s="151"/>
      <c r="T61" s="152"/>
      <c r="U61" s="151"/>
      <c r="V61" s="152"/>
      <c r="W61" s="151"/>
      <c r="X61" s="152"/>
      <c r="Y61" s="151"/>
      <c r="Z61" s="152"/>
      <c r="AA61" s="151"/>
      <c r="AB61" s="152"/>
      <c r="AC61" s="151"/>
      <c r="AD61" s="152"/>
      <c r="AE61" s="151"/>
      <c r="AF61" s="152"/>
      <c r="AG61" s="151"/>
      <c r="AH61" s="152"/>
      <c r="AI61" s="151"/>
      <c r="AJ61" s="152"/>
      <c r="AK61" s="151"/>
      <c r="AL61" s="152"/>
      <c r="AM61" s="151"/>
      <c r="AN61" s="152"/>
      <c r="AO61" s="151"/>
      <c r="AP61" s="152"/>
      <c r="AQ61" s="151"/>
      <c r="AR61" s="152"/>
      <c r="AS61" s="151"/>
      <c r="AT61" s="152"/>
      <c r="AU61" s="151"/>
      <c r="AV61" s="152"/>
      <c r="AW61" s="151"/>
      <c r="AX61" s="152"/>
      <c r="AY61" s="151"/>
      <c r="AZ61" s="152"/>
      <c r="BA61" s="151"/>
      <c r="BB61" s="152"/>
      <c r="BC61" s="151"/>
      <c r="BD61" s="152"/>
      <c r="BE61" s="151"/>
      <c r="BF61" s="152"/>
      <c r="BG61" s="151"/>
      <c r="BH61" s="152"/>
      <c r="BI61" s="151"/>
      <c r="BJ61" s="152"/>
      <c r="BK61" s="151"/>
      <c r="BL61" s="152"/>
      <c r="BM61" s="151"/>
      <c r="BN61" s="152"/>
      <c r="BO61" s="151"/>
      <c r="BP61" s="152"/>
      <c r="BQ61" s="151"/>
      <c r="BR61" s="152"/>
      <c r="BS61" s="151"/>
      <c r="BT61" s="152"/>
      <c r="BU61" s="151"/>
      <c r="BV61" s="152"/>
      <c r="BW61" s="151"/>
      <c r="BX61" s="152"/>
      <c r="BY61" s="151"/>
      <c r="BZ61" s="152"/>
      <c r="CA61" s="151"/>
      <c r="CB61" s="152"/>
      <c r="CC61" s="151"/>
      <c r="CD61" s="152"/>
      <c r="CE61" s="149"/>
      <c r="CF61" s="150"/>
      <c r="CG61" s="149"/>
      <c r="CH61" s="150"/>
      <c r="CI61" s="149"/>
      <c r="CJ61" s="150"/>
      <c r="CK61" s="149"/>
      <c r="CL61" s="150"/>
      <c r="CM61" s="149"/>
      <c r="CN61" s="150"/>
      <c r="CO61" s="149"/>
      <c r="CP61" s="150"/>
      <c r="CQ61" s="149"/>
      <c r="CR61" s="150"/>
      <c r="CS61" s="149"/>
      <c r="CT61" s="150"/>
      <c r="CU61" s="149"/>
      <c r="CV61" s="150"/>
      <c r="CW61" s="149"/>
      <c r="CX61" s="150"/>
      <c r="CY61" s="149"/>
      <c r="CZ61" s="150"/>
      <c r="DA61" s="149"/>
      <c r="DB61" s="150"/>
      <c r="DC61" s="149"/>
      <c r="DD61" s="150"/>
      <c r="DE61" s="149"/>
      <c r="DF61" s="150"/>
      <c r="DG61" s="149"/>
      <c r="DH61" s="150"/>
      <c r="DI61" s="149"/>
      <c r="DJ61" s="150"/>
      <c r="DK61" s="149"/>
      <c r="DL61" s="150"/>
      <c r="DM61" s="149"/>
      <c r="DN61" s="150"/>
      <c r="DO61" s="149"/>
    </row>
    <row r="62" spans="1:119" ht="14" outlineLevel="1" x14ac:dyDescent="0.3">
      <c r="A62" s="18"/>
      <c r="B62" s="18"/>
      <c r="C62" s="283"/>
      <c r="D62" s="284"/>
      <c r="E62" s="106"/>
      <c r="F62" s="285" t="str">
        <f t="shared" si="7"/>
        <v/>
      </c>
      <c r="G62" s="285"/>
      <c r="H62" s="67" t="str">
        <f t="shared" si="9"/>
        <v/>
      </c>
      <c r="I62" s="32" t="str">
        <f>IF(F62="","",(IF(G62="PT",VLOOKUP(F62,#REF!,2,FALSE))+IF(G62="US",VLOOKUP(F62,#REF!,3,FALSE))+IF(G62="DE",VLOOKUP(F62,#REF!,4,FALSE))+IF(G62="BR",VLOOKUP(F62,#REF!,5,FALSE))))</f>
        <v/>
      </c>
      <c r="J62" s="32">
        <v>300</v>
      </c>
      <c r="K62" s="154"/>
      <c r="L62" s="152"/>
      <c r="M62" s="151"/>
      <c r="N62" s="152"/>
      <c r="O62" s="151"/>
      <c r="P62" s="152"/>
      <c r="Q62" s="151"/>
      <c r="R62" s="152"/>
      <c r="S62" s="151"/>
      <c r="T62" s="152"/>
      <c r="U62" s="151"/>
      <c r="V62" s="152"/>
      <c r="W62" s="151"/>
      <c r="X62" s="152"/>
      <c r="Y62" s="151"/>
      <c r="Z62" s="152"/>
      <c r="AA62" s="151"/>
      <c r="AB62" s="152"/>
      <c r="AC62" s="151"/>
      <c r="AD62" s="152"/>
      <c r="AE62" s="151"/>
      <c r="AF62" s="152"/>
      <c r="AG62" s="151"/>
      <c r="AH62" s="152"/>
      <c r="AI62" s="151"/>
      <c r="AJ62" s="152"/>
      <c r="AK62" s="151"/>
      <c r="AL62" s="152"/>
      <c r="AM62" s="151"/>
      <c r="AN62" s="152"/>
      <c r="AO62" s="151"/>
      <c r="AP62" s="152"/>
      <c r="AQ62" s="151"/>
      <c r="AR62" s="152"/>
      <c r="AS62" s="151"/>
      <c r="AT62" s="152"/>
      <c r="AU62" s="151"/>
      <c r="AV62" s="152"/>
      <c r="AW62" s="151"/>
      <c r="AX62" s="152"/>
      <c r="AY62" s="151"/>
      <c r="AZ62" s="152"/>
      <c r="BA62" s="151"/>
      <c r="BB62" s="152"/>
      <c r="BC62" s="151"/>
      <c r="BD62" s="152"/>
      <c r="BE62" s="151"/>
      <c r="BF62" s="152"/>
      <c r="BG62" s="151"/>
      <c r="BH62" s="152"/>
      <c r="BI62" s="151"/>
      <c r="BJ62" s="152"/>
      <c r="BK62" s="151"/>
      <c r="BL62" s="152"/>
      <c r="BM62" s="151"/>
      <c r="BN62" s="152"/>
      <c r="BO62" s="151"/>
      <c r="BP62" s="152"/>
      <c r="BQ62" s="151"/>
      <c r="BR62" s="152"/>
      <c r="BS62" s="151"/>
      <c r="BT62" s="152"/>
      <c r="BU62" s="151"/>
      <c r="BV62" s="152"/>
      <c r="BW62" s="151"/>
      <c r="BX62" s="152"/>
      <c r="BY62" s="151"/>
      <c r="BZ62" s="152"/>
      <c r="CA62" s="151"/>
      <c r="CB62" s="152"/>
      <c r="CC62" s="151"/>
      <c r="CD62" s="152"/>
      <c r="CE62" s="149"/>
      <c r="CF62" s="150"/>
      <c r="CG62" s="149"/>
      <c r="CH62" s="150"/>
      <c r="CI62" s="149"/>
      <c r="CJ62" s="150"/>
      <c r="CK62" s="149"/>
      <c r="CL62" s="150"/>
      <c r="CM62" s="149"/>
      <c r="CN62" s="150"/>
      <c r="CO62" s="149"/>
      <c r="CP62" s="150"/>
      <c r="CQ62" s="149"/>
      <c r="CR62" s="150"/>
      <c r="CS62" s="149"/>
      <c r="CT62" s="150"/>
      <c r="CU62" s="149"/>
      <c r="CV62" s="150"/>
      <c r="CW62" s="149"/>
      <c r="CX62" s="150"/>
      <c r="CY62" s="149"/>
      <c r="CZ62" s="150"/>
      <c r="DA62" s="149"/>
      <c r="DB62" s="150"/>
      <c r="DC62" s="149"/>
      <c r="DD62" s="150"/>
      <c r="DE62" s="149"/>
      <c r="DF62" s="150"/>
      <c r="DG62" s="149"/>
      <c r="DH62" s="150"/>
      <c r="DI62" s="149"/>
      <c r="DJ62" s="150"/>
      <c r="DK62" s="149"/>
      <c r="DL62" s="150"/>
      <c r="DM62" s="149"/>
      <c r="DN62" s="150"/>
      <c r="DO62" s="149"/>
    </row>
    <row r="63" spans="1:119" ht="14" outlineLevel="1" x14ac:dyDescent="0.3">
      <c r="C63" s="243"/>
      <c r="D63" s="244"/>
      <c r="F63" s="236">
        <f>+CMS!I23</f>
        <v>100</v>
      </c>
      <c r="G63" s="236"/>
      <c r="H63" s="67" t="str">
        <f>IF(SUM(K63:CV63)=0,"",SUM(K63:CV63))</f>
        <v/>
      </c>
      <c r="I63" s="32">
        <f>IF(F63="","",(IF(G63="PT",VLOOKUP(F63,#REF!,2,FALSE))+IF(G63="US",VLOOKUP(F63,#REF!,3,FALSE))+IF(G63="DE",VLOOKUP(F63,#REF!,4,FALSE))+IF(G63="BR",VLOOKUP(F63,#REF!,5,FALSE))))</f>
        <v>0</v>
      </c>
      <c r="J63" s="32">
        <v>300</v>
      </c>
      <c r="K63" s="154">
        <f>+IFERROR(CMS!J23,0)</f>
        <v>0</v>
      </c>
      <c r="L63" s="152">
        <f>+IFERROR(CMS!K23,0)</f>
        <v>0</v>
      </c>
      <c r="M63" s="151">
        <f>+IFERROR(CMS!L23,0)</f>
        <v>0</v>
      </c>
      <c r="N63" s="152"/>
      <c r="O63" s="151"/>
      <c r="P63" s="152"/>
      <c r="Q63" s="151"/>
      <c r="R63" s="152"/>
      <c r="S63" s="151"/>
      <c r="T63" s="152"/>
      <c r="U63" s="151"/>
      <c r="V63" s="152"/>
      <c r="W63" s="151"/>
      <c r="X63" s="152"/>
      <c r="Y63" s="151"/>
      <c r="Z63" s="152"/>
      <c r="AA63" s="151"/>
      <c r="AB63" s="152"/>
      <c r="AC63" s="151"/>
      <c r="AD63" s="152"/>
      <c r="AE63" s="151"/>
      <c r="AF63" s="152"/>
      <c r="AG63" s="151"/>
      <c r="AH63" s="152"/>
      <c r="AI63" s="151"/>
      <c r="AJ63" s="152"/>
      <c r="AK63" s="151"/>
      <c r="AL63" s="152"/>
      <c r="AM63" s="151"/>
      <c r="AN63" s="152"/>
      <c r="AO63" s="151"/>
      <c r="AP63" s="152"/>
      <c r="AQ63" s="151"/>
      <c r="AR63" s="152"/>
      <c r="AS63" s="151"/>
      <c r="AT63" s="152"/>
      <c r="AU63" s="151"/>
      <c r="AV63" s="152"/>
      <c r="AW63" s="151"/>
      <c r="AX63" s="152"/>
      <c r="AY63" s="151"/>
      <c r="AZ63" s="152"/>
      <c r="BA63" s="151"/>
      <c r="BB63" s="152"/>
      <c r="BC63" s="151"/>
      <c r="BD63" s="152"/>
      <c r="BE63" s="151"/>
      <c r="BF63" s="152"/>
      <c r="BG63" s="151"/>
      <c r="BH63" s="152"/>
      <c r="BI63" s="151"/>
      <c r="BJ63" s="152"/>
      <c r="BK63" s="151"/>
      <c r="BL63" s="152"/>
      <c r="BM63" s="151"/>
      <c r="BN63" s="152"/>
      <c r="BO63" s="151"/>
      <c r="BP63" s="152"/>
      <c r="BQ63" s="151"/>
      <c r="BR63" s="152"/>
      <c r="BS63" s="151"/>
      <c r="BT63" s="152"/>
      <c r="BU63" s="151"/>
      <c r="BV63" s="152"/>
      <c r="BW63" s="151"/>
      <c r="BX63" s="152"/>
      <c r="BY63" s="151"/>
      <c r="BZ63" s="152"/>
      <c r="CA63" s="151"/>
      <c r="CB63" s="152"/>
      <c r="CC63" s="151"/>
      <c r="CD63" s="152"/>
      <c r="CE63" s="149"/>
      <c r="CF63" s="150"/>
      <c r="CG63" s="149"/>
      <c r="CH63" s="150"/>
      <c r="CI63" s="149"/>
      <c r="CJ63" s="150"/>
      <c r="CK63" s="149"/>
      <c r="CL63" s="150"/>
      <c r="CM63" s="149"/>
      <c r="CN63" s="150"/>
      <c r="CO63" s="149"/>
      <c r="CP63" s="150"/>
      <c r="CQ63" s="149"/>
      <c r="CR63" s="150"/>
      <c r="CS63" s="149"/>
      <c r="CT63" s="150"/>
      <c r="CU63" s="149"/>
      <c r="CV63" s="150"/>
      <c r="CW63" s="149"/>
      <c r="CX63" s="150"/>
      <c r="CY63" s="149"/>
      <c r="CZ63" s="150"/>
      <c r="DA63" s="149"/>
      <c r="DB63" s="150"/>
      <c r="DC63" s="149"/>
      <c r="DD63" s="150"/>
      <c r="DE63" s="149"/>
      <c r="DF63" s="150"/>
      <c r="DG63" s="149"/>
      <c r="DH63" s="150"/>
      <c r="DI63" s="149"/>
      <c r="DJ63" s="150"/>
      <c r="DK63" s="149"/>
      <c r="DL63" s="150"/>
      <c r="DM63" s="149"/>
      <c r="DN63" s="150"/>
      <c r="DO63" s="149"/>
    </row>
    <row r="64" spans="1:119" ht="14" outlineLevel="1" x14ac:dyDescent="0.3">
      <c r="C64" s="243"/>
      <c r="D64" s="244"/>
      <c r="F64" s="236">
        <f>+CMS!I24</f>
        <v>101</v>
      </c>
      <c r="G64" s="236" t="s">
        <v>16</v>
      </c>
      <c r="H64" s="67">
        <f t="shared" ref="H64:H119" si="10">IF(SUM(K64:CV64)=0,"",SUM(K64:CV64))</f>
        <v>54.214875000000006</v>
      </c>
      <c r="I64" s="32" t="e">
        <f>IF(F64="","",(IF(G64="PT",VLOOKUP(F64,#REF!,2,FALSE))+IF(G64="US",VLOOKUP(F64,#REF!,3,FALSE))+IF(G64="DE",VLOOKUP(F64,#REF!,4,FALSE))+IF(G64="BR",VLOOKUP(F64,#REF!,5,FALSE))))</f>
        <v>#REF!</v>
      </c>
      <c r="J64" s="32">
        <v>300</v>
      </c>
      <c r="K64" s="154">
        <f>+IFERROR(CMS!J24,0)</f>
        <v>54.214875000000006</v>
      </c>
      <c r="L64" s="152">
        <f>+IFERROR(CMS!K24,0)</f>
        <v>0</v>
      </c>
      <c r="M64" s="151">
        <f>+IFERROR(CMS!L24,0)</f>
        <v>0</v>
      </c>
      <c r="N64" s="152"/>
      <c r="O64" s="151"/>
      <c r="P64" s="152"/>
      <c r="Q64" s="151"/>
      <c r="R64" s="152"/>
      <c r="S64" s="151"/>
      <c r="T64" s="152"/>
      <c r="U64" s="151"/>
      <c r="V64" s="152"/>
      <c r="W64" s="151"/>
      <c r="X64" s="152"/>
      <c r="Y64" s="151"/>
      <c r="Z64" s="152"/>
      <c r="AA64" s="151"/>
      <c r="AB64" s="152"/>
      <c r="AC64" s="151"/>
      <c r="AD64" s="152"/>
      <c r="AE64" s="151"/>
      <c r="AF64" s="152"/>
      <c r="AG64" s="151"/>
      <c r="AH64" s="152"/>
      <c r="AI64" s="151"/>
      <c r="AJ64" s="152"/>
      <c r="AK64" s="151"/>
      <c r="AL64" s="152"/>
      <c r="AM64" s="151"/>
      <c r="AN64" s="152"/>
      <c r="AO64" s="151"/>
      <c r="AP64" s="152"/>
      <c r="AQ64" s="151"/>
      <c r="AR64" s="152"/>
      <c r="AS64" s="151"/>
      <c r="AT64" s="152"/>
      <c r="AU64" s="151"/>
      <c r="AV64" s="152"/>
      <c r="AW64" s="151"/>
      <c r="AX64" s="152"/>
      <c r="AY64" s="151"/>
      <c r="AZ64" s="152"/>
      <c r="BA64" s="151"/>
      <c r="BB64" s="152"/>
      <c r="BC64" s="151"/>
      <c r="BD64" s="152"/>
      <c r="BE64" s="151"/>
      <c r="BF64" s="152"/>
      <c r="BG64" s="151"/>
      <c r="BH64" s="152"/>
      <c r="BI64" s="151"/>
      <c r="BJ64" s="152"/>
      <c r="BK64" s="151"/>
      <c r="BL64" s="152"/>
      <c r="BM64" s="151"/>
      <c r="BN64" s="152"/>
      <c r="BO64" s="151"/>
      <c r="BP64" s="152"/>
      <c r="BQ64" s="151"/>
      <c r="BR64" s="152"/>
      <c r="BS64" s="151"/>
      <c r="BT64" s="152"/>
      <c r="BU64" s="151"/>
      <c r="BV64" s="152"/>
      <c r="BW64" s="151"/>
      <c r="BX64" s="152"/>
      <c r="BY64" s="151"/>
      <c r="BZ64" s="152"/>
      <c r="CA64" s="151"/>
      <c r="CB64" s="152"/>
      <c r="CC64" s="151"/>
      <c r="CD64" s="152"/>
      <c r="CE64" s="149"/>
      <c r="CF64" s="150"/>
      <c r="CG64" s="149"/>
      <c r="CH64" s="150"/>
      <c r="CI64" s="149"/>
      <c r="CJ64" s="150"/>
      <c r="CK64" s="149"/>
      <c r="CL64" s="150"/>
      <c r="CM64" s="149"/>
      <c r="CN64" s="150"/>
      <c r="CO64" s="149"/>
      <c r="CP64" s="150"/>
      <c r="CQ64" s="149"/>
      <c r="CR64" s="150"/>
      <c r="CS64" s="149"/>
      <c r="CT64" s="150"/>
      <c r="CU64" s="149"/>
      <c r="CV64" s="150"/>
      <c r="CW64" s="149"/>
      <c r="CX64" s="150"/>
      <c r="CY64" s="149"/>
      <c r="CZ64" s="150"/>
      <c r="DA64" s="149"/>
      <c r="DB64" s="150"/>
      <c r="DC64" s="149"/>
      <c r="DD64" s="150"/>
      <c r="DE64" s="149"/>
      <c r="DF64" s="150"/>
      <c r="DG64" s="149"/>
      <c r="DH64" s="150"/>
      <c r="DI64" s="149"/>
      <c r="DJ64" s="150"/>
      <c r="DK64" s="149"/>
      <c r="DL64" s="150"/>
      <c r="DM64" s="149"/>
      <c r="DN64" s="150"/>
      <c r="DO64" s="149"/>
    </row>
    <row r="65" spans="3:119" ht="14" outlineLevel="1" x14ac:dyDescent="0.3">
      <c r="C65" s="243"/>
      <c r="D65" s="244"/>
      <c r="F65" s="236">
        <f>+CMS!I25</f>
        <v>102</v>
      </c>
      <c r="G65" s="236" t="s">
        <v>16</v>
      </c>
      <c r="H65" s="67">
        <f t="shared" si="10"/>
        <v>56.383470000000003</v>
      </c>
      <c r="I65" s="32" t="e">
        <f>IF(F65="","",(IF(G65="PT",VLOOKUP(F65,#REF!,2,FALSE))+IF(G65="US",VLOOKUP(F65,#REF!,3,FALSE))+IF(G65="DE",VLOOKUP(F65,#REF!,4,FALSE))+IF(G65="BR",VLOOKUP(F65,#REF!,5,FALSE))))</f>
        <v>#REF!</v>
      </c>
      <c r="J65" s="32">
        <v>300</v>
      </c>
      <c r="K65" s="154">
        <f>+IFERROR(CMS!J25,0)</f>
        <v>56.383470000000003</v>
      </c>
      <c r="L65" s="152">
        <f>+IFERROR(CMS!K25,0)</f>
        <v>0</v>
      </c>
      <c r="M65" s="151">
        <f>+IFERROR(CMS!L25,0)</f>
        <v>0</v>
      </c>
      <c r="N65" s="152"/>
      <c r="O65" s="151"/>
      <c r="P65" s="152"/>
      <c r="Q65" s="151"/>
      <c r="R65" s="152"/>
      <c r="S65" s="151"/>
      <c r="T65" s="152"/>
      <c r="U65" s="151"/>
      <c r="V65" s="152"/>
      <c r="W65" s="151"/>
      <c r="X65" s="152"/>
      <c r="Y65" s="151"/>
      <c r="Z65" s="152"/>
      <c r="AA65" s="151"/>
      <c r="AB65" s="152"/>
      <c r="AC65" s="151"/>
      <c r="AD65" s="152"/>
      <c r="AE65" s="151"/>
      <c r="AF65" s="152"/>
      <c r="AG65" s="151"/>
      <c r="AH65" s="152"/>
      <c r="AI65" s="151"/>
      <c r="AJ65" s="152"/>
      <c r="AK65" s="151"/>
      <c r="AL65" s="152"/>
      <c r="AM65" s="151"/>
      <c r="AN65" s="152"/>
      <c r="AO65" s="151"/>
      <c r="AP65" s="152"/>
      <c r="AQ65" s="151"/>
      <c r="AR65" s="152"/>
      <c r="AS65" s="151"/>
      <c r="AT65" s="152"/>
      <c r="AU65" s="151"/>
      <c r="AV65" s="152"/>
      <c r="AW65" s="151"/>
      <c r="AX65" s="152"/>
      <c r="AY65" s="151"/>
      <c r="AZ65" s="152"/>
      <c r="BA65" s="151"/>
      <c r="BB65" s="152"/>
      <c r="BC65" s="151"/>
      <c r="BD65" s="152"/>
      <c r="BE65" s="151"/>
      <c r="BF65" s="152"/>
      <c r="BG65" s="151"/>
      <c r="BH65" s="152"/>
      <c r="BI65" s="151"/>
      <c r="BJ65" s="152"/>
      <c r="BK65" s="151"/>
      <c r="BL65" s="152"/>
      <c r="BM65" s="151"/>
      <c r="BN65" s="152"/>
      <c r="BO65" s="151"/>
      <c r="BP65" s="152"/>
      <c r="BQ65" s="151"/>
      <c r="BR65" s="152"/>
      <c r="BS65" s="151"/>
      <c r="BT65" s="152"/>
      <c r="BU65" s="151"/>
      <c r="BV65" s="152"/>
      <c r="BW65" s="151"/>
      <c r="BX65" s="152"/>
      <c r="BY65" s="151"/>
      <c r="BZ65" s="152"/>
      <c r="CA65" s="151"/>
      <c r="CB65" s="152"/>
      <c r="CC65" s="151"/>
      <c r="CD65" s="152"/>
      <c r="CE65" s="149"/>
      <c r="CF65" s="150"/>
      <c r="CG65" s="149"/>
      <c r="CH65" s="150"/>
      <c r="CI65" s="149"/>
      <c r="CJ65" s="150"/>
      <c r="CK65" s="149"/>
      <c r="CL65" s="150"/>
      <c r="CM65" s="149"/>
      <c r="CN65" s="150"/>
      <c r="CO65" s="149"/>
      <c r="CP65" s="150"/>
      <c r="CQ65" s="149"/>
      <c r="CR65" s="150"/>
      <c r="CS65" s="149"/>
      <c r="CT65" s="150"/>
      <c r="CU65" s="149"/>
      <c r="CV65" s="150"/>
      <c r="CW65" s="149"/>
      <c r="CX65" s="150"/>
      <c r="CY65" s="149"/>
      <c r="CZ65" s="150"/>
      <c r="DA65" s="149"/>
      <c r="DB65" s="150"/>
      <c r="DC65" s="149"/>
      <c r="DD65" s="150"/>
      <c r="DE65" s="149"/>
      <c r="DF65" s="150"/>
      <c r="DG65" s="149"/>
      <c r="DH65" s="150"/>
      <c r="DI65" s="149"/>
      <c r="DJ65" s="150"/>
      <c r="DK65" s="149"/>
      <c r="DL65" s="150"/>
      <c r="DM65" s="149"/>
      <c r="DN65" s="150"/>
      <c r="DO65" s="149"/>
    </row>
    <row r="66" spans="3:119" ht="14" outlineLevel="1" x14ac:dyDescent="0.3">
      <c r="C66" s="243"/>
      <c r="D66" s="244"/>
      <c r="F66" s="236">
        <f>+CMS!I26</f>
        <v>200</v>
      </c>
      <c r="G66" s="236" t="s">
        <v>13</v>
      </c>
      <c r="H66" s="67">
        <f t="shared" si="10"/>
        <v>21.685950000000002</v>
      </c>
      <c r="I66" s="32"/>
      <c r="J66" s="32"/>
      <c r="K66" s="154">
        <f>+IFERROR(CMS!J26,0)</f>
        <v>21.685950000000002</v>
      </c>
      <c r="L66" s="152">
        <f>+IFERROR(CMS!K26,0)</f>
        <v>0</v>
      </c>
      <c r="M66" s="151">
        <f>+IFERROR(CMS!L26,0)</f>
        <v>0</v>
      </c>
      <c r="N66" s="152"/>
      <c r="O66" s="151"/>
      <c r="P66" s="152"/>
      <c r="Q66" s="151"/>
      <c r="R66" s="152"/>
      <c r="S66" s="151"/>
      <c r="T66" s="152"/>
      <c r="U66" s="151"/>
      <c r="V66" s="152"/>
      <c r="W66" s="151"/>
      <c r="X66" s="152"/>
      <c r="Y66" s="151"/>
      <c r="Z66" s="152"/>
      <c r="AA66" s="151"/>
      <c r="AB66" s="152"/>
      <c r="AC66" s="151"/>
      <c r="AD66" s="152"/>
      <c r="AE66" s="151"/>
      <c r="AF66" s="152"/>
      <c r="AG66" s="151"/>
      <c r="AH66" s="152"/>
      <c r="AI66" s="151"/>
      <c r="AJ66" s="152"/>
      <c r="AK66" s="151"/>
      <c r="AL66" s="152"/>
      <c r="AM66" s="151"/>
      <c r="AN66" s="152"/>
      <c r="AO66" s="151"/>
      <c r="AP66" s="152"/>
      <c r="AQ66" s="151"/>
      <c r="AR66" s="152"/>
      <c r="AS66" s="151"/>
      <c r="AT66" s="152"/>
      <c r="AU66" s="151"/>
      <c r="AV66" s="152"/>
      <c r="AW66" s="151"/>
      <c r="AX66" s="152"/>
      <c r="AY66" s="151"/>
      <c r="AZ66" s="152"/>
      <c r="BA66" s="151"/>
      <c r="BB66" s="152"/>
      <c r="BC66" s="151"/>
      <c r="BD66" s="152"/>
      <c r="BE66" s="151"/>
      <c r="BF66" s="152"/>
      <c r="BG66" s="151"/>
      <c r="BH66" s="152"/>
      <c r="BI66" s="151"/>
      <c r="BJ66" s="152"/>
      <c r="BK66" s="151"/>
      <c r="BL66" s="152"/>
      <c r="BM66" s="151"/>
      <c r="BN66" s="152"/>
      <c r="BO66" s="151"/>
      <c r="BP66" s="152"/>
      <c r="BQ66" s="151"/>
      <c r="BR66" s="152"/>
      <c r="BS66" s="151"/>
      <c r="BT66" s="152"/>
      <c r="BU66" s="151"/>
      <c r="BV66" s="152"/>
      <c r="BW66" s="151"/>
      <c r="BX66" s="152"/>
      <c r="BY66" s="151"/>
      <c r="BZ66" s="152"/>
      <c r="CA66" s="151"/>
      <c r="CB66" s="152"/>
      <c r="CC66" s="151"/>
      <c r="CD66" s="152"/>
      <c r="CE66" s="149"/>
      <c r="CF66" s="150"/>
      <c r="CG66" s="149"/>
      <c r="CH66" s="150"/>
      <c r="CI66" s="149"/>
      <c r="CJ66" s="150"/>
      <c r="CK66" s="149"/>
      <c r="CL66" s="150"/>
      <c r="CM66" s="149"/>
      <c r="CN66" s="150"/>
      <c r="CO66" s="149"/>
      <c r="CP66" s="150"/>
      <c r="CQ66" s="149"/>
      <c r="CR66" s="150"/>
      <c r="CS66" s="149"/>
      <c r="CT66" s="150"/>
      <c r="CU66" s="149"/>
      <c r="CV66" s="150"/>
      <c r="CW66" s="149"/>
      <c r="CX66" s="150"/>
      <c r="CY66" s="149"/>
      <c r="CZ66" s="150"/>
      <c r="DA66" s="149"/>
      <c r="DB66" s="150"/>
      <c r="DC66" s="149"/>
      <c r="DD66" s="150"/>
      <c r="DE66" s="149"/>
      <c r="DF66" s="150"/>
      <c r="DG66" s="149"/>
      <c r="DH66" s="150"/>
      <c r="DI66" s="149"/>
      <c r="DJ66" s="150"/>
      <c r="DK66" s="149"/>
      <c r="DL66" s="150"/>
      <c r="DM66" s="149"/>
      <c r="DN66" s="150"/>
      <c r="DO66" s="149"/>
    </row>
    <row r="67" spans="3:119" ht="14" outlineLevel="1" x14ac:dyDescent="0.3">
      <c r="C67" s="243"/>
      <c r="D67" s="244"/>
      <c r="F67" s="236">
        <f>+CMS!I27</f>
        <v>201</v>
      </c>
      <c r="G67" s="236" t="s">
        <v>13</v>
      </c>
      <c r="H67" s="67">
        <f t="shared" si="10"/>
        <v>21.685950000000002</v>
      </c>
      <c r="I67" s="32"/>
      <c r="J67" s="32"/>
      <c r="K67" s="154">
        <f>+IFERROR(CMS!J27,0)</f>
        <v>21.685950000000002</v>
      </c>
      <c r="L67" s="152">
        <f>+IFERROR(CMS!K27,0)</f>
        <v>0</v>
      </c>
      <c r="M67" s="151">
        <f>+IFERROR(CMS!L27,0)</f>
        <v>0</v>
      </c>
      <c r="N67" s="152"/>
      <c r="O67" s="151"/>
      <c r="P67" s="152"/>
      <c r="Q67" s="151"/>
      <c r="R67" s="152"/>
      <c r="S67" s="151"/>
      <c r="T67" s="152"/>
      <c r="U67" s="151"/>
      <c r="V67" s="152"/>
      <c r="W67" s="151"/>
      <c r="X67" s="152"/>
      <c r="Y67" s="151"/>
      <c r="Z67" s="152"/>
      <c r="AA67" s="151"/>
      <c r="AB67" s="152"/>
      <c r="AC67" s="151"/>
      <c r="AD67" s="152"/>
      <c r="AE67" s="151"/>
      <c r="AF67" s="152"/>
      <c r="AG67" s="151"/>
      <c r="AH67" s="152"/>
      <c r="AI67" s="151"/>
      <c r="AJ67" s="152"/>
      <c r="AK67" s="151"/>
      <c r="AL67" s="152"/>
      <c r="AM67" s="151"/>
      <c r="AN67" s="152"/>
      <c r="AO67" s="151"/>
      <c r="AP67" s="152"/>
      <c r="AQ67" s="151"/>
      <c r="AR67" s="152"/>
      <c r="AS67" s="151"/>
      <c r="AT67" s="152"/>
      <c r="AU67" s="151"/>
      <c r="AV67" s="152"/>
      <c r="AW67" s="151"/>
      <c r="AX67" s="152"/>
      <c r="AY67" s="151"/>
      <c r="AZ67" s="152"/>
      <c r="BA67" s="151"/>
      <c r="BB67" s="152"/>
      <c r="BC67" s="151"/>
      <c r="BD67" s="152"/>
      <c r="BE67" s="151"/>
      <c r="BF67" s="152"/>
      <c r="BG67" s="151"/>
      <c r="BH67" s="152"/>
      <c r="BI67" s="151"/>
      <c r="BJ67" s="152"/>
      <c r="BK67" s="151"/>
      <c r="BL67" s="152"/>
      <c r="BM67" s="151"/>
      <c r="BN67" s="152"/>
      <c r="BO67" s="151"/>
      <c r="BP67" s="152"/>
      <c r="BQ67" s="151"/>
      <c r="BR67" s="152"/>
      <c r="BS67" s="151"/>
      <c r="BT67" s="152"/>
      <c r="BU67" s="151"/>
      <c r="BV67" s="152"/>
      <c r="BW67" s="151"/>
      <c r="BX67" s="152"/>
      <c r="BY67" s="151"/>
      <c r="BZ67" s="152"/>
      <c r="CA67" s="151"/>
      <c r="CB67" s="152"/>
      <c r="CC67" s="151"/>
      <c r="CD67" s="152"/>
      <c r="CE67" s="149"/>
      <c r="CF67" s="150"/>
      <c r="CG67" s="149"/>
      <c r="CH67" s="150"/>
      <c r="CI67" s="149"/>
      <c r="CJ67" s="150"/>
      <c r="CK67" s="149"/>
      <c r="CL67" s="150"/>
      <c r="CM67" s="149"/>
      <c r="CN67" s="150"/>
      <c r="CO67" s="149"/>
      <c r="CP67" s="150"/>
      <c r="CQ67" s="149"/>
      <c r="CR67" s="150"/>
      <c r="CS67" s="149"/>
      <c r="CT67" s="150"/>
      <c r="CU67" s="149"/>
      <c r="CV67" s="150"/>
      <c r="CW67" s="149"/>
      <c r="CX67" s="150"/>
      <c r="CY67" s="149"/>
      <c r="CZ67" s="150"/>
      <c r="DA67" s="149"/>
      <c r="DB67" s="150"/>
      <c r="DC67" s="149"/>
      <c r="DD67" s="150"/>
      <c r="DE67" s="149"/>
      <c r="DF67" s="150"/>
      <c r="DG67" s="149"/>
      <c r="DH67" s="150"/>
      <c r="DI67" s="149"/>
      <c r="DJ67" s="150"/>
      <c r="DK67" s="149"/>
      <c r="DL67" s="150"/>
      <c r="DM67" s="149"/>
      <c r="DN67" s="150"/>
      <c r="DO67" s="149"/>
    </row>
    <row r="68" spans="3:119" ht="14" outlineLevel="1" x14ac:dyDescent="0.3">
      <c r="C68" s="243"/>
      <c r="D68" s="244"/>
      <c r="F68" s="236">
        <f>+CMS!I28</f>
        <v>202</v>
      </c>
      <c r="G68" s="236" t="s">
        <v>13</v>
      </c>
      <c r="H68" s="67">
        <f t="shared" si="10"/>
        <v>21.685950000000002</v>
      </c>
      <c r="I68" s="32"/>
      <c r="J68" s="32"/>
      <c r="K68" s="154">
        <f>+IFERROR(CMS!J28,0)</f>
        <v>21.685950000000002</v>
      </c>
      <c r="L68" s="152">
        <f>+IFERROR(CMS!K28,0)</f>
        <v>0</v>
      </c>
      <c r="M68" s="151">
        <f>+IFERROR(CMS!L28,0)</f>
        <v>0</v>
      </c>
      <c r="N68" s="152"/>
      <c r="O68" s="151"/>
      <c r="P68" s="152"/>
      <c r="Q68" s="151"/>
      <c r="R68" s="152"/>
      <c r="S68" s="151"/>
      <c r="T68" s="152"/>
      <c r="U68" s="151"/>
      <c r="V68" s="152"/>
      <c r="W68" s="151"/>
      <c r="X68" s="152"/>
      <c r="Y68" s="151"/>
      <c r="Z68" s="152"/>
      <c r="AA68" s="151"/>
      <c r="AB68" s="152"/>
      <c r="AC68" s="151"/>
      <c r="AD68" s="152"/>
      <c r="AE68" s="151"/>
      <c r="AF68" s="152"/>
      <c r="AG68" s="151"/>
      <c r="AH68" s="152"/>
      <c r="AI68" s="151"/>
      <c r="AJ68" s="152"/>
      <c r="AK68" s="151"/>
      <c r="AL68" s="152"/>
      <c r="AM68" s="151"/>
      <c r="AN68" s="152"/>
      <c r="AO68" s="151"/>
      <c r="AP68" s="152"/>
      <c r="AQ68" s="151"/>
      <c r="AR68" s="152"/>
      <c r="AS68" s="151"/>
      <c r="AT68" s="152"/>
      <c r="AU68" s="151"/>
      <c r="AV68" s="152"/>
      <c r="AW68" s="151"/>
      <c r="AX68" s="152"/>
      <c r="AY68" s="151"/>
      <c r="AZ68" s="152"/>
      <c r="BA68" s="151"/>
      <c r="BB68" s="152"/>
      <c r="BC68" s="151"/>
      <c r="BD68" s="152"/>
      <c r="BE68" s="151"/>
      <c r="BF68" s="152"/>
      <c r="BG68" s="151"/>
      <c r="BH68" s="152"/>
      <c r="BI68" s="151"/>
      <c r="BJ68" s="152"/>
      <c r="BK68" s="151"/>
      <c r="BL68" s="152"/>
      <c r="BM68" s="151"/>
      <c r="BN68" s="152"/>
      <c r="BO68" s="151"/>
      <c r="BP68" s="152"/>
      <c r="BQ68" s="151"/>
      <c r="BR68" s="152"/>
      <c r="BS68" s="151"/>
      <c r="BT68" s="152"/>
      <c r="BU68" s="151"/>
      <c r="BV68" s="152"/>
      <c r="BW68" s="151"/>
      <c r="BX68" s="152"/>
      <c r="BY68" s="151"/>
      <c r="BZ68" s="152"/>
      <c r="CA68" s="151"/>
      <c r="CB68" s="152"/>
      <c r="CC68" s="151"/>
      <c r="CD68" s="152"/>
      <c r="CE68" s="149"/>
      <c r="CF68" s="150"/>
      <c r="CG68" s="149"/>
      <c r="CH68" s="150"/>
      <c r="CI68" s="149"/>
      <c r="CJ68" s="150"/>
      <c r="CK68" s="149"/>
      <c r="CL68" s="150"/>
      <c r="CM68" s="149"/>
      <c r="CN68" s="150"/>
      <c r="CO68" s="149"/>
      <c r="CP68" s="150"/>
      <c r="CQ68" s="149"/>
      <c r="CR68" s="150"/>
      <c r="CS68" s="149"/>
      <c r="CT68" s="150"/>
      <c r="CU68" s="149"/>
      <c r="CV68" s="150"/>
      <c r="CW68" s="149"/>
      <c r="CX68" s="150"/>
      <c r="CY68" s="149"/>
      <c r="CZ68" s="150"/>
      <c r="DA68" s="149"/>
      <c r="DB68" s="150"/>
      <c r="DC68" s="149"/>
      <c r="DD68" s="150"/>
      <c r="DE68" s="149"/>
      <c r="DF68" s="150"/>
      <c r="DG68" s="149"/>
      <c r="DH68" s="150"/>
      <c r="DI68" s="149"/>
      <c r="DJ68" s="150"/>
      <c r="DK68" s="149"/>
      <c r="DL68" s="150"/>
      <c r="DM68" s="149"/>
      <c r="DN68" s="150"/>
      <c r="DO68" s="149"/>
    </row>
    <row r="69" spans="3:119" ht="14" outlineLevel="1" x14ac:dyDescent="0.3">
      <c r="C69" s="243"/>
      <c r="D69" s="244"/>
      <c r="F69" s="236">
        <f>+CMS!I29</f>
        <v>203</v>
      </c>
      <c r="G69" s="236" t="s">
        <v>13</v>
      </c>
      <c r="H69" s="67">
        <f t="shared" si="10"/>
        <v>23.854545000000002</v>
      </c>
      <c r="I69" s="32"/>
      <c r="J69" s="32"/>
      <c r="K69" s="154">
        <f>+IFERROR(CMS!J29,0)</f>
        <v>23.854545000000002</v>
      </c>
      <c r="L69" s="152">
        <f>+IFERROR(CMS!K29,0)</f>
        <v>0</v>
      </c>
      <c r="M69" s="151">
        <f>+IFERROR(CMS!L29,0)</f>
        <v>0</v>
      </c>
      <c r="N69" s="152"/>
      <c r="O69" s="151"/>
      <c r="P69" s="152"/>
      <c r="Q69" s="151"/>
      <c r="R69" s="152"/>
      <c r="S69" s="151"/>
      <c r="T69" s="152"/>
      <c r="U69" s="151"/>
      <c r="V69" s="152"/>
      <c r="W69" s="151"/>
      <c r="X69" s="152"/>
      <c r="Y69" s="151"/>
      <c r="Z69" s="152"/>
      <c r="AA69" s="151"/>
      <c r="AB69" s="152"/>
      <c r="AC69" s="151"/>
      <c r="AD69" s="152"/>
      <c r="AE69" s="151"/>
      <c r="AF69" s="152"/>
      <c r="AG69" s="151"/>
      <c r="AH69" s="152"/>
      <c r="AI69" s="151"/>
      <c r="AJ69" s="152"/>
      <c r="AK69" s="151"/>
      <c r="AL69" s="152"/>
      <c r="AM69" s="151"/>
      <c r="AN69" s="152"/>
      <c r="AO69" s="151"/>
      <c r="AP69" s="152"/>
      <c r="AQ69" s="151"/>
      <c r="AR69" s="152"/>
      <c r="AS69" s="151"/>
      <c r="AT69" s="152"/>
      <c r="AU69" s="151"/>
      <c r="AV69" s="152"/>
      <c r="AW69" s="151"/>
      <c r="AX69" s="152"/>
      <c r="AY69" s="151"/>
      <c r="AZ69" s="152"/>
      <c r="BA69" s="151"/>
      <c r="BB69" s="152"/>
      <c r="BC69" s="151"/>
      <c r="BD69" s="152"/>
      <c r="BE69" s="151"/>
      <c r="BF69" s="152"/>
      <c r="BG69" s="151"/>
      <c r="BH69" s="152"/>
      <c r="BI69" s="151"/>
      <c r="BJ69" s="152"/>
      <c r="BK69" s="151"/>
      <c r="BL69" s="152"/>
      <c r="BM69" s="151"/>
      <c r="BN69" s="152"/>
      <c r="BO69" s="151"/>
      <c r="BP69" s="152"/>
      <c r="BQ69" s="151"/>
      <c r="BR69" s="152"/>
      <c r="BS69" s="151"/>
      <c r="BT69" s="152"/>
      <c r="BU69" s="151"/>
      <c r="BV69" s="152"/>
      <c r="BW69" s="151"/>
      <c r="BX69" s="152"/>
      <c r="BY69" s="151"/>
      <c r="BZ69" s="152"/>
      <c r="CA69" s="151"/>
      <c r="CB69" s="152"/>
      <c r="CC69" s="151"/>
      <c r="CD69" s="152"/>
      <c r="CE69" s="149"/>
      <c r="CF69" s="150"/>
      <c r="CG69" s="149"/>
      <c r="CH69" s="150"/>
      <c r="CI69" s="149"/>
      <c r="CJ69" s="150"/>
      <c r="CK69" s="149"/>
      <c r="CL69" s="150"/>
      <c r="CM69" s="149"/>
      <c r="CN69" s="150"/>
      <c r="CO69" s="149"/>
      <c r="CP69" s="150"/>
      <c r="CQ69" s="149"/>
      <c r="CR69" s="150"/>
      <c r="CS69" s="149"/>
      <c r="CT69" s="150"/>
      <c r="CU69" s="149"/>
      <c r="CV69" s="150"/>
      <c r="CW69" s="149"/>
      <c r="CX69" s="150"/>
      <c r="CY69" s="149"/>
      <c r="CZ69" s="150"/>
      <c r="DA69" s="149"/>
      <c r="DB69" s="150"/>
      <c r="DC69" s="149"/>
      <c r="DD69" s="150"/>
      <c r="DE69" s="149"/>
      <c r="DF69" s="150"/>
      <c r="DG69" s="149"/>
      <c r="DH69" s="150"/>
      <c r="DI69" s="149"/>
      <c r="DJ69" s="150"/>
      <c r="DK69" s="149"/>
      <c r="DL69" s="150"/>
      <c r="DM69" s="149"/>
      <c r="DN69" s="150"/>
      <c r="DO69" s="149"/>
    </row>
    <row r="70" spans="3:119" ht="14" outlineLevel="1" x14ac:dyDescent="0.3">
      <c r="C70" s="243"/>
      <c r="D70" s="244"/>
      <c r="F70" s="236">
        <f>+CMS!I30</f>
        <v>300</v>
      </c>
      <c r="G70" s="236" t="s">
        <v>13</v>
      </c>
      <c r="H70" s="67">
        <f t="shared" si="10"/>
        <v>4.3371899999999997</v>
      </c>
      <c r="I70" s="32"/>
      <c r="J70" s="32"/>
      <c r="K70" s="154">
        <f>+IFERROR(CMS!J30,0)</f>
        <v>4.3371899999999997</v>
      </c>
      <c r="L70" s="152">
        <f>+IFERROR(CMS!K30,0)</f>
        <v>0</v>
      </c>
      <c r="M70" s="151">
        <f>+IFERROR(CMS!L30,0)</f>
        <v>0</v>
      </c>
      <c r="N70" s="152"/>
      <c r="O70" s="151"/>
      <c r="P70" s="152"/>
      <c r="Q70" s="151"/>
      <c r="R70" s="152"/>
      <c r="S70" s="151"/>
      <c r="T70" s="152"/>
      <c r="U70" s="151"/>
      <c r="V70" s="152"/>
      <c r="W70" s="151"/>
      <c r="X70" s="152"/>
      <c r="Y70" s="151"/>
      <c r="Z70" s="152"/>
      <c r="AA70" s="151"/>
      <c r="AB70" s="152"/>
      <c r="AC70" s="151"/>
      <c r="AD70" s="152"/>
      <c r="AE70" s="151"/>
      <c r="AF70" s="152"/>
      <c r="AG70" s="151"/>
      <c r="AH70" s="152"/>
      <c r="AI70" s="151"/>
      <c r="AJ70" s="152"/>
      <c r="AK70" s="151"/>
      <c r="AL70" s="152"/>
      <c r="AM70" s="151"/>
      <c r="AN70" s="152"/>
      <c r="AO70" s="151"/>
      <c r="AP70" s="152"/>
      <c r="AQ70" s="151"/>
      <c r="AR70" s="152"/>
      <c r="AS70" s="151"/>
      <c r="AT70" s="152"/>
      <c r="AU70" s="151"/>
      <c r="AV70" s="152"/>
      <c r="AW70" s="151"/>
      <c r="AX70" s="152"/>
      <c r="AY70" s="151"/>
      <c r="AZ70" s="152"/>
      <c r="BA70" s="151"/>
      <c r="BB70" s="152"/>
      <c r="BC70" s="151"/>
      <c r="BD70" s="152"/>
      <c r="BE70" s="151"/>
      <c r="BF70" s="152"/>
      <c r="BG70" s="151"/>
      <c r="BH70" s="152"/>
      <c r="BI70" s="151"/>
      <c r="BJ70" s="152"/>
      <c r="BK70" s="151"/>
      <c r="BL70" s="152"/>
      <c r="BM70" s="151"/>
      <c r="BN70" s="152"/>
      <c r="BO70" s="151"/>
      <c r="BP70" s="152"/>
      <c r="BQ70" s="151"/>
      <c r="BR70" s="152"/>
      <c r="BS70" s="151"/>
      <c r="BT70" s="152"/>
      <c r="BU70" s="151"/>
      <c r="BV70" s="152"/>
      <c r="BW70" s="151"/>
      <c r="BX70" s="152"/>
      <c r="BY70" s="151"/>
      <c r="BZ70" s="152"/>
      <c r="CA70" s="151"/>
      <c r="CB70" s="152"/>
      <c r="CC70" s="151"/>
      <c r="CD70" s="152"/>
      <c r="CE70" s="149"/>
      <c r="CF70" s="150"/>
      <c r="CG70" s="149"/>
      <c r="CH70" s="150"/>
      <c r="CI70" s="149"/>
      <c r="CJ70" s="150"/>
      <c r="CK70" s="149"/>
      <c r="CL70" s="150"/>
      <c r="CM70" s="149"/>
      <c r="CN70" s="150"/>
      <c r="CO70" s="149"/>
      <c r="CP70" s="150"/>
      <c r="CQ70" s="149"/>
      <c r="CR70" s="150"/>
      <c r="CS70" s="149"/>
      <c r="CT70" s="150"/>
      <c r="CU70" s="149"/>
      <c r="CV70" s="150"/>
      <c r="CW70" s="149"/>
      <c r="CX70" s="150"/>
      <c r="CY70" s="149"/>
      <c r="CZ70" s="150"/>
      <c r="DA70" s="149"/>
      <c r="DB70" s="150"/>
      <c r="DC70" s="149"/>
      <c r="DD70" s="150"/>
      <c r="DE70" s="149"/>
      <c r="DF70" s="150"/>
      <c r="DG70" s="149"/>
      <c r="DH70" s="150"/>
      <c r="DI70" s="149"/>
      <c r="DJ70" s="150"/>
      <c r="DK70" s="149"/>
      <c r="DL70" s="150"/>
      <c r="DM70" s="149"/>
      <c r="DN70" s="150"/>
      <c r="DO70" s="149"/>
    </row>
    <row r="71" spans="3:119" ht="14" outlineLevel="1" x14ac:dyDescent="0.3">
      <c r="C71" s="243"/>
      <c r="D71" s="244"/>
      <c r="F71" s="236">
        <f>+CMS!I31</f>
        <v>301</v>
      </c>
      <c r="G71" s="236"/>
      <c r="H71" s="67" t="str">
        <f t="shared" si="10"/>
        <v/>
      </c>
      <c r="I71" s="32"/>
      <c r="J71" s="32"/>
      <c r="K71" s="154">
        <f>+IFERROR(CMS!J31,0)</f>
        <v>0</v>
      </c>
      <c r="L71" s="152">
        <f>+IFERROR(CMS!K31,0)</f>
        <v>0</v>
      </c>
      <c r="M71" s="151">
        <f>+IFERROR(CMS!L31,0)</f>
        <v>0</v>
      </c>
      <c r="N71" s="152"/>
      <c r="O71" s="151"/>
      <c r="P71" s="152"/>
      <c r="Q71" s="151"/>
      <c r="R71" s="152"/>
      <c r="S71" s="151"/>
      <c r="T71" s="152"/>
      <c r="U71" s="151"/>
      <c r="V71" s="152"/>
      <c r="W71" s="151"/>
      <c r="X71" s="152"/>
      <c r="Y71" s="151"/>
      <c r="Z71" s="152"/>
      <c r="AA71" s="151"/>
      <c r="AB71" s="152"/>
      <c r="AC71" s="151"/>
      <c r="AD71" s="152"/>
      <c r="AE71" s="151"/>
      <c r="AF71" s="152"/>
      <c r="AG71" s="151"/>
      <c r="AH71" s="152"/>
      <c r="AI71" s="151"/>
      <c r="AJ71" s="152"/>
      <c r="AK71" s="151"/>
      <c r="AL71" s="152"/>
      <c r="AM71" s="151"/>
      <c r="AN71" s="152"/>
      <c r="AO71" s="151"/>
      <c r="AP71" s="152"/>
      <c r="AQ71" s="151"/>
      <c r="AR71" s="152"/>
      <c r="AS71" s="151"/>
      <c r="AT71" s="152"/>
      <c r="AU71" s="151"/>
      <c r="AV71" s="152"/>
      <c r="AW71" s="151"/>
      <c r="AX71" s="152"/>
      <c r="AY71" s="151"/>
      <c r="AZ71" s="152"/>
      <c r="BA71" s="151"/>
      <c r="BB71" s="152"/>
      <c r="BC71" s="151"/>
      <c r="BD71" s="152"/>
      <c r="BE71" s="151"/>
      <c r="BF71" s="152"/>
      <c r="BG71" s="151"/>
      <c r="BH71" s="152"/>
      <c r="BI71" s="151"/>
      <c r="BJ71" s="152"/>
      <c r="BK71" s="151"/>
      <c r="BL71" s="152"/>
      <c r="BM71" s="151"/>
      <c r="BN71" s="152"/>
      <c r="BO71" s="151"/>
      <c r="BP71" s="152"/>
      <c r="BQ71" s="151"/>
      <c r="BR71" s="152"/>
      <c r="BS71" s="151"/>
      <c r="BT71" s="152"/>
      <c r="BU71" s="151"/>
      <c r="BV71" s="152"/>
      <c r="BW71" s="151"/>
      <c r="BX71" s="152"/>
      <c r="BY71" s="151"/>
      <c r="BZ71" s="152"/>
      <c r="CA71" s="151"/>
      <c r="CB71" s="152"/>
      <c r="CC71" s="151"/>
      <c r="CD71" s="152"/>
      <c r="CE71" s="149"/>
      <c r="CF71" s="150"/>
      <c r="CG71" s="149"/>
      <c r="CH71" s="150"/>
      <c r="CI71" s="149"/>
      <c r="CJ71" s="150"/>
      <c r="CK71" s="149"/>
      <c r="CL71" s="150"/>
      <c r="CM71" s="149"/>
      <c r="CN71" s="150"/>
      <c r="CO71" s="149"/>
      <c r="CP71" s="150"/>
      <c r="CQ71" s="149"/>
      <c r="CR71" s="150"/>
      <c r="CS71" s="149"/>
      <c r="CT71" s="150"/>
      <c r="CU71" s="149"/>
      <c r="CV71" s="150"/>
      <c r="CW71" s="149"/>
      <c r="CX71" s="150"/>
      <c r="CY71" s="149"/>
      <c r="CZ71" s="150"/>
      <c r="DA71" s="149"/>
      <c r="DB71" s="150"/>
      <c r="DC71" s="149"/>
      <c r="DD71" s="150"/>
      <c r="DE71" s="149"/>
      <c r="DF71" s="150"/>
      <c r="DG71" s="149"/>
      <c r="DH71" s="150"/>
      <c r="DI71" s="149"/>
      <c r="DJ71" s="150"/>
      <c r="DK71" s="149"/>
      <c r="DL71" s="150"/>
      <c r="DM71" s="149"/>
      <c r="DN71" s="150"/>
      <c r="DO71" s="149"/>
    </row>
    <row r="72" spans="3:119" ht="14" outlineLevel="1" x14ac:dyDescent="0.3">
      <c r="C72" s="243"/>
      <c r="D72" s="244"/>
      <c r="F72" s="236">
        <f>+CMS!I32</f>
        <v>302</v>
      </c>
      <c r="G72" s="236"/>
      <c r="H72" s="67" t="str">
        <f t="shared" si="10"/>
        <v/>
      </c>
      <c r="I72" s="32"/>
      <c r="J72" s="32"/>
      <c r="K72" s="154">
        <f>+IFERROR(CMS!J32,0)</f>
        <v>0</v>
      </c>
      <c r="L72" s="152">
        <f>+IFERROR(CMS!K32,0)</f>
        <v>0</v>
      </c>
      <c r="M72" s="151">
        <f>+IFERROR(CMS!L32,0)</f>
        <v>0</v>
      </c>
      <c r="N72" s="152"/>
      <c r="O72" s="151"/>
      <c r="P72" s="152"/>
      <c r="Q72" s="151"/>
      <c r="R72" s="152"/>
      <c r="S72" s="151"/>
      <c r="T72" s="152"/>
      <c r="U72" s="151"/>
      <c r="V72" s="152"/>
      <c r="W72" s="151"/>
      <c r="X72" s="152"/>
      <c r="Y72" s="151"/>
      <c r="Z72" s="152"/>
      <c r="AA72" s="151"/>
      <c r="AB72" s="152"/>
      <c r="AC72" s="151"/>
      <c r="AD72" s="152"/>
      <c r="AE72" s="151"/>
      <c r="AF72" s="152"/>
      <c r="AG72" s="151"/>
      <c r="AH72" s="152"/>
      <c r="AI72" s="151"/>
      <c r="AJ72" s="152"/>
      <c r="AK72" s="151"/>
      <c r="AL72" s="152"/>
      <c r="AM72" s="151"/>
      <c r="AN72" s="152"/>
      <c r="AO72" s="151"/>
      <c r="AP72" s="152"/>
      <c r="AQ72" s="151"/>
      <c r="AR72" s="152"/>
      <c r="AS72" s="151"/>
      <c r="AT72" s="152"/>
      <c r="AU72" s="151"/>
      <c r="AV72" s="152"/>
      <c r="AW72" s="151"/>
      <c r="AX72" s="152"/>
      <c r="AY72" s="151"/>
      <c r="AZ72" s="152"/>
      <c r="BA72" s="151"/>
      <c r="BB72" s="152"/>
      <c r="BC72" s="151"/>
      <c r="BD72" s="152"/>
      <c r="BE72" s="151"/>
      <c r="BF72" s="152"/>
      <c r="BG72" s="151"/>
      <c r="BH72" s="152"/>
      <c r="BI72" s="151"/>
      <c r="BJ72" s="152"/>
      <c r="BK72" s="151"/>
      <c r="BL72" s="152"/>
      <c r="BM72" s="151"/>
      <c r="BN72" s="152"/>
      <c r="BO72" s="151"/>
      <c r="BP72" s="152"/>
      <c r="BQ72" s="151"/>
      <c r="BR72" s="152"/>
      <c r="BS72" s="151"/>
      <c r="BT72" s="152"/>
      <c r="BU72" s="151"/>
      <c r="BV72" s="152"/>
      <c r="BW72" s="151"/>
      <c r="BX72" s="152"/>
      <c r="BY72" s="151"/>
      <c r="BZ72" s="152"/>
      <c r="CA72" s="151"/>
      <c r="CB72" s="152"/>
      <c r="CC72" s="151"/>
      <c r="CD72" s="152"/>
      <c r="CE72" s="149"/>
      <c r="CF72" s="150"/>
      <c r="CG72" s="149"/>
      <c r="CH72" s="150"/>
      <c r="CI72" s="149"/>
      <c r="CJ72" s="150"/>
      <c r="CK72" s="149"/>
      <c r="CL72" s="150"/>
      <c r="CM72" s="149"/>
      <c r="CN72" s="150"/>
      <c r="CO72" s="149"/>
      <c r="CP72" s="150"/>
      <c r="CQ72" s="149"/>
      <c r="CR72" s="150"/>
      <c r="CS72" s="149"/>
      <c r="CT72" s="150"/>
      <c r="CU72" s="149"/>
      <c r="CV72" s="150"/>
      <c r="CW72" s="149"/>
      <c r="CX72" s="150"/>
      <c r="CY72" s="149"/>
      <c r="CZ72" s="150"/>
      <c r="DA72" s="149"/>
      <c r="DB72" s="150"/>
      <c r="DC72" s="149"/>
      <c r="DD72" s="150"/>
      <c r="DE72" s="149"/>
      <c r="DF72" s="150"/>
      <c r="DG72" s="149"/>
      <c r="DH72" s="150"/>
      <c r="DI72" s="149"/>
      <c r="DJ72" s="150"/>
      <c r="DK72" s="149"/>
      <c r="DL72" s="150"/>
      <c r="DM72" s="149"/>
      <c r="DN72" s="150"/>
      <c r="DO72" s="149"/>
    </row>
    <row r="73" spans="3:119" ht="14" outlineLevel="1" x14ac:dyDescent="0.3">
      <c r="C73" s="243"/>
      <c r="D73" s="244"/>
      <c r="F73" s="236">
        <f>+CMS!I33</f>
        <v>303</v>
      </c>
      <c r="G73" s="236"/>
      <c r="H73" s="67" t="str">
        <f t="shared" si="10"/>
        <v/>
      </c>
      <c r="I73" s="32"/>
      <c r="J73" s="32"/>
      <c r="K73" s="154">
        <f>+IFERROR(CMS!J33,0)</f>
        <v>0</v>
      </c>
      <c r="L73" s="152">
        <f>+IFERROR(CMS!K33,0)</f>
        <v>0</v>
      </c>
      <c r="M73" s="151">
        <f>+IFERROR(CMS!L33,0)</f>
        <v>0</v>
      </c>
      <c r="N73" s="152"/>
      <c r="O73" s="151"/>
      <c r="P73" s="152"/>
      <c r="Q73" s="151"/>
      <c r="R73" s="152"/>
      <c r="S73" s="151"/>
      <c r="T73" s="152"/>
      <c r="U73" s="151"/>
      <c r="V73" s="152"/>
      <c r="W73" s="151"/>
      <c r="X73" s="152"/>
      <c r="Y73" s="151"/>
      <c r="Z73" s="152"/>
      <c r="AA73" s="151"/>
      <c r="AB73" s="152"/>
      <c r="AC73" s="151"/>
      <c r="AD73" s="152"/>
      <c r="AE73" s="151"/>
      <c r="AF73" s="152"/>
      <c r="AG73" s="151"/>
      <c r="AH73" s="152"/>
      <c r="AI73" s="151"/>
      <c r="AJ73" s="152"/>
      <c r="AK73" s="151"/>
      <c r="AL73" s="152"/>
      <c r="AM73" s="151"/>
      <c r="AN73" s="152"/>
      <c r="AO73" s="151"/>
      <c r="AP73" s="152"/>
      <c r="AQ73" s="151"/>
      <c r="AR73" s="152"/>
      <c r="AS73" s="151"/>
      <c r="AT73" s="152"/>
      <c r="AU73" s="151"/>
      <c r="AV73" s="152"/>
      <c r="AW73" s="151"/>
      <c r="AX73" s="152"/>
      <c r="AY73" s="151"/>
      <c r="AZ73" s="152"/>
      <c r="BA73" s="151"/>
      <c r="BB73" s="152"/>
      <c r="BC73" s="151"/>
      <c r="BD73" s="152"/>
      <c r="BE73" s="151"/>
      <c r="BF73" s="152"/>
      <c r="BG73" s="151"/>
      <c r="BH73" s="152"/>
      <c r="BI73" s="151"/>
      <c r="BJ73" s="152"/>
      <c r="BK73" s="151"/>
      <c r="BL73" s="152"/>
      <c r="BM73" s="151"/>
      <c r="BN73" s="152"/>
      <c r="BO73" s="151"/>
      <c r="BP73" s="152"/>
      <c r="BQ73" s="151"/>
      <c r="BR73" s="152"/>
      <c r="BS73" s="151"/>
      <c r="BT73" s="152"/>
      <c r="BU73" s="151"/>
      <c r="BV73" s="152"/>
      <c r="BW73" s="151"/>
      <c r="BX73" s="152"/>
      <c r="BY73" s="151"/>
      <c r="BZ73" s="152"/>
      <c r="CA73" s="151"/>
      <c r="CB73" s="152"/>
      <c r="CC73" s="151"/>
      <c r="CD73" s="152"/>
      <c r="CE73" s="149"/>
      <c r="CF73" s="150"/>
      <c r="CG73" s="149"/>
      <c r="CH73" s="150"/>
      <c r="CI73" s="149"/>
      <c r="CJ73" s="150"/>
      <c r="CK73" s="149"/>
      <c r="CL73" s="150"/>
      <c r="CM73" s="149"/>
      <c r="CN73" s="150"/>
      <c r="CO73" s="149"/>
      <c r="CP73" s="150"/>
      <c r="CQ73" s="149"/>
      <c r="CR73" s="150"/>
      <c r="CS73" s="149"/>
      <c r="CT73" s="150"/>
      <c r="CU73" s="149"/>
      <c r="CV73" s="150"/>
      <c r="CW73" s="149"/>
      <c r="CX73" s="150"/>
      <c r="CY73" s="149"/>
      <c r="CZ73" s="150"/>
      <c r="DA73" s="149"/>
      <c r="DB73" s="150"/>
      <c r="DC73" s="149"/>
      <c r="DD73" s="150"/>
      <c r="DE73" s="149"/>
      <c r="DF73" s="150"/>
      <c r="DG73" s="149"/>
      <c r="DH73" s="150"/>
      <c r="DI73" s="149"/>
      <c r="DJ73" s="150"/>
      <c r="DK73" s="149"/>
      <c r="DL73" s="150"/>
      <c r="DM73" s="149"/>
      <c r="DN73" s="150"/>
      <c r="DO73" s="149"/>
    </row>
    <row r="74" spans="3:119" ht="14" outlineLevel="1" x14ac:dyDescent="0.3">
      <c r="C74" s="243"/>
      <c r="D74" s="244"/>
      <c r="F74" s="236">
        <f>+CMS!I34</f>
        <v>304</v>
      </c>
      <c r="G74" s="236"/>
      <c r="H74" s="67" t="str">
        <f t="shared" si="10"/>
        <v/>
      </c>
      <c r="I74" s="32"/>
      <c r="J74" s="32"/>
      <c r="K74" s="154">
        <f>+IFERROR(CMS!J34,0)</f>
        <v>0</v>
      </c>
      <c r="L74" s="152">
        <f>+IFERROR(CMS!K34,0)</f>
        <v>0</v>
      </c>
      <c r="M74" s="151">
        <f>+IFERROR(CMS!L34,0)</f>
        <v>0</v>
      </c>
      <c r="N74" s="152"/>
      <c r="O74" s="151"/>
      <c r="P74" s="152"/>
      <c r="Q74" s="151"/>
      <c r="R74" s="152"/>
      <c r="S74" s="151"/>
      <c r="T74" s="152"/>
      <c r="U74" s="151"/>
      <c r="V74" s="152"/>
      <c r="W74" s="151"/>
      <c r="X74" s="152"/>
      <c r="Y74" s="151"/>
      <c r="Z74" s="152"/>
      <c r="AA74" s="151"/>
      <c r="AB74" s="152"/>
      <c r="AC74" s="151"/>
      <c r="AD74" s="152"/>
      <c r="AE74" s="151"/>
      <c r="AF74" s="152"/>
      <c r="AG74" s="151"/>
      <c r="AH74" s="152"/>
      <c r="AI74" s="151"/>
      <c r="AJ74" s="152"/>
      <c r="AK74" s="151"/>
      <c r="AL74" s="152"/>
      <c r="AM74" s="151"/>
      <c r="AN74" s="152"/>
      <c r="AO74" s="151"/>
      <c r="AP74" s="152"/>
      <c r="AQ74" s="151"/>
      <c r="AR74" s="152"/>
      <c r="AS74" s="151"/>
      <c r="AT74" s="152"/>
      <c r="AU74" s="151"/>
      <c r="AV74" s="152"/>
      <c r="AW74" s="151"/>
      <c r="AX74" s="152"/>
      <c r="AY74" s="151"/>
      <c r="AZ74" s="152"/>
      <c r="BA74" s="151"/>
      <c r="BB74" s="152"/>
      <c r="BC74" s="151"/>
      <c r="BD74" s="152"/>
      <c r="BE74" s="151"/>
      <c r="BF74" s="152"/>
      <c r="BG74" s="151"/>
      <c r="BH74" s="152"/>
      <c r="BI74" s="151"/>
      <c r="BJ74" s="152"/>
      <c r="BK74" s="151"/>
      <c r="BL74" s="152"/>
      <c r="BM74" s="151"/>
      <c r="BN74" s="152"/>
      <c r="BO74" s="151"/>
      <c r="BP74" s="152"/>
      <c r="BQ74" s="151"/>
      <c r="BR74" s="152"/>
      <c r="BS74" s="151"/>
      <c r="BT74" s="152"/>
      <c r="BU74" s="151"/>
      <c r="BV74" s="152"/>
      <c r="BW74" s="151"/>
      <c r="BX74" s="152"/>
      <c r="BY74" s="151"/>
      <c r="BZ74" s="152"/>
      <c r="CA74" s="151"/>
      <c r="CB74" s="152"/>
      <c r="CC74" s="151"/>
      <c r="CD74" s="152"/>
      <c r="CE74" s="149"/>
      <c r="CF74" s="150"/>
      <c r="CG74" s="149"/>
      <c r="CH74" s="150"/>
      <c r="CI74" s="149"/>
      <c r="CJ74" s="150"/>
      <c r="CK74" s="149"/>
      <c r="CL74" s="150"/>
      <c r="CM74" s="149"/>
      <c r="CN74" s="150"/>
      <c r="CO74" s="149"/>
      <c r="CP74" s="150"/>
      <c r="CQ74" s="149"/>
      <c r="CR74" s="150"/>
      <c r="CS74" s="149"/>
      <c r="CT74" s="150"/>
      <c r="CU74" s="149"/>
      <c r="CV74" s="150"/>
      <c r="CW74" s="149"/>
      <c r="CX74" s="150"/>
      <c r="CY74" s="149"/>
      <c r="CZ74" s="150"/>
      <c r="DA74" s="149"/>
      <c r="DB74" s="150"/>
      <c r="DC74" s="149"/>
      <c r="DD74" s="150"/>
      <c r="DE74" s="149"/>
      <c r="DF74" s="150"/>
      <c r="DG74" s="149"/>
      <c r="DH74" s="150"/>
      <c r="DI74" s="149"/>
      <c r="DJ74" s="150"/>
      <c r="DK74" s="149"/>
      <c r="DL74" s="150"/>
      <c r="DM74" s="149"/>
      <c r="DN74" s="150"/>
      <c r="DO74" s="149"/>
    </row>
    <row r="75" spans="3:119" ht="14" outlineLevel="1" x14ac:dyDescent="0.3">
      <c r="C75" s="243"/>
      <c r="D75" s="244"/>
      <c r="F75" s="236">
        <f>+CMS!I35</f>
        <v>400</v>
      </c>
      <c r="G75" s="236"/>
      <c r="H75" s="67" t="str">
        <f t="shared" si="10"/>
        <v/>
      </c>
      <c r="I75" s="32"/>
      <c r="J75" s="32"/>
      <c r="K75" s="154">
        <f>+IFERROR(CMS!J35,0)</f>
        <v>0</v>
      </c>
      <c r="L75" s="152">
        <f>+IFERROR(CMS!K35,0)</f>
        <v>0</v>
      </c>
      <c r="M75" s="151">
        <f>+IFERROR(CMS!L35,0)</f>
        <v>0</v>
      </c>
      <c r="N75" s="152"/>
      <c r="O75" s="151"/>
      <c r="P75" s="152"/>
      <c r="Q75" s="151"/>
      <c r="R75" s="152"/>
      <c r="S75" s="151"/>
      <c r="T75" s="152"/>
      <c r="U75" s="151"/>
      <c r="V75" s="152"/>
      <c r="W75" s="151"/>
      <c r="X75" s="152"/>
      <c r="Y75" s="151"/>
      <c r="Z75" s="152"/>
      <c r="AA75" s="151"/>
      <c r="AB75" s="152"/>
      <c r="AC75" s="151"/>
      <c r="AD75" s="152"/>
      <c r="AE75" s="151"/>
      <c r="AF75" s="152"/>
      <c r="AG75" s="151"/>
      <c r="AH75" s="152"/>
      <c r="AI75" s="151"/>
      <c r="AJ75" s="152"/>
      <c r="AK75" s="151"/>
      <c r="AL75" s="152"/>
      <c r="AM75" s="151"/>
      <c r="AN75" s="152"/>
      <c r="AO75" s="151"/>
      <c r="AP75" s="152"/>
      <c r="AQ75" s="151"/>
      <c r="AR75" s="152"/>
      <c r="AS75" s="151"/>
      <c r="AT75" s="152"/>
      <c r="AU75" s="151"/>
      <c r="AV75" s="152"/>
      <c r="AW75" s="151"/>
      <c r="AX75" s="152"/>
      <c r="AY75" s="151"/>
      <c r="AZ75" s="152"/>
      <c r="BA75" s="151"/>
      <c r="BB75" s="152"/>
      <c r="BC75" s="151"/>
      <c r="BD75" s="152"/>
      <c r="BE75" s="151"/>
      <c r="BF75" s="152"/>
      <c r="BG75" s="151"/>
      <c r="BH75" s="152"/>
      <c r="BI75" s="151"/>
      <c r="BJ75" s="152"/>
      <c r="BK75" s="151"/>
      <c r="BL75" s="152"/>
      <c r="BM75" s="151"/>
      <c r="BN75" s="152"/>
      <c r="BO75" s="151"/>
      <c r="BP75" s="152"/>
      <c r="BQ75" s="151"/>
      <c r="BR75" s="152"/>
      <c r="BS75" s="151"/>
      <c r="BT75" s="152"/>
      <c r="BU75" s="151"/>
      <c r="BV75" s="152"/>
      <c r="BW75" s="151"/>
      <c r="BX75" s="152"/>
      <c r="BY75" s="151"/>
      <c r="BZ75" s="152"/>
      <c r="CA75" s="151"/>
      <c r="CB75" s="152"/>
      <c r="CC75" s="151"/>
      <c r="CD75" s="152"/>
      <c r="CE75" s="149"/>
      <c r="CF75" s="150"/>
      <c r="CG75" s="149"/>
      <c r="CH75" s="150"/>
      <c r="CI75" s="149"/>
      <c r="CJ75" s="150"/>
      <c r="CK75" s="149"/>
      <c r="CL75" s="150"/>
      <c r="CM75" s="149"/>
      <c r="CN75" s="150"/>
      <c r="CO75" s="149"/>
      <c r="CP75" s="150"/>
      <c r="CQ75" s="149"/>
      <c r="CR75" s="150"/>
      <c r="CS75" s="149"/>
      <c r="CT75" s="150"/>
      <c r="CU75" s="149"/>
      <c r="CV75" s="150"/>
      <c r="CW75" s="149"/>
      <c r="CX75" s="150"/>
      <c r="CY75" s="149"/>
      <c r="CZ75" s="150"/>
      <c r="DA75" s="149"/>
      <c r="DB75" s="150"/>
      <c r="DC75" s="149"/>
      <c r="DD75" s="150"/>
      <c r="DE75" s="149"/>
      <c r="DF75" s="150"/>
      <c r="DG75" s="149"/>
      <c r="DH75" s="150"/>
      <c r="DI75" s="149"/>
      <c r="DJ75" s="150"/>
      <c r="DK75" s="149"/>
      <c r="DL75" s="150"/>
      <c r="DM75" s="149"/>
      <c r="DN75" s="150"/>
      <c r="DO75" s="149"/>
    </row>
    <row r="76" spans="3:119" ht="14" outlineLevel="1" x14ac:dyDescent="0.3">
      <c r="C76" s="243"/>
      <c r="D76" s="244"/>
      <c r="F76" s="236"/>
      <c r="G76" s="236"/>
      <c r="H76" s="67"/>
      <c r="I76" s="32"/>
      <c r="J76" s="32"/>
      <c r="K76" s="154"/>
      <c r="L76" s="152"/>
      <c r="M76" s="151"/>
      <c r="N76" s="152"/>
      <c r="O76" s="151"/>
      <c r="P76" s="152"/>
      <c r="Q76" s="151"/>
      <c r="R76" s="152"/>
      <c r="S76" s="151"/>
      <c r="T76" s="152"/>
      <c r="U76" s="151"/>
      <c r="V76" s="152"/>
      <c r="W76" s="151"/>
      <c r="X76" s="152"/>
      <c r="Y76" s="151"/>
      <c r="Z76" s="152"/>
      <c r="AA76" s="151"/>
      <c r="AB76" s="152"/>
      <c r="AC76" s="151"/>
      <c r="AD76" s="152"/>
      <c r="AE76" s="151"/>
      <c r="AF76" s="152"/>
      <c r="AG76" s="151"/>
      <c r="AH76" s="152"/>
      <c r="AI76" s="151"/>
      <c r="AJ76" s="152"/>
      <c r="AK76" s="151"/>
      <c r="AL76" s="152"/>
      <c r="AM76" s="151"/>
      <c r="AN76" s="152"/>
      <c r="AO76" s="151"/>
      <c r="AP76" s="152"/>
      <c r="AQ76" s="151"/>
      <c r="AR76" s="152"/>
      <c r="AS76" s="151"/>
      <c r="AT76" s="152"/>
      <c r="AU76" s="151"/>
      <c r="AV76" s="152"/>
      <c r="AW76" s="151"/>
      <c r="AX76" s="152"/>
      <c r="AY76" s="151"/>
      <c r="AZ76" s="152"/>
      <c r="BA76" s="151"/>
      <c r="BB76" s="152"/>
      <c r="BC76" s="151"/>
      <c r="BD76" s="152"/>
      <c r="BE76" s="151"/>
      <c r="BF76" s="152"/>
      <c r="BG76" s="151"/>
      <c r="BH76" s="152"/>
      <c r="BI76" s="151"/>
      <c r="BJ76" s="152"/>
      <c r="BK76" s="151"/>
      <c r="BL76" s="152"/>
      <c r="BM76" s="151"/>
      <c r="BN76" s="152"/>
      <c r="BO76" s="151"/>
      <c r="BP76" s="152"/>
      <c r="BQ76" s="151"/>
      <c r="BR76" s="152"/>
      <c r="BS76" s="151"/>
      <c r="BT76" s="152"/>
      <c r="BU76" s="151"/>
      <c r="BV76" s="152"/>
      <c r="BW76" s="151"/>
      <c r="BX76" s="152"/>
      <c r="BY76" s="151"/>
      <c r="BZ76" s="152"/>
      <c r="CA76" s="151"/>
      <c r="CB76" s="152"/>
      <c r="CC76" s="151"/>
      <c r="CD76" s="152"/>
      <c r="CE76" s="149"/>
      <c r="CF76" s="150"/>
      <c r="CG76" s="149"/>
      <c r="CH76" s="150"/>
      <c r="CI76" s="149"/>
      <c r="CJ76" s="150"/>
      <c r="CK76" s="149"/>
      <c r="CL76" s="150"/>
      <c r="CM76" s="149"/>
      <c r="CN76" s="150"/>
      <c r="CO76" s="149"/>
      <c r="CP76" s="150"/>
      <c r="CQ76" s="149"/>
      <c r="CR76" s="150"/>
      <c r="CS76" s="149"/>
      <c r="CT76" s="150"/>
      <c r="CU76" s="149"/>
      <c r="CV76" s="150"/>
      <c r="CW76" s="149"/>
      <c r="CX76" s="150"/>
      <c r="CY76" s="149"/>
      <c r="CZ76" s="150"/>
      <c r="DA76" s="149"/>
      <c r="DB76" s="150"/>
      <c r="DC76" s="149"/>
      <c r="DD76" s="150"/>
      <c r="DE76" s="149"/>
      <c r="DF76" s="150"/>
      <c r="DG76" s="149"/>
      <c r="DH76" s="150"/>
      <c r="DI76" s="149"/>
      <c r="DJ76" s="150"/>
      <c r="DK76" s="149"/>
      <c r="DL76" s="150"/>
      <c r="DM76" s="149"/>
      <c r="DN76" s="150"/>
      <c r="DO76" s="149"/>
    </row>
    <row r="77" spans="3:119" ht="14" outlineLevel="1" x14ac:dyDescent="0.3">
      <c r="C77" s="243"/>
      <c r="D77" s="244"/>
      <c r="F77" s="236"/>
      <c r="G77" s="236"/>
      <c r="H77" s="67"/>
      <c r="I77" s="32"/>
      <c r="J77" s="32"/>
      <c r="K77" s="154"/>
      <c r="L77" s="152"/>
      <c r="M77" s="151"/>
      <c r="N77" s="152"/>
      <c r="O77" s="151"/>
      <c r="P77" s="152"/>
      <c r="Q77" s="151"/>
      <c r="R77" s="152"/>
      <c r="S77" s="151"/>
      <c r="T77" s="152"/>
      <c r="U77" s="151"/>
      <c r="V77" s="152"/>
      <c r="W77" s="151"/>
      <c r="X77" s="152"/>
      <c r="Y77" s="151"/>
      <c r="Z77" s="152"/>
      <c r="AA77" s="151"/>
      <c r="AB77" s="152"/>
      <c r="AC77" s="151"/>
      <c r="AD77" s="152"/>
      <c r="AE77" s="151"/>
      <c r="AF77" s="152"/>
      <c r="AG77" s="151"/>
      <c r="AH77" s="152"/>
      <c r="AI77" s="151"/>
      <c r="AJ77" s="152"/>
      <c r="AK77" s="151"/>
      <c r="AL77" s="152"/>
      <c r="AM77" s="151"/>
      <c r="AN77" s="152"/>
      <c r="AO77" s="151"/>
      <c r="AP77" s="152"/>
      <c r="AQ77" s="151"/>
      <c r="AR77" s="152"/>
      <c r="AS77" s="151"/>
      <c r="AT77" s="152"/>
      <c r="AU77" s="151"/>
      <c r="AV77" s="152"/>
      <c r="AW77" s="151"/>
      <c r="AX77" s="152"/>
      <c r="AY77" s="151"/>
      <c r="AZ77" s="152"/>
      <c r="BA77" s="151"/>
      <c r="BB77" s="152"/>
      <c r="BC77" s="151"/>
      <c r="BD77" s="152"/>
      <c r="BE77" s="151"/>
      <c r="BF77" s="152"/>
      <c r="BG77" s="151"/>
      <c r="BH77" s="152"/>
      <c r="BI77" s="151"/>
      <c r="BJ77" s="152"/>
      <c r="BK77" s="151"/>
      <c r="BL77" s="152"/>
      <c r="BM77" s="151"/>
      <c r="BN77" s="152"/>
      <c r="BO77" s="151"/>
      <c r="BP77" s="152"/>
      <c r="BQ77" s="151"/>
      <c r="BR77" s="152"/>
      <c r="BS77" s="151"/>
      <c r="BT77" s="152"/>
      <c r="BU77" s="151"/>
      <c r="BV77" s="152"/>
      <c r="BW77" s="151"/>
      <c r="BX77" s="152"/>
      <c r="BY77" s="151"/>
      <c r="BZ77" s="152"/>
      <c r="CA77" s="151"/>
      <c r="CB77" s="152"/>
      <c r="CC77" s="151"/>
      <c r="CD77" s="152"/>
      <c r="CE77" s="149"/>
      <c r="CF77" s="150"/>
      <c r="CG77" s="149"/>
      <c r="CH77" s="150"/>
      <c r="CI77" s="149"/>
      <c r="CJ77" s="150"/>
      <c r="CK77" s="149"/>
      <c r="CL77" s="150"/>
      <c r="CM77" s="149"/>
      <c r="CN77" s="150"/>
      <c r="CO77" s="149"/>
      <c r="CP77" s="150"/>
      <c r="CQ77" s="149"/>
      <c r="CR77" s="150"/>
      <c r="CS77" s="149"/>
      <c r="CT77" s="150"/>
      <c r="CU77" s="149"/>
      <c r="CV77" s="150"/>
      <c r="CW77" s="149"/>
      <c r="CX77" s="150"/>
      <c r="CY77" s="149"/>
      <c r="CZ77" s="150"/>
      <c r="DA77" s="149"/>
      <c r="DB77" s="150"/>
      <c r="DC77" s="149"/>
      <c r="DD77" s="150"/>
      <c r="DE77" s="149"/>
      <c r="DF77" s="150"/>
      <c r="DG77" s="149"/>
      <c r="DH77" s="150"/>
      <c r="DI77" s="149"/>
      <c r="DJ77" s="150"/>
      <c r="DK77" s="149"/>
      <c r="DL77" s="150"/>
      <c r="DM77" s="149"/>
      <c r="DN77" s="150"/>
      <c r="DO77" s="149"/>
    </row>
    <row r="78" spans="3:119" ht="14" outlineLevel="1" x14ac:dyDescent="0.3">
      <c r="C78" s="243"/>
      <c r="D78" s="244"/>
      <c r="F78" s="236"/>
      <c r="G78" s="236"/>
      <c r="H78" s="67"/>
      <c r="I78" s="32"/>
      <c r="J78" s="32"/>
      <c r="K78" s="154"/>
      <c r="L78" s="152"/>
      <c r="M78" s="151"/>
      <c r="N78" s="152"/>
      <c r="O78" s="151"/>
      <c r="P78" s="152"/>
      <c r="Q78" s="151"/>
      <c r="R78" s="152"/>
      <c r="S78" s="151"/>
      <c r="T78" s="152"/>
      <c r="U78" s="151"/>
      <c r="V78" s="152"/>
      <c r="W78" s="151"/>
      <c r="X78" s="152"/>
      <c r="Y78" s="151"/>
      <c r="Z78" s="152"/>
      <c r="AA78" s="151"/>
      <c r="AB78" s="152"/>
      <c r="AC78" s="151"/>
      <c r="AD78" s="152"/>
      <c r="AE78" s="151"/>
      <c r="AF78" s="152"/>
      <c r="AG78" s="151"/>
      <c r="AH78" s="152"/>
      <c r="AI78" s="151"/>
      <c r="AJ78" s="152"/>
      <c r="AK78" s="151"/>
      <c r="AL78" s="152"/>
      <c r="AM78" s="151"/>
      <c r="AN78" s="152"/>
      <c r="AO78" s="151"/>
      <c r="AP78" s="152"/>
      <c r="AQ78" s="151"/>
      <c r="AR78" s="152"/>
      <c r="AS78" s="151"/>
      <c r="AT78" s="152"/>
      <c r="AU78" s="151"/>
      <c r="AV78" s="152"/>
      <c r="AW78" s="151"/>
      <c r="AX78" s="152"/>
      <c r="AY78" s="151"/>
      <c r="AZ78" s="152"/>
      <c r="BA78" s="151"/>
      <c r="BB78" s="152"/>
      <c r="BC78" s="151"/>
      <c r="BD78" s="152"/>
      <c r="BE78" s="151"/>
      <c r="BF78" s="152"/>
      <c r="BG78" s="151"/>
      <c r="BH78" s="152"/>
      <c r="BI78" s="151"/>
      <c r="BJ78" s="152"/>
      <c r="BK78" s="151"/>
      <c r="BL78" s="152"/>
      <c r="BM78" s="151"/>
      <c r="BN78" s="152"/>
      <c r="BO78" s="151"/>
      <c r="BP78" s="152"/>
      <c r="BQ78" s="151"/>
      <c r="BR78" s="152"/>
      <c r="BS78" s="151"/>
      <c r="BT78" s="152"/>
      <c r="BU78" s="151"/>
      <c r="BV78" s="152"/>
      <c r="BW78" s="151"/>
      <c r="BX78" s="152"/>
      <c r="BY78" s="151"/>
      <c r="BZ78" s="152"/>
      <c r="CA78" s="151"/>
      <c r="CB78" s="152"/>
      <c r="CC78" s="151"/>
      <c r="CD78" s="152"/>
      <c r="CE78" s="149"/>
      <c r="CF78" s="150"/>
      <c r="CG78" s="149"/>
      <c r="CH78" s="150"/>
      <c r="CI78" s="149"/>
      <c r="CJ78" s="150"/>
      <c r="CK78" s="149"/>
      <c r="CL78" s="150"/>
      <c r="CM78" s="149"/>
      <c r="CN78" s="150"/>
      <c r="CO78" s="149"/>
      <c r="CP78" s="150"/>
      <c r="CQ78" s="149"/>
      <c r="CR78" s="150"/>
      <c r="CS78" s="149"/>
      <c r="CT78" s="150"/>
      <c r="CU78" s="149"/>
      <c r="CV78" s="150"/>
      <c r="CW78" s="149"/>
      <c r="CX78" s="150"/>
      <c r="CY78" s="149"/>
      <c r="CZ78" s="150"/>
      <c r="DA78" s="149"/>
      <c r="DB78" s="150"/>
      <c r="DC78" s="149"/>
      <c r="DD78" s="150"/>
      <c r="DE78" s="149"/>
      <c r="DF78" s="150"/>
      <c r="DG78" s="149"/>
      <c r="DH78" s="150"/>
      <c r="DI78" s="149"/>
      <c r="DJ78" s="150"/>
      <c r="DK78" s="149"/>
      <c r="DL78" s="150"/>
      <c r="DM78" s="149"/>
      <c r="DN78" s="150"/>
      <c r="DO78" s="149"/>
    </row>
    <row r="79" spans="3:119" ht="14" outlineLevel="1" x14ac:dyDescent="0.3">
      <c r="C79" s="243"/>
      <c r="D79" s="244"/>
      <c r="F79" s="236"/>
      <c r="G79" s="236"/>
      <c r="H79" s="67" t="str">
        <f t="shared" si="10"/>
        <v/>
      </c>
      <c r="I79" s="32"/>
      <c r="J79" s="32"/>
      <c r="K79" s="154"/>
      <c r="L79" s="152"/>
      <c r="M79" s="151"/>
      <c r="N79" s="152"/>
      <c r="O79" s="151"/>
      <c r="P79" s="152"/>
      <c r="Q79" s="151"/>
      <c r="R79" s="152"/>
      <c r="S79" s="151"/>
      <c r="T79" s="152"/>
      <c r="U79" s="151"/>
      <c r="V79" s="152"/>
      <c r="W79" s="151"/>
      <c r="X79" s="152"/>
      <c r="Y79" s="151"/>
      <c r="Z79" s="152"/>
      <c r="AA79" s="151"/>
      <c r="AB79" s="152"/>
      <c r="AC79" s="151"/>
      <c r="AD79" s="152"/>
      <c r="AE79" s="151"/>
      <c r="AF79" s="152"/>
      <c r="AG79" s="151"/>
      <c r="AH79" s="152"/>
      <c r="AI79" s="151"/>
      <c r="AJ79" s="152"/>
      <c r="AK79" s="151"/>
      <c r="AL79" s="152"/>
      <c r="AM79" s="151"/>
      <c r="AN79" s="152"/>
      <c r="AO79" s="151"/>
      <c r="AP79" s="152"/>
      <c r="AQ79" s="151"/>
      <c r="AR79" s="152"/>
      <c r="AS79" s="151"/>
      <c r="AT79" s="152"/>
      <c r="AU79" s="151"/>
      <c r="AV79" s="152"/>
      <c r="AW79" s="151"/>
      <c r="AX79" s="152"/>
      <c r="AY79" s="151"/>
      <c r="AZ79" s="152"/>
      <c r="BA79" s="151"/>
      <c r="BB79" s="152"/>
      <c r="BC79" s="151"/>
      <c r="BD79" s="152"/>
      <c r="BE79" s="151"/>
      <c r="BF79" s="152"/>
      <c r="BG79" s="151"/>
      <c r="BH79" s="152"/>
      <c r="BI79" s="151"/>
      <c r="BJ79" s="152"/>
      <c r="BK79" s="151"/>
      <c r="BL79" s="152"/>
      <c r="BM79" s="151"/>
      <c r="BN79" s="152"/>
      <c r="BO79" s="151"/>
      <c r="BP79" s="152"/>
      <c r="BQ79" s="151"/>
      <c r="BR79" s="152"/>
      <c r="BS79" s="151"/>
      <c r="BT79" s="152"/>
      <c r="BU79" s="151"/>
      <c r="BV79" s="152"/>
      <c r="BW79" s="151"/>
      <c r="BX79" s="152"/>
      <c r="BY79" s="151"/>
      <c r="BZ79" s="152"/>
      <c r="CA79" s="151"/>
      <c r="CB79" s="152"/>
      <c r="CC79" s="151"/>
      <c r="CD79" s="152"/>
      <c r="CE79" s="149"/>
      <c r="CF79" s="150"/>
      <c r="CG79" s="149"/>
      <c r="CH79" s="150"/>
      <c r="CI79" s="149"/>
      <c r="CJ79" s="150"/>
      <c r="CK79" s="149"/>
      <c r="CL79" s="150"/>
      <c r="CM79" s="149"/>
      <c r="CN79" s="150"/>
      <c r="CO79" s="149"/>
      <c r="CP79" s="150"/>
      <c r="CQ79" s="149"/>
      <c r="CR79" s="150"/>
      <c r="CS79" s="149"/>
      <c r="CT79" s="150"/>
      <c r="CU79" s="149"/>
      <c r="CV79" s="150"/>
      <c r="CW79" s="149"/>
      <c r="CX79" s="150"/>
      <c r="CY79" s="149"/>
      <c r="CZ79" s="150"/>
      <c r="DA79" s="149"/>
      <c r="DB79" s="150"/>
      <c r="DC79" s="149"/>
      <c r="DD79" s="150"/>
      <c r="DE79" s="149"/>
      <c r="DF79" s="150"/>
      <c r="DG79" s="149"/>
      <c r="DH79" s="150"/>
      <c r="DI79" s="149"/>
      <c r="DJ79" s="150"/>
      <c r="DK79" s="149"/>
      <c r="DL79" s="150"/>
      <c r="DM79" s="149"/>
      <c r="DN79" s="150"/>
      <c r="DO79" s="149"/>
    </row>
    <row r="80" spans="3:119" ht="14" outlineLevel="1" x14ac:dyDescent="0.3">
      <c r="C80" s="243"/>
      <c r="D80" s="244"/>
      <c r="F80" s="236"/>
      <c r="G80" s="236"/>
      <c r="H80" s="67" t="str">
        <f t="shared" si="10"/>
        <v/>
      </c>
      <c r="I80" s="32"/>
      <c r="J80" s="32"/>
      <c r="K80" s="154"/>
      <c r="L80" s="152"/>
      <c r="M80" s="151"/>
      <c r="N80" s="152"/>
      <c r="O80" s="151"/>
      <c r="P80" s="152"/>
      <c r="Q80" s="151"/>
      <c r="R80" s="152"/>
      <c r="S80" s="151"/>
      <c r="T80" s="152"/>
      <c r="U80" s="151"/>
      <c r="V80" s="152"/>
      <c r="W80" s="151"/>
      <c r="X80" s="152"/>
      <c r="Y80" s="151"/>
      <c r="Z80" s="152"/>
      <c r="AA80" s="151"/>
      <c r="AB80" s="152"/>
      <c r="AC80" s="151"/>
      <c r="AD80" s="152"/>
      <c r="AE80" s="151"/>
      <c r="AF80" s="152"/>
      <c r="AG80" s="151"/>
      <c r="AH80" s="152"/>
      <c r="AI80" s="151"/>
      <c r="AJ80" s="152"/>
      <c r="AK80" s="151"/>
      <c r="AL80" s="152"/>
      <c r="AM80" s="151"/>
      <c r="AN80" s="152"/>
      <c r="AO80" s="151"/>
      <c r="AP80" s="152"/>
      <c r="AQ80" s="151"/>
      <c r="AR80" s="152"/>
      <c r="AS80" s="151"/>
      <c r="AT80" s="152"/>
      <c r="AU80" s="151"/>
      <c r="AV80" s="152"/>
      <c r="AW80" s="151"/>
      <c r="AX80" s="152"/>
      <c r="AY80" s="151"/>
      <c r="AZ80" s="152"/>
      <c r="BA80" s="151"/>
      <c r="BB80" s="152"/>
      <c r="BC80" s="151"/>
      <c r="BD80" s="152"/>
      <c r="BE80" s="151"/>
      <c r="BF80" s="152"/>
      <c r="BG80" s="151"/>
      <c r="BH80" s="152"/>
      <c r="BI80" s="151"/>
      <c r="BJ80" s="152"/>
      <c r="BK80" s="151"/>
      <c r="BL80" s="152"/>
      <c r="BM80" s="151"/>
      <c r="BN80" s="152"/>
      <c r="BO80" s="151"/>
      <c r="BP80" s="152"/>
      <c r="BQ80" s="151"/>
      <c r="BR80" s="152"/>
      <c r="BS80" s="151"/>
      <c r="BT80" s="152"/>
      <c r="BU80" s="151"/>
      <c r="BV80" s="152"/>
      <c r="BW80" s="151"/>
      <c r="BX80" s="152"/>
      <c r="BY80" s="151"/>
      <c r="BZ80" s="152"/>
      <c r="CA80" s="151"/>
      <c r="CB80" s="152"/>
      <c r="CC80" s="151"/>
      <c r="CD80" s="152"/>
      <c r="CE80" s="149"/>
      <c r="CF80" s="150"/>
      <c r="CG80" s="149"/>
      <c r="CH80" s="150"/>
      <c r="CI80" s="149"/>
      <c r="CJ80" s="150"/>
      <c r="CK80" s="149"/>
      <c r="CL80" s="150"/>
      <c r="CM80" s="149"/>
      <c r="CN80" s="150"/>
      <c r="CO80" s="149"/>
      <c r="CP80" s="150"/>
      <c r="CQ80" s="149"/>
      <c r="CR80" s="150"/>
      <c r="CS80" s="149"/>
      <c r="CT80" s="150"/>
      <c r="CU80" s="149"/>
      <c r="CV80" s="150"/>
      <c r="CW80" s="149"/>
      <c r="CX80" s="150"/>
      <c r="CY80" s="149"/>
      <c r="CZ80" s="150"/>
      <c r="DA80" s="149"/>
      <c r="DB80" s="150"/>
      <c r="DC80" s="149"/>
      <c r="DD80" s="150"/>
      <c r="DE80" s="149"/>
      <c r="DF80" s="150"/>
      <c r="DG80" s="149"/>
      <c r="DH80" s="150"/>
      <c r="DI80" s="149"/>
      <c r="DJ80" s="150"/>
      <c r="DK80" s="149"/>
      <c r="DL80" s="150"/>
      <c r="DM80" s="149"/>
      <c r="DN80" s="150"/>
      <c r="DO80" s="149"/>
    </row>
    <row r="81" spans="3:119" ht="14" outlineLevel="1" x14ac:dyDescent="0.3">
      <c r="C81" s="243"/>
      <c r="D81" s="244"/>
      <c r="F81" s="236"/>
      <c r="G81" s="236"/>
      <c r="H81" s="67" t="str">
        <f t="shared" si="10"/>
        <v/>
      </c>
      <c r="I81" s="32"/>
      <c r="J81" s="32"/>
      <c r="K81" s="154"/>
      <c r="L81" s="152"/>
      <c r="M81" s="151"/>
      <c r="N81" s="152"/>
      <c r="O81" s="151"/>
      <c r="P81" s="152"/>
      <c r="Q81" s="151"/>
      <c r="R81" s="152"/>
      <c r="S81" s="151"/>
      <c r="T81" s="152"/>
      <c r="U81" s="151"/>
      <c r="V81" s="152"/>
      <c r="W81" s="151"/>
      <c r="X81" s="152"/>
      <c r="Y81" s="151"/>
      <c r="Z81" s="152"/>
      <c r="AA81" s="151"/>
      <c r="AB81" s="152"/>
      <c r="AC81" s="151"/>
      <c r="AD81" s="152"/>
      <c r="AE81" s="151"/>
      <c r="AF81" s="152"/>
      <c r="AG81" s="151"/>
      <c r="AH81" s="152"/>
      <c r="AI81" s="151"/>
      <c r="AJ81" s="152"/>
      <c r="AK81" s="151"/>
      <c r="AL81" s="152"/>
      <c r="AM81" s="151"/>
      <c r="AN81" s="152"/>
      <c r="AO81" s="151"/>
      <c r="AP81" s="152"/>
      <c r="AQ81" s="151"/>
      <c r="AR81" s="152"/>
      <c r="AS81" s="151"/>
      <c r="AT81" s="152"/>
      <c r="AU81" s="151"/>
      <c r="AV81" s="152"/>
      <c r="AW81" s="151"/>
      <c r="AX81" s="152"/>
      <c r="AY81" s="151"/>
      <c r="AZ81" s="152"/>
      <c r="BA81" s="151"/>
      <c r="BB81" s="152"/>
      <c r="BC81" s="151"/>
      <c r="BD81" s="152"/>
      <c r="BE81" s="151"/>
      <c r="BF81" s="152"/>
      <c r="BG81" s="151"/>
      <c r="BH81" s="152"/>
      <c r="BI81" s="151"/>
      <c r="BJ81" s="152"/>
      <c r="BK81" s="151"/>
      <c r="BL81" s="152"/>
      <c r="BM81" s="151"/>
      <c r="BN81" s="152"/>
      <c r="BO81" s="151"/>
      <c r="BP81" s="152"/>
      <c r="BQ81" s="151"/>
      <c r="BR81" s="152"/>
      <c r="BS81" s="151"/>
      <c r="BT81" s="152"/>
      <c r="BU81" s="151"/>
      <c r="BV81" s="152"/>
      <c r="BW81" s="151"/>
      <c r="BX81" s="152"/>
      <c r="BY81" s="151"/>
      <c r="BZ81" s="152"/>
      <c r="CA81" s="151"/>
      <c r="CB81" s="152"/>
      <c r="CC81" s="151"/>
      <c r="CD81" s="152"/>
      <c r="CE81" s="149"/>
      <c r="CF81" s="150"/>
      <c r="CG81" s="149"/>
      <c r="CH81" s="150"/>
      <c r="CI81" s="149"/>
      <c r="CJ81" s="150"/>
      <c r="CK81" s="149"/>
      <c r="CL81" s="150"/>
      <c r="CM81" s="149"/>
      <c r="CN81" s="150"/>
      <c r="CO81" s="149"/>
      <c r="CP81" s="150"/>
      <c r="CQ81" s="149"/>
      <c r="CR81" s="150"/>
      <c r="CS81" s="149"/>
      <c r="CT81" s="150"/>
      <c r="CU81" s="149"/>
      <c r="CV81" s="150"/>
      <c r="CW81" s="149"/>
      <c r="CX81" s="150"/>
      <c r="CY81" s="149"/>
      <c r="CZ81" s="150"/>
      <c r="DA81" s="149"/>
      <c r="DB81" s="150"/>
      <c r="DC81" s="149"/>
      <c r="DD81" s="150"/>
      <c r="DE81" s="149"/>
      <c r="DF81" s="150"/>
      <c r="DG81" s="149"/>
      <c r="DH81" s="150"/>
      <c r="DI81" s="149"/>
      <c r="DJ81" s="150"/>
      <c r="DK81" s="149"/>
      <c r="DL81" s="150"/>
      <c r="DM81" s="149"/>
      <c r="DN81" s="150"/>
      <c r="DO81" s="149"/>
    </row>
    <row r="82" spans="3:119" ht="14" outlineLevel="1" x14ac:dyDescent="0.3">
      <c r="C82" s="243"/>
      <c r="D82" s="244"/>
      <c r="F82" s="236"/>
      <c r="G82" s="236"/>
      <c r="H82" s="67" t="str">
        <f t="shared" si="10"/>
        <v/>
      </c>
      <c r="I82" s="32"/>
      <c r="J82" s="32"/>
      <c r="K82" s="154"/>
      <c r="L82" s="152"/>
      <c r="M82" s="151"/>
      <c r="N82" s="152"/>
      <c r="O82" s="151"/>
      <c r="P82" s="152"/>
      <c r="Q82" s="151"/>
      <c r="R82" s="152"/>
      <c r="S82" s="151"/>
      <c r="T82" s="152"/>
      <c r="U82" s="151"/>
      <c r="V82" s="152"/>
      <c r="W82" s="151"/>
      <c r="X82" s="152"/>
      <c r="Y82" s="151"/>
      <c r="Z82" s="152"/>
      <c r="AA82" s="151"/>
      <c r="AB82" s="152"/>
      <c r="AC82" s="151"/>
      <c r="AD82" s="152"/>
      <c r="AE82" s="151"/>
      <c r="AF82" s="152"/>
      <c r="AG82" s="151"/>
      <c r="AH82" s="152"/>
      <c r="AI82" s="151"/>
      <c r="AJ82" s="152"/>
      <c r="AK82" s="151"/>
      <c r="AL82" s="152"/>
      <c r="AM82" s="151"/>
      <c r="AN82" s="152"/>
      <c r="AO82" s="151"/>
      <c r="AP82" s="152"/>
      <c r="AQ82" s="151"/>
      <c r="AR82" s="152"/>
      <c r="AS82" s="151"/>
      <c r="AT82" s="152"/>
      <c r="AU82" s="151"/>
      <c r="AV82" s="152"/>
      <c r="AW82" s="151"/>
      <c r="AX82" s="152"/>
      <c r="AY82" s="151"/>
      <c r="AZ82" s="152"/>
      <c r="BA82" s="151"/>
      <c r="BB82" s="152"/>
      <c r="BC82" s="151"/>
      <c r="BD82" s="152"/>
      <c r="BE82" s="151"/>
      <c r="BF82" s="152"/>
      <c r="BG82" s="151"/>
      <c r="BH82" s="152"/>
      <c r="BI82" s="151"/>
      <c r="BJ82" s="152"/>
      <c r="BK82" s="151"/>
      <c r="BL82" s="152"/>
      <c r="BM82" s="151"/>
      <c r="BN82" s="152"/>
      <c r="BO82" s="151"/>
      <c r="BP82" s="152"/>
      <c r="BQ82" s="151"/>
      <c r="BR82" s="152"/>
      <c r="BS82" s="151"/>
      <c r="BT82" s="152"/>
      <c r="BU82" s="151"/>
      <c r="BV82" s="152"/>
      <c r="BW82" s="151"/>
      <c r="BX82" s="152"/>
      <c r="BY82" s="151"/>
      <c r="BZ82" s="152"/>
      <c r="CA82" s="151"/>
      <c r="CB82" s="152"/>
      <c r="CC82" s="151"/>
      <c r="CD82" s="152"/>
      <c r="CE82" s="149"/>
      <c r="CF82" s="150"/>
      <c r="CG82" s="149"/>
      <c r="CH82" s="150"/>
      <c r="CI82" s="149"/>
      <c r="CJ82" s="150"/>
      <c r="CK82" s="149"/>
      <c r="CL82" s="150"/>
      <c r="CM82" s="149"/>
      <c r="CN82" s="150"/>
      <c r="CO82" s="149"/>
      <c r="CP82" s="150"/>
      <c r="CQ82" s="149"/>
      <c r="CR82" s="150"/>
      <c r="CS82" s="149"/>
      <c r="CT82" s="150"/>
      <c r="CU82" s="149"/>
      <c r="CV82" s="150"/>
      <c r="CW82" s="149"/>
      <c r="CX82" s="150"/>
      <c r="CY82" s="149"/>
      <c r="CZ82" s="150"/>
      <c r="DA82" s="149"/>
      <c r="DB82" s="150"/>
      <c r="DC82" s="149"/>
      <c r="DD82" s="150"/>
      <c r="DE82" s="149"/>
      <c r="DF82" s="150"/>
      <c r="DG82" s="149"/>
      <c r="DH82" s="150"/>
      <c r="DI82" s="149"/>
      <c r="DJ82" s="150"/>
      <c r="DK82" s="149"/>
      <c r="DL82" s="150"/>
      <c r="DM82" s="149"/>
      <c r="DN82" s="150"/>
      <c r="DO82" s="149"/>
    </row>
    <row r="83" spans="3:119" ht="14" outlineLevel="1" x14ac:dyDescent="0.3">
      <c r="C83" s="243"/>
      <c r="D83" s="244"/>
      <c r="F83" s="236"/>
      <c r="G83" s="236"/>
      <c r="H83" s="67" t="str">
        <f t="shared" si="10"/>
        <v/>
      </c>
      <c r="I83" s="32"/>
      <c r="J83" s="32"/>
      <c r="K83" s="154"/>
      <c r="L83" s="152"/>
      <c r="M83" s="151"/>
      <c r="N83" s="152"/>
      <c r="O83" s="151"/>
      <c r="P83" s="152"/>
      <c r="Q83" s="151"/>
      <c r="R83" s="152"/>
      <c r="S83" s="151"/>
      <c r="T83" s="152"/>
      <c r="U83" s="151"/>
      <c r="V83" s="152"/>
      <c r="W83" s="151"/>
      <c r="X83" s="152"/>
      <c r="Y83" s="151"/>
      <c r="Z83" s="152"/>
      <c r="AA83" s="151"/>
      <c r="AB83" s="152"/>
      <c r="AC83" s="151"/>
      <c r="AD83" s="152"/>
      <c r="AE83" s="151"/>
      <c r="AF83" s="152"/>
      <c r="AG83" s="151"/>
      <c r="AH83" s="152"/>
      <c r="AI83" s="151"/>
      <c r="AJ83" s="152"/>
      <c r="AK83" s="151"/>
      <c r="AL83" s="152"/>
      <c r="AM83" s="151"/>
      <c r="AN83" s="152"/>
      <c r="AO83" s="151"/>
      <c r="AP83" s="152"/>
      <c r="AQ83" s="151"/>
      <c r="AR83" s="152"/>
      <c r="AS83" s="151"/>
      <c r="AT83" s="152"/>
      <c r="AU83" s="151"/>
      <c r="AV83" s="152"/>
      <c r="AW83" s="151"/>
      <c r="AX83" s="152"/>
      <c r="AY83" s="151"/>
      <c r="AZ83" s="152"/>
      <c r="BA83" s="151"/>
      <c r="BB83" s="152"/>
      <c r="BC83" s="151"/>
      <c r="BD83" s="152"/>
      <c r="BE83" s="151"/>
      <c r="BF83" s="152"/>
      <c r="BG83" s="151"/>
      <c r="BH83" s="152"/>
      <c r="BI83" s="151"/>
      <c r="BJ83" s="152"/>
      <c r="BK83" s="151"/>
      <c r="BL83" s="152"/>
      <c r="BM83" s="151"/>
      <c r="BN83" s="152"/>
      <c r="BO83" s="151"/>
      <c r="BP83" s="152"/>
      <c r="BQ83" s="151"/>
      <c r="BR83" s="152"/>
      <c r="BS83" s="151"/>
      <c r="BT83" s="152"/>
      <c r="BU83" s="151"/>
      <c r="BV83" s="152"/>
      <c r="BW83" s="151"/>
      <c r="BX83" s="152"/>
      <c r="BY83" s="151"/>
      <c r="BZ83" s="152"/>
      <c r="CA83" s="151"/>
      <c r="CB83" s="152"/>
      <c r="CC83" s="151"/>
      <c r="CD83" s="152"/>
      <c r="CE83" s="149"/>
      <c r="CF83" s="150"/>
      <c r="CG83" s="149"/>
      <c r="CH83" s="150"/>
      <c r="CI83" s="149"/>
      <c r="CJ83" s="150"/>
      <c r="CK83" s="149"/>
      <c r="CL83" s="150"/>
      <c r="CM83" s="149"/>
      <c r="CN83" s="150"/>
      <c r="CO83" s="149"/>
      <c r="CP83" s="150"/>
      <c r="CQ83" s="149"/>
      <c r="CR83" s="150"/>
      <c r="CS83" s="149"/>
      <c r="CT83" s="150"/>
      <c r="CU83" s="149"/>
      <c r="CV83" s="150"/>
      <c r="CW83" s="149"/>
      <c r="CX83" s="150"/>
      <c r="CY83" s="149"/>
      <c r="CZ83" s="150"/>
      <c r="DA83" s="149"/>
      <c r="DB83" s="150"/>
      <c r="DC83" s="149"/>
      <c r="DD83" s="150"/>
      <c r="DE83" s="149"/>
      <c r="DF83" s="150"/>
      <c r="DG83" s="149"/>
      <c r="DH83" s="150"/>
      <c r="DI83" s="149"/>
      <c r="DJ83" s="150"/>
      <c r="DK83" s="149"/>
      <c r="DL83" s="150"/>
      <c r="DM83" s="149"/>
      <c r="DN83" s="150"/>
      <c r="DO83" s="149"/>
    </row>
    <row r="84" spans="3:119" ht="14" outlineLevel="1" x14ac:dyDescent="0.3">
      <c r="C84" s="243"/>
      <c r="D84" s="244"/>
      <c r="F84" s="236"/>
      <c r="G84" s="236"/>
      <c r="H84" s="67" t="str">
        <f t="shared" si="10"/>
        <v/>
      </c>
      <c r="I84" s="32"/>
      <c r="J84" s="32"/>
      <c r="K84" s="154"/>
      <c r="L84" s="152"/>
      <c r="M84" s="151"/>
      <c r="N84" s="152"/>
      <c r="O84" s="151"/>
      <c r="P84" s="152"/>
      <c r="Q84" s="151"/>
      <c r="R84" s="152"/>
      <c r="S84" s="151"/>
      <c r="T84" s="152"/>
      <c r="U84" s="151"/>
      <c r="V84" s="152"/>
      <c r="W84" s="151"/>
      <c r="X84" s="152"/>
      <c r="Y84" s="151"/>
      <c r="Z84" s="152"/>
      <c r="AA84" s="151"/>
      <c r="AB84" s="152"/>
      <c r="AC84" s="151"/>
      <c r="AD84" s="152"/>
      <c r="AE84" s="151"/>
      <c r="AF84" s="152"/>
      <c r="AG84" s="151"/>
      <c r="AH84" s="152"/>
      <c r="AI84" s="151"/>
      <c r="AJ84" s="152"/>
      <c r="AK84" s="151"/>
      <c r="AL84" s="152"/>
      <c r="AM84" s="151"/>
      <c r="AN84" s="152"/>
      <c r="AO84" s="151"/>
      <c r="AP84" s="152"/>
      <c r="AQ84" s="151"/>
      <c r="AR84" s="152"/>
      <c r="AS84" s="151"/>
      <c r="AT84" s="152"/>
      <c r="AU84" s="151"/>
      <c r="AV84" s="152"/>
      <c r="AW84" s="151"/>
      <c r="AX84" s="152"/>
      <c r="AY84" s="151"/>
      <c r="AZ84" s="152"/>
      <c r="BA84" s="151"/>
      <c r="BB84" s="152"/>
      <c r="BC84" s="151"/>
      <c r="BD84" s="152"/>
      <c r="BE84" s="151"/>
      <c r="BF84" s="152"/>
      <c r="BG84" s="151"/>
      <c r="BH84" s="152"/>
      <c r="BI84" s="151"/>
      <c r="BJ84" s="152"/>
      <c r="BK84" s="151"/>
      <c r="BL84" s="152"/>
      <c r="BM84" s="151"/>
      <c r="BN84" s="152"/>
      <c r="BO84" s="151"/>
      <c r="BP84" s="152"/>
      <c r="BQ84" s="151"/>
      <c r="BR84" s="152"/>
      <c r="BS84" s="151"/>
      <c r="BT84" s="152"/>
      <c r="BU84" s="151"/>
      <c r="BV84" s="152"/>
      <c r="BW84" s="151"/>
      <c r="BX84" s="152"/>
      <c r="BY84" s="151"/>
      <c r="BZ84" s="152"/>
      <c r="CA84" s="151"/>
      <c r="CB84" s="152"/>
      <c r="CC84" s="151"/>
      <c r="CD84" s="152"/>
      <c r="CE84" s="149"/>
      <c r="CF84" s="150"/>
      <c r="CG84" s="149"/>
      <c r="CH84" s="150"/>
      <c r="CI84" s="149"/>
      <c r="CJ84" s="150"/>
      <c r="CK84" s="149"/>
      <c r="CL84" s="150"/>
      <c r="CM84" s="149"/>
      <c r="CN84" s="150"/>
      <c r="CO84" s="149"/>
      <c r="CP84" s="150"/>
      <c r="CQ84" s="149"/>
      <c r="CR84" s="150"/>
      <c r="CS84" s="149"/>
      <c r="CT84" s="150"/>
      <c r="CU84" s="149"/>
      <c r="CV84" s="150"/>
      <c r="CW84" s="149"/>
      <c r="CX84" s="150"/>
      <c r="CY84" s="149"/>
      <c r="CZ84" s="150"/>
      <c r="DA84" s="149"/>
      <c r="DB84" s="150"/>
      <c r="DC84" s="149"/>
      <c r="DD84" s="150"/>
      <c r="DE84" s="149"/>
      <c r="DF84" s="150"/>
      <c r="DG84" s="149"/>
      <c r="DH84" s="150"/>
      <c r="DI84" s="149"/>
      <c r="DJ84" s="150"/>
      <c r="DK84" s="149"/>
      <c r="DL84" s="150"/>
      <c r="DM84" s="149"/>
      <c r="DN84" s="150"/>
      <c r="DO84" s="149"/>
    </row>
    <row r="85" spans="3:119" ht="14" outlineLevel="1" x14ac:dyDescent="0.3">
      <c r="C85" s="243"/>
      <c r="D85" s="244"/>
      <c r="F85" s="236"/>
      <c r="G85" s="236"/>
      <c r="H85" s="67" t="str">
        <f t="shared" si="10"/>
        <v/>
      </c>
      <c r="I85" s="32"/>
      <c r="J85" s="32"/>
      <c r="K85" s="154"/>
      <c r="L85" s="152"/>
      <c r="M85" s="151"/>
      <c r="N85" s="152"/>
      <c r="O85" s="151"/>
      <c r="P85" s="152"/>
      <c r="Q85" s="151"/>
      <c r="R85" s="152"/>
      <c r="S85" s="151"/>
      <c r="T85" s="152"/>
      <c r="U85" s="151"/>
      <c r="V85" s="152"/>
      <c r="W85" s="151"/>
      <c r="X85" s="152"/>
      <c r="Y85" s="151"/>
      <c r="Z85" s="152"/>
      <c r="AA85" s="151"/>
      <c r="AB85" s="152"/>
      <c r="AC85" s="151"/>
      <c r="AD85" s="152"/>
      <c r="AE85" s="151"/>
      <c r="AF85" s="152"/>
      <c r="AG85" s="151"/>
      <c r="AH85" s="152"/>
      <c r="AI85" s="151"/>
      <c r="AJ85" s="152"/>
      <c r="AK85" s="151"/>
      <c r="AL85" s="152"/>
      <c r="AM85" s="151"/>
      <c r="AN85" s="152"/>
      <c r="AO85" s="151"/>
      <c r="AP85" s="152"/>
      <c r="AQ85" s="151"/>
      <c r="AR85" s="152"/>
      <c r="AS85" s="151"/>
      <c r="AT85" s="152"/>
      <c r="AU85" s="151"/>
      <c r="AV85" s="152"/>
      <c r="AW85" s="151"/>
      <c r="AX85" s="152"/>
      <c r="AY85" s="151"/>
      <c r="AZ85" s="152"/>
      <c r="BA85" s="151"/>
      <c r="BB85" s="152"/>
      <c r="BC85" s="151"/>
      <c r="BD85" s="152"/>
      <c r="BE85" s="151"/>
      <c r="BF85" s="152"/>
      <c r="BG85" s="151"/>
      <c r="BH85" s="152"/>
      <c r="BI85" s="151"/>
      <c r="BJ85" s="152"/>
      <c r="BK85" s="151"/>
      <c r="BL85" s="152"/>
      <c r="BM85" s="151"/>
      <c r="BN85" s="152"/>
      <c r="BO85" s="151"/>
      <c r="BP85" s="152"/>
      <c r="BQ85" s="151"/>
      <c r="BR85" s="152"/>
      <c r="BS85" s="151"/>
      <c r="BT85" s="152"/>
      <c r="BU85" s="151"/>
      <c r="BV85" s="152"/>
      <c r="BW85" s="151"/>
      <c r="BX85" s="152"/>
      <c r="BY85" s="151"/>
      <c r="BZ85" s="152"/>
      <c r="CA85" s="151"/>
      <c r="CB85" s="152"/>
      <c r="CC85" s="151"/>
      <c r="CD85" s="152"/>
      <c r="CE85" s="149"/>
      <c r="CF85" s="150"/>
      <c r="CG85" s="149"/>
      <c r="CH85" s="150"/>
      <c r="CI85" s="149"/>
      <c r="CJ85" s="150"/>
      <c r="CK85" s="149"/>
      <c r="CL85" s="150"/>
      <c r="CM85" s="149"/>
      <c r="CN85" s="150"/>
      <c r="CO85" s="149"/>
      <c r="CP85" s="150"/>
      <c r="CQ85" s="149"/>
      <c r="CR85" s="150"/>
      <c r="CS85" s="149"/>
      <c r="CT85" s="150"/>
      <c r="CU85" s="149"/>
      <c r="CV85" s="150"/>
      <c r="CW85" s="149"/>
      <c r="CX85" s="150"/>
      <c r="CY85" s="149"/>
      <c r="CZ85" s="150"/>
      <c r="DA85" s="149"/>
      <c r="DB85" s="150"/>
      <c r="DC85" s="149"/>
      <c r="DD85" s="150"/>
      <c r="DE85" s="149"/>
      <c r="DF85" s="150"/>
      <c r="DG85" s="149"/>
      <c r="DH85" s="150"/>
      <c r="DI85" s="149"/>
      <c r="DJ85" s="150"/>
      <c r="DK85" s="149"/>
      <c r="DL85" s="150"/>
      <c r="DM85" s="149"/>
      <c r="DN85" s="150"/>
      <c r="DO85" s="149"/>
    </row>
    <row r="86" spans="3:119" ht="14" outlineLevel="1" x14ac:dyDescent="0.3">
      <c r="C86" s="243"/>
      <c r="D86" s="244"/>
      <c r="F86" s="236"/>
      <c r="G86" s="236"/>
      <c r="H86" s="67" t="str">
        <f t="shared" si="10"/>
        <v/>
      </c>
      <c r="I86" s="32"/>
      <c r="J86" s="32"/>
      <c r="K86" s="154"/>
      <c r="L86" s="152"/>
      <c r="M86" s="151"/>
      <c r="N86" s="152"/>
      <c r="O86" s="151"/>
      <c r="P86" s="152"/>
      <c r="Q86" s="151"/>
      <c r="R86" s="152"/>
      <c r="S86" s="151"/>
      <c r="T86" s="152"/>
      <c r="U86" s="151"/>
      <c r="V86" s="152"/>
      <c r="W86" s="151"/>
      <c r="X86" s="152"/>
      <c r="Y86" s="151"/>
      <c r="Z86" s="152"/>
      <c r="AA86" s="151"/>
      <c r="AB86" s="152"/>
      <c r="AC86" s="151"/>
      <c r="AD86" s="152"/>
      <c r="AE86" s="151"/>
      <c r="AF86" s="152"/>
      <c r="AG86" s="151"/>
      <c r="AH86" s="152"/>
      <c r="AI86" s="151"/>
      <c r="AJ86" s="152"/>
      <c r="AK86" s="151"/>
      <c r="AL86" s="152"/>
      <c r="AM86" s="151"/>
      <c r="AN86" s="152"/>
      <c r="AO86" s="151"/>
      <c r="AP86" s="152"/>
      <c r="AQ86" s="151"/>
      <c r="AR86" s="152"/>
      <c r="AS86" s="151"/>
      <c r="AT86" s="152"/>
      <c r="AU86" s="151"/>
      <c r="AV86" s="152"/>
      <c r="AW86" s="151"/>
      <c r="AX86" s="152"/>
      <c r="AY86" s="151"/>
      <c r="AZ86" s="152"/>
      <c r="BA86" s="151"/>
      <c r="BB86" s="152"/>
      <c r="BC86" s="151"/>
      <c r="BD86" s="152"/>
      <c r="BE86" s="151"/>
      <c r="BF86" s="152"/>
      <c r="BG86" s="151"/>
      <c r="BH86" s="152"/>
      <c r="BI86" s="151"/>
      <c r="BJ86" s="152"/>
      <c r="BK86" s="151"/>
      <c r="BL86" s="152"/>
      <c r="BM86" s="151"/>
      <c r="BN86" s="152"/>
      <c r="BO86" s="151"/>
      <c r="BP86" s="152"/>
      <c r="BQ86" s="151"/>
      <c r="BR86" s="152"/>
      <c r="BS86" s="151"/>
      <c r="BT86" s="152"/>
      <c r="BU86" s="151"/>
      <c r="BV86" s="152"/>
      <c r="BW86" s="151"/>
      <c r="BX86" s="152"/>
      <c r="BY86" s="151"/>
      <c r="BZ86" s="152"/>
      <c r="CA86" s="151"/>
      <c r="CB86" s="152"/>
      <c r="CC86" s="151"/>
      <c r="CD86" s="152"/>
      <c r="CE86" s="149"/>
      <c r="CF86" s="150"/>
      <c r="CG86" s="149"/>
      <c r="CH86" s="150"/>
      <c r="CI86" s="149"/>
      <c r="CJ86" s="150"/>
      <c r="CK86" s="149"/>
      <c r="CL86" s="150"/>
      <c r="CM86" s="149"/>
      <c r="CN86" s="150"/>
      <c r="CO86" s="149"/>
      <c r="CP86" s="150"/>
      <c r="CQ86" s="149"/>
      <c r="CR86" s="150"/>
      <c r="CS86" s="149"/>
      <c r="CT86" s="150"/>
      <c r="CU86" s="149"/>
      <c r="CV86" s="150"/>
      <c r="CW86" s="149"/>
      <c r="CX86" s="150"/>
      <c r="CY86" s="149"/>
      <c r="CZ86" s="150"/>
      <c r="DA86" s="149"/>
      <c r="DB86" s="150"/>
      <c r="DC86" s="149"/>
      <c r="DD86" s="150"/>
      <c r="DE86" s="149"/>
      <c r="DF86" s="150"/>
      <c r="DG86" s="149"/>
      <c r="DH86" s="150"/>
      <c r="DI86" s="149"/>
      <c r="DJ86" s="150"/>
      <c r="DK86" s="149"/>
      <c r="DL86" s="150"/>
      <c r="DM86" s="149"/>
      <c r="DN86" s="150"/>
      <c r="DO86" s="149"/>
    </row>
    <row r="87" spans="3:119" ht="14" outlineLevel="1" x14ac:dyDescent="0.3">
      <c r="C87" s="243"/>
      <c r="D87" s="244"/>
      <c r="F87" s="236"/>
      <c r="G87" s="236"/>
      <c r="H87" s="67" t="str">
        <f t="shared" si="10"/>
        <v/>
      </c>
      <c r="I87" s="32"/>
      <c r="J87" s="32"/>
      <c r="K87" s="154"/>
      <c r="L87" s="152"/>
      <c r="M87" s="151"/>
      <c r="N87" s="152"/>
      <c r="O87" s="151"/>
      <c r="P87" s="152"/>
      <c r="Q87" s="151"/>
      <c r="R87" s="152"/>
      <c r="S87" s="151"/>
      <c r="T87" s="152"/>
      <c r="U87" s="151"/>
      <c r="V87" s="152"/>
      <c r="W87" s="151"/>
      <c r="X87" s="152"/>
      <c r="Y87" s="151"/>
      <c r="Z87" s="152"/>
      <c r="AA87" s="151"/>
      <c r="AB87" s="152"/>
      <c r="AC87" s="151"/>
      <c r="AD87" s="152"/>
      <c r="AE87" s="151"/>
      <c r="AF87" s="152"/>
      <c r="AG87" s="151"/>
      <c r="AH87" s="152"/>
      <c r="AI87" s="151"/>
      <c r="AJ87" s="152"/>
      <c r="AK87" s="151"/>
      <c r="AL87" s="152"/>
      <c r="AM87" s="151"/>
      <c r="AN87" s="152"/>
      <c r="AO87" s="151"/>
      <c r="AP87" s="152"/>
      <c r="AQ87" s="151"/>
      <c r="AR87" s="152"/>
      <c r="AS87" s="151"/>
      <c r="AT87" s="152"/>
      <c r="AU87" s="151"/>
      <c r="AV87" s="152"/>
      <c r="AW87" s="151"/>
      <c r="AX87" s="152"/>
      <c r="AY87" s="151"/>
      <c r="AZ87" s="152"/>
      <c r="BA87" s="151"/>
      <c r="BB87" s="152"/>
      <c r="BC87" s="151"/>
      <c r="BD87" s="152"/>
      <c r="BE87" s="151"/>
      <c r="BF87" s="152"/>
      <c r="BG87" s="151"/>
      <c r="BH87" s="152"/>
      <c r="BI87" s="151"/>
      <c r="BJ87" s="152"/>
      <c r="BK87" s="151"/>
      <c r="BL87" s="152"/>
      <c r="BM87" s="151"/>
      <c r="BN87" s="152"/>
      <c r="BO87" s="151"/>
      <c r="BP87" s="152"/>
      <c r="BQ87" s="151"/>
      <c r="BR87" s="152"/>
      <c r="BS87" s="151"/>
      <c r="BT87" s="152"/>
      <c r="BU87" s="151"/>
      <c r="BV87" s="152"/>
      <c r="BW87" s="151"/>
      <c r="BX87" s="152"/>
      <c r="BY87" s="151"/>
      <c r="BZ87" s="152"/>
      <c r="CA87" s="151"/>
      <c r="CB87" s="152"/>
      <c r="CC87" s="151"/>
      <c r="CD87" s="152"/>
      <c r="CE87" s="149"/>
      <c r="CF87" s="150"/>
      <c r="CG87" s="149"/>
      <c r="CH87" s="150"/>
      <c r="CI87" s="149"/>
      <c r="CJ87" s="150"/>
      <c r="CK87" s="149"/>
      <c r="CL87" s="150"/>
      <c r="CM87" s="149"/>
      <c r="CN87" s="150"/>
      <c r="CO87" s="149"/>
      <c r="CP87" s="150"/>
      <c r="CQ87" s="149"/>
      <c r="CR87" s="150"/>
      <c r="CS87" s="149"/>
      <c r="CT87" s="150"/>
      <c r="CU87" s="149"/>
      <c r="CV87" s="150"/>
      <c r="CW87" s="149"/>
      <c r="CX87" s="150"/>
      <c r="CY87" s="149"/>
      <c r="CZ87" s="150"/>
      <c r="DA87" s="149"/>
      <c r="DB87" s="150"/>
      <c r="DC87" s="149"/>
      <c r="DD87" s="150"/>
      <c r="DE87" s="149"/>
      <c r="DF87" s="150"/>
      <c r="DG87" s="149"/>
      <c r="DH87" s="150"/>
      <c r="DI87" s="149"/>
      <c r="DJ87" s="150"/>
      <c r="DK87" s="149"/>
      <c r="DL87" s="150"/>
      <c r="DM87" s="149"/>
      <c r="DN87" s="150"/>
      <c r="DO87" s="149"/>
    </row>
    <row r="88" spans="3:119" ht="14" outlineLevel="1" x14ac:dyDescent="0.3">
      <c r="C88" s="236"/>
      <c r="D88" s="244"/>
      <c r="F88" s="236"/>
      <c r="G88" s="236"/>
      <c r="H88" s="67" t="str">
        <f t="shared" si="10"/>
        <v/>
      </c>
      <c r="I88" s="32"/>
      <c r="J88" s="32"/>
      <c r="K88" s="154"/>
      <c r="L88" s="152"/>
      <c r="M88" s="151"/>
      <c r="N88" s="152"/>
      <c r="O88" s="151"/>
      <c r="P88" s="152"/>
      <c r="Q88" s="151"/>
      <c r="R88" s="152"/>
      <c r="S88" s="151"/>
      <c r="T88" s="152"/>
      <c r="U88" s="151"/>
      <c r="V88" s="152"/>
      <c r="W88" s="151"/>
      <c r="X88" s="152"/>
      <c r="Y88" s="151"/>
      <c r="Z88" s="152"/>
      <c r="AA88" s="151"/>
      <c r="AB88" s="152"/>
      <c r="AC88" s="151"/>
      <c r="AD88" s="152"/>
      <c r="AE88" s="151"/>
      <c r="AF88" s="152"/>
      <c r="AG88" s="151"/>
      <c r="AH88" s="152"/>
      <c r="AI88" s="151"/>
      <c r="AJ88" s="152"/>
      <c r="AK88" s="151"/>
      <c r="AL88" s="152"/>
      <c r="AM88" s="151"/>
      <c r="AN88" s="152"/>
      <c r="AO88" s="151"/>
      <c r="AP88" s="152"/>
      <c r="AQ88" s="151"/>
      <c r="AR88" s="152"/>
      <c r="AS88" s="151"/>
      <c r="AT88" s="152"/>
      <c r="AU88" s="151"/>
      <c r="AV88" s="152"/>
      <c r="AW88" s="151"/>
      <c r="AX88" s="152"/>
      <c r="AY88" s="151"/>
      <c r="AZ88" s="152"/>
      <c r="BA88" s="151"/>
      <c r="BB88" s="152"/>
      <c r="BC88" s="151"/>
      <c r="BD88" s="152"/>
      <c r="BE88" s="151"/>
      <c r="BF88" s="152"/>
      <c r="BG88" s="151"/>
      <c r="BH88" s="152"/>
      <c r="BI88" s="151"/>
      <c r="BJ88" s="152"/>
      <c r="BK88" s="151"/>
      <c r="BL88" s="152"/>
      <c r="BM88" s="151"/>
      <c r="BN88" s="152"/>
      <c r="BO88" s="151"/>
      <c r="BP88" s="152"/>
      <c r="BQ88" s="151"/>
      <c r="BR88" s="152"/>
      <c r="BS88" s="151"/>
      <c r="BT88" s="152"/>
      <c r="BU88" s="151"/>
      <c r="BV88" s="152"/>
      <c r="BW88" s="151"/>
      <c r="BX88" s="152"/>
      <c r="BY88" s="151"/>
      <c r="BZ88" s="152"/>
      <c r="CA88" s="151"/>
      <c r="CB88" s="152"/>
      <c r="CC88" s="151"/>
      <c r="CD88" s="152"/>
      <c r="CE88" s="149"/>
      <c r="CF88" s="150"/>
      <c r="CG88" s="149"/>
      <c r="CH88" s="150"/>
      <c r="CI88" s="149"/>
      <c r="CJ88" s="150"/>
      <c r="CK88" s="149"/>
      <c r="CL88" s="150"/>
      <c r="CM88" s="149"/>
      <c r="CN88" s="150"/>
      <c r="CO88" s="149"/>
      <c r="CP88" s="150"/>
      <c r="CQ88" s="149"/>
      <c r="CR88" s="150"/>
      <c r="CS88" s="149"/>
      <c r="CT88" s="150"/>
      <c r="CU88" s="149"/>
      <c r="CV88" s="150"/>
      <c r="CW88" s="149"/>
      <c r="CX88" s="150"/>
      <c r="CY88" s="149"/>
      <c r="CZ88" s="150"/>
      <c r="DA88" s="149"/>
      <c r="DB88" s="150"/>
      <c r="DC88" s="149"/>
      <c r="DD88" s="150"/>
      <c r="DE88" s="149"/>
      <c r="DF88" s="150"/>
      <c r="DG88" s="149"/>
      <c r="DH88" s="150"/>
      <c r="DI88" s="149"/>
      <c r="DJ88" s="150"/>
      <c r="DK88" s="149"/>
      <c r="DL88" s="150"/>
      <c r="DM88" s="149"/>
      <c r="DN88" s="150"/>
      <c r="DO88" s="149"/>
    </row>
    <row r="89" spans="3:119" ht="14" outlineLevel="1" x14ac:dyDescent="0.3">
      <c r="C89" s="236"/>
      <c r="D89" s="244"/>
      <c r="F89" s="236"/>
      <c r="G89" s="236"/>
      <c r="H89" s="67" t="str">
        <f t="shared" si="10"/>
        <v/>
      </c>
      <c r="I89" s="32"/>
      <c r="J89" s="32"/>
      <c r="K89" s="154"/>
      <c r="L89" s="152"/>
      <c r="M89" s="151"/>
      <c r="N89" s="152"/>
      <c r="O89" s="151"/>
      <c r="P89" s="152"/>
      <c r="Q89" s="151"/>
      <c r="R89" s="152"/>
      <c r="S89" s="151"/>
      <c r="T89" s="152"/>
      <c r="U89" s="151"/>
      <c r="V89" s="152"/>
      <c r="W89" s="151"/>
      <c r="X89" s="152"/>
      <c r="Y89" s="151"/>
      <c r="Z89" s="152"/>
      <c r="AA89" s="151"/>
      <c r="AB89" s="152"/>
      <c r="AC89" s="151"/>
      <c r="AD89" s="152"/>
      <c r="AE89" s="151"/>
      <c r="AF89" s="152"/>
      <c r="AG89" s="151"/>
      <c r="AH89" s="152"/>
      <c r="AI89" s="151"/>
      <c r="AJ89" s="152"/>
      <c r="AK89" s="151"/>
      <c r="AL89" s="152"/>
      <c r="AM89" s="151"/>
      <c r="AN89" s="152"/>
      <c r="AO89" s="151"/>
      <c r="AP89" s="152"/>
      <c r="AQ89" s="151"/>
      <c r="AR89" s="152"/>
      <c r="AS89" s="151"/>
      <c r="AT89" s="152"/>
      <c r="AU89" s="151"/>
      <c r="AV89" s="152"/>
      <c r="AW89" s="151"/>
      <c r="AX89" s="152"/>
      <c r="AY89" s="151"/>
      <c r="AZ89" s="152"/>
      <c r="BA89" s="151"/>
      <c r="BB89" s="152"/>
      <c r="BC89" s="151"/>
      <c r="BD89" s="152"/>
      <c r="BE89" s="151"/>
      <c r="BF89" s="152"/>
      <c r="BG89" s="151"/>
      <c r="BH89" s="152"/>
      <c r="BI89" s="151"/>
      <c r="BJ89" s="152"/>
      <c r="BK89" s="151"/>
      <c r="BL89" s="152"/>
      <c r="BM89" s="151"/>
      <c r="BN89" s="152"/>
      <c r="BO89" s="151"/>
      <c r="BP89" s="152"/>
      <c r="BQ89" s="151"/>
      <c r="BR89" s="152"/>
      <c r="BS89" s="151"/>
      <c r="BT89" s="152"/>
      <c r="BU89" s="151"/>
      <c r="BV89" s="152"/>
      <c r="BW89" s="151"/>
      <c r="BX89" s="152"/>
      <c r="BY89" s="151"/>
      <c r="BZ89" s="152"/>
      <c r="CA89" s="151"/>
      <c r="CB89" s="152"/>
      <c r="CC89" s="151"/>
      <c r="CD89" s="152"/>
      <c r="CE89" s="149"/>
      <c r="CF89" s="150"/>
      <c r="CG89" s="149"/>
      <c r="CH89" s="150"/>
      <c r="CI89" s="149"/>
      <c r="CJ89" s="150"/>
      <c r="CK89" s="149"/>
      <c r="CL89" s="150"/>
      <c r="CM89" s="149"/>
      <c r="CN89" s="150"/>
      <c r="CO89" s="149"/>
      <c r="CP89" s="150"/>
      <c r="CQ89" s="149"/>
      <c r="CR89" s="150"/>
      <c r="CS89" s="149"/>
      <c r="CT89" s="150"/>
      <c r="CU89" s="149"/>
      <c r="CV89" s="150"/>
      <c r="CW89" s="149"/>
      <c r="CX89" s="150"/>
      <c r="CY89" s="149"/>
      <c r="CZ89" s="150"/>
      <c r="DA89" s="149"/>
      <c r="DB89" s="150"/>
      <c r="DC89" s="149"/>
      <c r="DD89" s="150"/>
      <c r="DE89" s="149"/>
      <c r="DF89" s="150"/>
      <c r="DG89" s="149"/>
      <c r="DH89" s="150"/>
      <c r="DI89" s="149"/>
      <c r="DJ89" s="150"/>
      <c r="DK89" s="149"/>
      <c r="DL89" s="150"/>
      <c r="DM89" s="149"/>
      <c r="DN89" s="150"/>
      <c r="DO89" s="149"/>
    </row>
    <row r="90" spans="3:119" ht="14" outlineLevel="1" x14ac:dyDescent="0.3">
      <c r="C90" s="236"/>
      <c r="D90" s="244"/>
      <c r="F90" s="236"/>
      <c r="G90" s="236"/>
      <c r="H90" s="67" t="str">
        <f t="shared" si="10"/>
        <v/>
      </c>
      <c r="I90" s="32"/>
      <c r="J90" s="32"/>
      <c r="K90" s="154"/>
      <c r="L90" s="152"/>
      <c r="M90" s="151"/>
      <c r="N90" s="152"/>
      <c r="O90" s="151"/>
      <c r="P90" s="152"/>
      <c r="Q90" s="151"/>
      <c r="R90" s="152"/>
      <c r="S90" s="151"/>
      <c r="T90" s="152"/>
      <c r="U90" s="151"/>
      <c r="V90" s="152"/>
      <c r="W90" s="151"/>
      <c r="X90" s="152"/>
      <c r="Y90" s="151"/>
      <c r="Z90" s="152"/>
      <c r="AA90" s="151"/>
      <c r="AB90" s="152"/>
      <c r="AC90" s="151"/>
      <c r="AD90" s="152"/>
      <c r="AE90" s="151"/>
      <c r="AF90" s="152"/>
      <c r="AG90" s="151"/>
      <c r="AH90" s="152"/>
      <c r="AI90" s="151"/>
      <c r="AJ90" s="152"/>
      <c r="AK90" s="151"/>
      <c r="AL90" s="152"/>
      <c r="AM90" s="151"/>
      <c r="AN90" s="152"/>
      <c r="AO90" s="151"/>
      <c r="AP90" s="152"/>
      <c r="AQ90" s="151"/>
      <c r="AR90" s="152"/>
      <c r="AS90" s="151"/>
      <c r="AT90" s="152"/>
      <c r="AU90" s="151"/>
      <c r="AV90" s="152"/>
      <c r="AW90" s="151"/>
      <c r="AX90" s="152"/>
      <c r="AY90" s="151"/>
      <c r="AZ90" s="152"/>
      <c r="BA90" s="151"/>
      <c r="BB90" s="152"/>
      <c r="BC90" s="151"/>
      <c r="BD90" s="152"/>
      <c r="BE90" s="151"/>
      <c r="BF90" s="152"/>
      <c r="BG90" s="151"/>
      <c r="BH90" s="152"/>
      <c r="BI90" s="151"/>
      <c r="BJ90" s="152"/>
      <c r="BK90" s="151"/>
      <c r="BL90" s="152"/>
      <c r="BM90" s="151"/>
      <c r="BN90" s="152"/>
      <c r="BO90" s="151"/>
      <c r="BP90" s="152"/>
      <c r="BQ90" s="151"/>
      <c r="BR90" s="152"/>
      <c r="BS90" s="151"/>
      <c r="BT90" s="152"/>
      <c r="BU90" s="151"/>
      <c r="BV90" s="152"/>
      <c r="BW90" s="151"/>
      <c r="BX90" s="152"/>
      <c r="BY90" s="151"/>
      <c r="BZ90" s="152"/>
      <c r="CA90" s="151"/>
      <c r="CB90" s="152"/>
      <c r="CC90" s="151"/>
      <c r="CD90" s="152"/>
      <c r="CE90" s="149"/>
      <c r="CF90" s="150"/>
      <c r="CG90" s="149"/>
      <c r="CH90" s="150"/>
      <c r="CI90" s="149"/>
      <c r="CJ90" s="150"/>
      <c r="CK90" s="149"/>
      <c r="CL90" s="150"/>
      <c r="CM90" s="149"/>
      <c r="CN90" s="150"/>
      <c r="CO90" s="149"/>
      <c r="CP90" s="150"/>
      <c r="CQ90" s="149"/>
      <c r="CR90" s="150"/>
      <c r="CS90" s="149"/>
      <c r="CT90" s="150"/>
      <c r="CU90" s="149"/>
      <c r="CV90" s="150"/>
      <c r="CW90" s="149"/>
      <c r="CX90" s="150"/>
      <c r="CY90" s="149"/>
      <c r="CZ90" s="150"/>
      <c r="DA90" s="149"/>
      <c r="DB90" s="150"/>
      <c r="DC90" s="149"/>
      <c r="DD90" s="150"/>
      <c r="DE90" s="149"/>
      <c r="DF90" s="150"/>
      <c r="DG90" s="149"/>
      <c r="DH90" s="150"/>
      <c r="DI90" s="149"/>
      <c r="DJ90" s="150"/>
      <c r="DK90" s="149"/>
      <c r="DL90" s="150"/>
      <c r="DM90" s="149"/>
      <c r="DN90" s="150"/>
      <c r="DO90" s="149"/>
    </row>
    <row r="91" spans="3:119" ht="14" outlineLevel="1" x14ac:dyDescent="0.3">
      <c r="C91" s="236"/>
      <c r="D91" s="236"/>
      <c r="F91" s="236"/>
      <c r="G91" s="236"/>
      <c r="H91" s="67" t="str">
        <f t="shared" si="10"/>
        <v/>
      </c>
      <c r="I91" s="32"/>
      <c r="J91" s="32"/>
      <c r="K91" s="154"/>
      <c r="L91" s="152"/>
      <c r="M91" s="151"/>
      <c r="N91" s="152"/>
      <c r="O91" s="151"/>
      <c r="P91" s="152"/>
      <c r="Q91" s="151"/>
      <c r="R91" s="152"/>
      <c r="S91" s="151"/>
      <c r="T91" s="152"/>
      <c r="U91" s="151"/>
      <c r="V91" s="152"/>
      <c r="W91" s="151"/>
      <c r="X91" s="152"/>
      <c r="Y91" s="151"/>
      <c r="Z91" s="152"/>
      <c r="AA91" s="151"/>
      <c r="AB91" s="152"/>
      <c r="AC91" s="151"/>
      <c r="AD91" s="152"/>
      <c r="AE91" s="151"/>
      <c r="AF91" s="152"/>
      <c r="AG91" s="151"/>
      <c r="AH91" s="152"/>
      <c r="AI91" s="151"/>
      <c r="AJ91" s="152"/>
      <c r="AK91" s="151"/>
      <c r="AL91" s="152"/>
      <c r="AM91" s="151"/>
      <c r="AN91" s="152"/>
      <c r="AO91" s="151"/>
      <c r="AP91" s="152"/>
      <c r="AQ91" s="151"/>
      <c r="AR91" s="152"/>
      <c r="AS91" s="151"/>
      <c r="AT91" s="152"/>
      <c r="AU91" s="151"/>
      <c r="AV91" s="152"/>
      <c r="AW91" s="151"/>
      <c r="AX91" s="152"/>
      <c r="AY91" s="151"/>
      <c r="AZ91" s="152"/>
      <c r="BA91" s="151"/>
      <c r="BB91" s="152"/>
      <c r="BC91" s="151"/>
      <c r="BD91" s="152"/>
      <c r="BE91" s="151"/>
      <c r="BF91" s="152"/>
      <c r="BG91" s="151"/>
      <c r="BH91" s="152"/>
      <c r="BI91" s="151"/>
      <c r="BJ91" s="152"/>
      <c r="BK91" s="151"/>
      <c r="BL91" s="152"/>
      <c r="BM91" s="151"/>
      <c r="BN91" s="152"/>
      <c r="BO91" s="151"/>
      <c r="BP91" s="152"/>
      <c r="BQ91" s="151"/>
      <c r="BR91" s="152"/>
      <c r="BS91" s="151"/>
      <c r="BT91" s="152"/>
      <c r="BU91" s="151"/>
      <c r="BV91" s="152"/>
      <c r="BW91" s="151"/>
      <c r="BX91" s="152"/>
      <c r="BY91" s="151"/>
      <c r="BZ91" s="152"/>
      <c r="CA91" s="151"/>
      <c r="CB91" s="152"/>
      <c r="CC91" s="151"/>
      <c r="CD91" s="152"/>
      <c r="CE91" s="149"/>
      <c r="CF91" s="150"/>
      <c r="CG91" s="149"/>
      <c r="CH91" s="150"/>
      <c r="CI91" s="149"/>
      <c r="CJ91" s="150"/>
      <c r="CK91" s="149"/>
      <c r="CL91" s="150"/>
      <c r="CM91" s="149"/>
      <c r="CN91" s="150"/>
      <c r="CO91" s="149"/>
      <c r="CP91" s="150"/>
      <c r="CQ91" s="149"/>
      <c r="CR91" s="150"/>
      <c r="CS91" s="149"/>
      <c r="CT91" s="150"/>
      <c r="CU91" s="149"/>
      <c r="CV91" s="150"/>
      <c r="CW91" s="149"/>
      <c r="CX91" s="150"/>
      <c r="CY91" s="149"/>
      <c r="CZ91" s="150"/>
      <c r="DA91" s="149"/>
      <c r="DB91" s="150"/>
      <c r="DC91" s="149"/>
      <c r="DD91" s="150"/>
      <c r="DE91" s="149"/>
      <c r="DF91" s="150"/>
      <c r="DG91" s="149"/>
      <c r="DH91" s="150"/>
      <c r="DI91" s="149"/>
      <c r="DJ91" s="150"/>
      <c r="DK91" s="149"/>
      <c r="DL91" s="150"/>
      <c r="DM91" s="149"/>
      <c r="DN91" s="150"/>
      <c r="DO91" s="149"/>
    </row>
    <row r="92" spans="3:119" ht="14" outlineLevel="1" x14ac:dyDescent="0.3">
      <c r="C92" s="236"/>
      <c r="D92" s="236"/>
      <c r="F92" s="236"/>
      <c r="G92" s="236"/>
      <c r="H92" s="67" t="str">
        <f t="shared" si="10"/>
        <v/>
      </c>
      <c r="I92" s="32"/>
      <c r="J92" s="32"/>
      <c r="K92" s="154"/>
      <c r="L92" s="152"/>
      <c r="M92" s="151"/>
      <c r="N92" s="152"/>
      <c r="O92" s="151"/>
      <c r="P92" s="152"/>
      <c r="Q92" s="151"/>
      <c r="R92" s="152"/>
      <c r="S92" s="151"/>
      <c r="T92" s="152"/>
      <c r="U92" s="151"/>
      <c r="V92" s="152"/>
      <c r="W92" s="151"/>
      <c r="X92" s="152"/>
      <c r="Y92" s="151"/>
      <c r="Z92" s="152"/>
      <c r="AA92" s="151"/>
      <c r="AB92" s="152"/>
      <c r="AC92" s="151"/>
      <c r="AD92" s="152"/>
      <c r="AE92" s="151"/>
      <c r="AF92" s="152"/>
      <c r="AG92" s="151"/>
      <c r="AH92" s="152"/>
      <c r="AI92" s="151"/>
      <c r="AJ92" s="152"/>
      <c r="AK92" s="151"/>
      <c r="AL92" s="152"/>
      <c r="AM92" s="151"/>
      <c r="AN92" s="152"/>
      <c r="AO92" s="151"/>
      <c r="AP92" s="152"/>
      <c r="AQ92" s="151"/>
      <c r="AR92" s="152"/>
      <c r="AS92" s="151"/>
      <c r="AT92" s="152"/>
      <c r="AU92" s="151"/>
      <c r="AV92" s="152"/>
      <c r="AW92" s="151"/>
      <c r="AX92" s="152"/>
      <c r="AY92" s="151"/>
      <c r="AZ92" s="152"/>
      <c r="BA92" s="151"/>
      <c r="BB92" s="152"/>
      <c r="BC92" s="151"/>
      <c r="BD92" s="152"/>
      <c r="BE92" s="151"/>
      <c r="BF92" s="152"/>
      <c r="BG92" s="151"/>
      <c r="BH92" s="152"/>
      <c r="BI92" s="151"/>
      <c r="BJ92" s="152"/>
      <c r="BK92" s="151"/>
      <c r="BL92" s="152"/>
      <c r="BM92" s="151"/>
      <c r="BN92" s="152"/>
      <c r="BO92" s="151"/>
      <c r="BP92" s="152"/>
      <c r="BQ92" s="151"/>
      <c r="BR92" s="152"/>
      <c r="BS92" s="151"/>
      <c r="BT92" s="152"/>
      <c r="BU92" s="151"/>
      <c r="BV92" s="152"/>
      <c r="BW92" s="151"/>
      <c r="BX92" s="152"/>
      <c r="BY92" s="151"/>
      <c r="BZ92" s="152"/>
      <c r="CA92" s="151"/>
      <c r="CB92" s="152"/>
      <c r="CC92" s="151"/>
      <c r="CD92" s="152"/>
      <c r="CE92" s="149"/>
      <c r="CF92" s="150"/>
      <c r="CG92" s="149"/>
      <c r="CH92" s="150"/>
      <c r="CI92" s="149"/>
      <c r="CJ92" s="150"/>
      <c r="CK92" s="149"/>
      <c r="CL92" s="150"/>
      <c r="CM92" s="149"/>
      <c r="CN92" s="150"/>
      <c r="CO92" s="149"/>
      <c r="CP92" s="150"/>
      <c r="CQ92" s="149"/>
      <c r="CR92" s="150"/>
      <c r="CS92" s="149"/>
      <c r="CT92" s="150"/>
      <c r="CU92" s="149"/>
      <c r="CV92" s="150"/>
      <c r="CW92" s="149"/>
      <c r="CX92" s="150"/>
      <c r="CY92" s="149"/>
      <c r="CZ92" s="150"/>
      <c r="DA92" s="149"/>
      <c r="DB92" s="150"/>
      <c r="DC92" s="149"/>
      <c r="DD92" s="150"/>
      <c r="DE92" s="149"/>
      <c r="DF92" s="150"/>
      <c r="DG92" s="149"/>
      <c r="DH92" s="150"/>
      <c r="DI92" s="149"/>
      <c r="DJ92" s="150"/>
      <c r="DK92" s="149"/>
      <c r="DL92" s="150"/>
      <c r="DM92" s="149"/>
      <c r="DN92" s="150"/>
      <c r="DO92" s="149"/>
    </row>
    <row r="93" spans="3:119" ht="14" outlineLevel="1" x14ac:dyDescent="0.3">
      <c r="C93" s="236"/>
      <c r="D93" s="236"/>
      <c r="F93" s="236"/>
      <c r="G93" s="236"/>
      <c r="H93" s="67" t="str">
        <f t="shared" si="10"/>
        <v/>
      </c>
      <c r="I93" s="32"/>
      <c r="J93" s="32"/>
      <c r="K93" s="154"/>
      <c r="L93" s="152"/>
      <c r="M93" s="151"/>
      <c r="N93" s="152"/>
      <c r="O93" s="151"/>
      <c r="P93" s="152"/>
      <c r="Q93" s="151"/>
      <c r="R93" s="152"/>
      <c r="S93" s="151"/>
      <c r="T93" s="152"/>
      <c r="U93" s="151"/>
      <c r="V93" s="152"/>
      <c r="W93" s="151"/>
      <c r="X93" s="152"/>
      <c r="Y93" s="151"/>
      <c r="Z93" s="152"/>
      <c r="AA93" s="151"/>
      <c r="AB93" s="152"/>
      <c r="AC93" s="151"/>
      <c r="AD93" s="152"/>
      <c r="AE93" s="151"/>
      <c r="AF93" s="152"/>
      <c r="AG93" s="151"/>
      <c r="AH93" s="152"/>
      <c r="AI93" s="151"/>
      <c r="AJ93" s="152"/>
      <c r="AK93" s="151"/>
      <c r="AL93" s="152"/>
      <c r="AM93" s="151"/>
      <c r="AN93" s="152"/>
      <c r="AO93" s="151"/>
      <c r="AP93" s="152"/>
      <c r="AQ93" s="151"/>
      <c r="AR93" s="152"/>
      <c r="AS93" s="151"/>
      <c r="AT93" s="152"/>
      <c r="AU93" s="151"/>
      <c r="AV93" s="152"/>
      <c r="AW93" s="151"/>
      <c r="AX93" s="152"/>
      <c r="AY93" s="151"/>
      <c r="AZ93" s="152"/>
      <c r="BA93" s="151"/>
      <c r="BB93" s="152"/>
      <c r="BC93" s="151"/>
      <c r="BD93" s="152"/>
      <c r="BE93" s="151"/>
      <c r="BF93" s="152"/>
      <c r="BG93" s="151"/>
      <c r="BH93" s="152"/>
      <c r="BI93" s="151"/>
      <c r="BJ93" s="152"/>
      <c r="BK93" s="151"/>
      <c r="BL93" s="152"/>
      <c r="BM93" s="151"/>
      <c r="BN93" s="152"/>
      <c r="BO93" s="151"/>
      <c r="BP93" s="152"/>
      <c r="BQ93" s="151"/>
      <c r="BR93" s="152"/>
      <c r="BS93" s="151"/>
      <c r="BT93" s="152"/>
      <c r="BU93" s="151"/>
      <c r="BV93" s="152"/>
      <c r="BW93" s="151"/>
      <c r="BX93" s="152"/>
      <c r="BY93" s="151"/>
      <c r="BZ93" s="152"/>
      <c r="CA93" s="151"/>
      <c r="CB93" s="152"/>
      <c r="CC93" s="151"/>
      <c r="CD93" s="152"/>
      <c r="CE93" s="151"/>
      <c r="CF93" s="152"/>
      <c r="CG93" s="151"/>
      <c r="CH93" s="152"/>
      <c r="CI93" s="151"/>
      <c r="CJ93" s="152"/>
      <c r="CK93" s="151"/>
      <c r="CL93" s="152"/>
      <c r="CM93" s="151"/>
      <c r="CN93" s="152"/>
      <c r="CO93" s="151"/>
      <c r="CP93" s="152"/>
      <c r="CQ93" s="149"/>
      <c r="CR93" s="150"/>
      <c r="CS93" s="149"/>
      <c r="CT93" s="150"/>
      <c r="CU93" s="149"/>
      <c r="CV93" s="150"/>
      <c r="CW93" s="149"/>
      <c r="CX93" s="150"/>
      <c r="CY93" s="149"/>
      <c r="CZ93" s="150"/>
      <c r="DA93" s="149"/>
      <c r="DB93" s="150"/>
      <c r="DC93" s="149"/>
      <c r="DD93" s="150"/>
      <c r="DE93" s="149"/>
      <c r="DF93" s="150"/>
      <c r="DG93" s="149"/>
      <c r="DH93" s="150"/>
      <c r="DI93" s="149"/>
      <c r="DJ93" s="150"/>
      <c r="DK93" s="149"/>
      <c r="DL93" s="150"/>
      <c r="DM93" s="149"/>
      <c r="DN93" s="150"/>
      <c r="DO93" s="149"/>
    </row>
    <row r="94" spans="3:119" ht="14" outlineLevel="1" x14ac:dyDescent="0.3">
      <c r="C94" s="236"/>
      <c r="D94" s="236"/>
      <c r="F94" s="236"/>
      <c r="G94" s="236"/>
      <c r="H94" s="67" t="str">
        <f t="shared" si="10"/>
        <v/>
      </c>
      <c r="I94" s="32"/>
      <c r="J94" s="32"/>
      <c r="K94" s="154"/>
      <c r="L94" s="152"/>
      <c r="M94" s="151"/>
      <c r="N94" s="152"/>
      <c r="O94" s="151"/>
      <c r="P94" s="152"/>
      <c r="Q94" s="151"/>
      <c r="R94" s="152"/>
      <c r="S94" s="151"/>
      <c r="T94" s="152"/>
      <c r="U94" s="151"/>
      <c r="V94" s="152"/>
      <c r="W94" s="151"/>
      <c r="X94" s="152"/>
      <c r="Y94" s="151"/>
      <c r="Z94" s="152"/>
      <c r="AA94" s="151"/>
      <c r="AB94" s="152"/>
      <c r="AC94" s="151"/>
      <c r="AD94" s="152"/>
      <c r="AE94" s="151"/>
      <c r="AF94" s="152"/>
      <c r="AG94" s="151"/>
      <c r="AH94" s="152"/>
      <c r="AI94" s="151"/>
      <c r="AJ94" s="152"/>
      <c r="AK94" s="151"/>
      <c r="AL94" s="152"/>
      <c r="AM94" s="151"/>
      <c r="AN94" s="152"/>
      <c r="AO94" s="151"/>
      <c r="AP94" s="152"/>
      <c r="AQ94" s="151"/>
      <c r="AR94" s="152"/>
      <c r="AS94" s="151"/>
      <c r="AT94" s="152"/>
      <c r="AU94" s="151"/>
      <c r="AV94" s="152"/>
      <c r="AW94" s="151"/>
      <c r="AX94" s="152"/>
      <c r="AY94" s="151"/>
      <c r="AZ94" s="152"/>
      <c r="BA94" s="151"/>
      <c r="BB94" s="152"/>
      <c r="BC94" s="151"/>
      <c r="BD94" s="152"/>
      <c r="BE94" s="151"/>
      <c r="BF94" s="152"/>
      <c r="BG94" s="151"/>
      <c r="BH94" s="152"/>
      <c r="BI94" s="151"/>
      <c r="BJ94" s="152"/>
      <c r="BK94" s="151"/>
      <c r="BL94" s="152"/>
      <c r="BM94" s="151"/>
      <c r="BN94" s="152"/>
      <c r="BO94" s="151"/>
      <c r="BP94" s="152"/>
      <c r="BQ94" s="151"/>
      <c r="BR94" s="152"/>
      <c r="BS94" s="151"/>
      <c r="BT94" s="152"/>
      <c r="BU94" s="151"/>
      <c r="BV94" s="152"/>
      <c r="BW94" s="151"/>
      <c r="BX94" s="152"/>
      <c r="BY94" s="151"/>
      <c r="BZ94" s="152"/>
      <c r="CA94" s="151"/>
      <c r="CB94" s="152"/>
      <c r="CC94" s="151"/>
      <c r="CD94" s="152"/>
      <c r="CE94" s="149"/>
      <c r="CF94" s="150"/>
      <c r="CG94" s="149"/>
      <c r="CH94" s="150"/>
      <c r="CI94" s="149"/>
      <c r="CJ94" s="150"/>
      <c r="CK94" s="149"/>
      <c r="CL94" s="150"/>
      <c r="CM94" s="149"/>
      <c r="CN94" s="150"/>
      <c r="CO94" s="149"/>
      <c r="CP94" s="150"/>
      <c r="CQ94" s="149"/>
      <c r="CR94" s="150"/>
      <c r="CS94" s="149"/>
      <c r="CT94" s="150"/>
      <c r="CU94" s="149"/>
      <c r="CV94" s="150"/>
      <c r="CW94" s="149"/>
      <c r="CX94" s="150"/>
      <c r="CY94" s="149"/>
      <c r="CZ94" s="150"/>
      <c r="DA94" s="149"/>
      <c r="DB94" s="150"/>
      <c r="DC94" s="149"/>
      <c r="DD94" s="150"/>
      <c r="DE94" s="149"/>
      <c r="DF94" s="150"/>
      <c r="DG94" s="149"/>
      <c r="DH94" s="150"/>
      <c r="DI94" s="149"/>
      <c r="DJ94" s="150"/>
      <c r="DK94" s="149"/>
      <c r="DL94" s="150"/>
      <c r="DM94" s="149"/>
      <c r="DN94" s="150"/>
      <c r="DO94" s="149"/>
    </row>
    <row r="95" spans="3:119" ht="14" outlineLevel="1" x14ac:dyDescent="0.3">
      <c r="C95" s="236"/>
      <c r="D95" s="236"/>
      <c r="F95" s="236"/>
      <c r="G95" s="236"/>
      <c r="H95" s="67" t="str">
        <f t="shared" si="10"/>
        <v/>
      </c>
      <c r="I95" s="32"/>
      <c r="J95" s="32"/>
      <c r="K95" s="154"/>
      <c r="L95" s="150"/>
      <c r="M95" s="149"/>
      <c r="N95" s="150"/>
      <c r="O95" s="149"/>
      <c r="P95" s="150"/>
      <c r="Q95" s="149"/>
      <c r="R95" s="150"/>
      <c r="S95" s="149"/>
      <c r="T95" s="150"/>
      <c r="U95" s="149"/>
      <c r="V95" s="150"/>
      <c r="W95" s="149"/>
      <c r="X95" s="150"/>
      <c r="Y95" s="149"/>
      <c r="Z95" s="150"/>
      <c r="AA95" s="149"/>
      <c r="AB95" s="150"/>
      <c r="AC95" s="149"/>
      <c r="AD95" s="150"/>
      <c r="AE95" s="149"/>
      <c r="AF95" s="150"/>
      <c r="AG95" s="149"/>
      <c r="AH95" s="150"/>
      <c r="AI95" s="149"/>
      <c r="AJ95" s="150"/>
      <c r="AK95" s="149"/>
      <c r="AL95" s="150"/>
      <c r="AM95" s="149"/>
      <c r="AN95" s="150"/>
      <c r="AO95" s="149"/>
      <c r="AP95" s="150"/>
      <c r="AQ95" s="149"/>
      <c r="AR95" s="150"/>
      <c r="AS95" s="149"/>
      <c r="AT95" s="150"/>
      <c r="AU95" s="149"/>
      <c r="AV95" s="150"/>
      <c r="AW95" s="149"/>
      <c r="AX95" s="150"/>
      <c r="AY95" s="149"/>
      <c r="AZ95" s="150"/>
      <c r="BA95" s="149"/>
      <c r="BB95" s="150"/>
      <c r="BC95" s="149"/>
      <c r="BD95" s="150"/>
      <c r="BE95" s="149"/>
      <c r="BF95" s="150"/>
      <c r="BG95" s="149"/>
      <c r="BH95" s="150"/>
      <c r="BI95" s="149"/>
      <c r="BJ95" s="150"/>
      <c r="BK95" s="149"/>
      <c r="BL95" s="150"/>
      <c r="BM95" s="149"/>
      <c r="BN95" s="150"/>
      <c r="BO95" s="149"/>
      <c r="BP95" s="150"/>
      <c r="BQ95" s="149"/>
      <c r="BR95" s="150"/>
      <c r="BS95" s="149"/>
      <c r="BT95" s="150"/>
      <c r="BU95" s="149"/>
      <c r="BV95" s="150"/>
      <c r="BW95" s="149"/>
      <c r="BX95" s="150"/>
      <c r="BY95" s="149"/>
      <c r="BZ95" s="150"/>
      <c r="CA95" s="149"/>
      <c r="CB95" s="150"/>
      <c r="CC95" s="149"/>
      <c r="CD95" s="150"/>
      <c r="CE95" s="149"/>
      <c r="CF95" s="150"/>
      <c r="CG95" s="149"/>
      <c r="CH95" s="150"/>
      <c r="CI95" s="149"/>
      <c r="CJ95" s="150"/>
      <c r="CK95" s="149"/>
      <c r="CL95" s="150"/>
      <c r="CM95" s="149"/>
      <c r="CN95" s="150"/>
      <c r="CO95" s="149"/>
      <c r="CP95" s="150"/>
      <c r="CQ95" s="149"/>
      <c r="CR95" s="150"/>
      <c r="CS95" s="149"/>
      <c r="CT95" s="150"/>
      <c r="CU95" s="149"/>
      <c r="CV95" s="150"/>
      <c r="CW95" s="149"/>
      <c r="CX95" s="150"/>
      <c r="CY95" s="149"/>
      <c r="CZ95" s="150"/>
      <c r="DA95" s="149"/>
      <c r="DB95" s="150"/>
      <c r="DC95" s="149"/>
      <c r="DD95" s="150"/>
      <c r="DE95" s="149"/>
      <c r="DF95" s="150"/>
      <c r="DG95" s="149"/>
      <c r="DH95" s="150"/>
      <c r="DI95" s="149"/>
      <c r="DJ95" s="150"/>
      <c r="DK95" s="149"/>
      <c r="DL95" s="150"/>
      <c r="DM95" s="149"/>
      <c r="DN95" s="150"/>
      <c r="DO95" s="149"/>
    </row>
    <row r="96" spans="3:119" ht="14" outlineLevel="1" x14ac:dyDescent="0.3">
      <c r="C96" s="236"/>
      <c r="D96" s="236"/>
      <c r="F96" s="236"/>
      <c r="G96" s="236"/>
      <c r="H96" s="67" t="str">
        <f t="shared" si="10"/>
        <v/>
      </c>
      <c r="I96" s="32"/>
      <c r="J96" s="32"/>
      <c r="K96" s="154"/>
      <c r="L96" s="150"/>
      <c r="M96" s="149"/>
      <c r="N96" s="150"/>
      <c r="O96" s="149"/>
      <c r="P96" s="150"/>
      <c r="Q96" s="149"/>
      <c r="R96" s="150"/>
      <c r="S96" s="149"/>
      <c r="T96" s="150"/>
      <c r="U96" s="149"/>
      <c r="V96" s="150"/>
      <c r="W96" s="149"/>
      <c r="X96" s="150"/>
      <c r="Y96" s="149"/>
      <c r="Z96" s="150"/>
      <c r="AA96" s="149"/>
      <c r="AB96" s="150"/>
      <c r="AC96" s="149"/>
      <c r="AD96" s="150"/>
      <c r="AE96" s="149"/>
      <c r="AF96" s="150"/>
      <c r="AG96" s="149"/>
      <c r="AH96" s="150"/>
      <c r="AI96" s="149"/>
      <c r="AJ96" s="150"/>
      <c r="AK96" s="149"/>
      <c r="AL96" s="150"/>
      <c r="AM96" s="149"/>
      <c r="AN96" s="150"/>
      <c r="AO96" s="149"/>
      <c r="AP96" s="150"/>
      <c r="AQ96" s="149"/>
      <c r="AR96" s="150"/>
      <c r="AS96" s="149"/>
      <c r="AT96" s="150"/>
      <c r="AU96" s="149"/>
      <c r="AV96" s="150"/>
      <c r="AW96" s="149"/>
      <c r="AX96" s="150"/>
      <c r="AY96" s="149"/>
      <c r="AZ96" s="150"/>
      <c r="BA96" s="149"/>
      <c r="BB96" s="150"/>
      <c r="BC96" s="149"/>
      <c r="BD96" s="150"/>
      <c r="BE96" s="149"/>
      <c r="BF96" s="150"/>
      <c r="BG96" s="149"/>
      <c r="BH96" s="150"/>
      <c r="BI96" s="149"/>
      <c r="BJ96" s="150"/>
      <c r="BK96" s="149"/>
      <c r="BL96" s="150"/>
      <c r="BM96" s="149"/>
      <c r="BN96" s="150"/>
      <c r="BO96" s="149"/>
      <c r="BP96" s="150"/>
      <c r="BQ96" s="149"/>
      <c r="BR96" s="150"/>
      <c r="BS96" s="149"/>
      <c r="BT96" s="150"/>
      <c r="BU96" s="149"/>
      <c r="BV96" s="150"/>
      <c r="BW96" s="149"/>
      <c r="BX96" s="150"/>
      <c r="BY96" s="149"/>
      <c r="BZ96" s="150"/>
      <c r="CA96" s="149"/>
      <c r="CB96" s="150"/>
      <c r="CC96" s="149"/>
      <c r="CD96" s="150"/>
      <c r="CE96" s="149"/>
      <c r="CF96" s="150"/>
      <c r="CG96" s="149"/>
      <c r="CH96" s="150"/>
      <c r="CI96" s="149"/>
      <c r="CJ96" s="150"/>
      <c r="CK96" s="149"/>
      <c r="CL96" s="150"/>
      <c r="CM96" s="149"/>
      <c r="CN96" s="150"/>
      <c r="CO96" s="149"/>
      <c r="CP96" s="150"/>
      <c r="CQ96" s="149"/>
      <c r="CR96" s="150"/>
      <c r="CS96" s="149"/>
      <c r="CT96" s="150"/>
      <c r="CU96" s="149"/>
      <c r="CV96" s="150"/>
      <c r="CW96" s="149"/>
      <c r="CX96" s="150"/>
      <c r="CY96" s="149"/>
      <c r="CZ96" s="150"/>
      <c r="DA96" s="149"/>
      <c r="DB96" s="150"/>
      <c r="DC96" s="149"/>
      <c r="DD96" s="150"/>
      <c r="DE96" s="149"/>
      <c r="DF96" s="150"/>
      <c r="DG96" s="149"/>
      <c r="DH96" s="150"/>
      <c r="DI96" s="149"/>
      <c r="DJ96" s="150"/>
      <c r="DK96" s="149"/>
      <c r="DL96" s="150"/>
      <c r="DM96" s="149"/>
      <c r="DN96" s="150"/>
      <c r="DO96" s="149"/>
    </row>
    <row r="97" spans="3:119" ht="14" outlineLevel="1" x14ac:dyDescent="0.3">
      <c r="C97" s="236"/>
      <c r="D97" s="236"/>
      <c r="F97" s="236"/>
      <c r="G97" s="236"/>
      <c r="H97" s="67" t="str">
        <f t="shared" si="10"/>
        <v/>
      </c>
      <c r="I97" s="32"/>
      <c r="J97" s="32"/>
      <c r="K97" s="154"/>
      <c r="L97" s="150"/>
      <c r="M97" s="149"/>
      <c r="N97" s="150"/>
      <c r="O97" s="149"/>
      <c r="P97" s="150"/>
      <c r="Q97" s="149"/>
      <c r="R97" s="150"/>
      <c r="S97" s="149"/>
      <c r="T97" s="150"/>
      <c r="U97" s="149"/>
      <c r="V97" s="150"/>
      <c r="W97" s="149"/>
      <c r="X97" s="150"/>
      <c r="Y97" s="149"/>
      <c r="Z97" s="150"/>
      <c r="AA97" s="149"/>
      <c r="AB97" s="150"/>
      <c r="AC97" s="149"/>
      <c r="AD97" s="150"/>
      <c r="AE97" s="149"/>
      <c r="AF97" s="150"/>
      <c r="AG97" s="149"/>
      <c r="AH97" s="150"/>
      <c r="AI97" s="149"/>
      <c r="AJ97" s="150"/>
      <c r="AK97" s="149"/>
      <c r="AL97" s="150"/>
      <c r="AM97" s="149"/>
      <c r="AN97" s="150"/>
      <c r="AO97" s="149"/>
      <c r="AP97" s="150"/>
      <c r="AQ97" s="149"/>
      <c r="AR97" s="150"/>
      <c r="AS97" s="149"/>
      <c r="AT97" s="150"/>
      <c r="AU97" s="149"/>
      <c r="AV97" s="150"/>
      <c r="AW97" s="149"/>
      <c r="AX97" s="150"/>
      <c r="AY97" s="149"/>
      <c r="AZ97" s="150"/>
      <c r="BA97" s="149"/>
      <c r="BB97" s="150"/>
      <c r="BC97" s="149"/>
      <c r="BD97" s="150"/>
      <c r="BE97" s="149"/>
      <c r="BF97" s="150"/>
      <c r="BG97" s="149"/>
      <c r="BH97" s="150"/>
      <c r="BI97" s="149"/>
      <c r="BJ97" s="150"/>
      <c r="BK97" s="149"/>
      <c r="BL97" s="150"/>
      <c r="BM97" s="149"/>
      <c r="BN97" s="150"/>
      <c r="BO97" s="149"/>
      <c r="BP97" s="150"/>
      <c r="BQ97" s="149"/>
      <c r="BR97" s="150"/>
      <c r="BS97" s="149"/>
      <c r="BT97" s="150"/>
      <c r="BU97" s="149"/>
      <c r="BV97" s="150"/>
      <c r="BW97" s="149"/>
      <c r="BX97" s="150"/>
      <c r="BY97" s="149"/>
      <c r="BZ97" s="150"/>
      <c r="CA97" s="149"/>
      <c r="CB97" s="150"/>
      <c r="CC97" s="149"/>
      <c r="CD97" s="150"/>
      <c r="CE97" s="149"/>
      <c r="CF97" s="150"/>
      <c r="CG97" s="149"/>
      <c r="CH97" s="150"/>
      <c r="CI97" s="149"/>
      <c r="CJ97" s="150"/>
      <c r="CK97" s="149"/>
      <c r="CL97" s="150"/>
      <c r="CM97" s="149"/>
      <c r="CN97" s="150"/>
      <c r="CO97" s="149"/>
      <c r="CP97" s="150"/>
      <c r="CQ97" s="149"/>
      <c r="CR97" s="150"/>
      <c r="CS97" s="149"/>
      <c r="CT97" s="150"/>
      <c r="CU97" s="149"/>
      <c r="CV97" s="150"/>
      <c r="CW97" s="149"/>
      <c r="CX97" s="150"/>
      <c r="CY97" s="149"/>
      <c r="CZ97" s="150"/>
      <c r="DA97" s="149"/>
      <c r="DB97" s="150"/>
      <c r="DC97" s="149"/>
      <c r="DD97" s="150"/>
      <c r="DE97" s="149"/>
      <c r="DF97" s="150"/>
      <c r="DG97" s="149"/>
      <c r="DH97" s="150"/>
      <c r="DI97" s="149"/>
      <c r="DJ97" s="150"/>
      <c r="DK97" s="149"/>
      <c r="DL97" s="150"/>
      <c r="DM97" s="149"/>
      <c r="DN97" s="150"/>
      <c r="DO97" s="149"/>
    </row>
    <row r="98" spans="3:119" ht="14" outlineLevel="1" x14ac:dyDescent="0.3">
      <c r="C98" s="236"/>
      <c r="D98" s="236"/>
      <c r="F98" s="236"/>
      <c r="G98" s="236"/>
      <c r="H98" s="67" t="str">
        <f t="shared" si="10"/>
        <v/>
      </c>
      <c r="I98" s="32"/>
      <c r="J98" s="32"/>
      <c r="K98" s="154"/>
      <c r="L98" s="150"/>
      <c r="M98" s="149"/>
      <c r="N98" s="150"/>
      <c r="O98" s="149"/>
      <c r="P98" s="150"/>
      <c r="Q98" s="149"/>
      <c r="R98" s="150"/>
      <c r="S98" s="149"/>
      <c r="T98" s="150"/>
      <c r="U98" s="149"/>
      <c r="V98" s="150"/>
      <c r="W98" s="149"/>
      <c r="X98" s="150"/>
      <c r="Y98" s="149"/>
      <c r="Z98" s="150"/>
      <c r="AA98" s="149"/>
      <c r="AB98" s="150"/>
      <c r="AC98" s="149"/>
      <c r="AD98" s="150"/>
      <c r="AE98" s="149"/>
      <c r="AF98" s="150"/>
      <c r="AG98" s="149"/>
      <c r="AH98" s="150"/>
      <c r="AI98" s="149"/>
      <c r="AJ98" s="150"/>
      <c r="AK98" s="149"/>
      <c r="AL98" s="150"/>
      <c r="AM98" s="149"/>
      <c r="AN98" s="150"/>
      <c r="AO98" s="149"/>
      <c r="AP98" s="150"/>
      <c r="AQ98" s="149"/>
      <c r="AR98" s="150"/>
      <c r="AS98" s="149"/>
      <c r="AT98" s="150"/>
      <c r="AU98" s="149"/>
      <c r="AV98" s="150"/>
      <c r="AW98" s="149"/>
      <c r="AX98" s="150"/>
      <c r="AY98" s="149"/>
      <c r="AZ98" s="150"/>
      <c r="BA98" s="149"/>
      <c r="BB98" s="150"/>
      <c r="BC98" s="149"/>
      <c r="BD98" s="150"/>
      <c r="BE98" s="149"/>
      <c r="BF98" s="150"/>
      <c r="BG98" s="149"/>
      <c r="BH98" s="150"/>
      <c r="BI98" s="149"/>
      <c r="BJ98" s="150"/>
      <c r="BK98" s="149"/>
      <c r="BL98" s="150"/>
      <c r="BM98" s="149"/>
      <c r="BN98" s="150"/>
      <c r="BO98" s="149"/>
      <c r="BP98" s="150"/>
      <c r="BQ98" s="149"/>
      <c r="BR98" s="150"/>
      <c r="BS98" s="149"/>
      <c r="BT98" s="150"/>
      <c r="BU98" s="149"/>
      <c r="BV98" s="150"/>
      <c r="BW98" s="149"/>
      <c r="BX98" s="150"/>
      <c r="BY98" s="149"/>
      <c r="BZ98" s="150"/>
      <c r="CA98" s="149"/>
      <c r="CB98" s="150"/>
      <c r="CC98" s="149"/>
      <c r="CD98" s="150"/>
      <c r="CE98" s="149"/>
      <c r="CF98" s="150"/>
      <c r="CG98" s="149"/>
      <c r="CH98" s="150"/>
      <c r="CI98" s="149"/>
      <c r="CJ98" s="150"/>
      <c r="CK98" s="149"/>
      <c r="CL98" s="150"/>
      <c r="CM98" s="149"/>
      <c r="CN98" s="150"/>
      <c r="CO98" s="149"/>
      <c r="CP98" s="150"/>
      <c r="CQ98" s="149"/>
      <c r="CR98" s="150"/>
      <c r="CS98" s="149"/>
      <c r="CT98" s="150"/>
      <c r="CU98" s="149"/>
      <c r="CV98" s="150"/>
      <c r="CW98" s="149"/>
      <c r="CX98" s="150"/>
      <c r="CY98" s="149"/>
      <c r="CZ98" s="150"/>
      <c r="DA98" s="149"/>
      <c r="DB98" s="150"/>
      <c r="DC98" s="149"/>
      <c r="DD98" s="150"/>
      <c r="DE98" s="149"/>
      <c r="DF98" s="150"/>
      <c r="DG98" s="149"/>
      <c r="DH98" s="150"/>
      <c r="DI98" s="149"/>
      <c r="DJ98" s="150"/>
      <c r="DK98" s="149"/>
      <c r="DL98" s="150"/>
      <c r="DM98" s="149"/>
      <c r="DN98" s="150"/>
      <c r="DO98" s="149"/>
    </row>
    <row r="99" spans="3:119" ht="14" outlineLevel="1" x14ac:dyDescent="0.3">
      <c r="C99" s="236"/>
      <c r="D99" s="236"/>
      <c r="F99" s="236"/>
      <c r="G99" s="236"/>
      <c r="H99" s="67" t="str">
        <f t="shared" si="10"/>
        <v/>
      </c>
      <c r="I99" s="32"/>
      <c r="J99" s="32"/>
      <c r="K99" s="154"/>
      <c r="L99" s="150"/>
      <c r="M99" s="149"/>
      <c r="N99" s="150"/>
      <c r="O99" s="149"/>
      <c r="P99" s="150"/>
      <c r="Q99" s="149"/>
      <c r="R99" s="150"/>
      <c r="S99" s="149"/>
      <c r="T99" s="150"/>
      <c r="U99" s="149"/>
      <c r="V99" s="150"/>
      <c r="W99" s="149"/>
      <c r="X99" s="150"/>
      <c r="Y99" s="149"/>
      <c r="Z99" s="150"/>
      <c r="AA99" s="149"/>
      <c r="AB99" s="150"/>
      <c r="AC99" s="149"/>
      <c r="AD99" s="150"/>
      <c r="AE99" s="149"/>
      <c r="AF99" s="150"/>
      <c r="AG99" s="149"/>
      <c r="AH99" s="150"/>
      <c r="AI99" s="149"/>
      <c r="AJ99" s="150"/>
      <c r="AK99" s="149"/>
      <c r="AL99" s="150"/>
      <c r="AM99" s="149"/>
      <c r="AN99" s="150"/>
      <c r="AO99" s="149"/>
      <c r="AP99" s="150"/>
      <c r="AQ99" s="149"/>
      <c r="AR99" s="150"/>
      <c r="AS99" s="149"/>
      <c r="AT99" s="150"/>
      <c r="AU99" s="149"/>
      <c r="AV99" s="150"/>
      <c r="AW99" s="149"/>
      <c r="AX99" s="150"/>
      <c r="AY99" s="149"/>
      <c r="AZ99" s="150"/>
      <c r="BA99" s="149"/>
      <c r="BB99" s="150"/>
      <c r="BC99" s="149"/>
      <c r="BD99" s="150"/>
      <c r="BE99" s="149"/>
      <c r="BF99" s="150"/>
      <c r="BG99" s="149"/>
      <c r="BH99" s="150"/>
      <c r="BI99" s="149"/>
      <c r="BJ99" s="150"/>
      <c r="BK99" s="149"/>
      <c r="BL99" s="150"/>
      <c r="BM99" s="149"/>
      <c r="BN99" s="150"/>
      <c r="BO99" s="149"/>
      <c r="BP99" s="150"/>
      <c r="BQ99" s="149"/>
      <c r="BR99" s="150"/>
      <c r="BS99" s="149"/>
      <c r="BT99" s="150"/>
      <c r="BU99" s="149"/>
      <c r="BV99" s="150"/>
      <c r="BW99" s="149"/>
      <c r="BX99" s="150"/>
      <c r="BY99" s="149"/>
      <c r="BZ99" s="150"/>
      <c r="CA99" s="149"/>
      <c r="CB99" s="150"/>
      <c r="CC99" s="149"/>
      <c r="CD99" s="150"/>
      <c r="CE99" s="149"/>
      <c r="CF99" s="150"/>
      <c r="CG99" s="149"/>
      <c r="CH99" s="150"/>
      <c r="CI99" s="149"/>
      <c r="CJ99" s="150"/>
      <c r="CK99" s="149"/>
      <c r="CL99" s="150"/>
      <c r="CM99" s="149"/>
      <c r="CN99" s="150"/>
      <c r="CO99" s="149"/>
      <c r="CP99" s="150"/>
      <c r="CQ99" s="149"/>
      <c r="CR99" s="150"/>
      <c r="CS99" s="149"/>
      <c r="CT99" s="150"/>
      <c r="CU99" s="149"/>
      <c r="CV99" s="150"/>
      <c r="CW99" s="149"/>
      <c r="CX99" s="150"/>
      <c r="CY99" s="149"/>
      <c r="CZ99" s="150"/>
      <c r="DA99" s="149"/>
      <c r="DB99" s="150"/>
      <c r="DC99" s="149"/>
      <c r="DD99" s="150"/>
      <c r="DE99" s="149"/>
      <c r="DF99" s="150"/>
      <c r="DG99" s="149"/>
      <c r="DH99" s="150"/>
      <c r="DI99" s="149"/>
      <c r="DJ99" s="150"/>
      <c r="DK99" s="149"/>
      <c r="DL99" s="150"/>
      <c r="DM99" s="149"/>
      <c r="DN99" s="150"/>
      <c r="DO99" s="149"/>
    </row>
    <row r="100" spans="3:119" ht="14" outlineLevel="1" x14ac:dyDescent="0.3">
      <c r="C100" s="236"/>
      <c r="D100" s="236"/>
      <c r="F100" s="236"/>
      <c r="G100" s="236"/>
      <c r="H100" s="67" t="str">
        <f t="shared" si="10"/>
        <v/>
      </c>
      <c r="I100" s="32"/>
      <c r="J100" s="32"/>
      <c r="K100" s="154"/>
      <c r="L100" s="150"/>
      <c r="M100" s="149"/>
      <c r="N100" s="150"/>
      <c r="O100" s="149"/>
      <c r="P100" s="150"/>
      <c r="Q100" s="149"/>
      <c r="R100" s="150"/>
      <c r="S100" s="149"/>
      <c r="T100" s="150"/>
      <c r="U100" s="149"/>
      <c r="V100" s="150"/>
      <c r="W100" s="149"/>
      <c r="X100" s="150"/>
      <c r="Y100" s="149"/>
      <c r="Z100" s="150"/>
      <c r="AA100" s="149"/>
      <c r="AB100" s="150"/>
      <c r="AC100" s="149"/>
      <c r="AD100" s="150"/>
      <c r="AE100" s="149"/>
      <c r="AF100" s="150"/>
      <c r="AG100" s="149"/>
      <c r="AH100" s="150"/>
      <c r="AI100" s="149"/>
      <c r="AJ100" s="150"/>
      <c r="AK100" s="149"/>
      <c r="AL100" s="150"/>
      <c r="AM100" s="149"/>
      <c r="AN100" s="150"/>
      <c r="AO100" s="149"/>
      <c r="AP100" s="150"/>
      <c r="AQ100" s="149"/>
      <c r="AR100" s="150"/>
      <c r="AS100" s="149"/>
      <c r="AT100" s="150"/>
      <c r="AU100" s="149"/>
      <c r="AV100" s="150"/>
      <c r="AW100" s="149"/>
      <c r="AX100" s="150"/>
      <c r="AY100" s="149"/>
      <c r="AZ100" s="150"/>
      <c r="BA100" s="149"/>
      <c r="BB100" s="150"/>
      <c r="BC100" s="149"/>
      <c r="BD100" s="150"/>
      <c r="BE100" s="149"/>
      <c r="BF100" s="150"/>
      <c r="BG100" s="149"/>
      <c r="BH100" s="150"/>
      <c r="BI100" s="149"/>
      <c r="BJ100" s="150"/>
      <c r="BK100" s="149"/>
      <c r="BL100" s="150"/>
      <c r="BM100" s="149"/>
      <c r="BN100" s="150"/>
      <c r="BO100" s="149"/>
      <c r="BP100" s="150"/>
      <c r="BQ100" s="149"/>
      <c r="BR100" s="150"/>
      <c r="BS100" s="149"/>
      <c r="BT100" s="150"/>
      <c r="BU100" s="149"/>
      <c r="BV100" s="150"/>
      <c r="BW100" s="149"/>
      <c r="BX100" s="150"/>
      <c r="BY100" s="149"/>
      <c r="BZ100" s="150"/>
      <c r="CA100" s="149"/>
      <c r="CB100" s="150"/>
      <c r="CC100" s="149"/>
      <c r="CD100" s="150"/>
      <c r="CE100" s="149"/>
      <c r="CF100" s="150"/>
      <c r="CG100" s="149"/>
      <c r="CH100" s="150"/>
      <c r="CI100" s="149"/>
      <c r="CJ100" s="150"/>
      <c r="CK100" s="149"/>
      <c r="CL100" s="150"/>
      <c r="CM100" s="149"/>
      <c r="CN100" s="150"/>
      <c r="CO100" s="149"/>
      <c r="CP100" s="150"/>
      <c r="CQ100" s="149"/>
      <c r="CR100" s="150"/>
      <c r="CS100" s="149"/>
      <c r="CT100" s="150"/>
      <c r="CU100" s="149"/>
      <c r="CV100" s="150"/>
      <c r="CW100" s="149"/>
      <c r="CX100" s="150"/>
      <c r="CY100" s="149"/>
      <c r="CZ100" s="150"/>
      <c r="DA100" s="149"/>
      <c r="DB100" s="150"/>
      <c r="DC100" s="149"/>
      <c r="DD100" s="150"/>
      <c r="DE100" s="149"/>
      <c r="DF100" s="150"/>
      <c r="DG100" s="149"/>
      <c r="DH100" s="150"/>
      <c r="DI100" s="149"/>
      <c r="DJ100" s="150"/>
      <c r="DK100" s="149"/>
      <c r="DL100" s="150"/>
      <c r="DM100" s="149"/>
      <c r="DN100" s="150"/>
      <c r="DO100" s="149"/>
    </row>
    <row r="101" spans="3:119" ht="14" outlineLevel="1" x14ac:dyDescent="0.3">
      <c r="C101" s="236"/>
      <c r="D101" s="236"/>
      <c r="F101" s="236"/>
      <c r="G101" s="236"/>
      <c r="H101" s="67" t="str">
        <f t="shared" si="10"/>
        <v/>
      </c>
      <c r="I101" s="32"/>
      <c r="J101" s="32"/>
      <c r="K101" s="154"/>
      <c r="L101" s="150"/>
      <c r="M101" s="149"/>
      <c r="N101" s="150"/>
      <c r="O101" s="149"/>
      <c r="P101" s="150"/>
      <c r="Q101" s="149"/>
      <c r="R101" s="150"/>
      <c r="S101" s="149"/>
      <c r="T101" s="150"/>
      <c r="U101" s="149"/>
      <c r="V101" s="150"/>
      <c r="W101" s="149"/>
      <c r="X101" s="150"/>
      <c r="Y101" s="149"/>
      <c r="Z101" s="150"/>
      <c r="AA101" s="149"/>
      <c r="AB101" s="150"/>
      <c r="AC101" s="149"/>
      <c r="AD101" s="150"/>
      <c r="AE101" s="149"/>
      <c r="AF101" s="150"/>
      <c r="AG101" s="149"/>
      <c r="AH101" s="150"/>
      <c r="AI101" s="149"/>
      <c r="AJ101" s="150"/>
      <c r="AK101" s="149"/>
      <c r="AL101" s="150"/>
      <c r="AM101" s="149"/>
      <c r="AN101" s="150"/>
      <c r="AO101" s="149"/>
      <c r="AP101" s="150"/>
      <c r="AQ101" s="149"/>
      <c r="AR101" s="150"/>
      <c r="AS101" s="149"/>
      <c r="AT101" s="150"/>
      <c r="AU101" s="149"/>
      <c r="AV101" s="150"/>
      <c r="AW101" s="149"/>
      <c r="AX101" s="150"/>
      <c r="AY101" s="149"/>
      <c r="AZ101" s="150"/>
      <c r="BA101" s="149"/>
      <c r="BB101" s="150"/>
      <c r="BC101" s="149"/>
      <c r="BD101" s="150"/>
      <c r="BE101" s="149"/>
      <c r="BF101" s="150"/>
      <c r="BG101" s="149"/>
      <c r="BH101" s="150"/>
      <c r="BI101" s="149"/>
      <c r="BJ101" s="150"/>
      <c r="BK101" s="149"/>
      <c r="BL101" s="150"/>
      <c r="BM101" s="149"/>
      <c r="BN101" s="150"/>
      <c r="BO101" s="149"/>
      <c r="BP101" s="150"/>
      <c r="BQ101" s="149"/>
      <c r="BR101" s="150"/>
      <c r="BS101" s="149"/>
      <c r="BT101" s="150"/>
      <c r="BU101" s="149"/>
      <c r="BV101" s="150"/>
      <c r="BW101" s="149"/>
      <c r="BX101" s="150"/>
      <c r="BY101" s="149"/>
      <c r="BZ101" s="150"/>
      <c r="CA101" s="149"/>
      <c r="CB101" s="150"/>
      <c r="CC101" s="149"/>
      <c r="CD101" s="150"/>
      <c r="CE101" s="149"/>
      <c r="CF101" s="150"/>
      <c r="CG101" s="149"/>
      <c r="CH101" s="150"/>
      <c r="CI101" s="149"/>
      <c r="CJ101" s="150"/>
      <c r="CK101" s="149"/>
      <c r="CL101" s="150"/>
      <c r="CM101" s="149"/>
      <c r="CN101" s="150"/>
      <c r="CO101" s="149"/>
      <c r="CP101" s="150"/>
      <c r="CQ101" s="149"/>
      <c r="CR101" s="150"/>
      <c r="CS101" s="149"/>
      <c r="CT101" s="150"/>
      <c r="CU101" s="149"/>
      <c r="CV101" s="150"/>
      <c r="CW101" s="149"/>
      <c r="CX101" s="150"/>
      <c r="CY101" s="149"/>
      <c r="CZ101" s="150"/>
      <c r="DA101" s="149"/>
      <c r="DB101" s="150"/>
      <c r="DC101" s="149"/>
      <c r="DD101" s="150"/>
      <c r="DE101" s="149"/>
      <c r="DF101" s="150"/>
      <c r="DG101" s="149"/>
      <c r="DH101" s="150"/>
      <c r="DI101" s="149"/>
      <c r="DJ101" s="150"/>
      <c r="DK101" s="149"/>
      <c r="DL101" s="150"/>
      <c r="DM101" s="149"/>
      <c r="DN101" s="150"/>
      <c r="DO101" s="149"/>
    </row>
    <row r="102" spans="3:119" ht="14" outlineLevel="1" x14ac:dyDescent="0.3">
      <c r="C102" s="236"/>
      <c r="D102" s="236"/>
      <c r="F102" s="236"/>
      <c r="G102" s="236"/>
      <c r="H102" s="67" t="str">
        <f t="shared" si="10"/>
        <v/>
      </c>
      <c r="I102" s="32"/>
      <c r="J102" s="32"/>
      <c r="K102" s="154"/>
      <c r="L102" s="150"/>
      <c r="M102" s="149"/>
      <c r="N102" s="150"/>
      <c r="O102" s="149"/>
      <c r="P102" s="150"/>
      <c r="Q102" s="149"/>
      <c r="R102" s="150"/>
      <c r="S102" s="149"/>
      <c r="T102" s="150"/>
      <c r="U102" s="149"/>
      <c r="V102" s="150"/>
      <c r="W102" s="149"/>
      <c r="X102" s="150"/>
      <c r="Y102" s="149"/>
      <c r="Z102" s="150"/>
      <c r="AA102" s="149"/>
      <c r="AB102" s="150"/>
      <c r="AC102" s="149"/>
      <c r="AD102" s="150"/>
      <c r="AE102" s="149"/>
      <c r="AF102" s="150"/>
      <c r="AG102" s="149"/>
      <c r="AH102" s="150"/>
      <c r="AI102" s="149"/>
      <c r="AJ102" s="150"/>
      <c r="AK102" s="149"/>
      <c r="AL102" s="150"/>
      <c r="AM102" s="149"/>
      <c r="AN102" s="150"/>
      <c r="AO102" s="149"/>
      <c r="AP102" s="150"/>
      <c r="AQ102" s="149"/>
      <c r="AR102" s="150"/>
      <c r="AS102" s="149"/>
      <c r="AT102" s="150"/>
      <c r="AU102" s="149"/>
      <c r="AV102" s="150"/>
      <c r="AW102" s="149"/>
      <c r="AX102" s="150"/>
      <c r="AY102" s="149"/>
      <c r="AZ102" s="150"/>
      <c r="BA102" s="149"/>
      <c r="BB102" s="150"/>
      <c r="BC102" s="149"/>
      <c r="BD102" s="150"/>
      <c r="BE102" s="149"/>
      <c r="BF102" s="150"/>
      <c r="BG102" s="149"/>
      <c r="BH102" s="150"/>
      <c r="BI102" s="149"/>
      <c r="BJ102" s="150"/>
      <c r="BK102" s="149"/>
      <c r="BL102" s="150"/>
      <c r="BM102" s="149"/>
      <c r="BN102" s="150"/>
      <c r="BO102" s="149"/>
      <c r="BP102" s="150"/>
      <c r="BQ102" s="149"/>
      <c r="BR102" s="150"/>
      <c r="BS102" s="149"/>
      <c r="BT102" s="150"/>
      <c r="BU102" s="149"/>
      <c r="BV102" s="150"/>
      <c r="BW102" s="149"/>
      <c r="BX102" s="150"/>
      <c r="BY102" s="149"/>
      <c r="BZ102" s="150"/>
      <c r="CA102" s="149"/>
      <c r="CB102" s="150"/>
      <c r="CC102" s="149"/>
      <c r="CD102" s="150"/>
      <c r="CE102" s="149"/>
      <c r="CF102" s="150"/>
      <c r="CG102" s="149"/>
      <c r="CH102" s="150"/>
      <c r="CI102" s="149"/>
      <c r="CJ102" s="150"/>
      <c r="CK102" s="149"/>
      <c r="CL102" s="150"/>
      <c r="CM102" s="149"/>
      <c r="CN102" s="150"/>
      <c r="CO102" s="149"/>
      <c r="CP102" s="150"/>
      <c r="CQ102" s="149"/>
      <c r="CR102" s="150"/>
      <c r="CS102" s="149"/>
      <c r="CT102" s="150"/>
      <c r="CU102" s="149"/>
      <c r="CV102" s="150"/>
      <c r="CW102" s="149"/>
      <c r="CX102" s="150"/>
      <c r="CY102" s="149"/>
      <c r="CZ102" s="150"/>
      <c r="DA102" s="149"/>
      <c r="DB102" s="150"/>
      <c r="DC102" s="149"/>
      <c r="DD102" s="150"/>
      <c r="DE102" s="149"/>
      <c r="DF102" s="150"/>
      <c r="DG102" s="149"/>
      <c r="DH102" s="150"/>
      <c r="DI102" s="149"/>
      <c r="DJ102" s="150"/>
      <c r="DK102" s="149"/>
      <c r="DL102" s="150"/>
      <c r="DM102" s="149"/>
      <c r="DN102" s="150"/>
      <c r="DO102" s="149"/>
    </row>
    <row r="103" spans="3:119" ht="14" outlineLevel="1" x14ac:dyDescent="0.3">
      <c r="C103" s="236"/>
      <c r="D103" s="236"/>
      <c r="F103" s="236"/>
      <c r="G103" s="236"/>
      <c r="H103" s="67" t="str">
        <f t="shared" si="10"/>
        <v/>
      </c>
      <c r="I103" s="32"/>
      <c r="J103" s="32"/>
      <c r="K103" s="154"/>
      <c r="L103" s="150"/>
      <c r="M103" s="149"/>
      <c r="N103" s="150"/>
      <c r="O103" s="149"/>
      <c r="P103" s="150"/>
      <c r="Q103" s="149"/>
      <c r="R103" s="150"/>
      <c r="S103" s="149"/>
      <c r="T103" s="150"/>
      <c r="U103" s="149"/>
      <c r="V103" s="150"/>
      <c r="W103" s="149"/>
      <c r="X103" s="150"/>
      <c r="Y103" s="149"/>
      <c r="Z103" s="150"/>
      <c r="AA103" s="149"/>
      <c r="AB103" s="150"/>
      <c r="AC103" s="149"/>
      <c r="AD103" s="150"/>
      <c r="AE103" s="149"/>
      <c r="AF103" s="150"/>
      <c r="AG103" s="149"/>
      <c r="AH103" s="150"/>
      <c r="AI103" s="149"/>
      <c r="AJ103" s="150"/>
      <c r="AK103" s="149"/>
      <c r="AL103" s="150"/>
      <c r="AM103" s="149"/>
      <c r="AN103" s="150"/>
      <c r="AO103" s="149"/>
      <c r="AP103" s="150"/>
      <c r="AQ103" s="149"/>
      <c r="AR103" s="150"/>
      <c r="AS103" s="149"/>
      <c r="AT103" s="150"/>
      <c r="AU103" s="149"/>
      <c r="AV103" s="150"/>
      <c r="AW103" s="149"/>
      <c r="AX103" s="150"/>
      <c r="AY103" s="149"/>
      <c r="AZ103" s="150"/>
      <c r="BA103" s="149"/>
      <c r="BB103" s="150"/>
      <c r="BC103" s="149"/>
      <c r="BD103" s="150"/>
      <c r="BE103" s="149"/>
      <c r="BF103" s="150"/>
      <c r="BG103" s="149"/>
      <c r="BH103" s="150"/>
      <c r="BI103" s="149"/>
      <c r="BJ103" s="150"/>
      <c r="BK103" s="149"/>
      <c r="BL103" s="150"/>
      <c r="BM103" s="149"/>
      <c r="BN103" s="150"/>
      <c r="BO103" s="149"/>
      <c r="BP103" s="150"/>
      <c r="BQ103" s="149"/>
      <c r="BR103" s="150"/>
      <c r="BS103" s="149"/>
      <c r="BT103" s="150"/>
      <c r="BU103" s="149"/>
      <c r="BV103" s="150"/>
      <c r="BW103" s="149"/>
      <c r="BX103" s="150"/>
      <c r="BY103" s="149"/>
      <c r="BZ103" s="150"/>
      <c r="CA103" s="149"/>
      <c r="CB103" s="150"/>
      <c r="CC103" s="149"/>
      <c r="CD103" s="150"/>
      <c r="CE103" s="149"/>
      <c r="CF103" s="150"/>
      <c r="CG103" s="149"/>
      <c r="CH103" s="150"/>
      <c r="CI103" s="149"/>
      <c r="CJ103" s="150"/>
      <c r="CK103" s="149"/>
      <c r="CL103" s="150"/>
      <c r="CM103" s="149"/>
      <c r="CN103" s="150"/>
      <c r="CO103" s="149"/>
      <c r="CP103" s="150"/>
      <c r="CQ103" s="149"/>
      <c r="CR103" s="150"/>
      <c r="CS103" s="149"/>
      <c r="CT103" s="150"/>
      <c r="CU103" s="149"/>
      <c r="CV103" s="150"/>
      <c r="CW103" s="149"/>
      <c r="CX103" s="150"/>
      <c r="CY103" s="149"/>
      <c r="CZ103" s="150"/>
      <c r="DA103" s="149"/>
      <c r="DB103" s="150"/>
      <c r="DC103" s="149"/>
      <c r="DD103" s="150"/>
      <c r="DE103" s="149"/>
      <c r="DF103" s="150"/>
      <c r="DG103" s="149"/>
      <c r="DH103" s="150"/>
      <c r="DI103" s="149"/>
      <c r="DJ103" s="150"/>
      <c r="DK103" s="149"/>
      <c r="DL103" s="150"/>
      <c r="DM103" s="149"/>
      <c r="DN103" s="150"/>
      <c r="DO103" s="149"/>
    </row>
    <row r="104" spans="3:119" ht="14" outlineLevel="1" x14ac:dyDescent="0.3">
      <c r="C104" s="236"/>
      <c r="D104" s="236"/>
      <c r="F104" s="236"/>
      <c r="G104" s="236"/>
      <c r="H104" s="67" t="str">
        <f t="shared" si="10"/>
        <v/>
      </c>
      <c r="I104" s="32"/>
      <c r="J104" s="32"/>
      <c r="K104" s="154"/>
      <c r="L104" s="150"/>
      <c r="M104" s="149"/>
      <c r="N104" s="150"/>
      <c r="O104" s="149"/>
      <c r="P104" s="150"/>
      <c r="Q104" s="149"/>
      <c r="R104" s="150"/>
      <c r="S104" s="149"/>
      <c r="T104" s="150"/>
      <c r="U104" s="149"/>
      <c r="V104" s="150"/>
      <c r="W104" s="149"/>
      <c r="X104" s="150"/>
      <c r="Y104" s="149"/>
      <c r="Z104" s="150"/>
      <c r="AA104" s="149"/>
      <c r="AB104" s="150"/>
      <c r="AC104" s="149"/>
      <c r="AD104" s="150"/>
      <c r="AE104" s="149"/>
      <c r="AF104" s="150"/>
      <c r="AG104" s="149"/>
      <c r="AH104" s="150"/>
      <c r="AI104" s="149"/>
      <c r="AJ104" s="150"/>
      <c r="AK104" s="149"/>
      <c r="AL104" s="150"/>
      <c r="AM104" s="149"/>
      <c r="AN104" s="150"/>
      <c r="AO104" s="149"/>
      <c r="AP104" s="150"/>
      <c r="AQ104" s="149"/>
      <c r="AR104" s="150"/>
      <c r="AS104" s="149"/>
      <c r="AT104" s="150"/>
      <c r="AU104" s="149"/>
      <c r="AV104" s="150"/>
      <c r="AW104" s="149"/>
      <c r="AX104" s="150"/>
      <c r="AY104" s="149"/>
      <c r="AZ104" s="150"/>
      <c r="BA104" s="149"/>
      <c r="BB104" s="150"/>
      <c r="BC104" s="149"/>
      <c r="BD104" s="150"/>
      <c r="BE104" s="149"/>
      <c r="BF104" s="150"/>
      <c r="BG104" s="149"/>
      <c r="BH104" s="150"/>
      <c r="BI104" s="149"/>
      <c r="BJ104" s="150"/>
      <c r="BK104" s="149"/>
      <c r="BL104" s="150"/>
      <c r="BM104" s="149"/>
      <c r="BN104" s="150"/>
      <c r="BO104" s="149"/>
      <c r="BP104" s="150"/>
      <c r="BQ104" s="149"/>
      <c r="BR104" s="150"/>
      <c r="BS104" s="149"/>
      <c r="BT104" s="150"/>
      <c r="BU104" s="149"/>
      <c r="BV104" s="150"/>
      <c r="BW104" s="149"/>
      <c r="BX104" s="150"/>
      <c r="BY104" s="149"/>
      <c r="BZ104" s="150"/>
      <c r="CA104" s="149"/>
      <c r="CB104" s="150"/>
      <c r="CC104" s="149"/>
      <c r="CD104" s="150"/>
      <c r="CE104" s="149"/>
      <c r="CF104" s="150"/>
      <c r="CG104" s="149"/>
      <c r="CH104" s="150"/>
      <c r="CI104" s="149"/>
      <c r="CJ104" s="150"/>
      <c r="CK104" s="149"/>
      <c r="CL104" s="150"/>
      <c r="CM104" s="149"/>
      <c r="CN104" s="150"/>
      <c r="CO104" s="149"/>
      <c r="CP104" s="150"/>
      <c r="CQ104" s="149"/>
      <c r="CR104" s="150"/>
      <c r="CS104" s="149"/>
      <c r="CT104" s="150"/>
      <c r="CU104" s="149"/>
      <c r="CV104" s="150"/>
      <c r="CW104" s="149"/>
      <c r="CX104" s="150"/>
      <c r="CY104" s="149"/>
      <c r="CZ104" s="150"/>
      <c r="DA104" s="149"/>
      <c r="DB104" s="150"/>
      <c r="DC104" s="149"/>
      <c r="DD104" s="150"/>
      <c r="DE104" s="149"/>
      <c r="DF104" s="150"/>
      <c r="DG104" s="149"/>
      <c r="DH104" s="150"/>
      <c r="DI104" s="149"/>
      <c r="DJ104" s="150"/>
      <c r="DK104" s="149"/>
      <c r="DL104" s="150"/>
      <c r="DM104" s="149"/>
      <c r="DN104" s="150"/>
      <c r="DO104" s="149"/>
    </row>
    <row r="105" spans="3:119" ht="14" outlineLevel="1" x14ac:dyDescent="0.3">
      <c r="C105" s="236"/>
      <c r="D105" s="236"/>
      <c r="F105" s="236"/>
      <c r="G105" s="236"/>
      <c r="H105" s="67" t="str">
        <f t="shared" si="10"/>
        <v/>
      </c>
      <c r="I105" s="32"/>
      <c r="J105" s="32"/>
      <c r="K105" s="154"/>
      <c r="L105" s="150"/>
      <c r="M105" s="149"/>
      <c r="N105" s="150"/>
      <c r="O105" s="149"/>
      <c r="P105" s="150"/>
      <c r="Q105" s="149"/>
      <c r="R105" s="150"/>
      <c r="S105" s="149"/>
      <c r="T105" s="150"/>
      <c r="U105" s="149"/>
      <c r="V105" s="150"/>
      <c r="W105" s="149"/>
      <c r="X105" s="150"/>
      <c r="Y105" s="149"/>
      <c r="Z105" s="150"/>
      <c r="AA105" s="149"/>
      <c r="AB105" s="150"/>
      <c r="AC105" s="149"/>
      <c r="AD105" s="150"/>
      <c r="AE105" s="149"/>
      <c r="AF105" s="150"/>
      <c r="AG105" s="149"/>
      <c r="AH105" s="150"/>
      <c r="AI105" s="149"/>
      <c r="AJ105" s="150"/>
      <c r="AK105" s="149"/>
      <c r="AL105" s="150"/>
      <c r="AM105" s="149"/>
      <c r="AN105" s="150"/>
      <c r="AO105" s="149"/>
      <c r="AP105" s="150"/>
      <c r="AQ105" s="149"/>
      <c r="AR105" s="150"/>
      <c r="AS105" s="149"/>
      <c r="AT105" s="150"/>
      <c r="AU105" s="149"/>
      <c r="AV105" s="150"/>
      <c r="AW105" s="149"/>
      <c r="AX105" s="150"/>
      <c r="AY105" s="149"/>
      <c r="AZ105" s="150"/>
      <c r="BA105" s="149"/>
      <c r="BB105" s="150"/>
      <c r="BC105" s="149"/>
      <c r="BD105" s="150"/>
      <c r="BE105" s="149"/>
      <c r="BF105" s="150"/>
      <c r="BG105" s="149"/>
      <c r="BH105" s="150"/>
      <c r="BI105" s="149"/>
      <c r="BJ105" s="150"/>
      <c r="BK105" s="149"/>
      <c r="BL105" s="150"/>
      <c r="BM105" s="149"/>
      <c r="BN105" s="150"/>
      <c r="BO105" s="149"/>
      <c r="BP105" s="150"/>
      <c r="BQ105" s="149"/>
      <c r="BR105" s="150"/>
      <c r="BS105" s="149"/>
      <c r="BT105" s="150"/>
      <c r="BU105" s="149"/>
      <c r="BV105" s="150"/>
      <c r="BW105" s="149"/>
      <c r="BX105" s="150"/>
      <c r="BY105" s="149"/>
      <c r="BZ105" s="150"/>
      <c r="CA105" s="149"/>
      <c r="CB105" s="150"/>
      <c r="CC105" s="149"/>
      <c r="CD105" s="150"/>
      <c r="CE105" s="149"/>
      <c r="CF105" s="150"/>
      <c r="CG105" s="149"/>
      <c r="CH105" s="150"/>
      <c r="CI105" s="149"/>
      <c r="CJ105" s="150"/>
      <c r="CK105" s="149"/>
      <c r="CL105" s="150"/>
      <c r="CM105" s="149"/>
      <c r="CN105" s="150"/>
      <c r="CO105" s="149"/>
      <c r="CP105" s="150"/>
      <c r="CQ105" s="149"/>
      <c r="CR105" s="150"/>
      <c r="CS105" s="149"/>
      <c r="CT105" s="150"/>
      <c r="CU105" s="149"/>
      <c r="CV105" s="150"/>
      <c r="CW105" s="149"/>
      <c r="CX105" s="150"/>
      <c r="CY105" s="149"/>
      <c r="CZ105" s="150"/>
      <c r="DA105" s="149"/>
      <c r="DB105" s="150"/>
      <c r="DC105" s="149"/>
      <c r="DD105" s="150"/>
      <c r="DE105" s="149"/>
      <c r="DF105" s="150"/>
      <c r="DG105" s="149"/>
      <c r="DH105" s="150"/>
      <c r="DI105" s="149"/>
      <c r="DJ105" s="150"/>
      <c r="DK105" s="149"/>
      <c r="DL105" s="150"/>
      <c r="DM105" s="149"/>
      <c r="DN105" s="150"/>
      <c r="DO105" s="149"/>
    </row>
    <row r="106" spans="3:119" ht="14" outlineLevel="1" x14ac:dyDescent="0.3">
      <c r="C106" s="236"/>
      <c r="D106" s="236"/>
      <c r="F106" s="236"/>
      <c r="G106" s="236"/>
      <c r="H106" s="67" t="str">
        <f t="shared" si="10"/>
        <v/>
      </c>
      <c r="I106" s="32"/>
      <c r="J106" s="32"/>
      <c r="K106" s="154"/>
      <c r="L106" s="150"/>
      <c r="M106" s="149"/>
      <c r="N106" s="150"/>
      <c r="O106" s="149"/>
      <c r="P106" s="150"/>
      <c r="Q106" s="149"/>
      <c r="R106" s="150"/>
      <c r="S106" s="149"/>
      <c r="T106" s="150"/>
      <c r="U106" s="149"/>
      <c r="V106" s="150"/>
      <c r="W106" s="149"/>
      <c r="X106" s="150"/>
      <c r="Y106" s="149"/>
      <c r="Z106" s="150"/>
      <c r="AA106" s="149"/>
      <c r="AB106" s="150"/>
      <c r="AC106" s="149"/>
      <c r="AD106" s="150"/>
      <c r="AE106" s="149"/>
      <c r="AF106" s="150"/>
      <c r="AG106" s="149"/>
      <c r="AH106" s="150"/>
      <c r="AI106" s="149"/>
      <c r="AJ106" s="150"/>
      <c r="AK106" s="149"/>
      <c r="AL106" s="150"/>
      <c r="AM106" s="149"/>
      <c r="AN106" s="150"/>
      <c r="AO106" s="149"/>
      <c r="AP106" s="150"/>
      <c r="AQ106" s="149"/>
      <c r="AR106" s="150"/>
      <c r="AS106" s="149"/>
      <c r="AT106" s="150"/>
      <c r="AU106" s="149"/>
      <c r="AV106" s="150"/>
      <c r="AW106" s="149"/>
      <c r="AX106" s="150"/>
      <c r="AY106" s="149"/>
      <c r="AZ106" s="150"/>
      <c r="BA106" s="149"/>
      <c r="BB106" s="150"/>
      <c r="BC106" s="149"/>
      <c r="BD106" s="150"/>
      <c r="BE106" s="149"/>
      <c r="BF106" s="150"/>
      <c r="BG106" s="149"/>
      <c r="BH106" s="150"/>
      <c r="BI106" s="149"/>
      <c r="BJ106" s="150"/>
      <c r="BK106" s="149"/>
      <c r="BL106" s="150"/>
      <c r="BM106" s="149"/>
      <c r="BN106" s="150"/>
      <c r="BO106" s="149"/>
      <c r="BP106" s="150"/>
      <c r="BQ106" s="149"/>
      <c r="BR106" s="150"/>
      <c r="BS106" s="149"/>
      <c r="BT106" s="150"/>
      <c r="BU106" s="149"/>
      <c r="BV106" s="150"/>
      <c r="BW106" s="149"/>
      <c r="BX106" s="150"/>
      <c r="BY106" s="149"/>
      <c r="BZ106" s="150"/>
      <c r="CA106" s="149"/>
      <c r="CB106" s="150"/>
      <c r="CC106" s="149"/>
      <c r="CD106" s="150"/>
      <c r="CE106" s="149"/>
      <c r="CF106" s="150"/>
      <c r="CG106" s="149"/>
      <c r="CH106" s="150"/>
      <c r="CI106" s="149"/>
      <c r="CJ106" s="150"/>
      <c r="CK106" s="149"/>
      <c r="CL106" s="150"/>
      <c r="CM106" s="149"/>
      <c r="CN106" s="150"/>
      <c r="CO106" s="149"/>
      <c r="CP106" s="150"/>
      <c r="CQ106" s="149"/>
      <c r="CR106" s="150"/>
      <c r="CS106" s="149"/>
      <c r="CT106" s="150"/>
      <c r="CU106" s="149"/>
      <c r="CV106" s="150"/>
      <c r="CW106" s="149"/>
      <c r="CX106" s="150"/>
      <c r="CY106" s="149"/>
      <c r="CZ106" s="150"/>
      <c r="DA106" s="149"/>
      <c r="DB106" s="150"/>
      <c r="DC106" s="149"/>
      <c r="DD106" s="150"/>
      <c r="DE106" s="149"/>
      <c r="DF106" s="150"/>
      <c r="DG106" s="149"/>
      <c r="DH106" s="150"/>
      <c r="DI106" s="149"/>
      <c r="DJ106" s="150"/>
      <c r="DK106" s="149"/>
      <c r="DL106" s="150"/>
      <c r="DM106" s="149"/>
      <c r="DN106" s="150"/>
      <c r="DO106" s="149"/>
    </row>
    <row r="107" spans="3:119" ht="14" outlineLevel="1" x14ac:dyDescent="0.3">
      <c r="C107" s="236"/>
      <c r="D107" s="236"/>
      <c r="F107" s="236"/>
      <c r="G107" s="236"/>
      <c r="H107" s="67" t="str">
        <f t="shared" si="10"/>
        <v/>
      </c>
      <c r="I107" s="32"/>
      <c r="J107" s="32"/>
      <c r="K107" s="154"/>
      <c r="L107" s="150"/>
      <c r="M107" s="149"/>
      <c r="N107" s="150"/>
      <c r="O107" s="149"/>
      <c r="P107" s="150"/>
      <c r="Q107" s="149"/>
      <c r="R107" s="150"/>
      <c r="S107" s="149"/>
      <c r="T107" s="150"/>
      <c r="U107" s="149"/>
      <c r="V107" s="150"/>
      <c r="W107" s="149"/>
      <c r="X107" s="150"/>
      <c r="Y107" s="149"/>
      <c r="Z107" s="150"/>
      <c r="AA107" s="149"/>
      <c r="AB107" s="150"/>
      <c r="AC107" s="149"/>
      <c r="AD107" s="150"/>
      <c r="AE107" s="149"/>
      <c r="AF107" s="150"/>
      <c r="AG107" s="149"/>
      <c r="AH107" s="150"/>
      <c r="AI107" s="149"/>
      <c r="AJ107" s="150"/>
      <c r="AK107" s="149"/>
      <c r="AL107" s="150"/>
      <c r="AM107" s="149"/>
      <c r="AN107" s="150"/>
      <c r="AO107" s="149"/>
      <c r="AP107" s="150"/>
      <c r="AQ107" s="149"/>
      <c r="AR107" s="150"/>
      <c r="AS107" s="149"/>
      <c r="AT107" s="150"/>
      <c r="AU107" s="149"/>
      <c r="AV107" s="150"/>
      <c r="AW107" s="149"/>
      <c r="AX107" s="150"/>
      <c r="AY107" s="149"/>
      <c r="AZ107" s="150"/>
      <c r="BA107" s="149"/>
      <c r="BB107" s="150"/>
      <c r="BC107" s="149"/>
      <c r="BD107" s="150"/>
      <c r="BE107" s="149"/>
      <c r="BF107" s="150"/>
      <c r="BG107" s="149"/>
      <c r="BH107" s="150"/>
      <c r="BI107" s="149"/>
      <c r="BJ107" s="150"/>
      <c r="BK107" s="149"/>
      <c r="BL107" s="150"/>
      <c r="BM107" s="149"/>
      <c r="BN107" s="150"/>
      <c r="BO107" s="149"/>
      <c r="BP107" s="150"/>
      <c r="BQ107" s="149"/>
      <c r="BR107" s="150"/>
      <c r="BS107" s="149"/>
      <c r="BT107" s="150"/>
      <c r="BU107" s="149"/>
      <c r="BV107" s="150"/>
      <c r="BW107" s="149"/>
      <c r="BX107" s="150"/>
      <c r="BY107" s="149"/>
      <c r="BZ107" s="150"/>
      <c r="CA107" s="149"/>
      <c r="CB107" s="150"/>
      <c r="CC107" s="149"/>
      <c r="CD107" s="150"/>
      <c r="CE107" s="149"/>
      <c r="CF107" s="150"/>
      <c r="CG107" s="149"/>
      <c r="CH107" s="150"/>
      <c r="CI107" s="149"/>
      <c r="CJ107" s="150"/>
      <c r="CK107" s="149"/>
      <c r="CL107" s="150"/>
      <c r="CM107" s="149"/>
      <c r="CN107" s="150"/>
      <c r="CO107" s="149"/>
      <c r="CP107" s="150"/>
      <c r="CQ107" s="149"/>
      <c r="CR107" s="150"/>
      <c r="CS107" s="149"/>
      <c r="CT107" s="150"/>
      <c r="CU107" s="149"/>
      <c r="CV107" s="150"/>
      <c r="CW107" s="149"/>
      <c r="CX107" s="150"/>
      <c r="CY107" s="149"/>
      <c r="CZ107" s="150"/>
      <c r="DA107" s="149"/>
      <c r="DB107" s="150"/>
      <c r="DC107" s="149"/>
      <c r="DD107" s="150"/>
      <c r="DE107" s="149"/>
      <c r="DF107" s="150"/>
      <c r="DG107" s="149"/>
      <c r="DH107" s="150"/>
      <c r="DI107" s="149"/>
      <c r="DJ107" s="150"/>
      <c r="DK107" s="149"/>
      <c r="DL107" s="150"/>
      <c r="DM107" s="149"/>
      <c r="DN107" s="150"/>
      <c r="DO107" s="149"/>
    </row>
    <row r="108" spans="3:119" ht="14" outlineLevel="1" x14ac:dyDescent="0.3">
      <c r="C108" s="236"/>
      <c r="D108" s="236"/>
      <c r="F108" s="236"/>
      <c r="G108" s="236"/>
      <c r="H108" s="67" t="str">
        <f t="shared" si="10"/>
        <v/>
      </c>
      <c r="I108" s="32"/>
      <c r="J108" s="32"/>
      <c r="K108" s="154"/>
      <c r="L108" s="150"/>
      <c r="M108" s="149"/>
      <c r="N108" s="150"/>
      <c r="O108" s="149"/>
      <c r="P108" s="150"/>
      <c r="Q108" s="149"/>
      <c r="R108" s="150"/>
      <c r="S108" s="149"/>
      <c r="T108" s="150"/>
      <c r="U108" s="149"/>
      <c r="V108" s="150"/>
      <c r="W108" s="149"/>
      <c r="X108" s="150"/>
      <c r="Y108" s="149"/>
      <c r="Z108" s="150"/>
      <c r="AA108" s="149"/>
      <c r="AB108" s="150"/>
      <c r="AC108" s="149"/>
      <c r="AD108" s="150"/>
      <c r="AE108" s="149"/>
      <c r="AF108" s="150"/>
      <c r="AG108" s="149"/>
      <c r="AH108" s="150"/>
      <c r="AI108" s="149"/>
      <c r="AJ108" s="150"/>
      <c r="AK108" s="149"/>
      <c r="AL108" s="150"/>
      <c r="AM108" s="149"/>
      <c r="AN108" s="150"/>
      <c r="AO108" s="149"/>
      <c r="AP108" s="150"/>
      <c r="AQ108" s="149"/>
      <c r="AR108" s="150"/>
      <c r="AS108" s="149"/>
      <c r="AT108" s="150"/>
      <c r="AU108" s="149"/>
      <c r="AV108" s="150"/>
      <c r="AW108" s="149"/>
      <c r="AX108" s="150"/>
      <c r="AY108" s="149"/>
      <c r="AZ108" s="150"/>
      <c r="BA108" s="149"/>
      <c r="BB108" s="150"/>
      <c r="BC108" s="149"/>
      <c r="BD108" s="150"/>
      <c r="BE108" s="149"/>
      <c r="BF108" s="150"/>
      <c r="BG108" s="149"/>
      <c r="BH108" s="150"/>
      <c r="BI108" s="149"/>
      <c r="BJ108" s="150"/>
      <c r="BK108" s="149"/>
      <c r="BL108" s="150"/>
      <c r="BM108" s="149"/>
      <c r="BN108" s="150"/>
      <c r="BO108" s="149"/>
      <c r="BP108" s="150"/>
      <c r="BQ108" s="149"/>
      <c r="BR108" s="150"/>
      <c r="BS108" s="149"/>
      <c r="BT108" s="150"/>
      <c r="BU108" s="149"/>
      <c r="BV108" s="150"/>
      <c r="BW108" s="149"/>
      <c r="BX108" s="150"/>
      <c r="BY108" s="149"/>
      <c r="BZ108" s="150"/>
      <c r="CA108" s="149"/>
      <c r="CB108" s="150"/>
      <c r="CC108" s="149"/>
      <c r="CD108" s="150"/>
      <c r="CE108" s="149"/>
      <c r="CF108" s="150"/>
      <c r="CG108" s="149"/>
      <c r="CH108" s="150"/>
      <c r="CI108" s="149"/>
      <c r="CJ108" s="150"/>
      <c r="CK108" s="149"/>
      <c r="CL108" s="150"/>
      <c r="CM108" s="149"/>
      <c r="CN108" s="150"/>
      <c r="CO108" s="149"/>
      <c r="CP108" s="150"/>
      <c r="CQ108" s="149"/>
      <c r="CR108" s="150"/>
      <c r="CS108" s="149"/>
      <c r="CT108" s="150"/>
      <c r="CU108" s="149"/>
      <c r="CV108" s="150"/>
      <c r="CW108" s="149"/>
      <c r="CX108" s="150"/>
      <c r="CY108" s="149"/>
      <c r="CZ108" s="150"/>
      <c r="DA108" s="149"/>
      <c r="DB108" s="150"/>
      <c r="DC108" s="149"/>
      <c r="DD108" s="150"/>
      <c r="DE108" s="149"/>
      <c r="DF108" s="150"/>
      <c r="DG108" s="149"/>
      <c r="DH108" s="150"/>
      <c r="DI108" s="149"/>
      <c r="DJ108" s="150"/>
      <c r="DK108" s="149"/>
      <c r="DL108" s="150"/>
      <c r="DM108" s="149"/>
      <c r="DN108" s="150"/>
      <c r="DO108" s="149"/>
    </row>
    <row r="109" spans="3:119" ht="14" outlineLevel="1" x14ac:dyDescent="0.3">
      <c r="C109" s="236"/>
      <c r="D109" s="236"/>
      <c r="F109" s="236"/>
      <c r="G109" s="236"/>
      <c r="H109" s="67" t="str">
        <f t="shared" si="10"/>
        <v/>
      </c>
      <c r="I109" s="32"/>
      <c r="J109" s="32"/>
      <c r="K109" s="154"/>
      <c r="L109" s="150"/>
      <c r="M109" s="149"/>
      <c r="N109" s="150"/>
      <c r="O109" s="149"/>
      <c r="P109" s="150"/>
      <c r="Q109" s="149"/>
      <c r="R109" s="150"/>
      <c r="S109" s="149"/>
      <c r="T109" s="150"/>
      <c r="U109" s="149"/>
      <c r="V109" s="150"/>
      <c r="W109" s="149"/>
      <c r="X109" s="150"/>
      <c r="Y109" s="149"/>
      <c r="Z109" s="150"/>
      <c r="AA109" s="149"/>
      <c r="AB109" s="150"/>
      <c r="AC109" s="149"/>
      <c r="AD109" s="150"/>
      <c r="AE109" s="149"/>
      <c r="AF109" s="150"/>
      <c r="AG109" s="149"/>
      <c r="AH109" s="150"/>
      <c r="AI109" s="149"/>
      <c r="AJ109" s="150"/>
      <c r="AK109" s="149"/>
      <c r="AL109" s="150"/>
      <c r="AM109" s="149"/>
      <c r="AN109" s="150"/>
      <c r="AO109" s="149"/>
      <c r="AP109" s="150"/>
      <c r="AQ109" s="149"/>
      <c r="AR109" s="150"/>
      <c r="AS109" s="149"/>
      <c r="AT109" s="150"/>
      <c r="AU109" s="149"/>
      <c r="AV109" s="150"/>
      <c r="AW109" s="149"/>
      <c r="AX109" s="150"/>
      <c r="AY109" s="149"/>
      <c r="AZ109" s="150"/>
      <c r="BA109" s="149"/>
      <c r="BB109" s="150"/>
      <c r="BC109" s="149"/>
      <c r="BD109" s="150"/>
      <c r="BE109" s="149"/>
      <c r="BF109" s="150"/>
      <c r="BG109" s="149"/>
      <c r="BH109" s="150"/>
      <c r="BI109" s="149"/>
      <c r="BJ109" s="150"/>
      <c r="BK109" s="149"/>
      <c r="BL109" s="150"/>
      <c r="BM109" s="149"/>
      <c r="BN109" s="150"/>
      <c r="BO109" s="149"/>
      <c r="BP109" s="150"/>
      <c r="BQ109" s="149"/>
      <c r="BR109" s="150"/>
      <c r="BS109" s="149"/>
      <c r="BT109" s="150"/>
      <c r="BU109" s="149"/>
      <c r="BV109" s="150"/>
      <c r="BW109" s="149"/>
      <c r="BX109" s="150"/>
      <c r="BY109" s="149"/>
      <c r="BZ109" s="150"/>
      <c r="CA109" s="149"/>
      <c r="CB109" s="150"/>
      <c r="CC109" s="149"/>
      <c r="CD109" s="150"/>
      <c r="CE109" s="149"/>
      <c r="CF109" s="150"/>
      <c r="CG109" s="149"/>
      <c r="CH109" s="150"/>
      <c r="CI109" s="149"/>
      <c r="CJ109" s="150"/>
      <c r="CK109" s="149"/>
      <c r="CL109" s="150"/>
      <c r="CM109" s="149"/>
      <c r="CN109" s="150"/>
      <c r="CO109" s="149"/>
      <c r="CP109" s="150"/>
      <c r="CQ109" s="149"/>
      <c r="CR109" s="150"/>
      <c r="CS109" s="149"/>
      <c r="CT109" s="150"/>
      <c r="CU109" s="149"/>
      <c r="CV109" s="150"/>
      <c r="CW109" s="149"/>
      <c r="CX109" s="150"/>
      <c r="CY109" s="149"/>
      <c r="CZ109" s="150"/>
      <c r="DA109" s="149"/>
      <c r="DB109" s="150"/>
      <c r="DC109" s="149"/>
      <c r="DD109" s="150"/>
      <c r="DE109" s="149"/>
      <c r="DF109" s="150"/>
      <c r="DG109" s="149"/>
      <c r="DH109" s="150"/>
      <c r="DI109" s="149"/>
      <c r="DJ109" s="150"/>
      <c r="DK109" s="149"/>
      <c r="DL109" s="150"/>
      <c r="DM109" s="149"/>
      <c r="DN109" s="150"/>
      <c r="DO109" s="149"/>
    </row>
    <row r="110" spans="3:119" ht="14" outlineLevel="1" x14ac:dyDescent="0.3">
      <c r="C110" s="236"/>
      <c r="D110" s="236"/>
      <c r="F110" s="236"/>
      <c r="G110" s="236"/>
      <c r="H110" s="67" t="str">
        <f t="shared" si="10"/>
        <v/>
      </c>
      <c r="I110" s="32"/>
      <c r="J110" s="32"/>
      <c r="K110" s="154"/>
      <c r="L110" s="150"/>
      <c r="M110" s="149"/>
      <c r="N110" s="150"/>
      <c r="O110" s="149"/>
      <c r="P110" s="150"/>
      <c r="Q110" s="149"/>
      <c r="R110" s="150"/>
      <c r="S110" s="149"/>
      <c r="T110" s="150"/>
      <c r="U110" s="149"/>
      <c r="V110" s="150"/>
      <c r="W110" s="149"/>
      <c r="X110" s="150"/>
      <c r="Y110" s="149"/>
      <c r="Z110" s="150"/>
      <c r="AA110" s="149"/>
      <c r="AB110" s="150"/>
      <c r="AC110" s="149"/>
      <c r="AD110" s="150"/>
      <c r="AE110" s="149"/>
      <c r="AF110" s="150"/>
      <c r="AG110" s="149"/>
      <c r="AH110" s="150"/>
      <c r="AI110" s="149"/>
      <c r="AJ110" s="150"/>
      <c r="AK110" s="149"/>
      <c r="AL110" s="150"/>
      <c r="AM110" s="149"/>
      <c r="AN110" s="150"/>
      <c r="AO110" s="149"/>
      <c r="AP110" s="150"/>
      <c r="AQ110" s="149"/>
      <c r="AR110" s="150"/>
      <c r="AS110" s="149"/>
      <c r="AT110" s="150"/>
      <c r="AU110" s="149"/>
      <c r="AV110" s="150"/>
      <c r="AW110" s="149"/>
      <c r="AX110" s="150"/>
      <c r="AY110" s="149"/>
      <c r="AZ110" s="150"/>
      <c r="BA110" s="149"/>
      <c r="BB110" s="150"/>
      <c r="BC110" s="149"/>
      <c r="BD110" s="150"/>
      <c r="BE110" s="149"/>
      <c r="BF110" s="150"/>
      <c r="BG110" s="149"/>
      <c r="BH110" s="150"/>
      <c r="BI110" s="149"/>
      <c r="BJ110" s="150"/>
      <c r="BK110" s="149"/>
      <c r="BL110" s="150"/>
      <c r="BM110" s="149"/>
      <c r="BN110" s="150"/>
      <c r="BO110" s="149"/>
      <c r="BP110" s="150"/>
      <c r="BQ110" s="149"/>
      <c r="BR110" s="150"/>
      <c r="BS110" s="149"/>
      <c r="BT110" s="150"/>
      <c r="BU110" s="149"/>
      <c r="BV110" s="150"/>
      <c r="BW110" s="149"/>
      <c r="BX110" s="150"/>
      <c r="BY110" s="149"/>
      <c r="BZ110" s="150"/>
      <c r="CA110" s="149"/>
      <c r="CB110" s="150"/>
      <c r="CC110" s="149"/>
      <c r="CD110" s="150"/>
      <c r="CE110" s="149"/>
      <c r="CF110" s="150"/>
      <c r="CG110" s="149"/>
      <c r="CH110" s="150"/>
      <c r="CI110" s="149"/>
      <c r="CJ110" s="150"/>
      <c r="CK110" s="149"/>
      <c r="CL110" s="150"/>
      <c r="CM110" s="149"/>
      <c r="CN110" s="150"/>
      <c r="CO110" s="149"/>
      <c r="CP110" s="150"/>
      <c r="CQ110" s="149"/>
      <c r="CR110" s="150"/>
      <c r="CS110" s="149"/>
      <c r="CT110" s="150"/>
      <c r="CU110" s="149"/>
      <c r="CV110" s="150"/>
      <c r="CW110" s="149"/>
      <c r="CX110" s="150"/>
      <c r="CY110" s="149"/>
      <c r="CZ110" s="150"/>
      <c r="DA110" s="149"/>
      <c r="DB110" s="150"/>
      <c r="DC110" s="149"/>
      <c r="DD110" s="150"/>
      <c r="DE110" s="149"/>
      <c r="DF110" s="150"/>
      <c r="DG110" s="149"/>
      <c r="DH110" s="150"/>
      <c r="DI110" s="149"/>
      <c r="DJ110" s="150"/>
      <c r="DK110" s="149"/>
      <c r="DL110" s="150"/>
      <c r="DM110" s="149"/>
      <c r="DN110" s="150"/>
      <c r="DO110" s="149"/>
    </row>
    <row r="111" spans="3:119" ht="14" outlineLevel="1" x14ac:dyDescent="0.3">
      <c r="C111" s="236"/>
      <c r="D111" s="236"/>
      <c r="F111" s="236"/>
      <c r="G111" s="236"/>
      <c r="H111" s="67" t="str">
        <f t="shared" si="10"/>
        <v/>
      </c>
      <c r="I111" s="32"/>
      <c r="J111" s="32"/>
      <c r="K111" s="154"/>
      <c r="L111" s="150"/>
      <c r="M111" s="149"/>
      <c r="N111" s="150"/>
      <c r="O111" s="149"/>
      <c r="P111" s="150"/>
      <c r="Q111" s="149"/>
      <c r="R111" s="150"/>
      <c r="S111" s="149"/>
      <c r="T111" s="150"/>
      <c r="U111" s="149"/>
      <c r="V111" s="150"/>
      <c r="W111" s="149"/>
      <c r="X111" s="150"/>
      <c r="Y111" s="149"/>
      <c r="Z111" s="150"/>
      <c r="AA111" s="149"/>
      <c r="AB111" s="150"/>
      <c r="AC111" s="149"/>
      <c r="AD111" s="150"/>
      <c r="AE111" s="149"/>
      <c r="AF111" s="150"/>
      <c r="AG111" s="149"/>
      <c r="AH111" s="150"/>
      <c r="AI111" s="149"/>
      <c r="AJ111" s="150"/>
      <c r="AK111" s="149"/>
      <c r="AL111" s="150"/>
      <c r="AM111" s="149"/>
      <c r="AN111" s="150"/>
      <c r="AO111" s="149"/>
      <c r="AP111" s="150"/>
      <c r="AQ111" s="149"/>
      <c r="AR111" s="150"/>
      <c r="AS111" s="149"/>
      <c r="AT111" s="150"/>
      <c r="AU111" s="149"/>
      <c r="AV111" s="150"/>
      <c r="AW111" s="149"/>
      <c r="AX111" s="150"/>
      <c r="AY111" s="149"/>
      <c r="AZ111" s="150"/>
      <c r="BA111" s="149"/>
      <c r="BB111" s="150"/>
      <c r="BC111" s="149"/>
      <c r="BD111" s="150"/>
      <c r="BE111" s="149"/>
      <c r="BF111" s="150"/>
      <c r="BG111" s="149"/>
      <c r="BH111" s="150"/>
      <c r="BI111" s="149"/>
      <c r="BJ111" s="150"/>
      <c r="BK111" s="149"/>
      <c r="BL111" s="150"/>
      <c r="BM111" s="149"/>
      <c r="BN111" s="150"/>
      <c r="BO111" s="149"/>
      <c r="BP111" s="150"/>
      <c r="BQ111" s="149"/>
      <c r="BR111" s="150"/>
      <c r="BS111" s="149"/>
      <c r="BT111" s="150"/>
      <c r="BU111" s="149"/>
      <c r="BV111" s="150"/>
      <c r="BW111" s="149"/>
      <c r="BX111" s="150"/>
      <c r="BY111" s="149"/>
      <c r="BZ111" s="150"/>
      <c r="CA111" s="149"/>
      <c r="CB111" s="150"/>
      <c r="CC111" s="149"/>
      <c r="CD111" s="150"/>
      <c r="CE111" s="149"/>
      <c r="CF111" s="150"/>
      <c r="CG111" s="149"/>
      <c r="CH111" s="150"/>
      <c r="CI111" s="149"/>
      <c r="CJ111" s="150"/>
      <c r="CK111" s="149"/>
      <c r="CL111" s="150"/>
      <c r="CM111" s="149"/>
      <c r="CN111" s="150"/>
      <c r="CO111" s="149"/>
      <c r="CP111" s="150"/>
      <c r="CQ111" s="149"/>
      <c r="CR111" s="150"/>
      <c r="CS111" s="149"/>
      <c r="CT111" s="150"/>
      <c r="CU111" s="149"/>
      <c r="CV111" s="150"/>
      <c r="CW111" s="149"/>
      <c r="CX111" s="150"/>
      <c r="CY111" s="149"/>
      <c r="CZ111" s="150"/>
      <c r="DA111" s="149"/>
      <c r="DB111" s="150"/>
      <c r="DC111" s="149"/>
      <c r="DD111" s="150"/>
      <c r="DE111" s="149"/>
      <c r="DF111" s="150"/>
      <c r="DG111" s="149"/>
      <c r="DH111" s="150"/>
      <c r="DI111" s="149"/>
      <c r="DJ111" s="150"/>
      <c r="DK111" s="149"/>
      <c r="DL111" s="150"/>
      <c r="DM111" s="149"/>
      <c r="DN111" s="150"/>
      <c r="DO111" s="149"/>
    </row>
    <row r="112" spans="3:119" ht="14" outlineLevel="1" x14ac:dyDescent="0.3">
      <c r="C112" s="236"/>
      <c r="D112" s="236"/>
      <c r="F112" s="236"/>
      <c r="G112" s="236"/>
      <c r="H112" s="67" t="str">
        <f t="shared" si="10"/>
        <v/>
      </c>
      <c r="I112" s="32"/>
      <c r="J112" s="32"/>
      <c r="K112" s="154"/>
      <c r="L112" s="150"/>
      <c r="M112" s="149"/>
      <c r="N112" s="150"/>
      <c r="O112" s="149"/>
      <c r="P112" s="150"/>
      <c r="Q112" s="149"/>
      <c r="R112" s="150"/>
      <c r="S112" s="149"/>
      <c r="T112" s="150"/>
      <c r="U112" s="149"/>
      <c r="V112" s="150"/>
      <c r="W112" s="149"/>
      <c r="X112" s="150"/>
      <c r="Y112" s="149"/>
      <c r="Z112" s="150"/>
      <c r="AA112" s="149"/>
      <c r="AB112" s="150"/>
      <c r="AC112" s="149"/>
      <c r="AD112" s="150"/>
      <c r="AE112" s="149"/>
      <c r="AF112" s="150"/>
      <c r="AG112" s="149"/>
      <c r="AH112" s="150"/>
      <c r="AI112" s="149"/>
      <c r="AJ112" s="150"/>
      <c r="AK112" s="149"/>
      <c r="AL112" s="150"/>
      <c r="AM112" s="149"/>
      <c r="AN112" s="150"/>
      <c r="AO112" s="149"/>
      <c r="AP112" s="150"/>
      <c r="AQ112" s="149"/>
      <c r="AR112" s="150"/>
      <c r="AS112" s="149"/>
      <c r="AT112" s="150"/>
      <c r="AU112" s="149"/>
      <c r="AV112" s="150"/>
      <c r="AW112" s="149"/>
      <c r="AX112" s="150"/>
      <c r="AY112" s="149"/>
      <c r="AZ112" s="150"/>
      <c r="BA112" s="149"/>
      <c r="BB112" s="150"/>
      <c r="BC112" s="149"/>
      <c r="BD112" s="150"/>
      <c r="BE112" s="149"/>
      <c r="BF112" s="150"/>
      <c r="BG112" s="149"/>
      <c r="BH112" s="150"/>
      <c r="BI112" s="149"/>
      <c r="BJ112" s="150"/>
      <c r="BK112" s="149"/>
      <c r="BL112" s="150"/>
      <c r="BM112" s="149"/>
      <c r="BN112" s="150"/>
      <c r="BO112" s="149"/>
      <c r="BP112" s="150"/>
      <c r="BQ112" s="149"/>
      <c r="BR112" s="150"/>
      <c r="BS112" s="149"/>
      <c r="BT112" s="150"/>
      <c r="BU112" s="149"/>
      <c r="BV112" s="150"/>
      <c r="BW112" s="149"/>
      <c r="BX112" s="150"/>
      <c r="BY112" s="149"/>
      <c r="BZ112" s="150"/>
      <c r="CA112" s="149"/>
      <c r="CB112" s="150"/>
      <c r="CC112" s="149"/>
      <c r="CD112" s="150"/>
      <c r="CE112" s="149"/>
      <c r="CF112" s="150"/>
      <c r="CG112" s="149"/>
      <c r="CH112" s="150"/>
      <c r="CI112" s="149"/>
      <c r="CJ112" s="150"/>
      <c r="CK112" s="149"/>
      <c r="CL112" s="150"/>
      <c r="CM112" s="149"/>
      <c r="CN112" s="150"/>
      <c r="CO112" s="149"/>
      <c r="CP112" s="150"/>
      <c r="CQ112" s="149"/>
      <c r="CR112" s="150"/>
      <c r="CS112" s="149"/>
      <c r="CT112" s="150"/>
      <c r="CU112" s="149"/>
      <c r="CV112" s="150"/>
      <c r="CW112" s="149"/>
      <c r="CX112" s="150"/>
      <c r="CY112" s="149"/>
      <c r="CZ112" s="150"/>
      <c r="DA112" s="149"/>
      <c r="DB112" s="150"/>
      <c r="DC112" s="149"/>
      <c r="DD112" s="150"/>
      <c r="DE112" s="149"/>
      <c r="DF112" s="150"/>
      <c r="DG112" s="149"/>
      <c r="DH112" s="150"/>
      <c r="DI112" s="149"/>
      <c r="DJ112" s="150"/>
      <c r="DK112" s="149"/>
      <c r="DL112" s="150"/>
      <c r="DM112" s="149"/>
      <c r="DN112" s="150"/>
      <c r="DO112" s="149"/>
    </row>
    <row r="113" spans="3:119" ht="14" outlineLevel="1" x14ac:dyDescent="0.3">
      <c r="C113" s="236"/>
      <c r="D113" s="236"/>
      <c r="F113" s="236"/>
      <c r="G113" s="236"/>
      <c r="H113" s="67" t="str">
        <f t="shared" si="10"/>
        <v/>
      </c>
      <c r="I113" s="32"/>
      <c r="J113" s="32"/>
      <c r="K113" s="154"/>
      <c r="L113" s="150"/>
      <c r="M113" s="149"/>
      <c r="N113" s="150"/>
      <c r="O113" s="149"/>
      <c r="P113" s="150"/>
      <c r="Q113" s="149"/>
      <c r="R113" s="150"/>
      <c r="S113" s="149"/>
      <c r="T113" s="150"/>
      <c r="U113" s="149"/>
      <c r="V113" s="150"/>
      <c r="W113" s="149"/>
      <c r="X113" s="150"/>
      <c r="Y113" s="149"/>
      <c r="Z113" s="150"/>
      <c r="AA113" s="149"/>
      <c r="AB113" s="150"/>
      <c r="AC113" s="149"/>
      <c r="AD113" s="150"/>
      <c r="AE113" s="149"/>
      <c r="AF113" s="150"/>
      <c r="AG113" s="149"/>
      <c r="AH113" s="150"/>
      <c r="AI113" s="149"/>
      <c r="AJ113" s="150"/>
      <c r="AK113" s="149"/>
      <c r="AL113" s="150"/>
      <c r="AM113" s="149"/>
      <c r="AN113" s="150"/>
      <c r="AO113" s="149"/>
      <c r="AP113" s="150"/>
      <c r="AQ113" s="149"/>
      <c r="AR113" s="150"/>
      <c r="AS113" s="149"/>
      <c r="AT113" s="150"/>
      <c r="AU113" s="149"/>
      <c r="AV113" s="150"/>
      <c r="AW113" s="149"/>
      <c r="AX113" s="150"/>
      <c r="AY113" s="149"/>
      <c r="AZ113" s="150"/>
      <c r="BA113" s="149"/>
      <c r="BB113" s="150"/>
      <c r="BC113" s="149"/>
      <c r="BD113" s="150"/>
      <c r="BE113" s="149"/>
      <c r="BF113" s="150"/>
      <c r="BG113" s="149"/>
      <c r="BH113" s="150"/>
      <c r="BI113" s="149"/>
      <c r="BJ113" s="150"/>
      <c r="BK113" s="149"/>
      <c r="BL113" s="150"/>
      <c r="BM113" s="149"/>
      <c r="BN113" s="150"/>
      <c r="BO113" s="149"/>
      <c r="BP113" s="150"/>
      <c r="BQ113" s="149"/>
      <c r="BR113" s="150"/>
      <c r="BS113" s="149"/>
      <c r="BT113" s="150"/>
      <c r="BU113" s="149"/>
      <c r="BV113" s="150"/>
      <c r="BW113" s="149"/>
      <c r="BX113" s="150"/>
      <c r="BY113" s="149"/>
      <c r="BZ113" s="150"/>
      <c r="CA113" s="149"/>
      <c r="CB113" s="150"/>
      <c r="CC113" s="149"/>
      <c r="CD113" s="150"/>
      <c r="CE113" s="149"/>
      <c r="CF113" s="150"/>
      <c r="CG113" s="149"/>
      <c r="CH113" s="150"/>
      <c r="CI113" s="149"/>
      <c r="CJ113" s="150"/>
      <c r="CK113" s="149"/>
      <c r="CL113" s="150"/>
      <c r="CM113" s="149"/>
      <c r="CN113" s="150"/>
      <c r="CO113" s="149"/>
      <c r="CP113" s="150"/>
      <c r="CQ113" s="149"/>
      <c r="CR113" s="150"/>
      <c r="CS113" s="149"/>
      <c r="CT113" s="150"/>
      <c r="CU113" s="149"/>
      <c r="CV113" s="150"/>
      <c r="CW113" s="149"/>
      <c r="CX113" s="150"/>
      <c r="CY113" s="149"/>
      <c r="CZ113" s="150"/>
      <c r="DA113" s="149"/>
      <c r="DB113" s="150"/>
      <c r="DC113" s="149"/>
      <c r="DD113" s="150"/>
      <c r="DE113" s="149"/>
      <c r="DF113" s="150"/>
      <c r="DG113" s="149"/>
      <c r="DH113" s="150"/>
      <c r="DI113" s="149"/>
      <c r="DJ113" s="150"/>
      <c r="DK113" s="149"/>
      <c r="DL113" s="150"/>
      <c r="DM113" s="149"/>
      <c r="DN113" s="150"/>
      <c r="DO113" s="149"/>
    </row>
    <row r="114" spans="3:119" ht="14" outlineLevel="1" x14ac:dyDescent="0.3">
      <c r="C114" s="236"/>
      <c r="D114" s="236"/>
      <c r="F114" s="236"/>
      <c r="G114" s="236"/>
      <c r="H114" s="67" t="str">
        <f t="shared" si="10"/>
        <v/>
      </c>
      <c r="I114" s="32"/>
      <c r="J114" s="32"/>
      <c r="K114" s="154"/>
      <c r="L114" s="150"/>
      <c r="M114" s="149"/>
      <c r="N114" s="150"/>
      <c r="O114" s="149"/>
      <c r="P114" s="150"/>
      <c r="Q114" s="149"/>
      <c r="R114" s="150"/>
      <c r="S114" s="149"/>
      <c r="T114" s="150"/>
      <c r="U114" s="149"/>
      <c r="V114" s="150"/>
      <c r="W114" s="149"/>
      <c r="X114" s="150"/>
      <c r="Y114" s="149"/>
      <c r="Z114" s="150"/>
      <c r="AA114" s="149"/>
      <c r="AB114" s="150"/>
      <c r="AC114" s="149"/>
      <c r="AD114" s="150"/>
      <c r="AE114" s="149"/>
      <c r="AF114" s="150"/>
      <c r="AG114" s="149"/>
      <c r="AH114" s="150"/>
      <c r="AI114" s="149"/>
      <c r="AJ114" s="150"/>
      <c r="AK114" s="149"/>
      <c r="AL114" s="150"/>
      <c r="AM114" s="149"/>
      <c r="AN114" s="150"/>
      <c r="AO114" s="149"/>
      <c r="AP114" s="150"/>
      <c r="AQ114" s="149"/>
      <c r="AR114" s="150"/>
      <c r="AS114" s="149"/>
      <c r="AT114" s="150"/>
      <c r="AU114" s="149"/>
      <c r="AV114" s="150"/>
      <c r="AW114" s="149"/>
      <c r="AX114" s="150"/>
      <c r="AY114" s="149"/>
      <c r="AZ114" s="150"/>
      <c r="BA114" s="149"/>
      <c r="BB114" s="150"/>
      <c r="BC114" s="149"/>
      <c r="BD114" s="150"/>
      <c r="BE114" s="149"/>
      <c r="BF114" s="150"/>
      <c r="BG114" s="149"/>
      <c r="BH114" s="150"/>
      <c r="BI114" s="149"/>
      <c r="BJ114" s="150"/>
      <c r="BK114" s="149"/>
      <c r="BL114" s="150"/>
      <c r="BM114" s="149"/>
      <c r="BN114" s="150"/>
      <c r="BO114" s="149"/>
      <c r="BP114" s="150"/>
      <c r="BQ114" s="149"/>
      <c r="BR114" s="150"/>
      <c r="BS114" s="149"/>
      <c r="BT114" s="150"/>
      <c r="BU114" s="149"/>
      <c r="BV114" s="150"/>
      <c r="BW114" s="149"/>
      <c r="BX114" s="150"/>
      <c r="BY114" s="149"/>
      <c r="BZ114" s="150"/>
      <c r="CA114" s="149"/>
      <c r="CB114" s="150"/>
      <c r="CC114" s="149"/>
      <c r="CD114" s="150"/>
      <c r="CE114" s="149"/>
      <c r="CF114" s="150"/>
      <c r="CG114" s="149"/>
      <c r="CH114" s="150"/>
      <c r="CI114" s="149"/>
      <c r="CJ114" s="150"/>
      <c r="CK114" s="149"/>
      <c r="CL114" s="150"/>
      <c r="CM114" s="149"/>
      <c r="CN114" s="150"/>
      <c r="CO114" s="149"/>
      <c r="CP114" s="150"/>
      <c r="CQ114" s="149"/>
      <c r="CR114" s="150"/>
      <c r="CS114" s="149"/>
      <c r="CT114" s="150"/>
      <c r="CU114" s="149"/>
      <c r="CV114" s="150"/>
      <c r="CW114" s="149"/>
      <c r="CX114" s="150"/>
      <c r="CY114" s="149"/>
      <c r="CZ114" s="150"/>
      <c r="DA114" s="149"/>
      <c r="DB114" s="150"/>
      <c r="DC114" s="149"/>
      <c r="DD114" s="150"/>
      <c r="DE114" s="149"/>
      <c r="DF114" s="150"/>
      <c r="DG114" s="149"/>
      <c r="DH114" s="150"/>
      <c r="DI114" s="149"/>
      <c r="DJ114" s="150"/>
      <c r="DK114" s="149"/>
      <c r="DL114" s="150"/>
      <c r="DM114" s="149"/>
      <c r="DN114" s="150"/>
      <c r="DO114" s="149"/>
    </row>
    <row r="115" spans="3:119" ht="14" outlineLevel="1" x14ac:dyDescent="0.3">
      <c r="C115" s="236"/>
      <c r="D115" s="236"/>
      <c r="F115" s="236"/>
      <c r="G115" s="236"/>
      <c r="H115" s="67" t="str">
        <f t="shared" si="10"/>
        <v/>
      </c>
      <c r="I115" s="32"/>
      <c r="J115" s="32"/>
      <c r="K115" s="154"/>
      <c r="L115" s="150"/>
      <c r="M115" s="149"/>
      <c r="N115" s="150"/>
      <c r="O115" s="149"/>
      <c r="P115" s="150"/>
      <c r="Q115" s="149"/>
      <c r="R115" s="150"/>
      <c r="S115" s="149"/>
      <c r="T115" s="150"/>
      <c r="U115" s="149"/>
      <c r="V115" s="150"/>
      <c r="W115" s="149"/>
      <c r="X115" s="150"/>
      <c r="Y115" s="149"/>
      <c r="Z115" s="150"/>
      <c r="AA115" s="149"/>
      <c r="AB115" s="150"/>
      <c r="AC115" s="149"/>
      <c r="AD115" s="150"/>
      <c r="AE115" s="149"/>
      <c r="AF115" s="150"/>
      <c r="AG115" s="149"/>
      <c r="AH115" s="150"/>
      <c r="AI115" s="149"/>
      <c r="AJ115" s="150"/>
      <c r="AK115" s="149"/>
      <c r="AL115" s="150"/>
      <c r="AM115" s="149"/>
      <c r="AN115" s="150"/>
      <c r="AO115" s="149"/>
      <c r="AP115" s="150"/>
      <c r="AQ115" s="149"/>
      <c r="AR115" s="150"/>
      <c r="AS115" s="149"/>
      <c r="AT115" s="150"/>
      <c r="AU115" s="149"/>
      <c r="AV115" s="150"/>
      <c r="AW115" s="149"/>
      <c r="AX115" s="150"/>
      <c r="AY115" s="149"/>
      <c r="AZ115" s="150"/>
      <c r="BA115" s="149"/>
      <c r="BB115" s="150"/>
      <c r="BC115" s="149"/>
      <c r="BD115" s="150"/>
      <c r="BE115" s="149"/>
      <c r="BF115" s="150"/>
      <c r="BG115" s="149"/>
      <c r="BH115" s="150"/>
      <c r="BI115" s="149"/>
      <c r="BJ115" s="150"/>
      <c r="BK115" s="149"/>
      <c r="BL115" s="150"/>
      <c r="BM115" s="149"/>
      <c r="BN115" s="150"/>
      <c r="BO115" s="149"/>
      <c r="BP115" s="150"/>
      <c r="BQ115" s="149"/>
      <c r="BR115" s="150"/>
      <c r="BS115" s="149"/>
      <c r="BT115" s="150"/>
      <c r="BU115" s="149"/>
      <c r="BV115" s="150"/>
      <c r="BW115" s="149"/>
      <c r="BX115" s="150"/>
      <c r="BY115" s="149"/>
      <c r="BZ115" s="150"/>
      <c r="CA115" s="149"/>
      <c r="CB115" s="150"/>
      <c r="CC115" s="149"/>
      <c r="CD115" s="150"/>
      <c r="CE115" s="149"/>
      <c r="CF115" s="150"/>
      <c r="CG115" s="149"/>
      <c r="CH115" s="150"/>
      <c r="CI115" s="149"/>
      <c r="CJ115" s="150"/>
      <c r="CK115" s="149"/>
      <c r="CL115" s="150"/>
      <c r="CM115" s="149"/>
      <c r="CN115" s="150"/>
      <c r="CO115" s="149"/>
      <c r="CP115" s="150"/>
      <c r="CQ115" s="149"/>
      <c r="CR115" s="150"/>
      <c r="CS115" s="149"/>
      <c r="CT115" s="150"/>
      <c r="CU115" s="149"/>
      <c r="CV115" s="150"/>
      <c r="CW115" s="149"/>
      <c r="CX115" s="150"/>
      <c r="CY115" s="149"/>
      <c r="CZ115" s="150"/>
      <c r="DA115" s="149"/>
      <c r="DB115" s="150"/>
      <c r="DC115" s="149"/>
      <c r="DD115" s="150"/>
      <c r="DE115" s="149"/>
      <c r="DF115" s="150"/>
      <c r="DG115" s="149"/>
      <c r="DH115" s="150"/>
      <c r="DI115" s="149"/>
      <c r="DJ115" s="150"/>
      <c r="DK115" s="149"/>
      <c r="DL115" s="150"/>
      <c r="DM115" s="149"/>
      <c r="DN115" s="150"/>
      <c r="DO115" s="149"/>
    </row>
    <row r="116" spans="3:119" ht="14" outlineLevel="1" x14ac:dyDescent="0.3">
      <c r="C116" s="236"/>
      <c r="D116" s="236"/>
      <c r="F116" s="236"/>
      <c r="G116" s="236"/>
      <c r="H116" s="67" t="str">
        <f t="shared" si="10"/>
        <v/>
      </c>
      <c r="I116" s="32"/>
      <c r="J116" s="32"/>
      <c r="K116" s="154"/>
      <c r="L116" s="150"/>
      <c r="M116" s="149"/>
      <c r="N116" s="150"/>
      <c r="O116" s="149"/>
      <c r="P116" s="150"/>
      <c r="Q116" s="149"/>
      <c r="R116" s="150"/>
      <c r="S116" s="149"/>
      <c r="T116" s="150"/>
      <c r="U116" s="149"/>
      <c r="V116" s="150"/>
      <c r="W116" s="149"/>
      <c r="X116" s="150"/>
      <c r="Y116" s="149"/>
      <c r="Z116" s="150"/>
      <c r="AA116" s="149"/>
      <c r="AB116" s="150"/>
      <c r="AC116" s="149"/>
      <c r="AD116" s="150"/>
      <c r="AE116" s="149"/>
      <c r="AF116" s="150"/>
      <c r="AG116" s="149"/>
      <c r="AH116" s="150"/>
      <c r="AI116" s="149"/>
      <c r="AJ116" s="150"/>
      <c r="AK116" s="149"/>
      <c r="AL116" s="150"/>
      <c r="AM116" s="149"/>
      <c r="AN116" s="150"/>
      <c r="AO116" s="149"/>
      <c r="AP116" s="150"/>
      <c r="AQ116" s="149"/>
      <c r="AR116" s="150"/>
      <c r="AS116" s="149"/>
      <c r="AT116" s="150"/>
      <c r="AU116" s="149"/>
      <c r="AV116" s="150"/>
      <c r="AW116" s="149"/>
      <c r="AX116" s="150"/>
      <c r="AY116" s="149"/>
      <c r="AZ116" s="150"/>
      <c r="BA116" s="149"/>
      <c r="BB116" s="150"/>
      <c r="BC116" s="149"/>
      <c r="BD116" s="150"/>
      <c r="BE116" s="149"/>
      <c r="BF116" s="150"/>
      <c r="BG116" s="149"/>
      <c r="BH116" s="150"/>
      <c r="BI116" s="149"/>
      <c r="BJ116" s="150"/>
      <c r="BK116" s="149"/>
      <c r="BL116" s="150"/>
      <c r="BM116" s="149"/>
      <c r="BN116" s="150"/>
      <c r="BO116" s="149"/>
      <c r="BP116" s="150"/>
      <c r="BQ116" s="149"/>
      <c r="BR116" s="150"/>
      <c r="BS116" s="149"/>
      <c r="BT116" s="150"/>
      <c r="BU116" s="149"/>
      <c r="BV116" s="150"/>
      <c r="BW116" s="149"/>
      <c r="BX116" s="150"/>
      <c r="BY116" s="149"/>
      <c r="BZ116" s="150"/>
      <c r="CA116" s="149"/>
      <c r="CB116" s="150"/>
      <c r="CC116" s="149"/>
      <c r="CD116" s="150"/>
      <c r="CE116" s="149"/>
      <c r="CF116" s="150"/>
      <c r="CG116" s="149"/>
      <c r="CH116" s="150"/>
      <c r="CI116" s="149"/>
      <c r="CJ116" s="150"/>
      <c r="CK116" s="149"/>
      <c r="CL116" s="150"/>
      <c r="CM116" s="149"/>
      <c r="CN116" s="150"/>
      <c r="CO116" s="149"/>
      <c r="CP116" s="150"/>
      <c r="CQ116" s="149"/>
      <c r="CR116" s="150"/>
      <c r="CS116" s="149"/>
      <c r="CT116" s="150"/>
      <c r="CU116" s="149"/>
      <c r="CV116" s="150"/>
      <c r="CW116" s="149"/>
      <c r="CX116" s="150"/>
      <c r="CY116" s="149"/>
      <c r="CZ116" s="150"/>
      <c r="DA116" s="149"/>
      <c r="DB116" s="150"/>
      <c r="DC116" s="149"/>
      <c r="DD116" s="150"/>
      <c r="DE116" s="149"/>
      <c r="DF116" s="150"/>
      <c r="DG116" s="149"/>
      <c r="DH116" s="150"/>
      <c r="DI116" s="149"/>
      <c r="DJ116" s="150"/>
      <c r="DK116" s="149"/>
      <c r="DL116" s="150"/>
      <c r="DM116" s="149"/>
      <c r="DN116" s="150"/>
      <c r="DO116" s="149"/>
    </row>
    <row r="117" spans="3:119" ht="14" outlineLevel="1" x14ac:dyDescent="0.3">
      <c r="C117" s="236"/>
      <c r="D117" s="236"/>
      <c r="F117" s="236"/>
      <c r="G117" s="236"/>
      <c r="H117" s="67" t="str">
        <f t="shared" si="10"/>
        <v/>
      </c>
      <c r="I117" s="32"/>
      <c r="J117" s="32"/>
      <c r="K117" s="154"/>
      <c r="L117" s="150"/>
      <c r="M117" s="149"/>
      <c r="N117" s="150"/>
      <c r="O117" s="149"/>
      <c r="P117" s="150"/>
      <c r="Q117" s="149"/>
      <c r="R117" s="150"/>
      <c r="S117" s="149"/>
      <c r="T117" s="150"/>
      <c r="U117" s="149"/>
      <c r="V117" s="150"/>
      <c r="W117" s="149"/>
      <c r="X117" s="150"/>
      <c r="Y117" s="149"/>
      <c r="Z117" s="150"/>
      <c r="AA117" s="149"/>
      <c r="AB117" s="150"/>
      <c r="AC117" s="149"/>
      <c r="AD117" s="150"/>
      <c r="AE117" s="149"/>
      <c r="AF117" s="150"/>
      <c r="AG117" s="149"/>
      <c r="AH117" s="150"/>
      <c r="AI117" s="149"/>
      <c r="AJ117" s="150"/>
      <c r="AK117" s="149"/>
      <c r="AL117" s="150"/>
      <c r="AM117" s="149"/>
      <c r="AN117" s="150"/>
      <c r="AO117" s="149"/>
      <c r="AP117" s="150"/>
      <c r="AQ117" s="149"/>
      <c r="AR117" s="150"/>
      <c r="AS117" s="149"/>
      <c r="AT117" s="150"/>
      <c r="AU117" s="149"/>
      <c r="AV117" s="150"/>
      <c r="AW117" s="149"/>
      <c r="AX117" s="150"/>
      <c r="AY117" s="149"/>
      <c r="AZ117" s="150"/>
      <c r="BA117" s="149"/>
      <c r="BB117" s="150"/>
      <c r="BC117" s="149"/>
      <c r="BD117" s="150"/>
      <c r="BE117" s="149"/>
      <c r="BF117" s="150"/>
      <c r="BG117" s="149"/>
      <c r="BH117" s="150"/>
      <c r="BI117" s="149"/>
      <c r="BJ117" s="150"/>
      <c r="BK117" s="149"/>
      <c r="BL117" s="150"/>
      <c r="BM117" s="149"/>
      <c r="BN117" s="150"/>
      <c r="BO117" s="149"/>
      <c r="BP117" s="150"/>
      <c r="BQ117" s="149"/>
      <c r="BR117" s="150"/>
      <c r="BS117" s="149"/>
      <c r="BT117" s="150"/>
      <c r="BU117" s="149"/>
      <c r="BV117" s="150"/>
      <c r="BW117" s="149"/>
      <c r="BX117" s="150"/>
      <c r="BY117" s="149"/>
      <c r="BZ117" s="150"/>
      <c r="CA117" s="149"/>
      <c r="CB117" s="150"/>
      <c r="CC117" s="149"/>
      <c r="CD117" s="150"/>
      <c r="CE117" s="149"/>
      <c r="CF117" s="150"/>
      <c r="CG117" s="149"/>
      <c r="CH117" s="150"/>
      <c r="CI117" s="149"/>
      <c r="CJ117" s="150"/>
      <c r="CK117" s="149"/>
      <c r="CL117" s="150"/>
      <c r="CM117" s="149"/>
      <c r="CN117" s="150"/>
      <c r="CO117" s="149"/>
      <c r="CP117" s="150"/>
      <c r="CQ117" s="149"/>
      <c r="CR117" s="150"/>
      <c r="CS117" s="149"/>
      <c r="CT117" s="150"/>
      <c r="CU117" s="149"/>
      <c r="CV117" s="150"/>
      <c r="CW117" s="149"/>
      <c r="CX117" s="150"/>
      <c r="CY117" s="149"/>
      <c r="CZ117" s="150"/>
      <c r="DA117" s="149"/>
      <c r="DB117" s="150"/>
      <c r="DC117" s="149"/>
      <c r="DD117" s="150"/>
      <c r="DE117" s="149"/>
      <c r="DF117" s="150"/>
      <c r="DG117" s="149"/>
      <c r="DH117" s="150"/>
      <c r="DI117" s="149"/>
      <c r="DJ117" s="150"/>
      <c r="DK117" s="149"/>
      <c r="DL117" s="150"/>
      <c r="DM117" s="149"/>
      <c r="DN117" s="150"/>
      <c r="DO117" s="149"/>
    </row>
    <row r="118" spans="3:119" ht="14" outlineLevel="1" x14ac:dyDescent="0.3">
      <c r="C118" s="236"/>
      <c r="D118" s="236"/>
      <c r="F118" s="236"/>
      <c r="G118" s="236"/>
      <c r="H118" s="67" t="str">
        <f t="shared" si="10"/>
        <v/>
      </c>
      <c r="I118" s="32"/>
      <c r="J118" s="32"/>
      <c r="K118" s="154"/>
      <c r="L118" s="150"/>
      <c r="M118" s="149"/>
      <c r="N118" s="150"/>
      <c r="O118" s="149"/>
      <c r="P118" s="150"/>
      <c r="Q118" s="149"/>
      <c r="R118" s="150"/>
      <c r="S118" s="149"/>
      <c r="T118" s="150"/>
      <c r="U118" s="149"/>
      <c r="V118" s="150"/>
      <c r="W118" s="149"/>
      <c r="X118" s="150"/>
      <c r="Y118" s="149"/>
      <c r="Z118" s="150"/>
      <c r="AA118" s="149"/>
      <c r="AB118" s="150"/>
      <c r="AC118" s="149"/>
      <c r="AD118" s="150"/>
      <c r="AE118" s="149"/>
      <c r="AF118" s="150"/>
      <c r="AG118" s="149"/>
      <c r="AH118" s="150"/>
      <c r="AI118" s="149"/>
      <c r="AJ118" s="150"/>
      <c r="AK118" s="149"/>
      <c r="AL118" s="150"/>
      <c r="AM118" s="149"/>
      <c r="AN118" s="150"/>
      <c r="AO118" s="149"/>
      <c r="AP118" s="150"/>
      <c r="AQ118" s="149"/>
      <c r="AR118" s="150"/>
      <c r="AS118" s="149"/>
      <c r="AT118" s="150"/>
      <c r="AU118" s="149"/>
      <c r="AV118" s="150"/>
      <c r="AW118" s="149"/>
      <c r="AX118" s="150"/>
      <c r="AY118" s="149"/>
      <c r="AZ118" s="150"/>
      <c r="BA118" s="149"/>
      <c r="BB118" s="150"/>
      <c r="BC118" s="149"/>
      <c r="BD118" s="150"/>
      <c r="BE118" s="149"/>
      <c r="BF118" s="150"/>
      <c r="BG118" s="149"/>
      <c r="BH118" s="150"/>
      <c r="BI118" s="149"/>
      <c r="BJ118" s="150"/>
      <c r="BK118" s="149"/>
      <c r="BL118" s="150"/>
      <c r="BM118" s="149"/>
      <c r="BN118" s="150"/>
      <c r="BO118" s="149"/>
      <c r="BP118" s="150"/>
      <c r="BQ118" s="149"/>
      <c r="BR118" s="150"/>
      <c r="BS118" s="149"/>
      <c r="BT118" s="150"/>
      <c r="BU118" s="149"/>
      <c r="BV118" s="150"/>
      <c r="BW118" s="149"/>
      <c r="BX118" s="150"/>
      <c r="BY118" s="149"/>
      <c r="BZ118" s="150"/>
      <c r="CA118" s="149"/>
      <c r="CB118" s="150"/>
      <c r="CC118" s="149"/>
      <c r="CD118" s="150"/>
      <c r="CE118" s="149"/>
      <c r="CF118" s="150"/>
      <c r="CG118" s="149"/>
      <c r="CH118" s="150"/>
      <c r="CI118" s="149"/>
      <c r="CJ118" s="150"/>
      <c r="CK118" s="149"/>
      <c r="CL118" s="150"/>
      <c r="CM118" s="149"/>
      <c r="CN118" s="150"/>
      <c r="CO118" s="149"/>
      <c r="CP118" s="150"/>
      <c r="CQ118" s="149"/>
      <c r="CR118" s="150"/>
      <c r="CS118" s="149"/>
      <c r="CT118" s="150"/>
      <c r="CU118" s="149"/>
      <c r="CV118" s="150"/>
      <c r="CW118" s="149"/>
      <c r="CX118" s="150"/>
      <c r="CY118" s="149"/>
      <c r="CZ118" s="150"/>
      <c r="DA118" s="149"/>
      <c r="DB118" s="150"/>
      <c r="DC118" s="149"/>
      <c r="DD118" s="150"/>
      <c r="DE118" s="149"/>
      <c r="DF118" s="150"/>
      <c r="DG118" s="149"/>
      <c r="DH118" s="150"/>
      <c r="DI118" s="149"/>
      <c r="DJ118" s="150"/>
      <c r="DK118" s="149"/>
      <c r="DL118" s="150"/>
      <c r="DM118" s="149"/>
      <c r="DN118" s="150"/>
      <c r="DO118" s="149"/>
    </row>
    <row r="119" spans="3:119" ht="14" outlineLevel="1" x14ac:dyDescent="0.3">
      <c r="C119" s="236"/>
      <c r="D119" s="236"/>
      <c r="F119" s="236"/>
      <c r="G119" s="236"/>
      <c r="H119" s="67" t="str">
        <f t="shared" si="10"/>
        <v/>
      </c>
      <c r="I119" s="32"/>
      <c r="J119" s="32"/>
      <c r="K119" s="154"/>
      <c r="L119" s="150"/>
      <c r="M119" s="149"/>
      <c r="N119" s="150"/>
      <c r="O119" s="149"/>
      <c r="P119" s="150"/>
      <c r="Q119" s="149"/>
      <c r="R119" s="150"/>
      <c r="S119" s="149"/>
      <c r="T119" s="150"/>
      <c r="U119" s="149"/>
      <c r="V119" s="150"/>
      <c r="W119" s="149"/>
      <c r="X119" s="150"/>
      <c r="Y119" s="149"/>
      <c r="Z119" s="150"/>
      <c r="AA119" s="149"/>
      <c r="AB119" s="150"/>
      <c r="AC119" s="149"/>
      <c r="AD119" s="150"/>
      <c r="AE119" s="149"/>
      <c r="AF119" s="150"/>
      <c r="AG119" s="149"/>
      <c r="AH119" s="150"/>
      <c r="AI119" s="149"/>
      <c r="AJ119" s="150"/>
      <c r="AK119" s="149"/>
      <c r="AL119" s="150"/>
      <c r="AM119" s="149"/>
      <c r="AN119" s="150"/>
      <c r="AO119" s="149"/>
      <c r="AP119" s="150"/>
      <c r="AQ119" s="149"/>
      <c r="AR119" s="150"/>
      <c r="AS119" s="149"/>
      <c r="AT119" s="150"/>
      <c r="AU119" s="149"/>
      <c r="AV119" s="150"/>
      <c r="AW119" s="149"/>
      <c r="AX119" s="150"/>
      <c r="AY119" s="149"/>
      <c r="AZ119" s="150"/>
      <c r="BA119" s="149"/>
      <c r="BB119" s="150"/>
      <c r="BC119" s="149"/>
      <c r="BD119" s="150"/>
      <c r="BE119" s="149"/>
      <c r="BF119" s="150"/>
      <c r="BG119" s="149"/>
      <c r="BH119" s="150"/>
      <c r="BI119" s="149"/>
      <c r="BJ119" s="150"/>
      <c r="BK119" s="149"/>
      <c r="BL119" s="150"/>
      <c r="BM119" s="149"/>
      <c r="BN119" s="150"/>
      <c r="BO119" s="149"/>
      <c r="BP119" s="150"/>
      <c r="BQ119" s="149"/>
      <c r="BR119" s="150"/>
      <c r="BS119" s="149"/>
      <c r="BT119" s="150"/>
      <c r="BU119" s="149"/>
      <c r="BV119" s="150"/>
      <c r="BW119" s="149"/>
      <c r="BX119" s="150"/>
      <c r="BY119" s="149"/>
      <c r="BZ119" s="150"/>
      <c r="CA119" s="149"/>
      <c r="CB119" s="150"/>
      <c r="CC119" s="149"/>
      <c r="CD119" s="150"/>
      <c r="CE119" s="149"/>
      <c r="CF119" s="150"/>
      <c r="CG119" s="149"/>
      <c r="CH119" s="150"/>
      <c r="CI119" s="149"/>
      <c r="CJ119" s="150"/>
      <c r="CK119" s="149"/>
      <c r="CL119" s="150"/>
      <c r="CM119" s="149"/>
      <c r="CN119" s="150"/>
      <c r="CO119" s="149"/>
      <c r="CP119" s="150"/>
      <c r="CQ119" s="149"/>
      <c r="CR119" s="150"/>
      <c r="CS119" s="149"/>
      <c r="CT119" s="150"/>
      <c r="CU119" s="149"/>
      <c r="CV119" s="150"/>
      <c r="CW119" s="149"/>
      <c r="CX119" s="150"/>
      <c r="CY119" s="149"/>
      <c r="CZ119" s="150"/>
      <c r="DA119" s="149"/>
      <c r="DB119" s="150"/>
      <c r="DC119" s="149"/>
      <c r="DD119" s="150"/>
      <c r="DE119" s="149"/>
      <c r="DF119" s="150"/>
      <c r="DG119" s="149"/>
      <c r="DH119" s="150"/>
      <c r="DI119" s="149"/>
      <c r="DJ119" s="150"/>
      <c r="DK119" s="149"/>
      <c r="DL119" s="150"/>
      <c r="DM119" s="149"/>
      <c r="DN119" s="150"/>
      <c r="DO119" s="149"/>
    </row>
  </sheetData>
  <sheetProtection formatCells="0" formatColumns="0" formatRows="0" insertRows="0" sort="0" autoFilter="0"/>
  <protectedRanges>
    <protectedRange sqref="C81:C119 C61:C79 C30:G30 C38:C59 D38:G119 D31" name="Range1_1"/>
    <protectedRange sqref="E29" name="Range1_2"/>
    <protectedRange sqref="D7" name="Range1_3"/>
    <protectedRange sqref="E7" name="Range1_2_1_1"/>
    <protectedRange sqref="C10:F11" name="Range1_6"/>
    <protectedRange sqref="C31 E31:G31" name="Range1_1_1"/>
    <protectedRange sqref="C32:G37" name="Range1_1_2"/>
  </protectedRanges>
  <mergeCells count="116">
    <mergeCell ref="BY5:BY7"/>
    <mergeCell ref="BZ5:BZ7"/>
    <mergeCell ref="CA5:CA7"/>
    <mergeCell ref="CB5:CB7"/>
    <mergeCell ref="CU5:CU7"/>
    <mergeCell ref="CV5:CV7"/>
    <mergeCell ref="CK5:CK7"/>
    <mergeCell ref="CL5:CL7"/>
    <mergeCell ref="CM5:CM7"/>
    <mergeCell ref="CN5:CN7"/>
    <mergeCell ref="CO5:CO7"/>
    <mergeCell ref="CP5:CP7"/>
    <mergeCell ref="CQ5:CQ7"/>
    <mergeCell ref="CR5:CR7"/>
    <mergeCell ref="CS5:CS7"/>
    <mergeCell ref="CG5:CG7"/>
    <mergeCell ref="CH5:CH7"/>
    <mergeCell ref="CT5:CT7"/>
    <mergeCell ref="CI5:CI7"/>
    <mergeCell ref="CJ5:CJ7"/>
    <mergeCell ref="CC5:CC7"/>
    <mergeCell ref="CD5:CD7"/>
    <mergeCell ref="CE5:CE7"/>
    <mergeCell ref="CF5:CF7"/>
    <mergeCell ref="BX5:BX7"/>
    <mergeCell ref="BS5:BS7"/>
    <mergeCell ref="BT5:BT7"/>
    <mergeCell ref="BU5:BU7"/>
    <mergeCell ref="BN5:BN7"/>
    <mergeCell ref="BO5:BO7"/>
    <mergeCell ref="BP5:BP7"/>
    <mergeCell ref="BL5:BL7"/>
    <mergeCell ref="BH5:BH7"/>
    <mergeCell ref="BI5:BI7"/>
    <mergeCell ref="BV5:BV7"/>
    <mergeCell ref="BW5:BW7"/>
    <mergeCell ref="BQ5:BQ7"/>
    <mergeCell ref="BR5:BR7"/>
    <mergeCell ref="BM5:BM7"/>
    <mergeCell ref="BJ5:BJ7"/>
    <mergeCell ref="BK5:BK7"/>
    <mergeCell ref="AU5:AU7"/>
    <mergeCell ref="AV5:AV7"/>
    <mergeCell ref="AW5:AW7"/>
    <mergeCell ref="BE5:BE7"/>
    <mergeCell ref="AX5:AX7"/>
    <mergeCell ref="AY5:AY7"/>
    <mergeCell ref="AZ5:AZ7"/>
    <mergeCell ref="BA5:BA7"/>
    <mergeCell ref="BB5:BB7"/>
    <mergeCell ref="BC5:BC7"/>
    <mergeCell ref="BD5:BD7"/>
    <mergeCell ref="AP5:AP7"/>
    <mergeCell ref="AC5:AC7"/>
    <mergeCell ref="AD5:AD7"/>
    <mergeCell ref="AE5:AE7"/>
    <mergeCell ref="Z5:Z7"/>
    <mergeCell ref="AA5:AA7"/>
    <mergeCell ref="AB5:AB7"/>
    <mergeCell ref="AT5:AT7"/>
    <mergeCell ref="AI5:AI7"/>
    <mergeCell ref="AJ5:AJ7"/>
    <mergeCell ref="AK5:AK7"/>
    <mergeCell ref="BF5:BF7"/>
    <mergeCell ref="BG5:BG7"/>
    <mergeCell ref="O5:O7"/>
    <mergeCell ref="P5:P7"/>
    <mergeCell ref="Q5:Q7"/>
    <mergeCell ref="R5:R7"/>
    <mergeCell ref="S5:S7"/>
    <mergeCell ref="T5:T7"/>
    <mergeCell ref="D5:E5"/>
    <mergeCell ref="X5:X7"/>
    <mergeCell ref="Y5:Y7"/>
    <mergeCell ref="AQ5:AQ7"/>
    <mergeCell ref="AR5:AR7"/>
    <mergeCell ref="AG5:AG7"/>
    <mergeCell ref="AH5:AH7"/>
    <mergeCell ref="AS5:AS7"/>
    <mergeCell ref="AF5:AF7"/>
    <mergeCell ref="U5:U7"/>
    <mergeCell ref="V5:V7"/>
    <mergeCell ref="W5:W7"/>
    <mergeCell ref="AL5:AL7"/>
    <mergeCell ref="AM5:AM7"/>
    <mergeCell ref="AN5:AN7"/>
    <mergeCell ref="AO5:AO7"/>
    <mergeCell ref="B5:C5"/>
    <mergeCell ref="L5:L7"/>
    <mergeCell ref="M5:M7"/>
    <mergeCell ref="N5:N7"/>
    <mergeCell ref="K5:K7"/>
    <mergeCell ref="B4:C4"/>
    <mergeCell ref="D4:E4"/>
    <mergeCell ref="B7:C7"/>
    <mergeCell ref="B6:C6"/>
    <mergeCell ref="D6:E6"/>
    <mergeCell ref="DB5:DB7"/>
    <mergeCell ref="DC5:DC7"/>
    <mergeCell ref="DD5:DD7"/>
    <mergeCell ref="DE5:DE7"/>
    <mergeCell ref="DF5:DF7"/>
    <mergeCell ref="CW5:CW7"/>
    <mergeCell ref="CX5:CX7"/>
    <mergeCell ref="CY5:CY7"/>
    <mergeCell ref="CZ5:CZ7"/>
    <mergeCell ref="DA5:DA7"/>
    <mergeCell ref="DL5:DL7"/>
    <mergeCell ref="DM5:DM7"/>
    <mergeCell ref="DN5:DN7"/>
    <mergeCell ref="DO5:DO7"/>
    <mergeCell ref="DG5:DG7"/>
    <mergeCell ref="DH5:DH7"/>
    <mergeCell ref="DI5:DI7"/>
    <mergeCell ref="DJ5:DJ7"/>
    <mergeCell ref="DK5:DK7"/>
  </mergeCells>
  <conditionalFormatting sqref="K10:DO27">
    <cfRule type="expression" dxfId="75" priority="2">
      <formula>PercentComplete</formula>
    </cfRule>
    <cfRule type="expression" dxfId="74" priority="3">
      <formula>PercentCompleteBeyond</formula>
    </cfRule>
    <cfRule type="expression" dxfId="73" priority="4">
      <formula>Actual</formula>
    </cfRule>
    <cfRule type="expression" dxfId="72" priority="5">
      <formula>ActualBeyond</formula>
    </cfRule>
    <cfRule type="expression" dxfId="71" priority="6">
      <formula>Plan</formula>
    </cfRule>
    <cfRule type="expression" dxfId="70" priority="7">
      <formula>K$8=period_selected</formula>
    </cfRule>
    <cfRule type="expression" dxfId="69" priority="9">
      <formula>MOD(COLUMN(),2)</formula>
    </cfRule>
    <cfRule type="expression" dxfId="68" priority="10">
      <formula>MOD(COLUMN(),2)=0</formula>
    </cfRule>
  </conditionalFormatting>
  <conditionalFormatting sqref="K8:DO9">
    <cfRule type="expression" dxfId="67" priority="8">
      <formula>K$8=period_selected</formula>
    </cfRule>
  </conditionalFormatting>
  <conditionalFormatting sqref="K28:BR28">
    <cfRule type="expression" dxfId="66" priority="1">
      <formula>K$8=period_selected</formula>
    </cfRule>
  </conditionalFormatting>
  <dataValidations count="1">
    <dataValidation type="list" allowBlank="1" showInputMessage="1" showErrorMessage="1" sqref="D7" xr:uid="{366C97D1-6A34-416E-A55F-46C2CB7EFA18}">
      <formula1>"USD,EUR,MXN,BRL,GBP,CNY,SEK,SAR"</formula1>
    </dataValidation>
  </dataValidations>
  <pageMargins left="0.45" right="0.45" top="0.5" bottom="0.5" header="0.3" footer="0.3"/>
  <pageSetup scale="3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print="0" autoPict="0" altText="Period Highlight Spin Control">
                <anchor mov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203200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5" name="Spinner 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Spinner 1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Spinner 1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8" name="Spinner 1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9" name="Spinner 2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0" name="Spinner 2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1" name="Spinner 2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2" name="Spinner 29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13" name="Spinner 3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14" name="Spinner 3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15" name="Spinner 3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16" name="Spinner 3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17" name="Spinner 3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18" name="Spinner 3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19" name="Spinner 3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0" name="Spinner 3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Spinner 3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24" name="Spinner 4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25" name="Spinner 4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26" name="Spinner 4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27" name="Spinner 4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28" name="Spinner 4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29" name="Spinner 4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30" name="Spinner 4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31" name="Spinner 49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32" name="Spinner 5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33" name="Spinner 5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34" name="Spinner 5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35" name="Spinner 5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36" name="Spinner 5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37" name="Spinner 5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38" name="Spinner 5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9" name="Spinner 5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40" name="Spinner 59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41" name="Spinner 60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42" name="Spinner 61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43" name="Spinner 62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44" name="Spinner 63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45" name="Spinner 64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46" name="Spinner 65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47" name="Spinner 66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48" name="Spinner 67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Sheet2!$B$2:$B$10</xm:f>
          </x14:formula1>
          <xm:sqref>G30 G38:G119</xm:sqref>
        </x14:dataValidation>
        <x14:dataValidation type="list" allowBlank="1" showInputMessage="1" showErrorMessage="1" xr:uid="{00000000-0002-0000-0200-000002000000}">
          <x14:formula1>
            <xm:f>Sheet1!$N$3:$N$57</xm:f>
          </x14:formula1>
          <xm:sqref>D30:D31 D38:D119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AF105"/>
  <sheetViews>
    <sheetView showGridLines="0" topLeftCell="C1" zoomScale="90" zoomScaleNormal="90" workbookViewId="0">
      <selection activeCell="U10" sqref="U10"/>
    </sheetView>
  </sheetViews>
  <sheetFormatPr defaultColWidth="9.08984375" defaultRowHeight="12.5" x14ac:dyDescent="0.25"/>
  <cols>
    <col min="1" max="1" width="4.08984375" style="112" customWidth="1"/>
    <col min="2" max="2" width="1.08984375" style="112" customWidth="1"/>
    <col min="3" max="3" width="3.08984375" style="112" customWidth="1"/>
    <col min="4" max="4" width="41.08984375" style="382" bestFit="1" customWidth="1"/>
    <col min="5" max="5" width="7.81640625" style="112" customWidth="1"/>
    <col min="6" max="6" width="7.6328125" style="112" customWidth="1"/>
    <col min="7" max="7" width="6.08984375" style="112" customWidth="1"/>
    <col min="8" max="8" width="11.08984375" style="112" bestFit="1" customWidth="1"/>
    <col min="9" max="9" width="8.453125" style="112" customWidth="1"/>
    <col min="10" max="10" width="9.6328125" style="383" customWidth="1"/>
    <col min="11" max="11" width="11.08984375" style="383" bestFit="1" customWidth="1"/>
    <col min="12" max="12" width="13.81640625" style="383" bestFit="1" customWidth="1"/>
    <col min="13" max="13" width="13.81640625" style="383" hidden="1" customWidth="1"/>
    <col min="14" max="14" width="15.81640625" style="383" bestFit="1" customWidth="1"/>
    <col min="15" max="15" width="10.6328125" style="383" customWidth="1"/>
    <col min="16" max="17" width="9.08984375" style="383" customWidth="1"/>
    <col min="18" max="18" width="4.6328125" style="112" customWidth="1"/>
    <col min="19" max="19" width="31.81640625" style="112" customWidth="1"/>
    <col min="20" max="20" width="6" style="112" customWidth="1"/>
    <col min="21" max="21" width="11.6328125" style="112" customWidth="1"/>
    <col min="22" max="22" width="2.453125" style="112" customWidth="1"/>
    <col min="23" max="23" width="2.81640625" style="112" customWidth="1"/>
    <col min="24" max="24" width="3.453125" style="112" customWidth="1"/>
    <col min="25" max="25" width="1.453125" style="112" customWidth="1"/>
    <col min="26" max="26" width="14.08984375" style="112" customWidth="1"/>
    <col min="27" max="27" width="8.08984375" style="112" customWidth="1"/>
    <col min="28" max="28" width="14.08984375" style="371" customWidth="1"/>
    <col min="29" max="29" width="0" style="112" hidden="1" customWidth="1"/>
    <col min="30" max="30" width="14.08984375" style="112" hidden="1" customWidth="1"/>
    <col min="31" max="16384" width="9.08984375" style="112"/>
  </cols>
  <sheetData>
    <row r="1" spans="3:30" ht="76.25" customHeight="1" x14ac:dyDescent="0.25"/>
    <row r="2" spans="3:30" ht="14.5" x14ac:dyDescent="0.25">
      <c r="C2" s="372"/>
      <c r="D2" s="384"/>
      <c r="E2" s="372"/>
      <c r="F2" s="372"/>
      <c r="J2" s="385"/>
      <c r="K2" s="386"/>
      <c r="L2" s="385"/>
      <c r="M2" s="385"/>
      <c r="N2" s="385"/>
      <c r="O2" s="385"/>
      <c r="P2" s="385"/>
      <c r="Q2" s="385"/>
      <c r="S2" s="372"/>
      <c r="T2" s="372"/>
      <c r="Y2" s="372"/>
      <c r="Z2" s="372"/>
      <c r="AA2" s="372"/>
      <c r="AB2" s="373"/>
    </row>
    <row r="3" spans="3:30" ht="17" x14ac:dyDescent="0.4">
      <c r="C3" s="9" t="s">
        <v>55</v>
      </c>
      <c r="D3" s="31"/>
      <c r="E3" s="98"/>
      <c r="F3" s="98"/>
      <c r="G3" s="99"/>
      <c r="H3" s="99"/>
      <c r="I3" s="99"/>
      <c r="J3" s="100"/>
      <c r="K3" s="97"/>
      <c r="L3" s="97"/>
      <c r="M3" s="97"/>
      <c r="N3" s="97"/>
      <c r="O3" s="109"/>
      <c r="P3" s="109"/>
      <c r="Q3" s="109"/>
      <c r="S3" s="16" t="s">
        <v>107</v>
      </c>
      <c r="T3" s="16"/>
      <c r="U3" s="63" t="str">
        <f>'Project Estimations'!$D$7</f>
        <v>USD</v>
      </c>
      <c r="X3" s="9" t="s">
        <v>129</v>
      </c>
      <c r="Y3" s="7"/>
      <c r="Z3" s="8"/>
      <c r="AA3" s="374"/>
      <c r="AB3" s="63" t="str">
        <f>'Project Estimations'!$D$7</f>
        <v>USD</v>
      </c>
    </row>
    <row r="4" spans="3:30" ht="18.5" x14ac:dyDescent="0.45">
      <c r="C4" s="95"/>
      <c r="D4" s="96" t="s">
        <v>48</v>
      </c>
      <c r="E4" s="89" t="s">
        <v>38</v>
      </c>
      <c r="F4" s="89" t="s">
        <v>37</v>
      </c>
      <c r="G4" s="89" t="s">
        <v>4</v>
      </c>
      <c r="H4" s="89" t="s">
        <v>102</v>
      </c>
      <c r="I4" s="89" t="s">
        <v>130</v>
      </c>
      <c r="J4" s="97" t="s">
        <v>103</v>
      </c>
      <c r="K4" s="387" t="s">
        <v>163</v>
      </c>
      <c r="L4" s="97" t="s">
        <v>411</v>
      </c>
      <c r="M4" s="97"/>
      <c r="N4" s="97" t="s">
        <v>412</v>
      </c>
      <c r="O4" s="388" t="s">
        <v>104</v>
      </c>
      <c r="P4" s="97" t="s">
        <v>105</v>
      </c>
      <c r="Q4" s="97" t="s">
        <v>413</v>
      </c>
      <c r="R4" s="389"/>
      <c r="S4" s="80" t="s">
        <v>54</v>
      </c>
      <c r="T4" s="80" t="s">
        <v>108</v>
      </c>
      <c r="U4" s="69" t="s">
        <v>96</v>
      </c>
      <c r="X4" s="9" t="s">
        <v>62</v>
      </c>
      <c r="Y4" s="31"/>
      <c r="Z4" s="98"/>
      <c r="AA4" s="98"/>
      <c r="AB4" s="104">
        <f>AB5+AB15+AB25+AB35+AB65+AB37</f>
        <v>0</v>
      </c>
    </row>
    <row r="5" spans="3:30" ht="14.5" x14ac:dyDescent="0.35">
      <c r="C5" s="46" t="str">
        <f>'Margin Calculation'!C11</f>
        <v>Y</v>
      </c>
      <c r="D5" s="46" t="str">
        <f>IF('Project Estimations'!D30="","",'Project Estimations'!C30&amp;" "&amp;'Project Estimations'!D30&amp;" "&amp;'Project Estimations'!E30)</f>
        <v/>
      </c>
      <c r="E5" s="38" t="str">
        <f>IF('Project Estimations'!F30="","",'Project Estimations'!F30)</f>
        <v/>
      </c>
      <c r="F5" s="38" t="str">
        <f>IF('Project Estimations'!G30="","",'Project Estimations'!G30)</f>
        <v/>
      </c>
      <c r="G5" s="38" t="str">
        <f>IF((OR('Project Estimations'!H30="",'Project Estimations'!H30=0)),"",'Project Estimations'!H30)</f>
        <v/>
      </c>
      <c r="H5" s="38" t="str">
        <f>IF((OR('Project Estimations'!H30="",'Project Estimations'!H30=0)),"",COUNT('Project Estimations'!K30:BR30))</f>
        <v/>
      </c>
      <c r="I5" s="390" t="str">
        <f>IFERROR(G5/(H5*5),"")</f>
        <v/>
      </c>
      <c r="J5" s="391"/>
      <c r="K5" s="392"/>
      <c r="L5" s="392"/>
      <c r="M5" s="393">
        <f>+IF(L5="&gt;= 3hours",3,IF(L5="&gt;= 6hours",6,IF(L5="includes Sundays","S",0)))</f>
        <v>0</v>
      </c>
      <c r="N5" s="391"/>
      <c r="O5" s="394" t="str">
        <f t="shared" ref="O5" si="0">IFERROR(ROUNDUP((G5*J5/5)/$K5,0),"")</f>
        <v/>
      </c>
      <c r="P5" s="395" t="str">
        <f t="shared" ref="P5" si="1">IFERROR(O5*(5+($K5-1)*7)-(INT(((O5*$K5*5)-(G5*J5))/5)*7+(((O5*$K5*5)-(G5*J5))-INT(((O5*$K5*5)-(G5*J5))/5)*5)),"")</f>
        <v/>
      </c>
      <c r="Q5" s="396" t="str">
        <f>+IFERROR(N5*G5/22,"")</f>
        <v/>
      </c>
      <c r="S5" s="45" t="s">
        <v>164</v>
      </c>
      <c r="T5" s="375">
        <f>IFERROR(SUMPRODUCT($G$5:$G$105,$K$5:$K$105)/'Project Estimations'!$H$46,0)</f>
        <v>0</v>
      </c>
      <c r="U5" s="40"/>
      <c r="X5" s="376" t="s">
        <v>11</v>
      </c>
      <c r="Y5" s="377"/>
      <c r="Z5" s="377"/>
      <c r="AA5" s="232">
        <f>SUM(AA6:AA14)</f>
        <v>0</v>
      </c>
      <c r="AB5" s="378">
        <f>SUM(AB6:AB14)</f>
        <v>0</v>
      </c>
    </row>
    <row r="6" spans="3:30" ht="13" x14ac:dyDescent="0.25">
      <c r="C6" s="45" t="str">
        <f>'Margin Calculation'!C12</f>
        <v>Y</v>
      </c>
      <c r="D6" s="45" t="str">
        <f>IF('Project Estimations'!D31="","",'Project Estimations'!C31&amp;" "&amp;'Project Estimations'!D31&amp;" "&amp;'Project Estimations'!E31)</f>
        <v xml:space="preserve">Service Manager 300 - Project Manager </v>
      </c>
      <c r="E6" s="40">
        <f>IF('Project Estimations'!F31="","",'Project Estimations'!F31)</f>
        <v>300</v>
      </c>
      <c r="F6" s="40" t="str">
        <f>IF('Project Estimations'!G31="","",'Project Estimations'!G31)</f>
        <v>PT</v>
      </c>
      <c r="G6" s="40">
        <f>IF((OR('Project Estimations'!H31="",'Project Estimations'!H31=0)),"",'Project Estimations'!H31)</f>
        <v>61</v>
      </c>
      <c r="H6" s="40">
        <f>IF((OR('Project Estimations'!H31="",'Project Estimations'!H31=0)),"",COUNT('Project Estimations'!K31:BR31))</f>
        <v>1</v>
      </c>
      <c r="I6" s="375">
        <f t="shared" ref="I6:I69" si="2">IFERROR(G6/(H6*5),"")</f>
        <v>12.2</v>
      </c>
      <c r="J6" s="397"/>
      <c r="K6" s="398"/>
      <c r="L6" s="398"/>
      <c r="M6" s="399">
        <f t="shared" ref="M6:M69" si="3">+IF(L6="&gt;= 3hours",3,IF(L6="&gt;= 6hours",6,IF(L6="includes Sundays","S",0)))</f>
        <v>0</v>
      </c>
      <c r="N6" s="397"/>
      <c r="O6" s="400" t="str">
        <f t="shared" ref="O6:O69" si="4">IFERROR(ROUNDUP((G6*J6/5)/$K6,0),"")</f>
        <v/>
      </c>
      <c r="P6" s="401" t="str">
        <f t="shared" ref="P6:P69" si="5">IFERROR(O6*(5+($K6-1)*7)-(INT(((O6*$K6*5)-(G6*J6))/5)*7+(((O6*$K6*5)-(G6*J6))-INT(((O6*$K6*5)-(G6*J6))/5)*5)),"")</f>
        <v/>
      </c>
      <c r="Q6" s="402">
        <f t="shared" ref="Q6:Q69" si="6">+IFERROR(N6*G6/22,"")</f>
        <v>0</v>
      </c>
      <c r="S6" s="46" t="s">
        <v>165</v>
      </c>
      <c r="T6" s="38">
        <f>IF(T5&lt;2,0,5+(T5-1)*7)</f>
        <v>0</v>
      </c>
      <c r="X6" s="40"/>
      <c r="Y6" s="40"/>
      <c r="Z6" s="45" t="s">
        <v>13</v>
      </c>
      <c r="AA6" s="40">
        <f t="shared" ref="AA6:AA14" si="7">SUMIFS($O$5:$O$105,$F$5:$F$105,Z6,$C$5:$C$105,"Y")</f>
        <v>0</v>
      </c>
      <c r="AB6" s="74">
        <f>U19*AA6</f>
        <v>0</v>
      </c>
      <c r="AC6" s="112" t="s">
        <v>13</v>
      </c>
      <c r="AD6" s="403">
        <f t="shared" ref="AD6:AD12" si="8">AB6+AB16+AB26+($AB$35+$AB$65)*AD14</f>
        <v>0</v>
      </c>
    </row>
    <row r="7" spans="3:30" ht="13" x14ac:dyDescent="0.25">
      <c r="C7" s="46" t="str">
        <f>'Margin Calculation'!C13</f>
        <v>Y</v>
      </c>
      <c r="D7" s="46" t="str">
        <f>IF('Project Estimations'!D32="","",'Project Estimations'!C32&amp;" "&amp;'Project Estimations'!D32&amp;" "&amp;'Project Estimations'!E32)</f>
        <v xml:space="preserve">OPS Manager 303 - Senior Project Manager </v>
      </c>
      <c r="E7" s="38">
        <f>IF('Project Estimations'!F32="","",'Project Estimations'!F32)</f>
        <v>303</v>
      </c>
      <c r="F7" s="38" t="str">
        <f>IF('Project Estimations'!G32="","",'Project Estimations'!G32)</f>
        <v>BR</v>
      </c>
      <c r="G7" s="38">
        <f>IF((OR('Project Estimations'!H32="",'Project Estimations'!H32=0)),"",'Project Estimations'!H32)</f>
        <v>8</v>
      </c>
      <c r="H7" s="38">
        <f>IF((OR('Project Estimations'!H32="",'Project Estimations'!H32=0)),"",COUNT('Project Estimations'!K32:BR32))</f>
        <v>1</v>
      </c>
      <c r="I7" s="390">
        <f t="shared" si="2"/>
        <v>1.6</v>
      </c>
      <c r="J7" s="391"/>
      <c r="K7" s="392"/>
      <c r="L7" s="392"/>
      <c r="M7" s="393">
        <f t="shared" si="3"/>
        <v>0</v>
      </c>
      <c r="N7" s="391"/>
      <c r="O7" s="394" t="str">
        <f t="shared" si="4"/>
        <v/>
      </c>
      <c r="P7" s="395" t="str">
        <f t="shared" si="5"/>
        <v/>
      </c>
      <c r="Q7" s="396">
        <f t="shared" si="6"/>
        <v>0</v>
      </c>
      <c r="S7" s="45" t="s">
        <v>106</v>
      </c>
      <c r="T7" s="45"/>
      <c r="U7" s="76">
        <v>120</v>
      </c>
      <c r="Z7" s="46" t="s">
        <v>20</v>
      </c>
      <c r="AA7" s="38">
        <f t="shared" si="7"/>
        <v>0</v>
      </c>
      <c r="AB7" s="75">
        <f t="shared" ref="AB7:AB14" si="9">U20*AA7</f>
        <v>0</v>
      </c>
      <c r="AC7" s="112" t="s">
        <v>20</v>
      </c>
      <c r="AD7" s="403">
        <f t="shared" si="8"/>
        <v>0</v>
      </c>
    </row>
    <row r="8" spans="3:30" ht="13" x14ac:dyDescent="0.25">
      <c r="C8" s="45" t="str">
        <f>'Margin Calculation'!C14</f>
        <v>Y</v>
      </c>
      <c r="D8" s="45" t="str">
        <f>IF('Project Estimations'!D33="","",'Project Estimations'!C33&amp;" "&amp;'Project Estimations'!D33&amp;" "&amp;'Project Estimations'!E33)</f>
        <v/>
      </c>
      <c r="E8" s="40" t="str">
        <f>IF('Project Estimations'!F33="","",'Project Estimations'!F33)</f>
        <v/>
      </c>
      <c r="F8" s="40" t="str">
        <f>IF('Project Estimations'!G33="","",'Project Estimations'!G33)</f>
        <v/>
      </c>
      <c r="G8" s="40" t="str">
        <f>IF((OR('Project Estimations'!H33="",'Project Estimations'!H33=0)),"",'Project Estimations'!H33)</f>
        <v/>
      </c>
      <c r="H8" s="40" t="str">
        <f>IF((OR('Project Estimations'!H33="",'Project Estimations'!H33=0)),"",COUNT('Project Estimations'!K33:BR33))</f>
        <v/>
      </c>
      <c r="I8" s="375" t="str">
        <f t="shared" si="2"/>
        <v/>
      </c>
      <c r="J8" s="397"/>
      <c r="K8" s="398"/>
      <c r="L8" s="398"/>
      <c r="M8" s="399">
        <f t="shared" si="3"/>
        <v>0</v>
      </c>
      <c r="N8" s="397"/>
      <c r="O8" s="400" t="str">
        <f t="shared" si="4"/>
        <v/>
      </c>
      <c r="P8" s="401" t="str">
        <f t="shared" si="5"/>
        <v/>
      </c>
      <c r="Q8" s="402" t="str">
        <f t="shared" si="6"/>
        <v/>
      </c>
      <c r="S8" s="46" t="s">
        <v>127</v>
      </c>
      <c r="T8" s="46"/>
      <c r="U8" s="379">
        <v>1</v>
      </c>
      <c r="X8" s="40"/>
      <c r="Y8" s="40"/>
      <c r="Z8" s="45" t="s">
        <v>15</v>
      </c>
      <c r="AA8" s="40">
        <f t="shared" si="7"/>
        <v>0</v>
      </c>
      <c r="AB8" s="74">
        <f t="shared" si="9"/>
        <v>0</v>
      </c>
      <c r="AC8" s="112" t="s">
        <v>15</v>
      </c>
      <c r="AD8" s="403">
        <f t="shared" si="8"/>
        <v>0</v>
      </c>
    </row>
    <row r="9" spans="3:30" ht="13.5" customHeight="1" x14ac:dyDescent="0.25">
      <c r="C9" s="46" t="str">
        <f>'Margin Calculation'!C15</f>
        <v>Y</v>
      </c>
      <c r="D9" s="46" t="str">
        <f>IF('Project Estimations'!D34="","",'Project Estimations'!C34&amp;" "&amp;'Project Estimations'!D34&amp;" "&amp;'Project Estimations'!E34)</f>
        <v xml:space="preserve">CMS Structure 403 - Non Executive Manager </v>
      </c>
      <c r="E9" s="38">
        <f>IF('Project Estimations'!F34="","",'Project Estimations'!F34)</f>
        <v>403</v>
      </c>
      <c r="F9" s="38" t="str">
        <f>IF('Project Estimations'!G34="","",'Project Estimations'!G34)</f>
        <v>PT</v>
      </c>
      <c r="G9" s="38">
        <f>IF((OR('Project Estimations'!H34="",'Project Estimations'!H34=0)),"",'Project Estimations'!H34)</f>
        <v>1</v>
      </c>
      <c r="H9" s="38">
        <f>IF((OR('Project Estimations'!H34="",'Project Estimations'!H34=0)),"",COUNT('Project Estimations'!K34:BR34))</f>
        <v>1</v>
      </c>
      <c r="I9" s="390">
        <f t="shared" si="2"/>
        <v>0.2</v>
      </c>
      <c r="J9" s="391"/>
      <c r="K9" s="392"/>
      <c r="L9" s="392"/>
      <c r="M9" s="393">
        <f t="shared" si="3"/>
        <v>0</v>
      </c>
      <c r="N9" s="391"/>
      <c r="O9" s="394" t="str">
        <f t="shared" si="4"/>
        <v/>
      </c>
      <c r="P9" s="395" t="str">
        <f t="shared" si="5"/>
        <v/>
      </c>
      <c r="Q9" s="396">
        <f t="shared" si="6"/>
        <v>0</v>
      </c>
      <c r="S9" s="45" t="s">
        <v>128</v>
      </c>
      <c r="T9" s="76">
        <v>1</v>
      </c>
      <c r="U9" s="40"/>
      <c r="Z9" s="46" t="s">
        <v>16</v>
      </c>
      <c r="AA9" s="38">
        <f t="shared" si="7"/>
        <v>0</v>
      </c>
      <c r="AB9" s="75">
        <f t="shared" si="9"/>
        <v>0</v>
      </c>
      <c r="AC9" s="112" t="s">
        <v>16</v>
      </c>
      <c r="AD9" s="403">
        <f t="shared" si="8"/>
        <v>0</v>
      </c>
    </row>
    <row r="10" spans="3:30" ht="13" x14ac:dyDescent="0.25">
      <c r="C10" s="45" t="str">
        <f>'Margin Calculation'!C16</f>
        <v>Y</v>
      </c>
      <c r="D10" s="45" t="str">
        <f>IF('Project Estimations'!D35="","",'Project Estimations'!C35&amp;" "&amp;'Project Estimations'!D35&amp;" "&amp;'Project Estimations'!E35)</f>
        <v xml:space="preserve">CMS Structure 400 - Delivery Manager </v>
      </c>
      <c r="E10" s="40">
        <f>IF('Project Estimations'!F35="","",'Project Estimations'!F35)</f>
        <v>400</v>
      </c>
      <c r="F10" s="40" t="str">
        <f>IF('Project Estimations'!G35="","",'Project Estimations'!G35)</f>
        <v>PT</v>
      </c>
      <c r="G10" s="40">
        <f>IF((OR('Project Estimations'!H35="",'Project Estimations'!H35=0)),"",'Project Estimations'!H35)</f>
        <v>1</v>
      </c>
      <c r="H10" s="40">
        <f>IF((OR('Project Estimations'!H35="",'Project Estimations'!H35=0)),"",COUNT('Project Estimations'!K35:BR35))</f>
        <v>1</v>
      </c>
      <c r="I10" s="375">
        <f t="shared" si="2"/>
        <v>0.2</v>
      </c>
      <c r="J10" s="397"/>
      <c r="K10" s="398"/>
      <c r="L10" s="398"/>
      <c r="M10" s="399">
        <f t="shared" si="3"/>
        <v>0</v>
      </c>
      <c r="N10" s="397"/>
      <c r="O10" s="400" t="str">
        <f t="shared" si="4"/>
        <v/>
      </c>
      <c r="P10" s="401" t="str">
        <f t="shared" si="5"/>
        <v/>
      </c>
      <c r="Q10" s="401">
        <f t="shared" si="6"/>
        <v>0</v>
      </c>
      <c r="S10" s="46" t="s">
        <v>116</v>
      </c>
      <c r="T10" s="46"/>
      <c r="U10" s="379">
        <f>65*VLOOKUP('Expenses Estimation'!$U$3,'Margin Calculation'!$AE$11:$AF$20,2,0)</f>
        <v>72.774000000000001</v>
      </c>
      <c r="X10" s="40"/>
      <c r="Y10" s="40"/>
      <c r="Z10" s="45" t="s">
        <v>417</v>
      </c>
      <c r="AA10" s="40">
        <f t="shared" si="7"/>
        <v>0</v>
      </c>
      <c r="AB10" s="74">
        <f t="shared" si="9"/>
        <v>0</v>
      </c>
      <c r="AC10" s="112" t="s">
        <v>21</v>
      </c>
      <c r="AD10" s="403">
        <f t="shared" si="8"/>
        <v>0</v>
      </c>
    </row>
    <row r="11" spans="3:30" ht="13" x14ac:dyDescent="0.25">
      <c r="C11" s="46" t="str">
        <f>'Margin Calculation'!C17</f>
        <v>Y</v>
      </c>
      <c r="D11" s="46" t="str">
        <f>IF('Project Estimations'!D36="","",'Project Estimations'!C36&amp;" "&amp;'Project Estimations'!D36&amp;" "&amp;'Project Estimations'!E36)</f>
        <v xml:space="preserve">CMS Structure 400 - Principal Solutions Architect </v>
      </c>
      <c r="E11" s="38">
        <f>IF('Project Estimations'!F36="","",'Project Estimations'!F36)</f>
        <v>400</v>
      </c>
      <c r="F11" s="38" t="str">
        <f>IF('Project Estimations'!G36="","",'Project Estimations'!G36)</f>
        <v>PT</v>
      </c>
      <c r="G11" s="38">
        <f>IF((OR('Project Estimations'!H36="",'Project Estimations'!H36=0)),"",'Project Estimations'!H36)</f>
        <v>2</v>
      </c>
      <c r="H11" s="38">
        <f>IF((OR('Project Estimations'!H36="",'Project Estimations'!H36=0)),"",COUNT('Project Estimations'!K36:BR36))</f>
        <v>1</v>
      </c>
      <c r="I11" s="390">
        <f t="shared" si="2"/>
        <v>0.4</v>
      </c>
      <c r="J11" s="391"/>
      <c r="K11" s="392"/>
      <c r="L11" s="392"/>
      <c r="M11" s="393">
        <f t="shared" si="3"/>
        <v>0</v>
      </c>
      <c r="N11" s="391"/>
      <c r="O11" s="394" t="str">
        <f t="shared" si="4"/>
        <v/>
      </c>
      <c r="P11" s="395" t="str">
        <f t="shared" si="5"/>
        <v/>
      </c>
      <c r="Q11" s="395">
        <f t="shared" si="6"/>
        <v>0</v>
      </c>
      <c r="S11" s="45" t="s">
        <v>117</v>
      </c>
      <c r="T11" s="45"/>
      <c r="U11" s="76">
        <v>0</v>
      </c>
      <c r="Z11" s="46" t="s">
        <v>100</v>
      </c>
      <c r="AA11" s="38">
        <f t="shared" si="7"/>
        <v>0</v>
      </c>
      <c r="AB11" s="75">
        <f t="shared" si="9"/>
        <v>0</v>
      </c>
      <c r="AC11" s="112" t="s">
        <v>100</v>
      </c>
      <c r="AD11" s="403">
        <f t="shared" si="8"/>
        <v>0</v>
      </c>
    </row>
    <row r="12" spans="3:30" ht="13" x14ac:dyDescent="0.25">
      <c r="C12" s="45" t="str">
        <f>'Margin Calculation'!C18</f>
        <v>Y</v>
      </c>
      <c r="D12" s="45" t="str">
        <f>IF('Project Estimations'!D37="","",'Project Estimations'!C37&amp;" "&amp;'Project Estimations'!D37&amp;" "&amp;'Project Estimations'!E37)</f>
        <v xml:space="preserve">CMS Structure 302 - Senior Project Manager </v>
      </c>
      <c r="E12" s="40">
        <f>IF('Project Estimations'!F37="","",'Project Estimations'!F37)</f>
        <v>302</v>
      </c>
      <c r="F12" s="40" t="str">
        <f>IF('Project Estimations'!G37="","",'Project Estimations'!G37)</f>
        <v>PT</v>
      </c>
      <c r="G12" s="40">
        <f>IF((OR('Project Estimations'!H37="",'Project Estimations'!H37=0)),"",'Project Estimations'!H37)</f>
        <v>2</v>
      </c>
      <c r="H12" s="40">
        <f>IF((OR('Project Estimations'!H37="",'Project Estimations'!H37=0)),"",COUNT('Project Estimations'!K37:BR37))</f>
        <v>1</v>
      </c>
      <c r="I12" s="375">
        <f t="shared" si="2"/>
        <v>0.4</v>
      </c>
      <c r="J12" s="397"/>
      <c r="K12" s="398"/>
      <c r="L12" s="398"/>
      <c r="M12" s="399">
        <f t="shared" si="3"/>
        <v>0</v>
      </c>
      <c r="N12" s="397"/>
      <c r="O12" s="400" t="str">
        <f t="shared" si="4"/>
        <v/>
      </c>
      <c r="P12" s="401" t="str">
        <f t="shared" si="5"/>
        <v/>
      </c>
      <c r="Q12" s="401">
        <f t="shared" si="6"/>
        <v>0</v>
      </c>
      <c r="S12" s="46" t="s">
        <v>118</v>
      </c>
      <c r="T12" s="46"/>
      <c r="U12" s="379">
        <v>0</v>
      </c>
      <c r="X12" s="40"/>
      <c r="Y12" s="40"/>
      <c r="Z12" s="45" t="s">
        <v>178</v>
      </c>
      <c r="AA12" s="40">
        <f t="shared" si="7"/>
        <v>0</v>
      </c>
      <c r="AB12" s="74">
        <f t="shared" si="9"/>
        <v>0</v>
      </c>
      <c r="AC12" s="112" t="s">
        <v>178</v>
      </c>
      <c r="AD12" s="403">
        <f t="shared" si="8"/>
        <v>0</v>
      </c>
    </row>
    <row r="13" spans="3:30" ht="13" x14ac:dyDescent="0.25">
      <c r="C13" s="46" t="str">
        <f>'Margin Calculation'!C19</f>
        <v>Y</v>
      </c>
      <c r="D13" s="46" t="str">
        <f>IF('Project Estimations'!D38="","",'Project Estimations'!C38&amp;" "&amp;'Project Estimations'!D38&amp;" "&amp;'Project Estimations'!E38)</f>
        <v/>
      </c>
      <c r="E13" s="38" t="str">
        <f>IF('Project Estimations'!F38="","",'Project Estimations'!F38)</f>
        <v/>
      </c>
      <c r="F13" s="38" t="str">
        <f>IF('Project Estimations'!G38="","",'Project Estimations'!G38)</f>
        <v/>
      </c>
      <c r="G13" s="38" t="str">
        <f>IF((OR('Project Estimations'!H38="",'Project Estimations'!H38=0)),"",'Project Estimations'!H38)</f>
        <v/>
      </c>
      <c r="H13" s="38" t="str">
        <f>IF((OR('Project Estimations'!H38="",'Project Estimations'!H38=0)),"",COUNT('Project Estimations'!K38:BR38))</f>
        <v/>
      </c>
      <c r="I13" s="390" t="str">
        <f t="shared" si="2"/>
        <v/>
      </c>
      <c r="J13" s="391"/>
      <c r="K13" s="392"/>
      <c r="L13" s="392"/>
      <c r="M13" s="393">
        <f t="shared" si="3"/>
        <v>0</v>
      </c>
      <c r="N13" s="391"/>
      <c r="O13" s="394" t="str">
        <f t="shared" si="4"/>
        <v/>
      </c>
      <c r="P13" s="395" t="str">
        <f t="shared" si="5"/>
        <v/>
      </c>
      <c r="Q13" s="395" t="str">
        <f t="shared" si="6"/>
        <v/>
      </c>
      <c r="S13" s="45" t="s">
        <v>119</v>
      </c>
      <c r="T13" s="45"/>
      <c r="U13" s="76">
        <f>220*VLOOKUP($U$3,'Margin Calculation'!$AE$51:$AF$60,2,0)</f>
        <v>40.710057419685533</v>
      </c>
      <c r="Z13" s="46" t="s">
        <v>354</v>
      </c>
      <c r="AA13" s="38">
        <f t="shared" si="7"/>
        <v>0</v>
      </c>
      <c r="AB13" s="75">
        <f t="shared" si="9"/>
        <v>0</v>
      </c>
      <c r="AC13" s="112" t="s">
        <v>49</v>
      </c>
      <c r="AD13" s="403">
        <f>AB14+AB24+AB34+($AB$35+$AB$65)*AD21</f>
        <v>0</v>
      </c>
    </row>
    <row r="14" spans="3:30" ht="13" x14ac:dyDescent="0.25">
      <c r="C14" s="45" t="str">
        <f>'Margin Calculation'!C20</f>
        <v>Y</v>
      </c>
      <c r="D14" s="45" t="str">
        <f>IF('Project Estimations'!D39="","",'Project Estimations'!C39&amp;" "&amp;'Project Estimations'!D39&amp;" "&amp;'Project Estimations'!E39)</f>
        <v/>
      </c>
      <c r="E14" s="40" t="str">
        <f>IF('Project Estimations'!F39="","",'Project Estimations'!F39)</f>
        <v/>
      </c>
      <c r="F14" s="40" t="str">
        <f>IF('Project Estimations'!G39="","",'Project Estimations'!G39)</f>
        <v/>
      </c>
      <c r="G14" s="40" t="str">
        <f>IF((OR('Project Estimations'!H39="",'Project Estimations'!H39=0)),"",'Project Estimations'!H39)</f>
        <v/>
      </c>
      <c r="H14" s="40" t="str">
        <f>IF((OR('Project Estimations'!H39="",'Project Estimations'!H39=0)),"",COUNT('Project Estimations'!K39:BR39))</f>
        <v/>
      </c>
      <c r="I14" s="375" t="str">
        <f t="shared" si="2"/>
        <v/>
      </c>
      <c r="J14" s="397"/>
      <c r="K14" s="398"/>
      <c r="L14" s="398"/>
      <c r="M14" s="399">
        <f t="shared" si="3"/>
        <v>0</v>
      </c>
      <c r="N14" s="397"/>
      <c r="O14" s="400" t="str">
        <f t="shared" si="4"/>
        <v/>
      </c>
      <c r="P14" s="401" t="str">
        <f t="shared" si="5"/>
        <v/>
      </c>
      <c r="Q14" s="401" t="str">
        <f t="shared" si="6"/>
        <v/>
      </c>
      <c r="S14" s="46" t="s">
        <v>418</v>
      </c>
      <c r="T14" s="46"/>
      <c r="U14" s="379">
        <v>0</v>
      </c>
      <c r="X14" s="40"/>
      <c r="Y14" s="40"/>
      <c r="Z14" s="45" t="s">
        <v>49</v>
      </c>
      <c r="AA14" s="40">
        <f t="shared" si="7"/>
        <v>0</v>
      </c>
      <c r="AB14" s="74">
        <f t="shared" si="9"/>
        <v>0</v>
      </c>
      <c r="AC14" s="112" t="s">
        <v>13</v>
      </c>
      <c r="AD14" s="404">
        <f>IFERROR(AA16/$AA$15,0)</f>
        <v>0</v>
      </c>
    </row>
    <row r="15" spans="3:30" ht="12.75" customHeight="1" x14ac:dyDescent="0.35">
      <c r="C15" s="46" t="str">
        <f>'Margin Calculation'!C21</f>
        <v>Y</v>
      </c>
      <c r="D15" s="46" t="str">
        <f>IF('Project Estimations'!D40="","",'Project Estimations'!C40&amp;" "&amp;'Project Estimations'!D40&amp;" "&amp;'Project Estimations'!E40)</f>
        <v/>
      </c>
      <c r="E15" s="38" t="str">
        <f>IF('Project Estimations'!F40="","",'Project Estimations'!F40)</f>
        <v/>
      </c>
      <c r="F15" s="38" t="str">
        <f>IF('Project Estimations'!G40="","",'Project Estimations'!G40)</f>
        <v/>
      </c>
      <c r="G15" s="38" t="str">
        <f>IF((OR('Project Estimations'!H40="",'Project Estimations'!H40=0)),"",'Project Estimations'!H40)</f>
        <v/>
      </c>
      <c r="H15" s="38" t="str">
        <f>IF((OR('Project Estimations'!H40="",'Project Estimations'!H40=0)),"",COUNT('Project Estimations'!K40:BR40))</f>
        <v/>
      </c>
      <c r="I15" s="390" t="str">
        <f t="shared" si="2"/>
        <v/>
      </c>
      <c r="J15" s="391"/>
      <c r="K15" s="392"/>
      <c r="L15" s="392"/>
      <c r="M15" s="393">
        <f t="shared" si="3"/>
        <v>0</v>
      </c>
      <c r="N15" s="391"/>
      <c r="O15" s="394" t="str">
        <f t="shared" si="4"/>
        <v/>
      </c>
      <c r="P15" s="395" t="str">
        <f t="shared" si="5"/>
        <v/>
      </c>
      <c r="Q15" s="395" t="str">
        <f t="shared" si="6"/>
        <v/>
      </c>
      <c r="S15" s="45" t="s">
        <v>120</v>
      </c>
      <c r="T15" s="45"/>
      <c r="U15" s="76">
        <v>0</v>
      </c>
      <c r="X15" s="377" t="s">
        <v>115</v>
      </c>
      <c r="Y15" s="377"/>
      <c r="Z15" s="377"/>
      <c r="AA15" s="234">
        <f>SUM(AA16:AA24)</f>
        <v>0</v>
      </c>
      <c r="AB15" s="378">
        <f>SUM(AB16:AB24)</f>
        <v>0</v>
      </c>
      <c r="AC15" s="112" t="s">
        <v>20</v>
      </c>
      <c r="AD15" s="404">
        <f t="shared" ref="AD15:AD20" si="10">IFERROR(AA17/$AA$15,0)</f>
        <v>0</v>
      </c>
    </row>
    <row r="16" spans="3:30" ht="13" x14ac:dyDescent="0.25">
      <c r="C16" s="45" t="str">
        <f>'Margin Calculation'!C22</f>
        <v>Y</v>
      </c>
      <c r="D16" s="45" t="str">
        <f>IF('Project Estimations'!D41="","",'Project Estimations'!C41&amp;" "&amp;'Project Estimations'!D41&amp;" "&amp;'Project Estimations'!E41)</f>
        <v/>
      </c>
      <c r="E16" s="40" t="str">
        <f>IF('Project Estimations'!F41="","",'Project Estimations'!F41)</f>
        <v/>
      </c>
      <c r="F16" s="40" t="str">
        <f>IF('Project Estimations'!G41="","",'Project Estimations'!G41)</f>
        <v/>
      </c>
      <c r="G16" s="40" t="str">
        <f>IF((OR('Project Estimations'!H41="",'Project Estimations'!H41=0)),"",'Project Estimations'!H41)</f>
        <v/>
      </c>
      <c r="H16" s="40" t="str">
        <f>IF((OR('Project Estimations'!H41="",'Project Estimations'!H41=0)),"",COUNT('Project Estimations'!K41:BR41))</f>
        <v/>
      </c>
      <c r="I16" s="375" t="str">
        <f t="shared" si="2"/>
        <v/>
      </c>
      <c r="J16" s="397"/>
      <c r="K16" s="398"/>
      <c r="L16" s="398"/>
      <c r="M16" s="399">
        <f t="shared" si="3"/>
        <v>0</v>
      </c>
      <c r="N16" s="397"/>
      <c r="O16" s="400" t="str">
        <f t="shared" si="4"/>
        <v/>
      </c>
      <c r="P16" s="401" t="str">
        <f t="shared" si="5"/>
        <v/>
      </c>
      <c r="Q16" s="401" t="str">
        <f t="shared" si="6"/>
        <v/>
      </c>
      <c r="S16" s="46" t="s">
        <v>180</v>
      </c>
      <c r="T16" s="46"/>
      <c r="U16" s="379">
        <v>0</v>
      </c>
      <c r="X16" s="40"/>
      <c r="Y16" s="40"/>
      <c r="Z16" s="45" t="s">
        <v>13</v>
      </c>
      <c r="AA16" s="40">
        <f t="shared" ref="AA16:AA24" si="11">SUMIFS($P$5:$P$105,$F$5:$F$105,Z16,$C$5:$C$105,"Y")</f>
        <v>0</v>
      </c>
      <c r="AB16" s="74">
        <f>AA16*$U$7</f>
        <v>0</v>
      </c>
      <c r="AC16" s="112" t="s">
        <v>15</v>
      </c>
      <c r="AD16" s="404">
        <f t="shared" si="10"/>
        <v>0</v>
      </c>
    </row>
    <row r="17" spans="3:30" ht="13" x14ac:dyDescent="0.25">
      <c r="C17" s="46" t="str">
        <f>'Margin Calculation'!C23</f>
        <v>Y</v>
      </c>
      <c r="D17" s="46" t="str">
        <f>IF('Project Estimations'!D42="","",'Project Estimations'!C42&amp;" "&amp;'Project Estimations'!D42&amp;" "&amp;'Project Estimations'!E42)</f>
        <v/>
      </c>
      <c r="E17" s="38" t="str">
        <f>IF('Project Estimations'!F42="","",'Project Estimations'!F42)</f>
        <v/>
      </c>
      <c r="F17" s="38" t="str">
        <f>IF('Project Estimations'!G42="","",'Project Estimations'!G42)</f>
        <v/>
      </c>
      <c r="G17" s="38" t="str">
        <f>IF((OR('Project Estimations'!H42="",'Project Estimations'!H42=0)),"",'Project Estimations'!H42)</f>
        <v/>
      </c>
      <c r="H17" s="38" t="str">
        <f>IF((OR('Project Estimations'!H42="",'Project Estimations'!H42=0)),"",COUNT('Project Estimations'!K42:BR42))</f>
        <v/>
      </c>
      <c r="I17" s="390" t="str">
        <f t="shared" si="2"/>
        <v/>
      </c>
      <c r="J17" s="391"/>
      <c r="K17" s="392"/>
      <c r="L17" s="392"/>
      <c r="M17" s="393">
        <f t="shared" si="3"/>
        <v>0</v>
      </c>
      <c r="N17" s="391"/>
      <c r="O17" s="394" t="str">
        <f t="shared" si="4"/>
        <v/>
      </c>
      <c r="P17" s="395" t="str">
        <f t="shared" si="5"/>
        <v/>
      </c>
      <c r="Q17" s="395" t="str">
        <f t="shared" si="6"/>
        <v/>
      </c>
      <c r="S17" s="45" t="s">
        <v>360</v>
      </c>
      <c r="T17" s="45"/>
      <c r="U17" s="76">
        <v>0</v>
      </c>
      <c r="Z17" s="46" t="s">
        <v>20</v>
      </c>
      <c r="AA17" s="38">
        <f t="shared" si="11"/>
        <v>0</v>
      </c>
      <c r="AB17" s="75">
        <f t="shared" ref="AB17:AB24" si="12">AA17*$U$7</f>
        <v>0</v>
      </c>
      <c r="AC17" s="112" t="s">
        <v>16</v>
      </c>
      <c r="AD17" s="404">
        <f t="shared" si="10"/>
        <v>0</v>
      </c>
    </row>
    <row r="18" spans="3:30" ht="13" x14ac:dyDescent="0.25">
      <c r="C18" s="45" t="str">
        <f>'Margin Calculation'!C24</f>
        <v>Y</v>
      </c>
      <c r="D18" s="45" t="str">
        <f>IF('Project Estimations'!D43="","",'Project Estimations'!C43&amp;" "&amp;'Project Estimations'!D43&amp;" "&amp;'Project Estimations'!E43)</f>
        <v/>
      </c>
      <c r="E18" s="40" t="str">
        <f>IF('Project Estimations'!F43="","",'Project Estimations'!F43)</f>
        <v/>
      </c>
      <c r="F18" s="40" t="str">
        <f>IF('Project Estimations'!G43="","",'Project Estimations'!G43)</f>
        <v/>
      </c>
      <c r="G18" s="40" t="str">
        <f>IF((OR('Project Estimations'!H43="",'Project Estimations'!H43=0)),"",'Project Estimations'!H43)</f>
        <v/>
      </c>
      <c r="H18" s="40" t="str">
        <f>IF((OR('Project Estimations'!H43="",'Project Estimations'!H43=0)),"",COUNT('Project Estimations'!K43:BR43))</f>
        <v/>
      </c>
      <c r="I18" s="375" t="str">
        <f t="shared" si="2"/>
        <v/>
      </c>
      <c r="J18" s="397"/>
      <c r="K18" s="398"/>
      <c r="L18" s="398"/>
      <c r="M18" s="399">
        <f t="shared" si="3"/>
        <v>0</v>
      </c>
      <c r="N18" s="397"/>
      <c r="O18" s="400" t="str">
        <f t="shared" si="4"/>
        <v/>
      </c>
      <c r="P18" s="401" t="str">
        <f t="shared" si="5"/>
        <v/>
      </c>
      <c r="Q18" s="401" t="str">
        <f t="shared" si="6"/>
        <v/>
      </c>
      <c r="S18" s="46" t="s">
        <v>121</v>
      </c>
      <c r="T18" s="46"/>
      <c r="U18" s="379">
        <v>0</v>
      </c>
      <c r="X18" s="40"/>
      <c r="Y18" s="40"/>
      <c r="Z18" s="45" t="s">
        <v>15</v>
      </c>
      <c r="AA18" s="40">
        <f t="shared" si="11"/>
        <v>0</v>
      </c>
      <c r="AB18" s="74">
        <f t="shared" si="12"/>
        <v>0</v>
      </c>
      <c r="AC18" s="112" t="s">
        <v>21</v>
      </c>
      <c r="AD18" s="404">
        <f t="shared" si="10"/>
        <v>0</v>
      </c>
    </row>
    <row r="19" spans="3:30" ht="13" x14ac:dyDescent="0.25">
      <c r="C19" s="46" t="str">
        <f>'Margin Calculation'!C25</f>
        <v>Y</v>
      </c>
      <c r="D19" s="46" t="str">
        <f>IF('Project Estimations'!D44="","",'Project Estimations'!C44&amp;" "&amp;'Project Estimations'!D44&amp;" "&amp;'Project Estimations'!E44)</f>
        <v/>
      </c>
      <c r="E19" s="38" t="str">
        <f>IF('Project Estimations'!F44="","",'Project Estimations'!F44)</f>
        <v/>
      </c>
      <c r="F19" s="38" t="str">
        <f>IF('Project Estimations'!G44="","",'Project Estimations'!G44)</f>
        <v/>
      </c>
      <c r="G19" s="38" t="str">
        <f>IF((OR('Project Estimations'!H44="",'Project Estimations'!H44=0)),"",'Project Estimations'!H44)</f>
        <v/>
      </c>
      <c r="H19" s="38" t="str">
        <f>IF((OR('Project Estimations'!H44="",'Project Estimations'!H44=0)),"",COUNT('Project Estimations'!K44:BR44))</f>
        <v/>
      </c>
      <c r="I19" s="390" t="str">
        <f t="shared" si="2"/>
        <v/>
      </c>
      <c r="J19" s="391"/>
      <c r="K19" s="392"/>
      <c r="L19" s="392"/>
      <c r="M19" s="393">
        <f t="shared" si="3"/>
        <v>0</v>
      </c>
      <c r="N19" s="391"/>
      <c r="O19" s="394" t="str">
        <f t="shared" si="4"/>
        <v/>
      </c>
      <c r="P19" s="395" t="str">
        <f t="shared" si="5"/>
        <v/>
      </c>
      <c r="Q19" s="395" t="str">
        <f t="shared" si="6"/>
        <v/>
      </c>
      <c r="S19" s="45" t="s">
        <v>109</v>
      </c>
      <c r="T19" s="45"/>
      <c r="U19" s="76">
        <v>0</v>
      </c>
      <c r="Z19" s="46" t="s">
        <v>16</v>
      </c>
      <c r="AA19" s="38">
        <f t="shared" si="11"/>
        <v>0</v>
      </c>
      <c r="AB19" s="75">
        <f t="shared" si="12"/>
        <v>0</v>
      </c>
      <c r="AC19" s="112" t="s">
        <v>100</v>
      </c>
      <c r="AD19" s="404">
        <f t="shared" si="10"/>
        <v>0</v>
      </c>
    </row>
    <row r="20" spans="3:30" ht="13" x14ac:dyDescent="0.25">
      <c r="C20" s="45" t="str">
        <f>'Margin Calculation'!C26</f>
        <v>Y</v>
      </c>
      <c r="D20" s="45" t="str">
        <f>IF('Project Estimations'!D45="","",'Project Estimations'!C45&amp;" "&amp;'Project Estimations'!D45&amp;" "&amp;'Project Estimations'!E45)</f>
        <v/>
      </c>
      <c r="E20" s="40" t="str">
        <f>IF('Project Estimations'!F45="","",'Project Estimations'!F45)</f>
        <v/>
      </c>
      <c r="F20" s="40" t="str">
        <f>IF('Project Estimations'!G45="","",'Project Estimations'!G45)</f>
        <v/>
      </c>
      <c r="G20" s="40" t="str">
        <f>IF((OR('Project Estimations'!H45="",'Project Estimations'!H45=0)),"",'Project Estimations'!H45)</f>
        <v/>
      </c>
      <c r="H20" s="40" t="str">
        <f>IF((OR('Project Estimations'!H45="",'Project Estimations'!H45=0)),"",COUNT('Project Estimations'!K45:BR45))</f>
        <v/>
      </c>
      <c r="I20" s="375" t="str">
        <f t="shared" si="2"/>
        <v/>
      </c>
      <c r="J20" s="397"/>
      <c r="K20" s="398"/>
      <c r="L20" s="398"/>
      <c r="M20" s="399">
        <f t="shared" si="3"/>
        <v>0</v>
      </c>
      <c r="N20" s="397"/>
      <c r="O20" s="400" t="str">
        <f t="shared" si="4"/>
        <v/>
      </c>
      <c r="P20" s="401" t="str">
        <f t="shared" si="5"/>
        <v/>
      </c>
      <c r="Q20" s="401" t="str">
        <f t="shared" si="6"/>
        <v/>
      </c>
      <c r="S20" s="46" t="s">
        <v>110</v>
      </c>
      <c r="T20" s="46"/>
      <c r="U20" s="379">
        <v>0</v>
      </c>
      <c r="X20" s="40"/>
      <c r="Y20" s="40"/>
      <c r="Z20" s="45" t="s">
        <v>417</v>
      </c>
      <c r="AA20" s="40">
        <f t="shared" si="11"/>
        <v>0</v>
      </c>
      <c r="AB20" s="74">
        <f t="shared" si="12"/>
        <v>0</v>
      </c>
      <c r="AC20" s="112" t="s">
        <v>178</v>
      </c>
      <c r="AD20" s="404">
        <f t="shared" si="10"/>
        <v>0</v>
      </c>
    </row>
    <row r="21" spans="3:30" ht="13" x14ac:dyDescent="0.25">
      <c r="C21" s="46" t="str">
        <f>'Margin Calculation'!C27</f>
        <v>Y</v>
      </c>
      <c r="D21" s="46" t="str">
        <f>IF('Project Estimations'!D46="","",'Project Estimations'!C46&amp;" "&amp;'Project Estimations'!D46&amp;" "&amp;'Project Estimations'!E46)</f>
        <v/>
      </c>
      <c r="E21" s="38" t="str">
        <f>IF('Project Estimations'!F46="","",'Project Estimations'!F46)</f>
        <v/>
      </c>
      <c r="F21" s="38" t="str">
        <f>IF('Project Estimations'!G46="","",'Project Estimations'!G46)</f>
        <v/>
      </c>
      <c r="G21" s="38" t="str">
        <f>IF((OR('Project Estimations'!H46="",'Project Estimations'!H46=0)),"",'Project Estimations'!H46)</f>
        <v/>
      </c>
      <c r="H21" s="38" t="str">
        <f>IF((OR('Project Estimations'!H46="",'Project Estimations'!H46=0)),"",COUNT('Project Estimations'!K46:BR46))</f>
        <v/>
      </c>
      <c r="I21" s="390" t="str">
        <f t="shared" si="2"/>
        <v/>
      </c>
      <c r="J21" s="391"/>
      <c r="K21" s="392"/>
      <c r="L21" s="392"/>
      <c r="M21" s="393">
        <f t="shared" si="3"/>
        <v>0</v>
      </c>
      <c r="N21" s="391"/>
      <c r="O21" s="394" t="str">
        <f t="shared" si="4"/>
        <v/>
      </c>
      <c r="P21" s="395" t="str">
        <f t="shared" si="5"/>
        <v/>
      </c>
      <c r="Q21" s="395" t="str">
        <f t="shared" si="6"/>
        <v/>
      </c>
      <c r="S21" s="45" t="s">
        <v>111</v>
      </c>
      <c r="T21" s="45"/>
      <c r="U21" s="76">
        <v>0</v>
      </c>
      <c r="Z21" s="46" t="s">
        <v>100</v>
      </c>
      <c r="AA21" s="38">
        <f t="shared" si="11"/>
        <v>0</v>
      </c>
      <c r="AB21" s="75">
        <f t="shared" si="12"/>
        <v>0</v>
      </c>
      <c r="AC21" s="112" t="s">
        <v>49</v>
      </c>
      <c r="AD21" s="404">
        <f>IFERROR(AA24/$AA$15,0)</f>
        <v>0</v>
      </c>
    </row>
    <row r="22" spans="3:30" ht="13" x14ac:dyDescent="0.25">
      <c r="C22" s="45" t="str">
        <f>'Margin Calculation'!C28</f>
        <v>Y</v>
      </c>
      <c r="D22" s="45" t="str">
        <f>IF('Project Estimations'!D47="","",'Project Estimations'!C47&amp;" "&amp;'Project Estimations'!D47&amp;" "&amp;'Project Estimations'!E47)</f>
        <v/>
      </c>
      <c r="E22" s="40" t="str">
        <f>IF('Project Estimations'!F47="","",'Project Estimations'!F47)</f>
        <v/>
      </c>
      <c r="F22" s="40" t="str">
        <f>IF('Project Estimations'!G47="","",'Project Estimations'!G47)</f>
        <v/>
      </c>
      <c r="G22" s="40" t="str">
        <f>IF((OR('Project Estimations'!H47="",'Project Estimations'!H47=0)),"",'Project Estimations'!H47)</f>
        <v/>
      </c>
      <c r="H22" s="40" t="str">
        <f>IF((OR('Project Estimations'!H47="",'Project Estimations'!H47=0)),"",COUNT('Project Estimations'!K47:BR47))</f>
        <v/>
      </c>
      <c r="I22" s="375" t="str">
        <f t="shared" si="2"/>
        <v/>
      </c>
      <c r="J22" s="397"/>
      <c r="K22" s="398"/>
      <c r="L22" s="398"/>
      <c r="M22" s="399">
        <f t="shared" si="3"/>
        <v>0</v>
      </c>
      <c r="N22" s="397"/>
      <c r="O22" s="400" t="str">
        <f t="shared" si="4"/>
        <v/>
      </c>
      <c r="P22" s="401" t="str">
        <f t="shared" si="5"/>
        <v/>
      </c>
      <c r="Q22" s="401" t="str">
        <f t="shared" si="6"/>
        <v/>
      </c>
      <c r="S22" s="46" t="s">
        <v>112</v>
      </c>
      <c r="T22" s="46"/>
      <c r="U22" s="379">
        <f>500*VLOOKUP('Expenses Estimation'!$U$3,'Margin Calculation'!$AE$51:$AF$60,2,0)</f>
        <v>92.522857772012586</v>
      </c>
      <c r="X22" s="40"/>
      <c r="Y22" s="40"/>
      <c r="Z22" s="45" t="s">
        <v>178</v>
      </c>
      <c r="AA22" s="40">
        <f t="shared" si="11"/>
        <v>0</v>
      </c>
      <c r="AB22" s="74">
        <f>AA22*$U$7</f>
        <v>0</v>
      </c>
    </row>
    <row r="23" spans="3:30" ht="13" x14ac:dyDescent="0.25">
      <c r="C23" s="46" t="str">
        <f>'Margin Calculation'!C29</f>
        <v>Y</v>
      </c>
      <c r="D23" s="46" t="str">
        <f>IF('Project Estimations'!D48="","",'Project Estimations'!C48&amp;" "&amp;'Project Estimations'!D48&amp;" "&amp;'Project Estimations'!E48)</f>
        <v/>
      </c>
      <c r="E23" s="38" t="str">
        <f>IF('Project Estimations'!F48="","",'Project Estimations'!F48)</f>
        <v/>
      </c>
      <c r="F23" s="38" t="str">
        <f>IF('Project Estimations'!G48="","",'Project Estimations'!G48)</f>
        <v/>
      </c>
      <c r="G23" s="38" t="str">
        <f>IF((OR('Project Estimations'!H48="",'Project Estimations'!H48=0)),"",'Project Estimations'!H48)</f>
        <v/>
      </c>
      <c r="H23" s="38" t="str">
        <f>IF((OR('Project Estimations'!H48="",'Project Estimations'!H48=0)),"",COUNT('Project Estimations'!K48:BR48))</f>
        <v/>
      </c>
      <c r="I23" s="390" t="str">
        <f t="shared" si="2"/>
        <v/>
      </c>
      <c r="J23" s="391"/>
      <c r="K23" s="392"/>
      <c r="L23" s="392"/>
      <c r="M23" s="393">
        <f t="shared" si="3"/>
        <v>0</v>
      </c>
      <c r="N23" s="391"/>
      <c r="O23" s="394" t="str">
        <f t="shared" si="4"/>
        <v/>
      </c>
      <c r="P23" s="395" t="str">
        <f t="shared" si="5"/>
        <v/>
      </c>
      <c r="Q23" s="395" t="str">
        <f t="shared" si="6"/>
        <v/>
      </c>
      <c r="S23" s="45" t="s">
        <v>419</v>
      </c>
      <c r="T23" s="45"/>
      <c r="U23" s="76">
        <v>0</v>
      </c>
      <c r="Z23" s="46" t="s">
        <v>354</v>
      </c>
      <c r="AA23" s="38">
        <f t="shared" si="11"/>
        <v>0</v>
      </c>
      <c r="AB23" s="75">
        <f>AA23*$U$7</f>
        <v>0</v>
      </c>
    </row>
    <row r="24" spans="3:30" ht="13" x14ac:dyDescent="0.25">
      <c r="C24" s="45" t="str">
        <f>'Margin Calculation'!C30</f>
        <v>Y</v>
      </c>
      <c r="D24" s="45" t="str">
        <f>IF('Project Estimations'!D49="","",'Project Estimations'!C49&amp;" "&amp;'Project Estimations'!D49&amp;" "&amp;'Project Estimations'!E49)</f>
        <v/>
      </c>
      <c r="E24" s="40" t="str">
        <f>IF('Project Estimations'!F49="","",'Project Estimations'!F49)</f>
        <v/>
      </c>
      <c r="F24" s="40" t="str">
        <f>IF('Project Estimations'!G49="","",'Project Estimations'!G49)</f>
        <v/>
      </c>
      <c r="G24" s="40" t="str">
        <f>IF((OR('Project Estimations'!H49="",'Project Estimations'!H49=0)),"",'Project Estimations'!H49)</f>
        <v/>
      </c>
      <c r="H24" s="40" t="str">
        <f>IF((OR('Project Estimations'!H49="",'Project Estimations'!H49=0)),"",COUNT('Project Estimations'!K49:BR49))</f>
        <v/>
      </c>
      <c r="I24" s="375" t="str">
        <f t="shared" si="2"/>
        <v/>
      </c>
      <c r="J24" s="397"/>
      <c r="K24" s="398"/>
      <c r="L24" s="398"/>
      <c r="M24" s="399">
        <f t="shared" si="3"/>
        <v>0</v>
      </c>
      <c r="N24" s="397"/>
      <c r="O24" s="400" t="str">
        <f t="shared" si="4"/>
        <v/>
      </c>
      <c r="P24" s="401" t="str">
        <f t="shared" si="5"/>
        <v/>
      </c>
      <c r="Q24" s="401" t="str">
        <f t="shared" si="6"/>
        <v/>
      </c>
      <c r="S24" s="46" t="s">
        <v>113</v>
      </c>
      <c r="T24" s="46"/>
      <c r="U24" s="379">
        <v>0</v>
      </c>
      <c r="X24" s="40"/>
      <c r="Y24" s="40"/>
      <c r="Z24" s="45" t="s">
        <v>49</v>
      </c>
      <c r="AA24" s="40">
        <f t="shared" si="11"/>
        <v>0</v>
      </c>
      <c r="AB24" s="74">
        <f t="shared" si="12"/>
        <v>0</v>
      </c>
    </row>
    <row r="25" spans="3:30" ht="14.5" x14ac:dyDescent="0.35">
      <c r="C25" s="46" t="str">
        <f>'Margin Calculation'!C31</f>
        <v>Y</v>
      </c>
      <c r="D25" s="46" t="str">
        <f>IF('Project Estimations'!D50="","",'Project Estimations'!C50&amp;" "&amp;'Project Estimations'!D50&amp;" "&amp;'Project Estimations'!E50)</f>
        <v/>
      </c>
      <c r="E25" s="38" t="str">
        <f>IF('Project Estimations'!F50="","",'Project Estimations'!F50)</f>
        <v/>
      </c>
      <c r="F25" s="38" t="str">
        <f>IF('Project Estimations'!G50="","",'Project Estimations'!G50)</f>
        <v/>
      </c>
      <c r="G25" s="38" t="str">
        <f>IF((OR('Project Estimations'!H50="",'Project Estimations'!H50=0)),"",'Project Estimations'!H50)</f>
        <v/>
      </c>
      <c r="H25" s="38" t="str">
        <f>IF((OR('Project Estimations'!H50="",'Project Estimations'!H50=0)),"",COUNT('Project Estimations'!K50:BR50))</f>
        <v/>
      </c>
      <c r="I25" s="390" t="str">
        <f t="shared" si="2"/>
        <v/>
      </c>
      <c r="J25" s="391"/>
      <c r="K25" s="392"/>
      <c r="L25" s="392"/>
      <c r="M25" s="393">
        <f t="shared" si="3"/>
        <v>0</v>
      </c>
      <c r="N25" s="391"/>
      <c r="O25" s="394" t="str">
        <f t="shared" si="4"/>
        <v/>
      </c>
      <c r="P25" s="395" t="str">
        <f t="shared" si="5"/>
        <v/>
      </c>
      <c r="Q25" s="395" t="str">
        <f t="shared" si="6"/>
        <v/>
      </c>
      <c r="S25" s="45" t="s">
        <v>181</v>
      </c>
      <c r="T25" s="45"/>
      <c r="U25" s="76">
        <v>0</v>
      </c>
      <c r="X25" s="377" t="s">
        <v>122</v>
      </c>
      <c r="Y25" s="377"/>
      <c r="Z25" s="377"/>
      <c r="AA25" s="232">
        <f>SUM(AA26:AA34)</f>
        <v>0</v>
      </c>
      <c r="AB25" s="378">
        <f>SUM(AB26:AB34)</f>
        <v>0</v>
      </c>
    </row>
    <row r="26" spans="3:30" ht="13" x14ac:dyDescent="0.25">
      <c r="C26" s="45" t="str">
        <f>'Margin Calculation'!C32</f>
        <v>Y</v>
      </c>
      <c r="D26" s="45" t="str">
        <f>IF('Project Estimations'!D51="","",'Project Estimations'!C51&amp;" "&amp;'Project Estimations'!D51&amp;" "&amp;'Project Estimations'!E51)</f>
        <v/>
      </c>
      <c r="E26" s="40" t="str">
        <f>IF('Project Estimations'!F51="","",'Project Estimations'!F51)</f>
        <v/>
      </c>
      <c r="F26" s="40" t="str">
        <f>IF('Project Estimations'!G51="","",'Project Estimations'!G51)</f>
        <v/>
      </c>
      <c r="G26" s="40" t="str">
        <f>IF((OR('Project Estimations'!H51="",'Project Estimations'!H51=0)),"",'Project Estimations'!H51)</f>
        <v/>
      </c>
      <c r="H26" s="40" t="str">
        <f>IF((OR('Project Estimations'!H51="",'Project Estimations'!H51=0)),"",COUNT('Project Estimations'!K51:BR51))</f>
        <v/>
      </c>
      <c r="I26" s="375" t="str">
        <f t="shared" si="2"/>
        <v/>
      </c>
      <c r="J26" s="397"/>
      <c r="K26" s="398"/>
      <c r="L26" s="398"/>
      <c r="M26" s="399">
        <f t="shared" si="3"/>
        <v>0</v>
      </c>
      <c r="N26" s="397"/>
      <c r="O26" s="400" t="str">
        <f t="shared" si="4"/>
        <v/>
      </c>
      <c r="P26" s="401" t="str">
        <f t="shared" si="5"/>
        <v/>
      </c>
      <c r="Q26" s="401" t="str">
        <f t="shared" si="6"/>
        <v/>
      </c>
      <c r="S26" s="46" t="s">
        <v>361</v>
      </c>
      <c r="T26" s="46"/>
      <c r="U26" s="379">
        <v>0</v>
      </c>
      <c r="X26" s="40"/>
      <c r="Y26" s="40"/>
      <c r="Z26" s="45" t="s">
        <v>13</v>
      </c>
      <c r="AA26" s="40">
        <f t="shared" ref="AA26:AA34" si="13">SUMIFS($P$5:$P$105,$F$5:$F$105,Z26,$C$5:$C$105,"Y")</f>
        <v>0</v>
      </c>
      <c r="AB26" s="74">
        <f>AA26*U10</f>
        <v>0</v>
      </c>
    </row>
    <row r="27" spans="3:30" ht="13" x14ac:dyDescent="0.25">
      <c r="C27" s="46" t="str">
        <f>'Margin Calculation'!C33</f>
        <v>Y</v>
      </c>
      <c r="D27" s="46" t="str">
        <f>IF('Project Estimations'!D52="","",'Project Estimations'!C52&amp;" "&amp;'Project Estimations'!D52&amp;" "&amp;'Project Estimations'!E52)</f>
        <v/>
      </c>
      <c r="E27" s="38" t="str">
        <f>IF('Project Estimations'!F52="","",'Project Estimations'!F52)</f>
        <v/>
      </c>
      <c r="F27" s="38" t="str">
        <f>IF('Project Estimations'!G52="","",'Project Estimations'!G52)</f>
        <v/>
      </c>
      <c r="G27" s="38" t="str">
        <f>IF((OR('Project Estimations'!H52="",'Project Estimations'!H52=0)),"",'Project Estimations'!H52)</f>
        <v/>
      </c>
      <c r="H27" s="38" t="str">
        <f>IF((OR('Project Estimations'!H52="",'Project Estimations'!H52=0)),"",COUNT('Project Estimations'!K52:BR52))</f>
        <v/>
      </c>
      <c r="I27" s="390" t="str">
        <f t="shared" si="2"/>
        <v/>
      </c>
      <c r="J27" s="391"/>
      <c r="K27" s="392"/>
      <c r="L27" s="392"/>
      <c r="M27" s="393">
        <f t="shared" si="3"/>
        <v>0</v>
      </c>
      <c r="N27" s="391"/>
      <c r="O27" s="394" t="str">
        <f t="shared" si="4"/>
        <v/>
      </c>
      <c r="P27" s="395" t="str">
        <f t="shared" si="5"/>
        <v/>
      </c>
      <c r="Q27" s="395" t="str">
        <f t="shared" si="6"/>
        <v/>
      </c>
      <c r="S27" s="45" t="s">
        <v>114</v>
      </c>
      <c r="T27" s="45"/>
      <c r="U27" s="76">
        <v>0</v>
      </c>
      <c r="Z27" s="46" t="s">
        <v>20</v>
      </c>
      <c r="AA27" s="38">
        <f t="shared" si="13"/>
        <v>0</v>
      </c>
      <c r="AB27" s="75">
        <f t="shared" ref="AB27:AB34" si="14">AA27*U11</f>
        <v>0</v>
      </c>
    </row>
    <row r="28" spans="3:30" ht="13" x14ac:dyDescent="0.25">
      <c r="C28" s="45" t="str">
        <f>'Margin Calculation'!C34</f>
        <v>Y</v>
      </c>
      <c r="D28" s="45" t="str">
        <f>IF('Project Estimations'!D53="","",'Project Estimations'!C53&amp;" "&amp;'Project Estimations'!D53&amp;" "&amp;'Project Estimations'!E53)</f>
        <v/>
      </c>
      <c r="E28" s="40" t="str">
        <f>IF('Project Estimations'!F53="","",'Project Estimations'!F53)</f>
        <v/>
      </c>
      <c r="F28" s="40" t="str">
        <f>IF('Project Estimations'!G53="","",'Project Estimations'!G53)</f>
        <v/>
      </c>
      <c r="G28" s="40" t="str">
        <f>IF((OR('Project Estimations'!H53="",'Project Estimations'!H53=0)),"",'Project Estimations'!H53)</f>
        <v/>
      </c>
      <c r="H28" s="40" t="str">
        <f>IF((OR('Project Estimations'!H53="",'Project Estimations'!H53=0)),"",COUNT('Project Estimations'!K53:BR53))</f>
        <v/>
      </c>
      <c r="I28" s="375" t="str">
        <f t="shared" si="2"/>
        <v/>
      </c>
      <c r="J28" s="397"/>
      <c r="K28" s="398"/>
      <c r="L28" s="398"/>
      <c r="M28" s="399">
        <f t="shared" si="3"/>
        <v>0</v>
      </c>
      <c r="N28" s="397"/>
      <c r="O28" s="400" t="str">
        <f t="shared" si="4"/>
        <v/>
      </c>
      <c r="P28" s="401" t="str">
        <f t="shared" si="5"/>
        <v/>
      </c>
      <c r="Q28" s="401" t="str">
        <f t="shared" si="6"/>
        <v/>
      </c>
      <c r="S28" s="46" t="s">
        <v>362</v>
      </c>
      <c r="T28" s="46"/>
      <c r="U28" s="379">
        <f>200*VLOOKUP('Expenses Estimation'!$U$3,'Margin Calculation'!$AE$11:$AF$20,2,0)</f>
        <v>223.92</v>
      </c>
      <c r="X28" s="40"/>
      <c r="Y28" s="40"/>
      <c r="Z28" s="45" t="s">
        <v>15</v>
      </c>
      <c r="AA28" s="40">
        <f t="shared" si="13"/>
        <v>0</v>
      </c>
      <c r="AB28" s="74">
        <f t="shared" si="14"/>
        <v>0</v>
      </c>
    </row>
    <row r="29" spans="3:30" ht="13" x14ac:dyDescent="0.25">
      <c r="C29" s="46" t="str">
        <f>'Margin Calculation'!C35</f>
        <v>Y</v>
      </c>
      <c r="D29" s="46" t="str">
        <f>IF('Project Estimations'!D54="","",'Project Estimations'!C54&amp;" "&amp;'Project Estimations'!D54&amp;" "&amp;'Project Estimations'!E54)</f>
        <v/>
      </c>
      <c r="E29" s="38" t="str">
        <f>IF('Project Estimations'!F54="","",'Project Estimations'!F54)</f>
        <v/>
      </c>
      <c r="F29" s="38" t="str">
        <f>IF('Project Estimations'!G54="","",'Project Estimations'!G54)</f>
        <v/>
      </c>
      <c r="G29" s="38" t="str">
        <f>IF((OR('Project Estimations'!H54="",'Project Estimations'!H54=0)),"",'Project Estimations'!H54)</f>
        <v/>
      </c>
      <c r="H29" s="38" t="str">
        <f>IF((OR('Project Estimations'!H54="",'Project Estimations'!H54=0)),"",COUNT('Project Estimations'!K54:BR54))</f>
        <v/>
      </c>
      <c r="I29" s="390" t="str">
        <f t="shared" si="2"/>
        <v/>
      </c>
      <c r="J29" s="391"/>
      <c r="K29" s="392"/>
      <c r="L29" s="392"/>
      <c r="M29" s="393">
        <f t="shared" si="3"/>
        <v>0</v>
      </c>
      <c r="N29" s="391"/>
      <c r="O29" s="394" t="str">
        <f t="shared" si="4"/>
        <v/>
      </c>
      <c r="P29" s="395" t="str">
        <f t="shared" si="5"/>
        <v/>
      </c>
      <c r="Q29" s="395" t="str">
        <f t="shared" si="6"/>
        <v/>
      </c>
      <c r="S29" s="45" t="s">
        <v>363</v>
      </c>
      <c r="T29" s="45"/>
      <c r="U29" s="76">
        <f>300*VLOOKUP('Expenses Estimation'!$U$3,'Margin Calculation'!$AE$11:$AF$20,2,0)</f>
        <v>335.88</v>
      </c>
      <c r="Z29" s="46" t="s">
        <v>16</v>
      </c>
      <c r="AA29" s="38">
        <f t="shared" si="13"/>
        <v>0</v>
      </c>
      <c r="AB29" s="75">
        <f t="shared" si="14"/>
        <v>0</v>
      </c>
    </row>
    <row r="30" spans="3:30" ht="13" x14ac:dyDescent="0.25">
      <c r="C30" s="45" t="str">
        <f>'Margin Calculation'!C36</f>
        <v>Y</v>
      </c>
      <c r="D30" s="45" t="str">
        <f>IF('Project Estimations'!D55="","",'Project Estimations'!C55&amp;" "&amp;'Project Estimations'!D55&amp;" "&amp;'Project Estimations'!E55)</f>
        <v/>
      </c>
      <c r="E30" s="40" t="str">
        <f>IF('Project Estimations'!F55="","",'Project Estimations'!F55)</f>
        <v/>
      </c>
      <c r="F30" s="40" t="str">
        <f>IF('Project Estimations'!G55="","",'Project Estimations'!G55)</f>
        <v/>
      </c>
      <c r="G30" s="40" t="str">
        <f>IF((OR('Project Estimations'!H55="",'Project Estimations'!H55=0)),"",'Project Estimations'!H55)</f>
        <v/>
      </c>
      <c r="H30" s="40" t="str">
        <f>IF((OR('Project Estimations'!H55="",'Project Estimations'!H55=0)),"",COUNT('Project Estimations'!K55:BR55))</f>
        <v/>
      </c>
      <c r="I30" s="375" t="str">
        <f t="shared" si="2"/>
        <v/>
      </c>
      <c r="J30" s="397"/>
      <c r="K30" s="398"/>
      <c r="L30" s="398"/>
      <c r="M30" s="399">
        <f t="shared" si="3"/>
        <v>0</v>
      </c>
      <c r="N30" s="397"/>
      <c r="O30" s="400" t="str">
        <f t="shared" si="4"/>
        <v/>
      </c>
      <c r="P30" s="401" t="str">
        <f t="shared" si="5"/>
        <v/>
      </c>
      <c r="Q30" s="401" t="str">
        <f t="shared" si="6"/>
        <v/>
      </c>
      <c r="S30" s="46" t="s">
        <v>364</v>
      </c>
      <c r="T30" s="46"/>
      <c r="U30" s="379">
        <f>200*VLOOKUP('Expenses Estimation'!$U$3,'Margin Calculation'!$AE$11:$AF$20,2,0)</f>
        <v>223.92</v>
      </c>
      <c r="X30" s="40"/>
      <c r="Y30" s="40"/>
      <c r="Z30" s="45" t="s">
        <v>417</v>
      </c>
      <c r="AA30" s="40">
        <f t="shared" si="13"/>
        <v>0</v>
      </c>
      <c r="AB30" s="74">
        <f t="shared" si="14"/>
        <v>0</v>
      </c>
    </row>
    <row r="31" spans="3:30" ht="13" x14ac:dyDescent="0.25">
      <c r="C31" s="46" t="str">
        <f>'Margin Calculation'!C37</f>
        <v>Y</v>
      </c>
      <c r="D31" s="46" t="str">
        <f>IF('Project Estimations'!D56="","",'Project Estimations'!C56&amp;" "&amp;'Project Estimations'!D56&amp;" "&amp;'Project Estimations'!E56)</f>
        <v/>
      </c>
      <c r="E31" s="38" t="str">
        <f>IF('Project Estimations'!F56="","",'Project Estimations'!F56)</f>
        <v/>
      </c>
      <c r="F31" s="38" t="str">
        <f>IF('Project Estimations'!G56="","",'Project Estimations'!G56)</f>
        <v/>
      </c>
      <c r="G31" s="38" t="str">
        <f>IF((OR('Project Estimations'!H56="",'Project Estimations'!H56=0)),"",'Project Estimations'!H56)</f>
        <v/>
      </c>
      <c r="H31" s="38" t="str">
        <f>IF((OR('Project Estimations'!H56="",'Project Estimations'!H56=0)),"",COUNT('Project Estimations'!K56:BR56))</f>
        <v/>
      </c>
      <c r="I31" s="390" t="str">
        <f t="shared" si="2"/>
        <v/>
      </c>
      <c r="J31" s="391"/>
      <c r="K31" s="392"/>
      <c r="L31" s="392"/>
      <c r="M31" s="393">
        <f t="shared" si="3"/>
        <v>0</v>
      </c>
      <c r="N31" s="391"/>
      <c r="O31" s="394" t="str">
        <f t="shared" si="4"/>
        <v/>
      </c>
      <c r="P31" s="395" t="str">
        <f t="shared" si="5"/>
        <v/>
      </c>
      <c r="Q31" s="395" t="str">
        <f t="shared" si="6"/>
        <v/>
      </c>
      <c r="S31" s="45" t="s">
        <v>365</v>
      </c>
      <c r="T31" s="45"/>
      <c r="U31" s="76">
        <v>0</v>
      </c>
      <c r="Z31" s="46" t="s">
        <v>100</v>
      </c>
      <c r="AA31" s="38">
        <f t="shared" si="13"/>
        <v>0</v>
      </c>
      <c r="AB31" s="75">
        <f t="shared" si="14"/>
        <v>0</v>
      </c>
    </row>
    <row r="32" spans="3:30" ht="13" x14ac:dyDescent="0.25">
      <c r="C32" s="45" t="str">
        <f>'Margin Calculation'!C38</f>
        <v>Y</v>
      </c>
      <c r="D32" s="45" t="str">
        <f>IF('Project Estimations'!D57="","",'Project Estimations'!C57&amp;" "&amp;'Project Estimations'!D57&amp;" "&amp;'Project Estimations'!E57)</f>
        <v/>
      </c>
      <c r="E32" s="40" t="str">
        <f>IF('Project Estimations'!F57="","",'Project Estimations'!F57)</f>
        <v/>
      </c>
      <c r="F32" s="40" t="str">
        <f>IF('Project Estimations'!G57="","",'Project Estimations'!G57)</f>
        <v/>
      </c>
      <c r="G32" s="40" t="str">
        <f>IF((OR('Project Estimations'!H57="",'Project Estimations'!H57=0)),"",'Project Estimations'!H57)</f>
        <v/>
      </c>
      <c r="H32" s="40" t="str">
        <f>IF((OR('Project Estimations'!H57="",'Project Estimations'!H57=0)),"",COUNT('Project Estimations'!K57:BR57))</f>
        <v/>
      </c>
      <c r="I32" s="375" t="str">
        <f t="shared" si="2"/>
        <v/>
      </c>
      <c r="J32" s="397"/>
      <c r="K32" s="398"/>
      <c r="L32" s="398"/>
      <c r="M32" s="399">
        <f t="shared" si="3"/>
        <v>0</v>
      </c>
      <c r="N32" s="397"/>
      <c r="O32" s="400" t="str">
        <f t="shared" si="4"/>
        <v/>
      </c>
      <c r="P32" s="401" t="str">
        <f t="shared" si="5"/>
        <v/>
      </c>
      <c r="Q32" s="401" t="str">
        <f t="shared" si="6"/>
        <v/>
      </c>
      <c r="S32" s="46" t="s">
        <v>366</v>
      </c>
      <c r="T32" s="46"/>
      <c r="U32" s="379">
        <v>0</v>
      </c>
      <c r="X32" s="40"/>
      <c r="Y32" s="40"/>
      <c r="Z32" s="45" t="s">
        <v>178</v>
      </c>
      <c r="AA32" s="40">
        <f t="shared" si="13"/>
        <v>0</v>
      </c>
      <c r="AB32" s="74">
        <f t="shared" si="14"/>
        <v>0</v>
      </c>
    </row>
    <row r="33" spans="3:32" ht="13" x14ac:dyDescent="0.25">
      <c r="C33" s="46" t="str">
        <f>'Margin Calculation'!C39</f>
        <v>Y</v>
      </c>
      <c r="D33" s="46" t="str">
        <f>IF('Project Estimations'!D58="","",'Project Estimations'!C58&amp;" "&amp;'Project Estimations'!D58&amp;" "&amp;'Project Estimations'!E58)</f>
        <v/>
      </c>
      <c r="E33" s="38" t="str">
        <f>IF('Project Estimations'!F58="","",'Project Estimations'!F58)</f>
        <v/>
      </c>
      <c r="F33" s="38" t="str">
        <f>IF('Project Estimations'!G58="","",'Project Estimations'!G58)</f>
        <v/>
      </c>
      <c r="G33" s="38" t="str">
        <f>IF((OR('Project Estimations'!H58="",'Project Estimations'!H58=0)),"",'Project Estimations'!H58)</f>
        <v/>
      </c>
      <c r="H33" s="38" t="str">
        <f>IF((OR('Project Estimations'!H58="",'Project Estimations'!H58=0)),"",COUNT('Project Estimations'!K58:BR58))</f>
        <v/>
      </c>
      <c r="I33" s="390" t="str">
        <f t="shared" si="2"/>
        <v/>
      </c>
      <c r="J33" s="391"/>
      <c r="K33" s="392"/>
      <c r="L33" s="392"/>
      <c r="M33" s="393">
        <f t="shared" si="3"/>
        <v>0</v>
      </c>
      <c r="N33" s="391"/>
      <c r="O33" s="394" t="str">
        <f t="shared" si="4"/>
        <v/>
      </c>
      <c r="P33" s="395" t="str">
        <f t="shared" si="5"/>
        <v/>
      </c>
      <c r="Q33" s="395" t="str">
        <f t="shared" si="6"/>
        <v/>
      </c>
      <c r="S33" s="45" t="s">
        <v>367</v>
      </c>
      <c r="T33" s="45"/>
      <c r="U33" s="76">
        <v>0</v>
      </c>
      <c r="Z33" s="46" t="s">
        <v>354</v>
      </c>
      <c r="AA33" s="38">
        <f t="shared" si="13"/>
        <v>0</v>
      </c>
      <c r="AB33" s="75">
        <f t="shared" si="14"/>
        <v>0</v>
      </c>
    </row>
    <row r="34" spans="3:32" ht="13" x14ac:dyDescent="0.25">
      <c r="C34" s="45" t="str">
        <f>'Margin Calculation'!C40</f>
        <v>Y</v>
      </c>
      <c r="D34" s="45" t="str">
        <f>IF('Project Estimations'!D59="","",'Project Estimations'!C59&amp;" "&amp;'Project Estimations'!D59&amp;" "&amp;'Project Estimations'!E59)</f>
        <v/>
      </c>
      <c r="E34" s="40" t="str">
        <f>IF('Project Estimations'!F59="","",'Project Estimations'!F59)</f>
        <v/>
      </c>
      <c r="F34" s="40" t="str">
        <f>IF('Project Estimations'!G59="","",'Project Estimations'!G59)</f>
        <v/>
      </c>
      <c r="G34" s="40" t="str">
        <f>IF((OR('Project Estimations'!H59="",'Project Estimations'!H59=0)),"",'Project Estimations'!H59)</f>
        <v/>
      </c>
      <c r="H34" s="40" t="str">
        <f>IF((OR('Project Estimations'!H59="",'Project Estimations'!H59=0)),"",COUNT('Project Estimations'!K59:BR59))</f>
        <v/>
      </c>
      <c r="I34" s="375" t="str">
        <f t="shared" si="2"/>
        <v/>
      </c>
      <c r="J34" s="397"/>
      <c r="K34" s="398"/>
      <c r="L34" s="398"/>
      <c r="M34" s="399">
        <f t="shared" si="3"/>
        <v>0</v>
      </c>
      <c r="N34" s="397"/>
      <c r="O34" s="400" t="str">
        <f t="shared" si="4"/>
        <v/>
      </c>
      <c r="P34" s="401" t="str">
        <f t="shared" si="5"/>
        <v/>
      </c>
      <c r="Q34" s="401" t="str">
        <f t="shared" si="6"/>
        <v/>
      </c>
      <c r="S34" s="46" t="s">
        <v>368</v>
      </c>
      <c r="T34" s="46"/>
      <c r="U34" s="379">
        <f>+U28</f>
        <v>223.92</v>
      </c>
      <c r="X34" s="40"/>
      <c r="Y34" s="40"/>
      <c r="Z34" s="45" t="s">
        <v>49</v>
      </c>
      <c r="AA34" s="40">
        <f t="shared" si="13"/>
        <v>0</v>
      </c>
      <c r="AB34" s="74">
        <f t="shared" si="14"/>
        <v>0</v>
      </c>
    </row>
    <row r="35" spans="3:32" ht="14.5" x14ac:dyDescent="0.35">
      <c r="C35" s="46" t="str">
        <f>'Margin Calculation'!C41</f>
        <v>Y</v>
      </c>
      <c r="D35" s="46" t="str">
        <f>IF('Project Estimations'!D60="","",'Project Estimations'!C60&amp;" "&amp;'Project Estimations'!D60&amp;" "&amp;'Project Estimations'!E60)</f>
        <v/>
      </c>
      <c r="E35" s="38" t="str">
        <f>IF('Project Estimations'!F60="","",'Project Estimations'!F60)</f>
        <v/>
      </c>
      <c r="F35" s="38" t="str">
        <f>IF('Project Estimations'!G60="","",'Project Estimations'!G60)</f>
        <v/>
      </c>
      <c r="G35" s="38" t="str">
        <f>IF((OR('Project Estimations'!H60="",'Project Estimations'!H60=0)),"",'Project Estimations'!H60)</f>
        <v/>
      </c>
      <c r="H35" s="38" t="str">
        <f>IF((OR('Project Estimations'!H60="",'Project Estimations'!H60=0)),"",COUNT('Project Estimations'!K60:BR60))</f>
        <v/>
      </c>
      <c r="I35" s="390" t="str">
        <f t="shared" si="2"/>
        <v/>
      </c>
      <c r="J35" s="391"/>
      <c r="K35" s="392"/>
      <c r="L35" s="392"/>
      <c r="M35" s="393">
        <f t="shared" si="3"/>
        <v>0</v>
      </c>
      <c r="N35" s="391"/>
      <c r="O35" s="394" t="str">
        <f t="shared" si="4"/>
        <v/>
      </c>
      <c r="P35" s="395" t="str">
        <f t="shared" si="5"/>
        <v/>
      </c>
      <c r="Q35" s="395" t="str">
        <f t="shared" si="6"/>
        <v/>
      </c>
      <c r="S35" s="45" t="s">
        <v>369</v>
      </c>
      <c r="T35" s="45"/>
      <c r="U35" s="76">
        <f t="shared" ref="U35:U36" si="15">+U29</f>
        <v>335.88</v>
      </c>
      <c r="X35" s="377" t="s">
        <v>123</v>
      </c>
      <c r="Y35" s="377"/>
      <c r="Z35" s="377"/>
      <c r="AA35" s="234">
        <f>AA36</f>
        <v>0</v>
      </c>
      <c r="AB35" s="378">
        <f>AB36</f>
        <v>0</v>
      </c>
      <c r="AF35" s="405"/>
    </row>
    <row r="36" spans="3:32" ht="13" x14ac:dyDescent="0.25">
      <c r="C36" s="45" t="str">
        <f>'Margin Calculation'!C42</f>
        <v>Y</v>
      </c>
      <c r="D36" s="45" t="str">
        <f>IF('Project Estimations'!D61="","",'Project Estimations'!C61&amp;" "&amp;'Project Estimations'!D61&amp;" "&amp;'Project Estimations'!E61)</f>
        <v/>
      </c>
      <c r="E36" s="40" t="str">
        <f>IF('Project Estimations'!F61="","",'Project Estimations'!F61)</f>
        <v/>
      </c>
      <c r="F36" s="40" t="str">
        <f>IF('Project Estimations'!G61="","",'Project Estimations'!G61)</f>
        <v/>
      </c>
      <c r="G36" s="40" t="str">
        <f>IF((OR('Project Estimations'!H61="",'Project Estimations'!H61=0)),"",'Project Estimations'!H61)</f>
        <v/>
      </c>
      <c r="H36" s="40" t="str">
        <f>IF((OR('Project Estimations'!H61="",'Project Estimations'!H61=0)),"",COUNT('Project Estimations'!K61:BR61))</f>
        <v/>
      </c>
      <c r="I36" s="375" t="str">
        <f t="shared" si="2"/>
        <v/>
      </c>
      <c r="J36" s="397"/>
      <c r="K36" s="398"/>
      <c r="L36" s="398"/>
      <c r="M36" s="399">
        <f t="shared" si="3"/>
        <v>0</v>
      </c>
      <c r="N36" s="397"/>
      <c r="O36" s="400" t="str">
        <f t="shared" si="4"/>
        <v/>
      </c>
      <c r="P36" s="401" t="str">
        <f t="shared" si="5"/>
        <v/>
      </c>
      <c r="Q36" s="401" t="str">
        <f t="shared" si="6"/>
        <v/>
      </c>
      <c r="S36" s="46" t="s">
        <v>370</v>
      </c>
      <c r="T36" s="46"/>
      <c r="U36" s="379">
        <f t="shared" si="15"/>
        <v>223.92</v>
      </c>
      <c r="X36" s="40"/>
      <c r="Y36" s="40"/>
      <c r="Z36" s="45" t="s">
        <v>124</v>
      </c>
      <c r="AA36" s="41">
        <f>AA15/T9</f>
        <v>0</v>
      </c>
      <c r="AB36" s="74">
        <f>AA36*U8</f>
        <v>0</v>
      </c>
    </row>
    <row r="37" spans="3:32" ht="14.5" x14ac:dyDescent="0.35">
      <c r="C37" s="46" t="str">
        <f>'Margin Calculation'!C43</f>
        <v>Y</v>
      </c>
      <c r="D37" s="46" t="str">
        <f>IF('Project Estimations'!D62="","",'Project Estimations'!C62&amp;" "&amp;'Project Estimations'!D62&amp;" "&amp;'Project Estimations'!E62)</f>
        <v/>
      </c>
      <c r="E37" s="38" t="str">
        <f>IF('Project Estimations'!F62="","",'Project Estimations'!F62)</f>
        <v/>
      </c>
      <c r="F37" s="38" t="str">
        <f>IF('Project Estimations'!G62="","",'Project Estimations'!G62)</f>
        <v/>
      </c>
      <c r="G37" s="38" t="str">
        <f>IF((OR('Project Estimations'!H62="",'Project Estimations'!H62=0)),"",'Project Estimations'!H62)</f>
        <v/>
      </c>
      <c r="H37" s="38" t="str">
        <f>IF((OR('Project Estimations'!H62="",'Project Estimations'!H62=0)),"",COUNT('Project Estimations'!K62:BR62))</f>
        <v/>
      </c>
      <c r="I37" s="390" t="str">
        <f t="shared" si="2"/>
        <v/>
      </c>
      <c r="J37" s="391"/>
      <c r="K37" s="392"/>
      <c r="L37" s="392"/>
      <c r="M37" s="393">
        <f t="shared" si="3"/>
        <v>0</v>
      </c>
      <c r="N37" s="391"/>
      <c r="O37" s="394" t="str">
        <f t="shared" si="4"/>
        <v/>
      </c>
      <c r="P37" s="395" t="str">
        <f t="shared" si="5"/>
        <v/>
      </c>
      <c r="Q37" s="395" t="str">
        <f t="shared" si="6"/>
        <v/>
      </c>
      <c r="S37" s="45" t="s">
        <v>371</v>
      </c>
      <c r="T37" s="45"/>
      <c r="U37" s="76">
        <f>685*VLOOKUP($U$3,'Margin Calculation'!$AE$51:$AF$60,2,0)</f>
        <v>126.75631514765723</v>
      </c>
      <c r="X37" s="377" t="s">
        <v>372</v>
      </c>
      <c r="Y37" s="303"/>
      <c r="Z37" s="302"/>
      <c r="AA37" s="234">
        <f>AA38</f>
        <v>0</v>
      </c>
      <c r="AB37" s="378">
        <f>+SUM(AB38:AB64)</f>
        <v>0</v>
      </c>
      <c r="AF37" s="405"/>
    </row>
    <row r="38" spans="3:32" ht="13" x14ac:dyDescent="0.25">
      <c r="C38" s="45" t="str">
        <f>'Margin Calculation'!C44</f>
        <v>Y</v>
      </c>
      <c r="D38" s="45" t="str">
        <f>IF('Project Estimations'!D63="","",'Project Estimations'!C63&amp;" "&amp;'Project Estimations'!D63&amp;" "&amp;'Project Estimations'!E63)</f>
        <v/>
      </c>
      <c r="E38" s="40">
        <f>IF('Project Estimations'!F63="","",'Project Estimations'!F63)</f>
        <v>100</v>
      </c>
      <c r="F38" s="40" t="str">
        <f>IF('Project Estimations'!G63="","",'Project Estimations'!G63)</f>
        <v/>
      </c>
      <c r="G38" s="40" t="str">
        <f>IF((OR('Project Estimations'!H63="",'Project Estimations'!H63=0)),"",'Project Estimations'!H63)</f>
        <v/>
      </c>
      <c r="H38" s="40" t="str">
        <f>IF((OR('Project Estimations'!H63="",'Project Estimations'!H63=0)),"",COUNT('Project Estimations'!K63:BR63))</f>
        <v/>
      </c>
      <c r="I38" s="375" t="str">
        <f t="shared" si="2"/>
        <v/>
      </c>
      <c r="J38" s="397"/>
      <c r="K38" s="398"/>
      <c r="L38" s="398"/>
      <c r="M38" s="399">
        <f t="shared" si="3"/>
        <v>0</v>
      </c>
      <c r="N38" s="397"/>
      <c r="O38" s="400" t="str">
        <f t="shared" si="4"/>
        <v/>
      </c>
      <c r="P38" s="401" t="str">
        <f t="shared" si="5"/>
        <v/>
      </c>
      <c r="Q38" s="401" t="str">
        <f t="shared" si="6"/>
        <v/>
      </c>
      <c r="S38" s="46" t="s">
        <v>373</v>
      </c>
      <c r="T38" s="46"/>
      <c r="U38" s="379">
        <f>1025*VLOOKUP($U$3,'Margin Calculation'!$AE$51:$AF$60,2,0)</f>
        <v>189.67185843262578</v>
      </c>
      <c r="X38" s="40"/>
      <c r="Y38" s="40"/>
      <c r="Z38" s="45" t="s">
        <v>374</v>
      </c>
      <c r="AA38" s="380">
        <f>SUMIFS($Q$5:$Q$105,$F$5:$F$105,RIGHT(Z38,2),$M$5:$M$105,MID(Z38,4,1),$C$5:$C$105,"Y")</f>
        <v>0</v>
      </c>
      <c r="AB38" s="74">
        <f t="shared" ref="AB38:AB64" si="16">+AA38*U28</f>
        <v>0</v>
      </c>
    </row>
    <row r="39" spans="3:32" ht="13" x14ac:dyDescent="0.25">
      <c r="C39" s="46" t="str">
        <f>'Margin Calculation'!C45</f>
        <v>Y</v>
      </c>
      <c r="D39" s="46" t="str">
        <f>IF('Project Estimations'!D64="","",'Project Estimations'!C64&amp;" "&amp;'Project Estimations'!D64&amp;" "&amp;'Project Estimations'!E64)</f>
        <v/>
      </c>
      <c r="E39" s="38">
        <f>IF('Project Estimations'!F64="","",'Project Estimations'!F64)</f>
        <v>101</v>
      </c>
      <c r="F39" s="38" t="str">
        <f>IF('Project Estimations'!G64="","",'Project Estimations'!G64)</f>
        <v>BR</v>
      </c>
      <c r="G39" s="38">
        <f>IF((OR('Project Estimations'!H64="",'Project Estimations'!H64=0)),"",'Project Estimations'!H64)</f>
        <v>54.214875000000006</v>
      </c>
      <c r="H39" s="38">
        <f>IF((OR('Project Estimations'!H64="",'Project Estimations'!H64=0)),"",COUNT('Project Estimations'!K64:BR64))</f>
        <v>3</v>
      </c>
      <c r="I39" s="390">
        <f t="shared" si="2"/>
        <v>3.6143250000000005</v>
      </c>
      <c r="J39" s="391"/>
      <c r="K39" s="392"/>
      <c r="L39" s="392"/>
      <c r="M39" s="393">
        <f t="shared" si="3"/>
        <v>0</v>
      </c>
      <c r="N39" s="391"/>
      <c r="O39" s="394" t="str">
        <f t="shared" si="4"/>
        <v/>
      </c>
      <c r="P39" s="395" t="str">
        <f t="shared" si="5"/>
        <v/>
      </c>
      <c r="Q39" s="395">
        <f t="shared" si="6"/>
        <v>0</v>
      </c>
      <c r="S39" s="45" t="s">
        <v>375</v>
      </c>
      <c r="T39" s="45"/>
      <c r="U39" s="76">
        <f>685*VLOOKUP($U$3,'Margin Calculation'!$AE$51:$AF$60,2,0)</f>
        <v>126.75631514765723</v>
      </c>
      <c r="X39" s="38"/>
      <c r="Z39" s="46" t="s">
        <v>376</v>
      </c>
      <c r="AA39" s="381">
        <f>SUMIFS($Q$5:$Q$105,$F$5:$F$105,RIGHT(Z39,2),$M$5:$M$105,MID(Z39,4,1),$C$5:$C$105,"Y")</f>
        <v>0</v>
      </c>
      <c r="AB39" s="75">
        <f t="shared" si="16"/>
        <v>0</v>
      </c>
    </row>
    <row r="40" spans="3:32" ht="13" x14ac:dyDescent="0.25">
      <c r="C40" s="45" t="str">
        <f>'Margin Calculation'!C46</f>
        <v>Y</v>
      </c>
      <c r="D40" s="45" t="str">
        <f>IF('Project Estimations'!D65="","",'Project Estimations'!C65&amp;" "&amp;'Project Estimations'!D65&amp;" "&amp;'Project Estimations'!E65)</f>
        <v/>
      </c>
      <c r="E40" s="40">
        <f>IF('Project Estimations'!F65="","",'Project Estimations'!F65)</f>
        <v>102</v>
      </c>
      <c r="F40" s="40" t="str">
        <f>IF('Project Estimations'!G65="","",'Project Estimations'!G65)</f>
        <v>BR</v>
      </c>
      <c r="G40" s="40">
        <f>IF((OR('Project Estimations'!H65="",'Project Estimations'!H65=0)),"",'Project Estimations'!H65)</f>
        <v>56.383470000000003</v>
      </c>
      <c r="H40" s="40">
        <f>IF((OR('Project Estimations'!H65="",'Project Estimations'!H65=0)),"",COUNT('Project Estimations'!K65:BR65))</f>
        <v>3</v>
      </c>
      <c r="I40" s="375">
        <f t="shared" si="2"/>
        <v>3.7588980000000003</v>
      </c>
      <c r="J40" s="397"/>
      <c r="K40" s="398"/>
      <c r="L40" s="398"/>
      <c r="M40" s="399">
        <f t="shared" si="3"/>
        <v>0</v>
      </c>
      <c r="N40" s="397"/>
      <c r="O40" s="400" t="str">
        <f t="shared" si="4"/>
        <v/>
      </c>
      <c r="P40" s="401" t="str">
        <f t="shared" si="5"/>
        <v/>
      </c>
      <c r="Q40" s="401">
        <f t="shared" si="6"/>
        <v>0</v>
      </c>
      <c r="S40" s="46" t="s">
        <v>420</v>
      </c>
      <c r="T40" s="46"/>
      <c r="U40" s="379">
        <f>+U34</f>
        <v>223.92</v>
      </c>
      <c r="X40" s="40"/>
      <c r="Y40" s="40"/>
      <c r="Z40" s="45" t="s">
        <v>377</v>
      </c>
      <c r="AA40" s="380">
        <f>SUMIFS($Q$5:$Q$105,$F$5:$F$105,RIGHT(Z40,2),$M$5:$M$105,MID(Z40,10,1),$C$5:$C$105,"Y")</f>
        <v>0</v>
      </c>
      <c r="AB40" s="74">
        <f t="shared" si="16"/>
        <v>0</v>
      </c>
    </row>
    <row r="41" spans="3:32" ht="13" x14ac:dyDescent="0.25">
      <c r="C41" s="46" t="str">
        <f>'Margin Calculation'!C47</f>
        <v>Y</v>
      </c>
      <c r="D41" s="46" t="str">
        <f>IF('Project Estimations'!D66="","",'Project Estimations'!C66&amp;" "&amp;'Project Estimations'!D66&amp;" "&amp;'Project Estimations'!E66)</f>
        <v/>
      </c>
      <c r="E41" s="38">
        <f>IF('Project Estimations'!F66="","",'Project Estimations'!F66)</f>
        <v>200</v>
      </c>
      <c r="F41" s="38" t="str">
        <f>IF('Project Estimations'!G66="","",'Project Estimations'!G66)</f>
        <v>PT</v>
      </c>
      <c r="G41" s="38">
        <f>IF((OR('Project Estimations'!H66="",'Project Estimations'!H66=0)),"",'Project Estimations'!H66)</f>
        <v>21.685950000000002</v>
      </c>
      <c r="H41" s="38">
        <f>IF((OR('Project Estimations'!H66="",'Project Estimations'!H66=0)),"",COUNT('Project Estimations'!K66:BR66))</f>
        <v>3</v>
      </c>
      <c r="I41" s="390">
        <f t="shared" si="2"/>
        <v>1.4457300000000002</v>
      </c>
      <c r="J41" s="391"/>
      <c r="K41" s="392"/>
      <c r="L41" s="392"/>
      <c r="M41" s="393">
        <f t="shared" si="3"/>
        <v>0</v>
      </c>
      <c r="N41" s="391"/>
      <c r="O41" s="394" t="str">
        <f t="shared" si="4"/>
        <v/>
      </c>
      <c r="P41" s="395" t="str">
        <f t="shared" si="5"/>
        <v/>
      </c>
      <c r="Q41" s="395">
        <f t="shared" si="6"/>
        <v>0</v>
      </c>
      <c r="S41" s="45" t="s">
        <v>421</v>
      </c>
      <c r="T41" s="45"/>
      <c r="U41" s="76">
        <f t="shared" ref="U41:U42" si="17">+U35</f>
        <v>335.88</v>
      </c>
      <c r="X41" s="38"/>
      <c r="Z41" s="46" t="s">
        <v>378</v>
      </c>
      <c r="AA41" s="381">
        <f>SUMIFS($Q$5:$Q$105,$F$5:$F$105,RIGHT(Z41,2),$M$5:$M$105,MID(Z41,4,1),$C$5:$C$105,"Y")</f>
        <v>0</v>
      </c>
      <c r="AB41" s="75">
        <f t="shared" si="16"/>
        <v>0</v>
      </c>
    </row>
    <row r="42" spans="3:32" ht="13" x14ac:dyDescent="0.25">
      <c r="C42" s="45" t="str">
        <f>'Margin Calculation'!C48</f>
        <v>Y</v>
      </c>
      <c r="D42" s="45" t="str">
        <f>IF('Project Estimations'!D67="","",'Project Estimations'!C67&amp;" "&amp;'Project Estimations'!D67&amp;" "&amp;'Project Estimations'!E67)</f>
        <v/>
      </c>
      <c r="E42" s="40">
        <f>IF('Project Estimations'!F67="","",'Project Estimations'!F67)</f>
        <v>201</v>
      </c>
      <c r="F42" s="40" t="str">
        <f>IF('Project Estimations'!G67="","",'Project Estimations'!G67)</f>
        <v>PT</v>
      </c>
      <c r="G42" s="40">
        <f>IF((OR('Project Estimations'!H67="",'Project Estimations'!H67=0)),"",'Project Estimations'!H67)</f>
        <v>21.685950000000002</v>
      </c>
      <c r="H42" s="40">
        <f>IF((OR('Project Estimations'!H67="",'Project Estimations'!H67=0)),"",COUNT('Project Estimations'!K67:BR67))</f>
        <v>3</v>
      </c>
      <c r="I42" s="375">
        <f t="shared" si="2"/>
        <v>1.4457300000000002</v>
      </c>
      <c r="J42" s="397"/>
      <c r="K42" s="398"/>
      <c r="L42" s="398"/>
      <c r="M42" s="399">
        <f t="shared" si="3"/>
        <v>0</v>
      </c>
      <c r="N42" s="397"/>
      <c r="O42" s="400" t="str">
        <f t="shared" si="4"/>
        <v/>
      </c>
      <c r="P42" s="401" t="str">
        <f t="shared" si="5"/>
        <v/>
      </c>
      <c r="Q42" s="401">
        <f t="shared" si="6"/>
        <v>0</v>
      </c>
      <c r="S42" s="46" t="s">
        <v>422</v>
      </c>
      <c r="T42" s="46"/>
      <c r="U42" s="379">
        <f t="shared" si="17"/>
        <v>223.92</v>
      </c>
      <c r="X42" s="40"/>
      <c r="Y42" s="40"/>
      <c r="Z42" s="45" t="s">
        <v>379</v>
      </c>
      <c r="AA42" s="380">
        <f>SUMIFS($Q$5:$Q$105,$F$5:$F$105,RIGHT(Z42,2),$M$5:$M$105,MID(Z42,4,1),$C$5:$C$105,"Y")</f>
        <v>0</v>
      </c>
      <c r="AB42" s="74">
        <f t="shared" si="16"/>
        <v>0</v>
      </c>
    </row>
    <row r="43" spans="3:32" ht="13" x14ac:dyDescent="0.25">
      <c r="C43" s="46" t="str">
        <f>'Margin Calculation'!C49</f>
        <v>Y</v>
      </c>
      <c r="D43" s="46" t="str">
        <f>IF('Project Estimations'!D68="","",'Project Estimations'!C68&amp;" "&amp;'Project Estimations'!D68&amp;" "&amp;'Project Estimations'!E68)</f>
        <v/>
      </c>
      <c r="E43" s="38">
        <f>IF('Project Estimations'!F68="","",'Project Estimations'!F68)</f>
        <v>202</v>
      </c>
      <c r="F43" s="38" t="str">
        <f>IF('Project Estimations'!G68="","",'Project Estimations'!G68)</f>
        <v>PT</v>
      </c>
      <c r="G43" s="38">
        <f>IF((OR('Project Estimations'!H68="",'Project Estimations'!H68=0)),"",'Project Estimations'!H68)</f>
        <v>21.685950000000002</v>
      </c>
      <c r="H43" s="38">
        <f>IF((OR('Project Estimations'!H68="",'Project Estimations'!H68=0)),"",COUNT('Project Estimations'!K68:BR68))</f>
        <v>3</v>
      </c>
      <c r="I43" s="390">
        <f t="shared" si="2"/>
        <v>1.4457300000000002</v>
      </c>
      <c r="J43" s="391"/>
      <c r="K43" s="392"/>
      <c r="L43" s="392"/>
      <c r="M43" s="393">
        <f t="shared" si="3"/>
        <v>0</v>
      </c>
      <c r="N43" s="391"/>
      <c r="O43" s="394" t="str">
        <f t="shared" si="4"/>
        <v/>
      </c>
      <c r="P43" s="395" t="str">
        <f t="shared" si="5"/>
        <v/>
      </c>
      <c r="Q43" s="395">
        <f t="shared" si="6"/>
        <v>0</v>
      </c>
      <c r="S43" s="45" t="s">
        <v>380</v>
      </c>
      <c r="T43" s="45"/>
      <c r="U43" s="76">
        <f>4090*VLOOKUP('Expenses Estimation'!$U$3,'Margin Calculation'!$AE$41:$AF$50,2,0)</f>
        <v>208.2934401316781</v>
      </c>
      <c r="X43" s="38"/>
      <c r="Z43" s="46" t="s">
        <v>381</v>
      </c>
      <c r="AA43" s="381">
        <f>SUMIFS($Q$5:$Q$105,$F$5:$F$105,RIGHT(Z43,2),$M$5:$M$105,MID(Z43,10,1),$C$5:$C$105,"Y")</f>
        <v>0</v>
      </c>
      <c r="AB43" s="75">
        <f t="shared" si="16"/>
        <v>0</v>
      </c>
    </row>
    <row r="44" spans="3:32" ht="13" x14ac:dyDescent="0.25">
      <c r="C44" s="45" t="str">
        <f>'Margin Calculation'!C50</f>
        <v>Y</v>
      </c>
      <c r="D44" s="45" t="str">
        <f>IF('Project Estimations'!D69="","",'Project Estimations'!C69&amp;" "&amp;'Project Estimations'!D69&amp;" "&amp;'Project Estimations'!E69)</f>
        <v/>
      </c>
      <c r="E44" s="40">
        <f>IF('Project Estimations'!F69="","",'Project Estimations'!F69)</f>
        <v>203</v>
      </c>
      <c r="F44" s="40" t="str">
        <f>IF('Project Estimations'!G69="","",'Project Estimations'!G69)</f>
        <v>PT</v>
      </c>
      <c r="G44" s="40">
        <f>IF((OR('Project Estimations'!H69="",'Project Estimations'!H69=0)),"",'Project Estimations'!H69)</f>
        <v>23.854545000000002</v>
      </c>
      <c r="H44" s="40">
        <f>IF((OR('Project Estimations'!H69="",'Project Estimations'!H69=0)),"",COUNT('Project Estimations'!K69:BR69))</f>
        <v>3</v>
      </c>
      <c r="I44" s="375">
        <f t="shared" si="2"/>
        <v>1.590303</v>
      </c>
      <c r="J44" s="397"/>
      <c r="K44" s="398"/>
      <c r="L44" s="398"/>
      <c r="M44" s="399">
        <f t="shared" si="3"/>
        <v>0</v>
      </c>
      <c r="N44" s="397"/>
      <c r="O44" s="400" t="str">
        <f t="shared" si="4"/>
        <v/>
      </c>
      <c r="P44" s="401" t="str">
        <f t="shared" si="5"/>
        <v/>
      </c>
      <c r="Q44" s="401">
        <f t="shared" si="6"/>
        <v>0</v>
      </c>
      <c r="S44" s="46" t="s">
        <v>382</v>
      </c>
      <c r="T44" s="46"/>
      <c r="U44" s="379">
        <f>6135*VLOOKUP('Expenses Estimation'!$U$3,'Margin Calculation'!$AE$41:$AF$50,2,0)</f>
        <v>312.44016019751717</v>
      </c>
      <c r="X44" s="40"/>
      <c r="Y44" s="40"/>
      <c r="Z44" s="45" t="s">
        <v>383</v>
      </c>
      <c r="AA44" s="380">
        <f>SUMIFS($Q$5:$Q$105,$F$5:$F$105,RIGHT(Z44,2),$M$5:$M$105,MID(Z44,4,1),$C$5:$C$105,"Y")</f>
        <v>0</v>
      </c>
      <c r="AB44" s="74">
        <f t="shared" si="16"/>
        <v>0</v>
      </c>
    </row>
    <row r="45" spans="3:32" ht="13" x14ac:dyDescent="0.25">
      <c r="C45" s="46" t="str">
        <f>'Margin Calculation'!C51</f>
        <v>Y</v>
      </c>
      <c r="D45" s="46" t="str">
        <f>IF('Project Estimations'!D70="","",'Project Estimations'!C70&amp;" "&amp;'Project Estimations'!D70&amp;" "&amp;'Project Estimations'!E70)</f>
        <v/>
      </c>
      <c r="E45" s="38">
        <f>IF('Project Estimations'!F70="","",'Project Estimations'!F70)</f>
        <v>300</v>
      </c>
      <c r="F45" s="38" t="str">
        <f>IF('Project Estimations'!G70="","",'Project Estimations'!G70)</f>
        <v>PT</v>
      </c>
      <c r="G45" s="38">
        <f>IF((OR('Project Estimations'!H70="",'Project Estimations'!H70=0)),"",'Project Estimations'!H70)</f>
        <v>4.3371899999999997</v>
      </c>
      <c r="H45" s="38">
        <f>IF((OR('Project Estimations'!H70="",'Project Estimations'!H70=0)),"",COUNT('Project Estimations'!K70:BR70))</f>
        <v>3</v>
      </c>
      <c r="I45" s="390">
        <f t="shared" si="2"/>
        <v>0.28914599999999996</v>
      </c>
      <c r="J45" s="391"/>
      <c r="K45" s="392"/>
      <c r="L45" s="392"/>
      <c r="M45" s="393">
        <f t="shared" si="3"/>
        <v>0</v>
      </c>
      <c r="N45" s="391"/>
      <c r="O45" s="394" t="str">
        <f t="shared" si="4"/>
        <v/>
      </c>
      <c r="P45" s="395" t="str">
        <f t="shared" si="5"/>
        <v/>
      </c>
      <c r="Q45" s="395">
        <f t="shared" si="6"/>
        <v>0</v>
      </c>
      <c r="S45" s="45" t="s">
        <v>384</v>
      </c>
      <c r="T45" s="45"/>
      <c r="U45" s="76">
        <f>4090*VLOOKUP('Expenses Estimation'!$U$3,'Margin Calculation'!$AE$41:$AF$50,2,0)</f>
        <v>208.2934401316781</v>
      </c>
      <c r="X45" s="38"/>
      <c r="Z45" s="46" t="s">
        <v>385</v>
      </c>
      <c r="AA45" s="381">
        <f>SUMIFS($Q$5:$Q$105,$F$5:$F$105,RIGHT(Z45,2),$M$5:$M$105,MID(Z45,4,1),$C$5:$C$105,"Y")</f>
        <v>0</v>
      </c>
      <c r="AB45" s="75">
        <f t="shared" si="16"/>
        <v>0</v>
      </c>
    </row>
    <row r="46" spans="3:32" ht="13" x14ac:dyDescent="0.25">
      <c r="C46" s="45" t="str">
        <f>'Margin Calculation'!C52</f>
        <v>Y</v>
      </c>
      <c r="D46" s="45" t="str">
        <f>IF('Project Estimations'!D71="","",'Project Estimations'!C71&amp;" "&amp;'Project Estimations'!D71&amp;" "&amp;'Project Estimations'!E71)</f>
        <v/>
      </c>
      <c r="E46" s="40">
        <f>IF('Project Estimations'!F71="","",'Project Estimations'!F71)</f>
        <v>301</v>
      </c>
      <c r="F46" s="40" t="str">
        <f>IF('Project Estimations'!G71="","",'Project Estimations'!G71)</f>
        <v/>
      </c>
      <c r="G46" s="40" t="str">
        <f>IF((OR('Project Estimations'!H71="",'Project Estimations'!H71=0)),"",'Project Estimations'!H71)</f>
        <v/>
      </c>
      <c r="H46" s="40" t="str">
        <f>IF((OR('Project Estimations'!H71="",'Project Estimations'!H71=0)),"",COUNT('Project Estimations'!K71:BR71))</f>
        <v/>
      </c>
      <c r="I46" s="375" t="str">
        <f t="shared" si="2"/>
        <v/>
      </c>
      <c r="J46" s="397"/>
      <c r="K46" s="398"/>
      <c r="L46" s="398"/>
      <c r="M46" s="399">
        <f t="shared" si="3"/>
        <v>0</v>
      </c>
      <c r="N46" s="397"/>
      <c r="O46" s="400" t="str">
        <f t="shared" si="4"/>
        <v/>
      </c>
      <c r="P46" s="401" t="str">
        <f t="shared" si="5"/>
        <v/>
      </c>
      <c r="Q46" s="401" t="str">
        <f t="shared" si="6"/>
        <v/>
      </c>
      <c r="S46" s="46" t="s">
        <v>386</v>
      </c>
      <c r="T46" s="46"/>
      <c r="U46" s="379">
        <f>134785*VLOOKUP('Expenses Estimation'!$U$3,'Margin Calculation'!$AE$61:$AF$70,2,0)</f>
        <v>149.99437069017966</v>
      </c>
      <c r="X46" s="40"/>
      <c r="Y46" s="40"/>
      <c r="Z46" s="45" t="s">
        <v>387</v>
      </c>
      <c r="AA46" s="380">
        <f>SUMIFS($Q$5:$Q$105,$F$5:$F$105,RIGHT(Z46,2),$M$5:$M$105,MID(Z46,10,1),$C$5:$C$105,"Y")</f>
        <v>0</v>
      </c>
      <c r="AB46" s="74">
        <f t="shared" si="16"/>
        <v>0</v>
      </c>
    </row>
    <row r="47" spans="3:32" ht="13" x14ac:dyDescent="0.25">
      <c r="C47" s="46" t="str">
        <f>'Margin Calculation'!C53</f>
        <v>Y</v>
      </c>
      <c r="D47" s="46" t="str">
        <f>IF('Project Estimations'!D72="","",'Project Estimations'!C72&amp;" "&amp;'Project Estimations'!D72&amp;" "&amp;'Project Estimations'!E72)</f>
        <v/>
      </c>
      <c r="E47" s="38">
        <f>IF('Project Estimations'!F72="","",'Project Estimations'!F72)</f>
        <v>302</v>
      </c>
      <c r="F47" s="38" t="str">
        <f>IF('Project Estimations'!G72="","",'Project Estimations'!G72)</f>
        <v/>
      </c>
      <c r="G47" s="38" t="str">
        <f>IF((OR('Project Estimations'!H72="",'Project Estimations'!H72=0)),"",'Project Estimations'!H72)</f>
        <v/>
      </c>
      <c r="H47" s="38" t="str">
        <f>IF((OR('Project Estimations'!H72="",'Project Estimations'!H72=0)),"",COUNT('Project Estimations'!K72:BR72))</f>
        <v/>
      </c>
      <c r="I47" s="390" t="str">
        <f t="shared" si="2"/>
        <v/>
      </c>
      <c r="J47" s="391"/>
      <c r="K47" s="392"/>
      <c r="L47" s="392"/>
      <c r="M47" s="393">
        <f t="shared" si="3"/>
        <v>0</v>
      </c>
      <c r="N47" s="391"/>
      <c r="O47" s="394" t="str">
        <f t="shared" si="4"/>
        <v/>
      </c>
      <c r="P47" s="395" t="str">
        <f t="shared" si="5"/>
        <v/>
      </c>
      <c r="Q47" s="395" t="str">
        <f t="shared" si="6"/>
        <v/>
      </c>
      <c r="S47" s="45" t="s">
        <v>388</v>
      </c>
      <c r="T47" s="45"/>
      <c r="U47" s="76">
        <f>202180*VLOOKUP('Expenses Estimation'!$U$3,'Margin Calculation'!$AE$61:$AF$70,2,0)</f>
        <v>224.99433813955946</v>
      </c>
      <c r="X47" s="38"/>
      <c r="Z47" s="46" t="s">
        <v>389</v>
      </c>
      <c r="AA47" s="381">
        <f>SUMIFS($Q$5:$Q$105,$F$5:$F$105,RIGHT(Z47,2),$M$5:$M$105,MID(Z47,4,1),$C$5:$C$105,"Y")</f>
        <v>0</v>
      </c>
      <c r="AB47" s="75">
        <f t="shared" si="16"/>
        <v>0</v>
      </c>
    </row>
    <row r="48" spans="3:32" ht="13" x14ac:dyDescent="0.25">
      <c r="C48" s="45" t="str">
        <f>'Margin Calculation'!C54</f>
        <v>Y</v>
      </c>
      <c r="D48" s="45" t="str">
        <f>IF('Project Estimations'!D73="","",'Project Estimations'!C73&amp;" "&amp;'Project Estimations'!D73&amp;" "&amp;'Project Estimations'!E73)</f>
        <v/>
      </c>
      <c r="E48" s="40">
        <f>IF('Project Estimations'!F73="","",'Project Estimations'!F73)</f>
        <v>303</v>
      </c>
      <c r="F48" s="40" t="str">
        <f>IF('Project Estimations'!G73="","",'Project Estimations'!G73)</f>
        <v/>
      </c>
      <c r="G48" s="40" t="str">
        <f>IF((OR('Project Estimations'!H73="",'Project Estimations'!H73=0)),"",'Project Estimations'!H73)</f>
        <v/>
      </c>
      <c r="H48" s="40" t="str">
        <f>IF((OR('Project Estimations'!H73="",'Project Estimations'!H73=0)),"",COUNT('Project Estimations'!K73:BR73))</f>
        <v/>
      </c>
      <c r="I48" s="375" t="str">
        <f t="shared" si="2"/>
        <v/>
      </c>
      <c r="J48" s="397"/>
      <c r="K48" s="398"/>
      <c r="L48" s="398"/>
      <c r="M48" s="399">
        <f t="shared" si="3"/>
        <v>0</v>
      </c>
      <c r="N48" s="397"/>
      <c r="O48" s="400" t="str">
        <f t="shared" si="4"/>
        <v/>
      </c>
      <c r="P48" s="401" t="str">
        <f t="shared" si="5"/>
        <v/>
      </c>
      <c r="Q48" s="401" t="str">
        <f t="shared" si="6"/>
        <v/>
      </c>
      <c r="S48" s="46" t="s">
        <v>390</v>
      </c>
      <c r="T48" s="46"/>
      <c r="U48" s="379">
        <f>134785*VLOOKUP('Expenses Estimation'!$U$3,'Margin Calculation'!$AE$61:$AF$70,2,0)</f>
        <v>149.99437069017966</v>
      </c>
      <c r="X48" s="40"/>
      <c r="Y48" s="40"/>
      <c r="Z48" s="45" t="s">
        <v>391</v>
      </c>
      <c r="AA48" s="380">
        <f>SUMIFS($Q$5:$Q$105,$F$5:$F$105,RIGHT(Z48,2),$M$5:$M$105,MID(Z48,4,1),$C$5:$C$105,"Y")</f>
        <v>0</v>
      </c>
      <c r="AB48" s="74">
        <f t="shared" si="16"/>
        <v>0</v>
      </c>
    </row>
    <row r="49" spans="3:28" ht="13" x14ac:dyDescent="0.25">
      <c r="C49" s="46" t="str">
        <f>'Margin Calculation'!C55</f>
        <v>Y</v>
      </c>
      <c r="D49" s="46" t="str">
        <f>IF('Project Estimations'!D74="","",'Project Estimations'!C74&amp;" "&amp;'Project Estimations'!D74&amp;" "&amp;'Project Estimations'!E74)</f>
        <v/>
      </c>
      <c r="E49" s="38">
        <f>IF('Project Estimations'!F74="","",'Project Estimations'!F74)</f>
        <v>304</v>
      </c>
      <c r="F49" s="38" t="str">
        <f>IF('Project Estimations'!G74="","",'Project Estimations'!G74)</f>
        <v/>
      </c>
      <c r="G49" s="38" t="str">
        <f>IF((OR('Project Estimations'!H74="",'Project Estimations'!H74=0)),"",'Project Estimations'!H74)</f>
        <v/>
      </c>
      <c r="H49" s="38" t="str">
        <f>IF((OR('Project Estimations'!H74="",'Project Estimations'!H74=0)),"",COUNT('Project Estimations'!K74:BR74))</f>
        <v/>
      </c>
      <c r="I49" s="390" t="str">
        <f t="shared" si="2"/>
        <v/>
      </c>
      <c r="J49" s="391"/>
      <c r="K49" s="392"/>
      <c r="L49" s="392"/>
      <c r="M49" s="393">
        <f t="shared" si="3"/>
        <v>0</v>
      </c>
      <c r="N49" s="391"/>
      <c r="O49" s="394" t="str">
        <f t="shared" si="4"/>
        <v/>
      </c>
      <c r="P49" s="395" t="str">
        <f t="shared" si="5"/>
        <v/>
      </c>
      <c r="Q49" s="395" t="str">
        <f t="shared" si="6"/>
        <v/>
      </c>
      <c r="S49" s="45" t="s">
        <v>392</v>
      </c>
      <c r="T49" s="45"/>
      <c r="U49" s="76"/>
      <c r="X49" s="38"/>
      <c r="Z49" s="46" t="s">
        <v>393</v>
      </c>
      <c r="AA49" s="381">
        <f>SUMIFS($Q$5:$Q$105,$F$5:$F$105,RIGHT(Z49,2),$M$5:$M$105,MID(Z49,10,1),$C$5:$C$105,"Y")</f>
        <v>0</v>
      </c>
      <c r="AB49" s="75">
        <f t="shared" si="16"/>
        <v>0</v>
      </c>
    </row>
    <row r="50" spans="3:28" ht="13" x14ac:dyDescent="0.25">
      <c r="C50" s="45" t="str">
        <f>'Margin Calculation'!C56</f>
        <v>Y</v>
      </c>
      <c r="D50" s="45" t="str">
        <f>IF('Project Estimations'!D75="","",'Project Estimations'!C75&amp;" "&amp;'Project Estimations'!D75&amp;" "&amp;'Project Estimations'!E75)</f>
        <v/>
      </c>
      <c r="E50" s="40">
        <f>IF('Project Estimations'!F75="","",'Project Estimations'!F75)</f>
        <v>400</v>
      </c>
      <c r="F50" s="40" t="str">
        <f>IF('Project Estimations'!G75="","",'Project Estimations'!G75)</f>
        <v/>
      </c>
      <c r="G50" s="40" t="str">
        <f>IF((OR('Project Estimations'!H75="",'Project Estimations'!H75=0)),"",'Project Estimations'!H75)</f>
        <v/>
      </c>
      <c r="H50" s="40" t="str">
        <f>IF((OR('Project Estimations'!H75="",'Project Estimations'!H75=0)),"",COUNT('Project Estimations'!K75:BR75))</f>
        <v/>
      </c>
      <c r="I50" s="375" t="str">
        <f t="shared" si="2"/>
        <v/>
      </c>
      <c r="J50" s="397"/>
      <c r="K50" s="398"/>
      <c r="L50" s="398"/>
      <c r="M50" s="399">
        <f t="shared" si="3"/>
        <v>0</v>
      </c>
      <c r="N50" s="397"/>
      <c r="O50" s="400" t="str">
        <f t="shared" si="4"/>
        <v/>
      </c>
      <c r="P50" s="401" t="str">
        <f t="shared" si="5"/>
        <v/>
      </c>
      <c r="Q50" s="401" t="str">
        <f t="shared" si="6"/>
        <v/>
      </c>
      <c r="S50" s="46" t="s">
        <v>394</v>
      </c>
      <c r="T50" s="46"/>
      <c r="U50" s="379"/>
      <c r="X50" s="40"/>
      <c r="Y50" s="40"/>
      <c r="Z50" s="45" t="s">
        <v>423</v>
      </c>
      <c r="AA50" s="380">
        <f>SUMIFS($Q$5:$Q$105,$F$5:$F$105,RIGHT(Z50,2),$M$5:$M$105,MID(Z50,4,1),$C$5:$C$105,"Y")</f>
        <v>0</v>
      </c>
      <c r="AB50" s="74">
        <f t="shared" si="16"/>
        <v>0</v>
      </c>
    </row>
    <row r="51" spans="3:28" ht="13" x14ac:dyDescent="0.25">
      <c r="C51" s="46" t="str">
        <f>'Margin Calculation'!C57</f>
        <v>Y</v>
      </c>
      <c r="D51" s="46" t="str">
        <f>IF('Project Estimations'!D76="","",'Project Estimations'!C76&amp;" "&amp;'Project Estimations'!D76&amp;" "&amp;'Project Estimations'!E76)</f>
        <v/>
      </c>
      <c r="E51" s="38" t="str">
        <f>IF('Project Estimations'!F76="","",'Project Estimations'!F76)</f>
        <v/>
      </c>
      <c r="F51" s="38" t="str">
        <f>IF('Project Estimations'!G76="","",'Project Estimations'!G76)</f>
        <v/>
      </c>
      <c r="G51" s="38" t="str">
        <f>IF((OR('Project Estimations'!H76="",'Project Estimations'!H76=0)),"",'Project Estimations'!H76)</f>
        <v/>
      </c>
      <c r="H51" s="38" t="str">
        <f>IF((OR('Project Estimations'!H76="",'Project Estimations'!H76=0)),"",COUNT('Project Estimations'!K76:BR76))</f>
        <v/>
      </c>
      <c r="I51" s="390" t="str">
        <f t="shared" si="2"/>
        <v/>
      </c>
      <c r="J51" s="391"/>
      <c r="K51" s="392"/>
      <c r="L51" s="392"/>
      <c r="M51" s="393">
        <f t="shared" si="3"/>
        <v>0</v>
      </c>
      <c r="N51" s="391"/>
      <c r="O51" s="394" t="str">
        <f t="shared" si="4"/>
        <v/>
      </c>
      <c r="P51" s="395" t="str">
        <f t="shared" si="5"/>
        <v/>
      </c>
      <c r="Q51" s="395" t="str">
        <f t="shared" si="6"/>
        <v/>
      </c>
      <c r="S51" s="45" t="s">
        <v>395</v>
      </c>
      <c r="T51" s="45"/>
      <c r="U51" s="76"/>
      <c r="X51" s="38"/>
      <c r="Z51" s="46" t="s">
        <v>424</v>
      </c>
      <c r="AA51" s="381">
        <f>SUMIFS($Q$5:$Q$105,$F$5:$F$105,RIGHT(Z51,2),$M$5:$M$105,MID(Z51,4,1),$C$5:$C$105,"Y")</f>
        <v>0</v>
      </c>
      <c r="AB51" s="75">
        <f t="shared" si="16"/>
        <v>0</v>
      </c>
    </row>
    <row r="52" spans="3:28" ht="13" x14ac:dyDescent="0.25">
      <c r="C52" s="45" t="str">
        <f>'Margin Calculation'!C58</f>
        <v>Y</v>
      </c>
      <c r="D52" s="45" t="str">
        <f>IF('Project Estimations'!D77="","",'Project Estimations'!C77&amp;" "&amp;'Project Estimations'!D77&amp;" "&amp;'Project Estimations'!E77)</f>
        <v/>
      </c>
      <c r="E52" s="40" t="str">
        <f>IF('Project Estimations'!F77="","",'Project Estimations'!F77)</f>
        <v/>
      </c>
      <c r="F52" s="40" t="str">
        <f>IF('Project Estimations'!G77="","",'Project Estimations'!G77)</f>
        <v/>
      </c>
      <c r="G52" s="40" t="str">
        <f>IF((OR('Project Estimations'!H77="",'Project Estimations'!H77=0)),"",'Project Estimations'!H77)</f>
        <v/>
      </c>
      <c r="H52" s="40" t="str">
        <f>IF((OR('Project Estimations'!H77="",'Project Estimations'!H77=0)),"",COUNT('Project Estimations'!K77:BR77))</f>
        <v/>
      </c>
      <c r="I52" s="375" t="str">
        <f t="shared" si="2"/>
        <v/>
      </c>
      <c r="J52" s="397"/>
      <c r="K52" s="398"/>
      <c r="L52" s="398"/>
      <c r="M52" s="399">
        <f t="shared" si="3"/>
        <v>0</v>
      </c>
      <c r="N52" s="397"/>
      <c r="O52" s="400" t="str">
        <f t="shared" si="4"/>
        <v/>
      </c>
      <c r="P52" s="401" t="str">
        <f t="shared" si="5"/>
        <v/>
      </c>
      <c r="Q52" s="401" t="str">
        <f t="shared" si="6"/>
        <v/>
      </c>
      <c r="S52" s="46" t="s">
        <v>396</v>
      </c>
      <c r="T52" s="46"/>
      <c r="U52" s="379"/>
      <c r="X52" s="40"/>
      <c r="Y52" s="40"/>
      <c r="Z52" s="45" t="s">
        <v>425</v>
      </c>
      <c r="AA52" s="380">
        <f>SUMIFS($Q$5:$Q$105,$F$5:$F$105,RIGHT(Z52,2),$M$5:$M$105,MID(Z52,10,1),$C$5:$C$105,"Y")</f>
        <v>0</v>
      </c>
      <c r="AB52" s="74">
        <f t="shared" si="16"/>
        <v>0</v>
      </c>
    </row>
    <row r="53" spans="3:28" ht="13" x14ac:dyDescent="0.25">
      <c r="C53" s="46" t="str">
        <f>'Margin Calculation'!C59</f>
        <v>Y</v>
      </c>
      <c r="D53" s="46" t="str">
        <f>IF('Project Estimations'!D78="","",'Project Estimations'!C78&amp;" "&amp;'Project Estimations'!D78&amp;" "&amp;'Project Estimations'!E78)</f>
        <v/>
      </c>
      <c r="E53" s="38" t="str">
        <f>IF('Project Estimations'!F78="","",'Project Estimations'!F78)</f>
        <v/>
      </c>
      <c r="F53" s="38" t="str">
        <f>IF('Project Estimations'!G78="","",'Project Estimations'!G78)</f>
        <v/>
      </c>
      <c r="G53" s="38" t="str">
        <f>IF((OR('Project Estimations'!H78="",'Project Estimations'!H78=0)),"",'Project Estimations'!H78)</f>
        <v/>
      </c>
      <c r="H53" s="38" t="str">
        <f>IF((OR('Project Estimations'!H78="",'Project Estimations'!H78=0)),"",COUNT('Project Estimations'!K78:BR78))</f>
        <v/>
      </c>
      <c r="I53" s="390" t="str">
        <f t="shared" si="2"/>
        <v/>
      </c>
      <c r="J53" s="391"/>
      <c r="K53" s="392"/>
      <c r="L53" s="392"/>
      <c r="M53" s="393">
        <f t="shared" si="3"/>
        <v>0</v>
      </c>
      <c r="N53" s="391"/>
      <c r="O53" s="394" t="str">
        <f t="shared" si="4"/>
        <v/>
      </c>
      <c r="P53" s="395" t="str">
        <f t="shared" si="5"/>
        <v/>
      </c>
      <c r="Q53" s="395" t="str">
        <f t="shared" si="6"/>
        <v/>
      </c>
      <c r="S53" s="45" t="s">
        <v>397</v>
      </c>
      <c r="T53" s="45"/>
      <c r="U53" s="76"/>
      <c r="X53" s="38"/>
      <c r="Z53" s="46" t="s">
        <v>398</v>
      </c>
      <c r="AA53" s="381">
        <f>SUMIFS($Q$5:$Q$105,$F$5:$F$105,RIGHT(Z53,2),$M$5:$M$105,MID(Z53,4,1),$C$5:$C$105,"Y")</f>
        <v>0</v>
      </c>
      <c r="AB53" s="75">
        <f t="shared" si="16"/>
        <v>0</v>
      </c>
    </row>
    <row r="54" spans="3:28" ht="13" x14ac:dyDescent="0.25">
      <c r="C54" s="45" t="str">
        <f>'Margin Calculation'!C60</f>
        <v>Y</v>
      </c>
      <c r="D54" s="45" t="str">
        <f>IF('Project Estimations'!D79="","",'Project Estimations'!C79&amp;" "&amp;'Project Estimations'!D79&amp;" "&amp;'Project Estimations'!E79)</f>
        <v/>
      </c>
      <c r="E54" s="40" t="str">
        <f>IF('Project Estimations'!F79="","",'Project Estimations'!F79)</f>
        <v/>
      </c>
      <c r="F54" s="40" t="str">
        <f>IF('Project Estimations'!G79="","",'Project Estimations'!G79)</f>
        <v/>
      </c>
      <c r="G54" s="40" t="str">
        <f>IF((OR('Project Estimations'!H79="",'Project Estimations'!H79=0)),"",'Project Estimations'!H79)</f>
        <v/>
      </c>
      <c r="H54" s="40" t="str">
        <f>IF((OR('Project Estimations'!H79="",'Project Estimations'!H79=0)),"",COUNT('Project Estimations'!K79:BR79))</f>
        <v/>
      </c>
      <c r="I54" s="375" t="str">
        <f t="shared" si="2"/>
        <v/>
      </c>
      <c r="J54" s="397"/>
      <c r="K54" s="398"/>
      <c r="L54" s="398"/>
      <c r="M54" s="399">
        <f t="shared" si="3"/>
        <v>0</v>
      </c>
      <c r="N54" s="397"/>
      <c r="O54" s="400" t="str">
        <f t="shared" si="4"/>
        <v/>
      </c>
      <c r="P54" s="401" t="str">
        <f t="shared" si="5"/>
        <v/>
      </c>
      <c r="Q54" s="401" t="str">
        <f t="shared" si="6"/>
        <v/>
      </c>
      <c r="S54" s="46" t="s">
        <v>399</v>
      </c>
      <c r="T54" s="46"/>
      <c r="U54" s="379"/>
      <c r="X54" s="40"/>
      <c r="Y54" s="40"/>
      <c r="Z54" s="45" t="s">
        <v>400</v>
      </c>
      <c r="AA54" s="380">
        <f>SUMIFS($Q$5:$Q$105,$F$5:$F$105,RIGHT(Z54,2),$M$5:$M$105,MID(Z54,4,1),$C$5:$C$105,"Y")</f>
        <v>0</v>
      </c>
      <c r="AB54" s="74">
        <f t="shared" si="16"/>
        <v>0</v>
      </c>
    </row>
    <row r="55" spans="3:28" ht="13" x14ac:dyDescent="0.25">
      <c r="C55" s="46" t="str">
        <f>'Margin Calculation'!C61</f>
        <v>Y</v>
      </c>
      <c r="D55" s="46" t="str">
        <f>IF('Project Estimations'!D80="","",'Project Estimations'!C80&amp;" "&amp;'Project Estimations'!D80&amp;" "&amp;'Project Estimations'!E80)</f>
        <v/>
      </c>
      <c r="E55" s="38" t="str">
        <f>IF('Project Estimations'!F80="","",'Project Estimations'!F80)</f>
        <v/>
      </c>
      <c r="F55" s="38" t="str">
        <f>IF('Project Estimations'!G80="","",'Project Estimations'!G80)</f>
        <v/>
      </c>
      <c r="G55" s="38" t="str">
        <f>IF((OR('Project Estimations'!H80="",'Project Estimations'!H80=0)),"",'Project Estimations'!H80)</f>
        <v/>
      </c>
      <c r="H55" s="38" t="str">
        <f>IF((OR('Project Estimations'!H80="",'Project Estimations'!H80=0)),"",COUNT('Project Estimations'!K80:BR80))</f>
        <v/>
      </c>
      <c r="I55" s="390" t="str">
        <f t="shared" si="2"/>
        <v/>
      </c>
      <c r="J55" s="391"/>
      <c r="K55" s="392"/>
      <c r="L55" s="392"/>
      <c r="M55" s="393">
        <f t="shared" si="3"/>
        <v>0</v>
      </c>
      <c r="N55" s="391"/>
      <c r="O55" s="394" t="str">
        <f t="shared" si="4"/>
        <v/>
      </c>
      <c r="P55" s="395" t="str">
        <f t="shared" si="5"/>
        <v/>
      </c>
      <c r="Q55" s="395" t="str">
        <f t="shared" si="6"/>
        <v/>
      </c>
      <c r="X55" s="38"/>
      <c r="Z55" s="46" t="s">
        <v>401</v>
      </c>
      <c r="AA55" s="381">
        <f>SUMIFS($Q$5:$Q$105,$F$5:$F$105,RIGHT(Z55,2),$M$5:$M$105,MID(Z55,10,1),$C$5:$C$105,"Y")</f>
        <v>0</v>
      </c>
      <c r="AB55" s="75">
        <f t="shared" si="16"/>
        <v>0</v>
      </c>
    </row>
    <row r="56" spans="3:28" ht="13" x14ac:dyDescent="0.25">
      <c r="C56" s="45" t="str">
        <f>'Margin Calculation'!C62</f>
        <v>Y</v>
      </c>
      <c r="D56" s="45" t="str">
        <f>IF('Project Estimations'!D81="","",'Project Estimations'!C81&amp;" "&amp;'Project Estimations'!D81&amp;" "&amp;'Project Estimations'!E81)</f>
        <v/>
      </c>
      <c r="E56" s="40" t="str">
        <f>IF('Project Estimations'!F81="","",'Project Estimations'!F81)</f>
        <v/>
      </c>
      <c r="F56" s="40" t="str">
        <f>IF('Project Estimations'!G81="","",'Project Estimations'!G81)</f>
        <v/>
      </c>
      <c r="G56" s="40" t="str">
        <f>IF((OR('Project Estimations'!H81="",'Project Estimations'!H81=0)),"",'Project Estimations'!H81)</f>
        <v/>
      </c>
      <c r="H56" s="40" t="str">
        <f>IF((OR('Project Estimations'!H81="",'Project Estimations'!H81=0)),"",COUNT('Project Estimations'!K81:BR81))</f>
        <v/>
      </c>
      <c r="I56" s="375" t="str">
        <f t="shared" si="2"/>
        <v/>
      </c>
      <c r="J56" s="397"/>
      <c r="K56" s="398"/>
      <c r="L56" s="398"/>
      <c r="M56" s="399">
        <f t="shared" si="3"/>
        <v>0</v>
      </c>
      <c r="N56" s="397"/>
      <c r="O56" s="400" t="str">
        <f t="shared" si="4"/>
        <v/>
      </c>
      <c r="P56" s="401" t="str">
        <f t="shared" si="5"/>
        <v/>
      </c>
      <c r="Q56" s="401" t="str">
        <f t="shared" si="6"/>
        <v/>
      </c>
      <c r="X56" s="40"/>
      <c r="Y56" s="40"/>
      <c r="Z56" s="45" t="s">
        <v>402</v>
      </c>
      <c r="AA56" s="380">
        <f>SUMIFS($Q$5:$Q$105,$F$5:$F$105,RIGHT(Z56,2),$M$5:$M$105,MID(Z56,4,1),$C$5:$C$105,"Y")</f>
        <v>0</v>
      </c>
      <c r="AB56" s="74">
        <f t="shared" si="16"/>
        <v>0</v>
      </c>
    </row>
    <row r="57" spans="3:28" ht="13" x14ac:dyDescent="0.25">
      <c r="C57" s="46" t="str">
        <f>'Margin Calculation'!C63</f>
        <v>Y</v>
      </c>
      <c r="D57" s="46" t="str">
        <f>IF('Project Estimations'!D82="","",'Project Estimations'!C82&amp;" "&amp;'Project Estimations'!D82&amp;" "&amp;'Project Estimations'!E82)</f>
        <v/>
      </c>
      <c r="E57" s="38" t="str">
        <f>IF('Project Estimations'!F82="","",'Project Estimations'!F82)</f>
        <v/>
      </c>
      <c r="F57" s="38" t="str">
        <f>IF('Project Estimations'!G82="","",'Project Estimations'!G82)</f>
        <v/>
      </c>
      <c r="G57" s="38" t="str">
        <f>IF((OR('Project Estimations'!H82="",'Project Estimations'!H82=0)),"",'Project Estimations'!H82)</f>
        <v/>
      </c>
      <c r="H57" s="38" t="str">
        <f>IF((OR('Project Estimations'!H82="",'Project Estimations'!H82=0)),"",COUNT('Project Estimations'!K82:BR82))</f>
        <v/>
      </c>
      <c r="I57" s="390" t="str">
        <f t="shared" si="2"/>
        <v/>
      </c>
      <c r="J57" s="391"/>
      <c r="K57" s="392"/>
      <c r="L57" s="392"/>
      <c r="M57" s="393">
        <f t="shared" si="3"/>
        <v>0</v>
      </c>
      <c r="N57" s="391"/>
      <c r="O57" s="394" t="str">
        <f t="shared" si="4"/>
        <v/>
      </c>
      <c r="P57" s="395" t="str">
        <f t="shared" si="5"/>
        <v/>
      </c>
      <c r="Q57" s="395" t="str">
        <f t="shared" si="6"/>
        <v/>
      </c>
      <c r="X57" s="38"/>
      <c r="Z57" s="46" t="s">
        <v>403</v>
      </c>
      <c r="AA57" s="381">
        <f>SUMIFS($Q$5:$Q$105,$F$5:$F$105,RIGHT(Z57,2),$M$5:$M$105,MID(Z57,4,1),$C$5:$C$105,"Y")</f>
        <v>0</v>
      </c>
      <c r="AB57" s="75">
        <f t="shared" si="16"/>
        <v>0</v>
      </c>
    </row>
    <row r="58" spans="3:28" ht="13" x14ac:dyDescent="0.25">
      <c r="C58" s="45" t="str">
        <f>'Margin Calculation'!C64</f>
        <v>Y</v>
      </c>
      <c r="D58" s="45" t="str">
        <f>IF('Project Estimations'!D83="","",'Project Estimations'!C83&amp;" "&amp;'Project Estimations'!D83&amp;" "&amp;'Project Estimations'!E83)</f>
        <v/>
      </c>
      <c r="E58" s="40" t="str">
        <f>IF('Project Estimations'!F83="","",'Project Estimations'!F83)</f>
        <v/>
      </c>
      <c r="F58" s="40" t="str">
        <f>IF('Project Estimations'!G83="","",'Project Estimations'!G83)</f>
        <v/>
      </c>
      <c r="G58" s="40" t="str">
        <f>IF((OR('Project Estimations'!H83="",'Project Estimations'!H83=0)),"",'Project Estimations'!H83)</f>
        <v/>
      </c>
      <c r="H58" s="40" t="str">
        <f>IF((OR('Project Estimations'!H83="",'Project Estimations'!H83=0)),"",COUNT('Project Estimations'!K83:BR83))</f>
        <v/>
      </c>
      <c r="I58" s="375" t="str">
        <f t="shared" si="2"/>
        <v/>
      </c>
      <c r="J58" s="397"/>
      <c r="K58" s="398"/>
      <c r="L58" s="398"/>
      <c r="M58" s="399">
        <f t="shared" si="3"/>
        <v>0</v>
      </c>
      <c r="N58" s="397"/>
      <c r="O58" s="400" t="str">
        <f t="shared" si="4"/>
        <v/>
      </c>
      <c r="P58" s="401" t="str">
        <f t="shared" si="5"/>
        <v/>
      </c>
      <c r="Q58" s="401" t="str">
        <f t="shared" si="6"/>
        <v/>
      </c>
      <c r="X58" s="40"/>
      <c r="Y58" s="40"/>
      <c r="Z58" s="45" t="s">
        <v>404</v>
      </c>
      <c r="AA58" s="380">
        <f>SUMIFS($Q$5:$Q$105,$F$5:$F$105,RIGHT(Z58,2),$M$5:$M$105,MID(Z58,10,1),$C$5:$C$105,"Y")</f>
        <v>0</v>
      </c>
      <c r="AB58" s="74">
        <f t="shared" si="16"/>
        <v>0</v>
      </c>
    </row>
    <row r="59" spans="3:28" ht="13" x14ac:dyDescent="0.25">
      <c r="C59" s="46" t="str">
        <f>'Margin Calculation'!C65</f>
        <v>Y</v>
      </c>
      <c r="D59" s="46" t="str">
        <f>IF('Project Estimations'!D84="","",'Project Estimations'!C84&amp;" "&amp;'Project Estimations'!D84&amp;" "&amp;'Project Estimations'!E84)</f>
        <v/>
      </c>
      <c r="E59" s="38" t="str">
        <f>IF('Project Estimations'!F84="","",'Project Estimations'!F84)</f>
        <v/>
      </c>
      <c r="F59" s="38" t="str">
        <f>IF('Project Estimations'!G84="","",'Project Estimations'!G84)</f>
        <v/>
      </c>
      <c r="G59" s="38" t="str">
        <f>IF((OR('Project Estimations'!H84="",'Project Estimations'!H84=0)),"",'Project Estimations'!H84)</f>
        <v/>
      </c>
      <c r="H59" s="38" t="str">
        <f>IF((OR('Project Estimations'!H84="",'Project Estimations'!H84=0)),"",COUNT('Project Estimations'!K84:BR84))</f>
        <v/>
      </c>
      <c r="I59" s="390" t="str">
        <f t="shared" si="2"/>
        <v/>
      </c>
      <c r="J59" s="391"/>
      <c r="K59" s="392"/>
      <c r="L59" s="392"/>
      <c r="M59" s="393">
        <f t="shared" si="3"/>
        <v>0</v>
      </c>
      <c r="N59" s="391"/>
      <c r="O59" s="394" t="str">
        <f t="shared" si="4"/>
        <v/>
      </c>
      <c r="P59" s="395" t="str">
        <f t="shared" si="5"/>
        <v/>
      </c>
      <c r="Q59" s="395" t="str">
        <f t="shared" si="6"/>
        <v/>
      </c>
      <c r="X59" s="38"/>
      <c r="Z59" s="46" t="s">
        <v>405</v>
      </c>
      <c r="AA59" s="381">
        <f>SUMIFS($Q$5:$Q$105,$F$5:$F$105,RIGHT(Z59,2),$M$5:$M$105,MID(Z59,4,1),$C$5:$C$105,"Y")</f>
        <v>0</v>
      </c>
      <c r="AB59" s="75">
        <f t="shared" si="16"/>
        <v>0</v>
      </c>
    </row>
    <row r="60" spans="3:28" ht="13" x14ac:dyDescent="0.25">
      <c r="C60" s="45" t="str">
        <f>'Margin Calculation'!C66</f>
        <v>Y</v>
      </c>
      <c r="D60" s="45" t="str">
        <f>IF('Project Estimations'!D85="","",'Project Estimations'!C85&amp;" "&amp;'Project Estimations'!D85&amp;" "&amp;'Project Estimations'!E85)</f>
        <v/>
      </c>
      <c r="E60" s="40" t="str">
        <f>IF('Project Estimations'!F85="","",'Project Estimations'!F85)</f>
        <v/>
      </c>
      <c r="F60" s="40" t="str">
        <f>IF('Project Estimations'!G85="","",'Project Estimations'!G85)</f>
        <v/>
      </c>
      <c r="G60" s="40" t="str">
        <f>IF((OR('Project Estimations'!H85="",'Project Estimations'!H85=0)),"",'Project Estimations'!H85)</f>
        <v/>
      </c>
      <c r="H60" s="40" t="str">
        <f>IF((OR('Project Estimations'!H85="",'Project Estimations'!H85=0)),"",COUNT('Project Estimations'!K85:BR85))</f>
        <v/>
      </c>
      <c r="I60" s="375" t="str">
        <f t="shared" si="2"/>
        <v/>
      </c>
      <c r="J60" s="397"/>
      <c r="K60" s="398"/>
      <c r="L60" s="398"/>
      <c r="M60" s="399">
        <f t="shared" si="3"/>
        <v>0</v>
      </c>
      <c r="N60" s="397"/>
      <c r="O60" s="400" t="str">
        <f t="shared" si="4"/>
        <v/>
      </c>
      <c r="P60" s="401" t="str">
        <f t="shared" si="5"/>
        <v/>
      </c>
      <c r="Q60" s="401" t="str">
        <f t="shared" si="6"/>
        <v/>
      </c>
      <c r="X60" s="40"/>
      <c r="Y60" s="40"/>
      <c r="Z60" s="45" t="s">
        <v>406</v>
      </c>
      <c r="AA60" s="380">
        <f>SUMIFS($Q$5:$Q$105,$F$5:$F$105,RIGHT(Z60,2),$M$5:$M$105,MID(Z60,4,1),$C$5:$C$105,"Y")</f>
        <v>0</v>
      </c>
      <c r="AB60" s="74">
        <f t="shared" si="16"/>
        <v>0</v>
      </c>
    </row>
    <row r="61" spans="3:28" ht="13" x14ac:dyDescent="0.25">
      <c r="C61" s="46" t="str">
        <f>'Margin Calculation'!C67</f>
        <v>Y</v>
      </c>
      <c r="D61" s="46" t="str">
        <f>IF('Project Estimations'!D86="","",'Project Estimations'!C86&amp;" "&amp;'Project Estimations'!D86&amp;" "&amp;'Project Estimations'!E86)</f>
        <v/>
      </c>
      <c r="E61" s="38" t="str">
        <f>IF('Project Estimations'!F86="","",'Project Estimations'!F86)</f>
        <v/>
      </c>
      <c r="F61" s="38" t="str">
        <f>IF('Project Estimations'!G86="","",'Project Estimations'!G86)</f>
        <v/>
      </c>
      <c r="G61" s="38" t="str">
        <f>IF((OR('Project Estimations'!H86="",'Project Estimations'!H86=0)),"",'Project Estimations'!H86)</f>
        <v/>
      </c>
      <c r="H61" s="38" t="str">
        <f>IF((OR('Project Estimations'!H86="",'Project Estimations'!H86=0)),"",COUNT('Project Estimations'!K86:BR86))</f>
        <v/>
      </c>
      <c r="I61" s="390" t="str">
        <f t="shared" si="2"/>
        <v/>
      </c>
      <c r="J61" s="391"/>
      <c r="K61" s="392"/>
      <c r="L61" s="392"/>
      <c r="M61" s="393">
        <f t="shared" si="3"/>
        <v>0</v>
      </c>
      <c r="N61" s="391"/>
      <c r="O61" s="394" t="str">
        <f t="shared" si="4"/>
        <v/>
      </c>
      <c r="P61" s="395" t="str">
        <f t="shared" si="5"/>
        <v/>
      </c>
      <c r="Q61" s="395" t="str">
        <f t="shared" si="6"/>
        <v/>
      </c>
      <c r="X61" s="38"/>
      <c r="Z61" s="46" t="s">
        <v>407</v>
      </c>
      <c r="AA61" s="381">
        <f>SUMIFS($Q$5:$Q$105,$F$5:$F$105,RIGHT(Z61,2),$M$5:$M$105,MID(Z61,10,1),$C$5:$C$105,"Y")</f>
        <v>0</v>
      </c>
      <c r="AB61" s="75">
        <f t="shared" si="16"/>
        <v>0</v>
      </c>
    </row>
    <row r="62" spans="3:28" ht="13" x14ac:dyDescent="0.25">
      <c r="C62" s="45" t="str">
        <f>'Margin Calculation'!C68</f>
        <v>Y</v>
      </c>
      <c r="D62" s="45" t="str">
        <f>IF('Project Estimations'!D87="","",'Project Estimations'!C87&amp;" "&amp;'Project Estimations'!D87&amp;" "&amp;'Project Estimations'!E87)</f>
        <v/>
      </c>
      <c r="E62" s="40" t="str">
        <f>IF('Project Estimations'!F87="","",'Project Estimations'!F87)</f>
        <v/>
      </c>
      <c r="F62" s="40" t="str">
        <f>IF('Project Estimations'!G87="","",'Project Estimations'!G87)</f>
        <v/>
      </c>
      <c r="G62" s="40" t="str">
        <f>IF((OR('Project Estimations'!H87="",'Project Estimations'!H87=0)),"",'Project Estimations'!H87)</f>
        <v/>
      </c>
      <c r="H62" s="40" t="str">
        <f>IF((OR('Project Estimations'!H87="",'Project Estimations'!H87=0)),"",COUNT('Project Estimations'!K87:BR87))</f>
        <v/>
      </c>
      <c r="I62" s="375" t="str">
        <f t="shared" si="2"/>
        <v/>
      </c>
      <c r="J62" s="397"/>
      <c r="K62" s="398"/>
      <c r="L62" s="398"/>
      <c r="M62" s="399">
        <f t="shared" si="3"/>
        <v>0</v>
      </c>
      <c r="N62" s="397"/>
      <c r="O62" s="400" t="str">
        <f t="shared" si="4"/>
        <v/>
      </c>
      <c r="P62" s="401" t="str">
        <f t="shared" si="5"/>
        <v/>
      </c>
      <c r="Q62" s="401" t="str">
        <f t="shared" si="6"/>
        <v/>
      </c>
      <c r="X62" s="38"/>
      <c r="Z62" s="46" t="s">
        <v>408</v>
      </c>
      <c r="AA62" s="381">
        <f>SUMIFS($Q$5:$Q$105,$F$5:$F$105,RIGHT(Z62,2),$M$5:$M$105,MID(Z62,4,1),$C$5:$C$105,"Y")</f>
        <v>0</v>
      </c>
      <c r="AB62" s="75">
        <f t="shared" si="16"/>
        <v>0</v>
      </c>
    </row>
    <row r="63" spans="3:28" ht="13" x14ac:dyDescent="0.25">
      <c r="C63" s="46" t="str">
        <f>'Margin Calculation'!C69</f>
        <v>Y</v>
      </c>
      <c r="D63" s="46" t="str">
        <f>IF('Project Estimations'!D88="","",'Project Estimations'!C88&amp;" "&amp;'Project Estimations'!D88&amp;" "&amp;'Project Estimations'!E88)</f>
        <v/>
      </c>
      <c r="E63" s="38" t="str">
        <f>IF('Project Estimations'!F88="","",'Project Estimations'!F88)</f>
        <v/>
      </c>
      <c r="F63" s="38" t="str">
        <f>IF('Project Estimations'!G88="","",'Project Estimations'!G88)</f>
        <v/>
      </c>
      <c r="G63" s="38" t="str">
        <f>IF((OR('Project Estimations'!H88="",'Project Estimations'!H88=0)),"",'Project Estimations'!H88)</f>
        <v/>
      </c>
      <c r="H63" s="38" t="str">
        <f>IF((OR('Project Estimations'!H88="",'Project Estimations'!H88=0)),"",COUNT('Project Estimations'!K88:BR88))</f>
        <v/>
      </c>
      <c r="I63" s="390" t="str">
        <f t="shared" si="2"/>
        <v/>
      </c>
      <c r="J63" s="391"/>
      <c r="K63" s="392"/>
      <c r="L63" s="392"/>
      <c r="M63" s="393">
        <f t="shared" si="3"/>
        <v>0</v>
      </c>
      <c r="N63" s="391"/>
      <c r="O63" s="394" t="str">
        <f t="shared" si="4"/>
        <v/>
      </c>
      <c r="P63" s="395" t="str">
        <f t="shared" si="5"/>
        <v/>
      </c>
      <c r="Q63" s="395" t="str">
        <f t="shared" si="6"/>
        <v/>
      </c>
      <c r="X63" s="40"/>
      <c r="Y63" s="40"/>
      <c r="Z63" s="45" t="s">
        <v>409</v>
      </c>
      <c r="AA63" s="380">
        <f>SUMIFS($Q$5:$Q$105,$F$5:$F$105,RIGHT(Z63,2),$M$5:$M$105,MID(Z63,4,1),$C$5:$C$105,"Y")</f>
        <v>0</v>
      </c>
      <c r="AB63" s="74">
        <f t="shared" si="16"/>
        <v>0</v>
      </c>
    </row>
    <row r="64" spans="3:28" ht="13" x14ac:dyDescent="0.25">
      <c r="C64" s="45" t="str">
        <f>'Margin Calculation'!C70</f>
        <v>Y</v>
      </c>
      <c r="D64" s="45" t="str">
        <f>IF('Project Estimations'!D89="","",'Project Estimations'!C89&amp;" "&amp;'Project Estimations'!D89&amp;" "&amp;'Project Estimations'!E89)</f>
        <v/>
      </c>
      <c r="E64" s="40" t="str">
        <f>IF('Project Estimations'!F89="","",'Project Estimations'!F89)</f>
        <v/>
      </c>
      <c r="F64" s="40" t="str">
        <f>IF('Project Estimations'!G89="","",'Project Estimations'!G89)</f>
        <v/>
      </c>
      <c r="G64" s="40" t="str">
        <f>IF((OR('Project Estimations'!H89="",'Project Estimations'!H89=0)),"",'Project Estimations'!H89)</f>
        <v/>
      </c>
      <c r="H64" s="40" t="str">
        <f>IF((OR('Project Estimations'!H89="",'Project Estimations'!H89=0)),"",COUNT('Project Estimations'!K89:BR89))</f>
        <v/>
      </c>
      <c r="I64" s="375" t="str">
        <f t="shared" si="2"/>
        <v/>
      </c>
      <c r="J64" s="397"/>
      <c r="K64" s="398"/>
      <c r="L64" s="398"/>
      <c r="M64" s="399">
        <f t="shared" si="3"/>
        <v>0</v>
      </c>
      <c r="N64" s="397"/>
      <c r="O64" s="400" t="str">
        <f t="shared" si="4"/>
        <v/>
      </c>
      <c r="P64" s="401" t="str">
        <f t="shared" si="5"/>
        <v/>
      </c>
      <c r="Q64" s="401" t="str">
        <f t="shared" si="6"/>
        <v/>
      </c>
      <c r="X64" s="38"/>
      <c r="Z64" s="46" t="s">
        <v>410</v>
      </c>
      <c r="AA64" s="381">
        <f>SUMIFS($Q$5:$Q$105,$F$5:$F$105,RIGHT(Z64,2),$M$5:$M$105,MID(Z64,10,1),$C$5:$C$105,"Y")</f>
        <v>0</v>
      </c>
      <c r="AB64" s="75">
        <f t="shared" si="16"/>
        <v>0</v>
      </c>
    </row>
    <row r="65" spans="3:28" ht="14.5" x14ac:dyDescent="0.35">
      <c r="C65" s="46" t="str">
        <f>'Margin Calculation'!C71</f>
        <v>Y</v>
      </c>
      <c r="D65" s="46" t="str">
        <f>IF('Project Estimations'!D90="","",'Project Estimations'!C90&amp;" "&amp;'Project Estimations'!D90&amp;" "&amp;'Project Estimations'!E90)</f>
        <v/>
      </c>
      <c r="E65" s="38" t="str">
        <f>IF('Project Estimations'!F90="","",'Project Estimations'!F90)</f>
        <v/>
      </c>
      <c r="F65" s="38" t="str">
        <f>IF('Project Estimations'!G90="","",'Project Estimations'!G90)</f>
        <v/>
      </c>
      <c r="G65" s="38" t="str">
        <f>IF((OR('Project Estimations'!H90="",'Project Estimations'!H90=0)),"",'Project Estimations'!H90)</f>
        <v/>
      </c>
      <c r="H65" s="38" t="str">
        <f>IF((OR('Project Estimations'!H90="",'Project Estimations'!H90=0)),"",COUNT('Project Estimations'!K90:BR90))</f>
        <v/>
      </c>
      <c r="I65" s="390" t="str">
        <f t="shared" si="2"/>
        <v/>
      </c>
      <c r="J65" s="391"/>
      <c r="K65" s="392"/>
      <c r="L65" s="392"/>
      <c r="M65" s="393">
        <f t="shared" si="3"/>
        <v>0</v>
      </c>
      <c r="N65" s="391"/>
      <c r="O65" s="394" t="str">
        <f t="shared" si="4"/>
        <v/>
      </c>
      <c r="P65" s="395" t="str">
        <f t="shared" si="5"/>
        <v/>
      </c>
      <c r="Q65" s="395" t="str">
        <f t="shared" si="6"/>
        <v/>
      </c>
      <c r="X65" s="377" t="s">
        <v>125</v>
      </c>
      <c r="Y65" s="377"/>
      <c r="Z65" s="377"/>
      <c r="AA65" s="234"/>
      <c r="AB65" s="378">
        <f>AB66</f>
        <v>0</v>
      </c>
    </row>
    <row r="66" spans="3:28" ht="13" x14ac:dyDescent="0.25">
      <c r="C66" s="45" t="str">
        <f>'Margin Calculation'!C72</f>
        <v>Y</v>
      </c>
      <c r="D66" s="45" t="str">
        <f>IF('Project Estimations'!D91="","",'Project Estimations'!C91&amp;" "&amp;'Project Estimations'!D91&amp;" "&amp;'Project Estimations'!E91)</f>
        <v/>
      </c>
      <c r="E66" s="40" t="str">
        <f>IF('Project Estimations'!F91="","",'Project Estimations'!F91)</f>
        <v/>
      </c>
      <c r="F66" s="40" t="str">
        <f>IF('Project Estimations'!G91="","",'Project Estimations'!G91)</f>
        <v/>
      </c>
      <c r="G66" s="40" t="str">
        <f>IF((OR('Project Estimations'!H91="",'Project Estimations'!H91=0)),"",'Project Estimations'!H91)</f>
        <v/>
      </c>
      <c r="H66" s="40" t="str">
        <f>IF((OR('Project Estimations'!H91="",'Project Estimations'!H91=0)),"",COUNT('Project Estimations'!K91:BR91))</f>
        <v/>
      </c>
      <c r="I66" s="375" t="str">
        <f t="shared" si="2"/>
        <v/>
      </c>
      <c r="J66" s="397"/>
      <c r="K66" s="398"/>
      <c r="L66" s="398"/>
      <c r="M66" s="399">
        <f t="shared" si="3"/>
        <v>0</v>
      </c>
      <c r="N66" s="397"/>
      <c r="O66" s="400" t="str">
        <f t="shared" si="4"/>
        <v/>
      </c>
      <c r="P66" s="401" t="str">
        <f t="shared" si="5"/>
        <v/>
      </c>
      <c r="Q66" s="401" t="str">
        <f t="shared" si="6"/>
        <v/>
      </c>
      <c r="X66" s="40"/>
      <c r="Y66" s="40"/>
      <c r="Z66" s="45" t="s">
        <v>126</v>
      </c>
      <c r="AA66" s="41"/>
      <c r="AB66" s="76">
        <v>0</v>
      </c>
    </row>
    <row r="67" spans="3:28" ht="13" x14ac:dyDescent="0.25">
      <c r="C67" s="46" t="str">
        <f>'Margin Calculation'!C73</f>
        <v>Y</v>
      </c>
      <c r="D67" s="46" t="str">
        <f>IF('Project Estimations'!D92="","",'Project Estimations'!C92&amp;" "&amp;'Project Estimations'!D92&amp;" "&amp;'Project Estimations'!E92)</f>
        <v/>
      </c>
      <c r="E67" s="38" t="str">
        <f>IF('Project Estimations'!F92="","",'Project Estimations'!F92)</f>
        <v/>
      </c>
      <c r="F67" s="38" t="str">
        <f>IF('Project Estimations'!G92="","",'Project Estimations'!G92)</f>
        <v/>
      </c>
      <c r="G67" s="38" t="str">
        <f>IF((OR('Project Estimations'!H92="",'Project Estimations'!H92=0)),"",'Project Estimations'!H92)</f>
        <v/>
      </c>
      <c r="H67" s="38" t="str">
        <f>IF((OR('Project Estimations'!H92="",'Project Estimations'!H92=0)),"",COUNT('Project Estimations'!K92:BR92))</f>
        <v/>
      </c>
      <c r="I67" s="390" t="str">
        <f t="shared" si="2"/>
        <v/>
      </c>
      <c r="J67" s="391"/>
      <c r="K67" s="392"/>
      <c r="L67" s="392"/>
      <c r="M67" s="393">
        <f t="shared" si="3"/>
        <v>0</v>
      </c>
      <c r="N67" s="391"/>
      <c r="O67" s="394" t="str">
        <f t="shared" si="4"/>
        <v/>
      </c>
      <c r="P67" s="395" t="str">
        <f t="shared" si="5"/>
        <v/>
      </c>
      <c r="Q67" s="395" t="str">
        <f t="shared" si="6"/>
        <v/>
      </c>
    </row>
    <row r="68" spans="3:28" ht="13" x14ac:dyDescent="0.25">
      <c r="C68" s="45" t="str">
        <f>'Margin Calculation'!C74</f>
        <v>Y</v>
      </c>
      <c r="D68" s="45" t="str">
        <f>IF('Project Estimations'!D93="","",'Project Estimations'!C93&amp;" "&amp;'Project Estimations'!D93&amp;" "&amp;'Project Estimations'!E93)</f>
        <v/>
      </c>
      <c r="E68" s="40" t="str">
        <f>IF('Project Estimations'!F93="","",'Project Estimations'!F93)</f>
        <v/>
      </c>
      <c r="F68" s="40" t="str">
        <f>IF('Project Estimations'!G93="","",'Project Estimations'!G93)</f>
        <v/>
      </c>
      <c r="G68" s="40" t="str">
        <f>IF((OR('Project Estimations'!H93="",'Project Estimations'!H93=0)),"",'Project Estimations'!H93)</f>
        <v/>
      </c>
      <c r="H68" s="40" t="str">
        <f>IF((OR('Project Estimations'!H93="",'Project Estimations'!H93=0)),"",COUNT('Project Estimations'!K93:BR93))</f>
        <v/>
      </c>
      <c r="I68" s="375" t="str">
        <f t="shared" si="2"/>
        <v/>
      </c>
      <c r="J68" s="397"/>
      <c r="K68" s="398"/>
      <c r="L68" s="398"/>
      <c r="M68" s="399">
        <f t="shared" si="3"/>
        <v>0</v>
      </c>
      <c r="N68" s="397"/>
      <c r="O68" s="400" t="str">
        <f t="shared" si="4"/>
        <v/>
      </c>
      <c r="P68" s="401" t="str">
        <f t="shared" si="5"/>
        <v/>
      </c>
      <c r="Q68" s="401" t="str">
        <f t="shared" si="6"/>
        <v/>
      </c>
    </row>
    <row r="69" spans="3:28" ht="13" x14ac:dyDescent="0.25">
      <c r="C69" s="46" t="str">
        <f>'Margin Calculation'!C75</f>
        <v>Y</v>
      </c>
      <c r="D69" s="46" t="str">
        <f>IF('Project Estimations'!D94="","",'Project Estimations'!C94&amp;" "&amp;'Project Estimations'!D94&amp;" "&amp;'Project Estimations'!E94)</f>
        <v/>
      </c>
      <c r="E69" s="38" t="str">
        <f>IF('Project Estimations'!F94="","",'Project Estimations'!F94)</f>
        <v/>
      </c>
      <c r="F69" s="38" t="str">
        <f>IF('Project Estimations'!G94="","",'Project Estimations'!G94)</f>
        <v/>
      </c>
      <c r="G69" s="38" t="str">
        <f>IF((OR('Project Estimations'!H94="",'Project Estimations'!H94=0)),"",'Project Estimations'!H94)</f>
        <v/>
      </c>
      <c r="H69" s="38" t="str">
        <f>IF((OR('Project Estimations'!H94="",'Project Estimations'!H94=0)),"",COUNT('Project Estimations'!K94:BR94))</f>
        <v/>
      </c>
      <c r="I69" s="390" t="str">
        <f t="shared" si="2"/>
        <v/>
      </c>
      <c r="J69" s="391"/>
      <c r="K69" s="392"/>
      <c r="L69" s="392"/>
      <c r="M69" s="393">
        <f t="shared" si="3"/>
        <v>0</v>
      </c>
      <c r="N69" s="391"/>
      <c r="O69" s="394" t="str">
        <f t="shared" si="4"/>
        <v/>
      </c>
      <c r="P69" s="395" t="str">
        <f t="shared" si="5"/>
        <v/>
      </c>
      <c r="Q69" s="395" t="str">
        <f t="shared" si="6"/>
        <v/>
      </c>
    </row>
    <row r="70" spans="3:28" ht="13" x14ac:dyDescent="0.25">
      <c r="C70" s="45" t="str">
        <f>'Margin Calculation'!C76</f>
        <v>Y</v>
      </c>
      <c r="D70" s="45" t="str">
        <f>IF('Project Estimations'!D95="","",'Project Estimations'!C95&amp;" "&amp;'Project Estimations'!D95&amp;" "&amp;'Project Estimations'!E95)</f>
        <v/>
      </c>
      <c r="E70" s="40" t="str">
        <f>IF('Project Estimations'!F95="","",'Project Estimations'!F95)</f>
        <v/>
      </c>
      <c r="F70" s="40" t="str">
        <f>IF('Project Estimations'!G95="","",'Project Estimations'!G95)</f>
        <v/>
      </c>
      <c r="G70" s="40" t="str">
        <f>IF((OR('Project Estimations'!H95="",'Project Estimations'!H95=0)),"",'Project Estimations'!H95)</f>
        <v/>
      </c>
      <c r="H70" s="40" t="str">
        <f>IF((OR('Project Estimations'!H95="",'Project Estimations'!H95=0)),"",COUNT('Project Estimations'!K95:BR95))</f>
        <v/>
      </c>
      <c r="I70" s="375" t="str">
        <f t="shared" ref="I70:I105" si="18">IFERROR(G70/(H70*5),"")</f>
        <v/>
      </c>
      <c r="J70" s="397"/>
      <c r="K70" s="398"/>
      <c r="L70" s="398"/>
      <c r="M70" s="399">
        <f t="shared" ref="M70:M105" si="19">+IF(L70="&gt;= 3hours",3,IF(L70="&gt;= 6hours",6,IF(L70="includes Sundays","S",0)))</f>
        <v>0</v>
      </c>
      <c r="N70" s="397"/>
      <c r="O70" s="400" t="str">
        <f t="shared" ref="O70:O105" si="20">IFERROR(ROUNDUP((G70*J70/5)/$K70,0),"")</f>
        <v/>
      </c>
      <c r="P70" s="401" t="str">
        <f t="shared" ref="P70:P105" si="21">IFERROR(O70*(5+($K70-1)*7)-(INT(((O70*$K70*5)-(G70*J70))/5)*7+(((O70*$K70*5)-(G70*J70))-INT(((O70*$K70*5)-(G70*J70))/5)*5)),"")</f>
        <v/>
      </c>
      <c r="Q70" s="401" t="str">
        <f t="shared" ref="Q70:Q105" si="22">+IFERROR(N70*G70/22,"")</f>
        <v/>
      </c>
    </row>
    <row r="71" spans="3:28" ht="13" x14ac:dyDescent="0.25">
      <c r="C71" s="46" t="str">
        <f>'Margin Calculation'!C77</f>
        <v>Y</v>
      </c>
      <c r="D71" s="46" t="str">
        <f>IF('Project Estimations'!D96="","",'Project Estimations'!C96&amp;" "&amp;'Project Estimations'!D96&amp;" "&amp;'Project Estimations'!E96)</f>
        <v/>
      </c>
      <c r="E71" s="38" t="str">
        <f>IF('Project Estimations'!F96="","",'Project Estimations'!F96)</f>
        <v/>
      </c>
      <c r="F71" s="38" t="str">
        <f>IF('Project Estimations'!G96="","",'Project Estimations'!G96)</f>
        <v/>
      </c>
      <c r="G71" s="38" t="str">
        <f>IF((OR('Project Estimations'!H96="",'Project Estimations'!H96=0)),"",'Project Estimations'!H96)</f>
        <v/>
      </c>
      <c r="H71" s="38" t="str">
        <f>IF((OR('Project Estimations'!H96="",'Project Estimations'!H96=0)),"",COUNT('Project Estimations'!K96:BR96))</f>
        <v/>
      </c>
      <c r="I71" s="390" t="str">
        <f t="shared" si="18"/>
        <v/>
      </c>
      <c r="J71" s="391"/>
      <c r="K71" s="392"/>
      <c r="L71" s="392"/>
      <c r="M71" s="393">
        <f t="shared" si="19"/>
        <v>0</v>
      </c>
      <c r="N71" s="391"/>
      <c r="O71" s="394" t="str">
        <f t="shared" si="20"/>
        <v/>
      </c>
      <c r="P71" s="395" t="str">
        <f t="shared" si="21"/>
        <v/>
      </c>
      <c r="Q71" s="395" t="str">
        <f t="shared" si="22"/>
        <v/>
      </c>
    </row>
    <row r="72" spans="3:28" ht="13" x14ac:dyDescent="0.25">
      <c r="C72" s="45" t="str">
        <f>'Margin Calculation'!C78</f>
        <v>Y</v>
      </c>
      <c r="D72" s="45" t="str">
        <f>IF('Project Estimations'!D97="","",'Project Estimations'!C97&amp;" "&amp;'Project Estimations'!D97&amp;" "&amp;'Project Estimations'!E97)</f>
        <v/>
      </c>
      <c r="E72" s="40" t="str">
        <f>IF('Project Estimations'!F97="","",'Project Estimations'!F97)</f>
        <v/>
      </c>
      <c r="F72" s="40" t="str">
        <f>IF('Project Estimations'!G97="","",'Project Estimations'!G97)</f>
        <v/>
      </c>
      <c r="G72" s="40" t="str">
        <f>IF((OR('Project Estimations'!H97="",'Project Estimations'!H97=0)),"",'Project Estimations'!H97)</f>
        <v/>
      </c>
      <c r="H72" s="40" t="str">
        <f>IF((OR('Project Estimations'!H97="",'Project Estimations'!H97=0)),"",COUNT('Project Estimations'!K97:BR97))</f>
        <v/>
      </c>
      <c r="I72" s="375" t="str">
        <f t="shared" si="18"/>
        <v/>
      </c>
      <c r="J72" s="397"/>
      <c r="K72" s="398"/>
      <c r="L72" s="398"/>
      <c r="M72" s="399">
        <f t="shared" si="19"/>
        <v>0</v>
      </c>
      <c r="N72" s="397"/>
      <c r="O72" s="400" t="str">
        <f t="shared" si="20"/>
        <v/>
      </c>
      <c r="P72" s="401" t="str">
        <f t="shared" si="21"/>
        <v/>
      </c>
      <c r="Q72" s="401" t="str">
        <f t="shared" si="22"/>
        <v/>
      </c>
    </row>
    <row r="73" spans="3:28" ht="13" x14ac:dyDescent="0.25">
      <c r="C73" s="46" t="str">
        <f>'Margin Calculation'!C79</f>
        <v>Y</v>
      </c>
      <c r="D73" s="46" t="str">
        <f>IF('Project Estimations'!D98="","",'Project Estimations'!C98&amp;" "&amp;'Project Estimations'!D98&amp;" "&amp;'Project Estimations'!E98)</f>
        <v/>
      </c>
      <c r="E73" s="38" t="str">
        <f>IF('Project Estimations'!F98="","",'Project Estimations'!F98)</f>
        <v/>
      </c>
      <c r="F73" s="38" t="str">
        <f>IF('Project Estimations'!G98="","",'Project Estimations'!G98)</f>
        <v/>
      </c>
      <c r="G73" s="38" t="str">
        <f>IF((OR('Project Estimations'!H98="",'Project Estimations'!H98=0)),"",'Project Estimations'!H98)</f>
        <v/>
      </c>
      <c r="H73" s="38" t="str">
        <f>IF((OR('Project Estimations'!H98="",'Project Estimations'!H98=0)),"",COUNT('Project Estimations'!K98:BR98))</f>
        <v/>
      </c>
      <c r="I73" s="390" t="str">
        <f t="shared" si="18"/>
        <v/>
      </c>
      <c r="J73" s="391"/>
      <c r="K73" s="392"/>
      <c r="L73" s="392"/>
      <c r="M73" s="393">
        <f t="shared" si="19"/>
        <v>0</v>
      </c>
      <c r="N73" s="391"/>
      <c r="O73" s="394" t="str">
        <f t="shared" si="20"/>
        <v/>
      </c>
      <c r="P73" s="395" t="str">
        <f t="shared" si="21"/>
        <v/>
      </c>
      <c r="Q73" s="395" t="str">
        <f t="shared" si="22"/>
        <v/>
      </c>
    </row>
    <row r="74" spans="3:28" ht="13" x14ac:dyDescent="0.25">
      <c r="C74" s="45" t="str">
        <f>'Margin Calculation'!C80</f>
        <v>Y</v>
      </c>
      <c r="D74" s="45" t="str">
        <f>IF('Project Estimations'!D99="","",'Project Estimations'!C99&amp;" "&amp;'Project Estimations'!D99&amp;" "&amp;'Project Estimations'!E99)</f>
        <v/>
      </c>
      <c r="E74" s="40" t="str">
        <f>IF('Project Estimations'!F99="","",'Project Estimations'!F99)</f>
        <v/>
      </c>
      <c r="F74" s="40" t="str">
        <f>IF('Project Estimations'!G99="","",'Project Estimations'!G99)</f>
        <v/>
      </c>
      <c r="G74" s="40" t="str">
        <f>IF((OR('Project Estimations'!H99="",'Project Estimations'!H99=0)),"",'Project Estimations'!H99)</f>
        <v/>
      </c>
      <c r="H74" s="40" t="str">
        <f>IF((OR('Project Estimations'!H99="",'Project Estimations'!H99=0)),"",COUNT('Project Estimations'!K99:BR99))</f>
        <v/>
      </c>
      <c r="I74" s="375" t="str">
        <f t="shared" si="18"/>
        <v/>
      </c>
      <c r="J74" s="397"/>
      <c r="K74" s="398"/>
      <c r="L74" s="398"/>
      <c r="M74" s="399">
        <f t="shared" si="19"/>
        <v>0</v>
      </c>
      <c r="N74" s="397"/>
      <c r="O74" s="400" t="str">
        <f t="shared" si="20"/>
        <v/>
      </c>
      <c r="P74" s="401" t="str">
        <f t="shared" si="21"/>
        <v/>
      </c>
      <c r="Q74" s="401" t="str">
        <f t="shared" si="22"/>
        <v/>
      </c>
    </row>
    <row r="75" spans="3:28" ht="13" x14ac:dyDescent="0.25">
      <c r="C75" s="46" t="str">
        <f>'Margin Calculation'!C81</f>
        <v>Y</v>
      </c>
      <c r="D75" s="46" t="str">
        <f>IF('Project Estimations'!D100="","",'Project Estimations'!C100&amp;" "&amp;'Project Estimations'!D100&amp;" "&amp;'Project Estimations'!E100)</f>
        <v/>
      </c>
      <c r="E75" s="38" t="str">
        <f>IF('Project Estimations'!F100="","",'Project Estimations'!F100)</f>
        <v/>
      </c>
      <c r="F75" s="38" t="str">
        <f>IF('Project Estimations'!G100="","",'Project Estimations'!G100)</f>
        <v/>
      </c>
      <c r="G75" s="38" t="str">
        <f>IF((OR('Project Estimations'!H100="",'Project Estimations'!H100=0)),"",'Project Estimations'!H100)</f>
        <v/>
      </c>
      <c r="H75" s="38" t="str">
        <f>IF((OR('Project Estimations'!H100="",'Project Estimations'!H100=0)),"",COUNT('Project Estimations'!K100:BR100))</f>
        <v/>
      </c>
      <c r="I75" s="390" t="str">
        <f t="shared" si="18"/>
        <v/>
      </c>
      <c r="J75" s="391"/>
      <c r="K75" s="392"/>
      <c r="L75" s="392"/>
      <c r="M75" s="393">
        <f t="shared" si="19"/>
        <v>0</v>
      </c>
      <c r="N75" s="391"/>
      <c r="O75" s="394" t="str">
        <f t="shared" si="20"/>
        <v/>
      </c>
      <c r="P75" s="395" t="str">
        <f t="shared" si="21"/>
        <v/>
      </c>
      <c r="Q75" s="395" t="str">
        <f t="shared" si="22"/>
        <v/>
      </c>
    </row>
    <row r="76" spans="3:28" ht="13" x14ac:dyDescent="0.25">
      <c r="C76" s="45" t="str">
        <f>'Margin Calculation'!C82</f>
        <v>Y</v>
      </c>
      <c r="D76" s="45" t="str">
        <f>IF('Project Estimations'!D101="","",'Project Estimations'!C101&amp;" "&amp;'Project Estimations'!D101&amp;" "&amp;'Project Estimations'!E101)</f>
        <v/>
      </c>
      <c r="E76" s="40" t="str">
        <f>IF('Project Estimations'!F101="","",'Project Estimations'!F101)</f>
        <v/>
      </c>
      <c r="F76" s="40" t="str">
        <f>IF('Project Estimations'!G101="","",'Project Estimations'!G101)</f>
        <v/>
      </c>
      <c r="G76" s="40" t="str">
        <f>IF((OR('Project Estimations'!H101="",'Project Estimations'!H101=0)),"",'Project Estimations'!H101)</f>
        <v/>
      </c>
      <c r="H76" s="40" t="str">
        <f>IF((OR('Project Estimations'!H101="",'Project Estimations'!H101=0)),"",COUNT('Project Estimations'!K101:BR101))</f>
        <v/>
      </c>
      <c r="I76" s="375" t="str">
        <f t="shared" si="18"/>
        <v/>
      </c>
      <c r="J76" s="397"/>
      <c r="K76" s="398"/>
      <c r="L76" s="398"/>
      <c r="M76" s="399">
        <f t="shared" si="19"/>
        <v>0</v>
      </c>
      <c r="N76" s="397"/>
      <c r="O76" s="400" t="str">
        <f t="shared" si="20"/>
        <v/>
      </c>
      <c r="P76" s="401" t="str">
        <f t="shared" si="21"/>
        <v/>
      </c>
      <c r="Q76" s="401" t="str">
        <f t="shared" si="22"/>
        <v/>
      </c>
    </row>
    <row r="77" spans="3:28" ht="13" x14ac:dyDescent="0.25">
      <c r="C77" s="46" t="str">
        <f>'Margin Calculation'!C83</f>
        <v>Y</v>
      </c>
      <c r="D77" s="46" t="str">
        <f>IF('Project Estimations'!D102="","",'Project Estimations'!C102&amp;" "&amp;'Project Estimations'!D102&amp;" "&amp;'Project Estimations'!E102)</f>
        <v/>
      </c>
      <c r="E77" s="38" t="str">
        <f>IF('Project Estimations'!F102="","",'Project Estimations'!F102)</f>
        <v/>
      </c>
      <c r="F77" s="38" t="str">
        <f>IF('Project Estimations'!G102="","",'Project Estimations'!G102)</f>
        <v/>
      </c>
      <c r="G77" s="38" t="str">
        <f>IF((OR('Project Estimations'!H102="",'Project Estimations'!H102=0)),"",'Project Estimations'!H102)</f>
        <v/>
      </c>
      <c r="H77" s="38" t="str">
        <f>IF((OR('Project Estimations'!H102="",'Project Estimations'!H102=0)),"",COUNT('Project Estimations'!K102:BR102))</f>
        <v/>
      </c>
      <c r="I77" s="390" t="str">
        <f t="shared" si="18"/>
        <v/>
      </c>
      <c r="J77" s="391"/>
      <c r="K77" s="392"/>
      <c r="L77" s="392"/>
      <c r="M77" s="393">
        <f t="shared" si="19"/>
        <v>0</v>
      </c>
      <c r="N77" s="391"/>
      <c r="O77" s="394" t="str">
        <f t="shared" si="20"/>
        <v/>
      </c>
      <c r="P77" s="395" t="str">
        <f t="shared" si="21"/>
        <v/>
      </c>
      <c r="Q77" s="395" t="str">
        <f t="shared" si="22"/>
        <v/>
      </c>
    </row>
    <row r="78" spans="3:28" ht="13" x14ac:dyDescent="0.25">
      <c r="C78" s="45" t="str">
        <f>'Margin Calculation'!C84</f>
        <v>Y</v>
      </c>
      <c r="D78" s="45" t="str">
        <f>IF('Project Estimations'!D103="","",'Project Estimations'!C103&amp;" "&amp;'Project Estimations'!D103&amp;" "&amp;'Project Estimations'!E103)</f>
        <v/>
      </c>
      <c r="E78" s="40" t="str">
        <f>IF('Project Estimations'!F103="","",'Project Estimations'!F103)</f>
        <v/>
      </c>
      <c r="F78" s="40" t="str">
        <f>IF('Project Estimations'!G103="","",'Project Estimations'!G103)</f>
        <v/>
      </c>
      <c r="G78" s="40" t="str">
        <f>IF((OR('Project Estimations'!H103="",'Project Estimations'!H103=0)),"",'Project Estimations'!H103)</f>
        <v/>
      </c>
      <c r="H78" s="40" t="str">
        <f>IF((OR('Project Estimations'!H103="",'Project Estimations'!H103=0)),"",COUNT('Project Estimations'!K103:BR103))</f>
        <v/>
      </c>
      <c r="I78" s="375" t="str">
        <f t="shared" si="18"/>
        <v/>
      </c>
      <c r="J78" s="397"/>
      <c r="K78" s="398"/>
      <c r="L78" s="398"/>
      <c r="M78" s="399">
        <f t="shared" si="19"/>
        <v>0</v>
      </c>
      <c r="N78" s="397"/>
      <c r="O78" s="400" t="str">
        <f t="shared" si="20"/>
        <v/>
      </c>
      <c r="P78" s="401" t="str">
        <f t="shared" si="21"/>
        <v/>
      </c>
      <c r="Q78" s="401" t="str">
        <f t="shared" si="22"/>
        <v/>
      </c>
    </row>
    <row r="79" spans="3:28" ht="13" x14ac:dyDescent="0.25">
      <c r="C79" s="46" t="str">
        <f>'Margin Calculation'!C85</f>
        <v>Y</v>
      </c>
      <c r="D79" s="46" t="str">
        <f>IF('Project Estimations'!D104="","",'Project Estimations'!C104&amp;" "&amp;'Project Estimations'!D104&amp;" "&amp;'Project Estimations'!E104)</f>
        <v/>
      </c>
      <c r="E79" s="38" t="str">
        <f>IF('Project Estimations'!F104="","",'Project Estimations'!F104)</f>
        <v/>
      </c>
      <c r="F79" s="38" t="str">
        <f>IF('Project Estimations'!G104="","",'Project Estimations'!G104)</f>
        <v/>
      </c>
      <c r="G79" s="38" t="str">
        <f>IF((OR('Project Estimations'!H104="",'Project Estimations'!H104=0)),"",'Project Estimations'!H104)</f>
        <v/>
      </c>
      <c r="H79" s="38" t="str">
        <f>IF((OR('Project Estimations'!H104="",'Project Estimations'!H104=0)),"",COUNT('Project Estimations'!K104:BR104))</f>
        <v/>
      </c>
      <c r="I79" s="390" t="str">
        <f t="shared" si="18"/>
        <v/>
      </c>
      <c r="J79" s="391"/>
      <c r="K79" s="392"/>
      <c r="L79" s="392"/>
      <c r="M79" s="393">
        <f t="shared" si="19"/>
        <v>0</v>
      </c>
      <c r="N79" s="391"/>
      <c r="O79" s="394" t="str">
        <f t="shared" si="20"/>
        <v/>
      </c>
      <c r="P79" s="395" t="str">
        <f t="shared" si="21"/>
        <v/>
      </c>
      <c r="Q79" s="395" t="str">
        <f t="shared" si="22"/>
        <v/>
      </c>
    </row>
    <row r="80" spans="3:28" ht="13" x14ac:dyDescent="0.25">
      <c r="C80" s="45" t="str">
        <f>'Margin Calculation'!C86</f>
        <v>Y</v>
      </c>
      <c r="D80" s="45" t="str">
        <f>IF('Project Estimations'!D105="","",'Project Estimations'!C105&amp;" "&amp;'Project Estimations'!D105&amp;" "&amp;'Project Estimations'!E105)</f>
        <v/>
      </c>
      <c r="E80" s="40" t="str">
        <f>IF('Project Estimations'!F105="","",'Project Estimations'!F105)</f>
        <v/>
      </c>
      <c r="F80" s="40" t="str">
        <f>IF('Project Estimations'!G105="","",'Project Estimations'!G105)</f>
        <v/>
      </c>
      <c r="G80" s="40" t="str">
        <f>IF((OR('Project Estimations'!H105="",'Project Estimations'!H105=0)),"",'Project Estimations'!H105)</f>
        <v/>
      </c>
      <c r="H80" s="40" t="str">
        <f>IF((OR('Project Estimations'!H105="",'Project Estimations'!H105=0)),"",COUNT('Project Estimations'!K105:BR105))</f>
        <v/>
      </c>
      <c r="I80" s="375" t="str">
        <f t="shared" si="18"/>
        <v/>
      </c>
      <c r="J80" s="397"/>
      <c r="K80" s="398"/>
      <c r="L80" s="398"/>
      <c r="M80" s="399">
        <f t="shared" si="19"/>
        <v>0</v>
      </c>
      <c r="N80" s="397"/>
      <c r="O80" s="400" t="str">
        <f t="shared" si="20"/>
        <v/>
      </c>
      <c r="P80" s="401" t="str">
        <f t="shared" si="21"/>
        <v/>
      </c>
      <c r="Q80" s="401" t="str">
        <f t="shared" si="22"/>
        <v/>
      </c>
    </row>
    <row r="81" spans="3:17" ht="13" x14ac:dyDescent="0.25">
      <c r="C81" s="46" t="str">
        <f>'Margin Calculation'!C87</f>
        <v>Y</v>
      </c>
      <c r="D81" s="46" t="str">
        <f>IF('Project Estimations'!D106="","",'Project Estimations'!C106&amp;" "&amp;'Project Estimations'!D106&amp;" "&amp;'Project Estimations'!E106)</f>
        <v/>
      </c>
      <c r="E81" s="38" t="str">
        <f>IF('Project Estimations'!F106="","",'Project Estimations'!F106)</f>
        <v/>
      </c>
      <c r="F81" s="38" t="str">
        <f>IF('Project Estimations'!G106="","",'Project Estimations'!G106)</f>
        <v/>
      </c>
      <c r="G81" s="38" t="str">
        <f>IF((OR('Project Estimations'!H106="",'Project Estimations'!H106=0)),"",'Project Estimations'!H106)</f>
        <v/>
      </c>
      <c r="H81" s="38" t="str">
        <f>IF((OR('Project Estimations'!H106="",'Project Estimations'!H106=0)),"",COUNT('Project Estimations'!K106:BR106))</f>
        <v/>
      </c>
      <c r="I81" s="390" t="str">
        <f t="shared" si="18"/>
        <v/>
      </c>
      <c r="J81" s="391"/>
      <c r="K81" s="392"/>
      <c r="L81" s="392"/>
      <c r="M81" s="393">
        <f t="shared" si="19"/>
        <v>0</v>
      </c>
      <c r="N81" s="391"/>
      <c r="O81" s="394" t="str">
        <f t="shared" si="20"/>
        <v/>
      </c>
      <c r="P81" s="395" t="str">
        <f t="shared" si="21"/>
        <v/>
      </c>
      <c r="Q81" s="395" t="str">
        <f t="shared" si="22"/>
        <v/>
      </c>
    </row>
    <row r="82" spans="3:17" ht="13" x14ac:dyDescent="0.25">
      <c r="C82" s="45" t="str">
        <f>'Margin Calculation'!C88</f>
        <v>Y</v>
      </c>
      <c r="D82" s="45" t="str">
        <f>IF('Project Estimations'!D107="","",'Project Estimations'!C107&amp;" "&amp;'Project Estimations'!D107&amp;" "&amp;'Project Estimations'!E107)</f>
        <v/>
      </c>
      <c r="E82" s="40" t="str">
        <f>IF('Project Estimations'!F107="","",'Project Estimations'!F107)</f>
        <v/>
      </c>
      <c r="F82" s="40" t="str">
        <f>IF('Project Estimations'!G107="","",'Project Estimations'!G107)</f>
        <v/>
      </c>
      <c r="G82" s="40" t="str">
        <f>IF((OR('Project Estimations'!H107="",'Project Estimations'!H107=0)),"",'Project Estimations'!H107)</f>
        <v/>
      </c>
      <c r="H82" s="40" t="str">
        <f>IF((OR('Project Estimations'!H107="",'Project Estimations'!H107=0)),"",COUNT('Project Estimations'!K107:BR107))</f>
        <v/>
      </c>
      <c r="I82" s="375" t="str">
        <f t="shared" si="18"/>
        <v/>
      </c>
      <c r="J82" s="397"/>
      <c r="K82" s="398"/>
      <c r="L82" s="398"/>
      <c r="M82" s="399">
        <f t="shared" si="19"/>
        <v>0</v>
      </c>
      <c r="N82" s="397"/>
      <c r="O82" s="400" t="str">
        <f t="shared" si="20"/>
        <v/>
      </c>
      <c r="P82" s="401" t="str">
        <f t="shared" si="21"/>
        <v/>
      </c>
      <c r="Q82" s="401" t="str">
        <f t="shared" si="22"/>
        <v/>
      </c>
    </row>
    <row r="83" spans="3:17" ht="13" x14ac:dyDescent="0.25">
      <c r="C83" s="46" t="str">
        <f>'Margin Calculation'!C89</f>
        <v>Y</v>
      </c>
      <c r="D83" s="46" t="str">
        <f>IF('Project Estimations'!D108="","",'Project Estimations'!C108&amp;" "&amp;'Project Estimations'!D108&amp;" "&amp;'Project Estimations'!E108)</f>
        <v/>
      </c>
      <c r="E83" s="38" t="str">
        <f>IF('Project Estimations'!F108="","",'Project Estimations'!F108)</f>
        <v/>
      </c>
      <c r="F83" s="38" t="str">
        <f>IF('Project Estimations'!G108="","",'Project Estimations'!G108)</f>
        <v/>
      </c>
      <c r="G83" s="38" t="str">
        <f>IF((OR('Project Estimations'!H108="",'Project Estimations'!H108=0)),"",'Project Estimations'!H108)</f>
        <v/>
      </c>
      <c r="H83" s="38" t="str">
        <f>IF((OR('Project Estimations'!H108="",'Project Estimations'!H108=0)),"",COUNT('Project Estimations'!K108:BR108))</f>
        <v/>
      </c>
      <c r="I83" s="390" t="str">
        <f t="shared" si="18"/>
        <v/>
      </c>
      <c r="J83" s="391"/>
      <c r="K83" s="392"/>
      <c r="L83" s="392"/>
      <c r="M83" s="393">
        <f t="shared" si="19"/>
        <v>0</v>
      </c>
      <c r="N83" s="391"/>
      <c r="O83" s="394" t="str">
        <f t="shared" si="20"/>
        <v/>
      </c>
      <c r="P83" s="395" t="str">
        <f t="shared" si="21"/>
        <v/>
      </c>
      <c r="Q83" s="395" t="str">
        <f t="shared" si="22"/>
        <v/>
      </c>
    </row>
    <row r="84" spans="3:17" ht="13" x14ac:dyDescent="0.25">
      <c r="C84" s="45" t="str">
        <f>'Margin Calculation'!C90</f>
        <v>Y</v>
      </c>
      <c r="D84" s="45" t="str">
        <f>IF('Project Estimations'!D109="","",'Project Estimations'!C109&amp;" "&amp;'Project Estimations'!D109&amp;" "&amp;'Project Estimations'!E109)</f>
        <v/>
      </c>
      <c r="E84" s="40" t="str">
        <f>IF('Project Estimations'!F109="","",'Project Estimations'!F109)</f>
        <v/>
      </c>
      <c r="F84" s="40" t="str">
        <f>IF('Project Estimations'!G109="","",'Project Estimations'!G109)</f>
        <v/>
      </c>
      <c r="G84" s="40" t="str">
        <f>IF((OR('Project Estimations'!H109="",'Project Estimations'!H109=0)),"",'Project Estimations'!H109)</f>
        <v/>
      </c>
      <c r="H84" s="40" t="str">
        <f>IF((OR('Project Estimations'!H109="",'Project Estimations'!H109=0)),"",COUNT('Project Estimations'!K109:BR109))</f>
        <v/>
      </c>
      <c r="I84" s="375" t="str">
        <f t="shared" si="18"/>
        <v/>
      </c>
      <c r="J84" s="397"/>
      <c r="K84" s="398"/>
      <c r="L84" s="398"/>
      <c r="M84" s="399">
        <f t="shared" si="19"/>
        <v>0</v>
      </c>
      <c r="N84" s="397"/>
      <c r="O84" s="400" t="str">
        <f t="shared" si="20"/>
        <v/>
      </c>
      <c r="P84" s="401" t="str">
        <f t="shared" si="21"/>
        <v/>
      </c>
      <c r="Q84" s="401" t="str">
        <f t="shared" si="22"/>
        <v/>
      </c>
    </row>
    <row r="85" spans="3:17" ht="13" x14ac:dyDescent="0.25">
      <c r="C85" s="46" t="str">
        <f>'Margin Calculation'!C91</f>
        <v>Y</v>
      </c>
      <c r="D85" s="46" t="str">
        <f>IF('Project Estimations'!D110="","",'Project Estimations'!C110&amp;" "&amp;'Project Estimations'!D110&amp;" "&amp;'Project Estimations'!E110)</f>
        <v/>
      </c>
      <c r="E85" s="38" t="str">
        <f>IF('Project Estimations'!F110="","",'Project Estimations'!F110)</f>
        <v/>
      </c>
      <c r="F85" s="38" t="str">
        <f>IF('Project Estimations'!G110="","",'Project Estimations'!G110)</f>
        <v/>
      </c>
      <c r="G85" s="38" t="str">
        <f>IF((OR('Project Estimations'!H110="",'Project Estimations'!H110=0)),"",'Project Estimations'!H110)</f>
        <v/>
      </c>
      <c r="H85" s="38" t="str">
        <f>IF((OR('Project Estimations'!H110="",'Project Estimations'!H110=0)),"",COUNT('Project Estimations'!K110:BR110))</f>
        <v/>
      </c>
      <c r="I85" s="390" t="str">
        <f t="shared" si="18"/>
        <v/>
      </c>
      <c r="J85" s="391"/>
      <c r="K85" s="392"/>
      <c r="L85" s="392"/>
      <c r="M85" s="393">
        <f t="shared" si="19"/>
        <v>0</v>
      </c>
      <c r="N85" s="391"/>
      <c r="O85" s="394" t="str">
        <f t="shared" si="20"/>
        <v/>
      </c>
      <c r="P85" s="395" t="str">
        <f t="shared" si="21"/>
        <v/>
      </c>
      <c r="Q85" s="395" t="str">
        <f t="shared" si="22"/>
        <v/>
      </c>
    </row>
    <row r="86" spans="3:17" ht="13" x14ac:dyDescent="0.25">
      <c r="C86" s="45" t="str">
        <f>'Margin Calculation'!C92</f>
        <v>Y</v>
      </c>
      <c r="D86" s="45" t="str">
        <f>IF('Project Estimations'!D111="","",'Project Estimations'!C111&amp;" "&amp;'Project Estimations'!D111&amp;" "&amp;'Project Estimations'!E111)</f>
        <v/>
      </c>
      <c r="E86" s="40" t="str">
        <f>IF('Project Estimations'!F111="","",'Project Estimations'!F111)</f>
        <v/>
      </c>
      <c r="F86" s="40" t="str">
        <f>IF('Project Estimations'!G111="","",'Project Estimations'!G111)</f>
        <v/>
      </c>
      <c r="G86" s="40" t="str">
        <f>IF((OR('Project Estimations'!H111="",'Project Estimations'!H111=0)),"",'Project Estimations'!H111)</f>
        <v/>
      </c>
      <c r="H86" s="40" t="str">
        <f>IF((OR('Project Estimations'!H111="",'Project Estimations'!H111=0)),"",COUNT('Project Estimations'!K111:BR111))</f>
        <v/>
      </c>
      <c r="I86" s="375" t="str">
        <f t="shared" si="18"/>
        <v/>
      </c>
      <c r="J86" s="397"/>
      <c r="K86" s="398"/>
      <c r="L86" s="398"/>
      <c r="M86" s="399">
        <f t="shared" si="19"/>
        <v>0</v>
      </c>
      <c r="N86" s="397"/>
      <c r="O86" s="400" t="str">
        <f t="shared" si="20"/>
        <v/>
      </c>
      <c r="P86" s="401" t="str">
        <f t="shared" si="21"/>
        <v/>
      </c>
      <c r="Q86" s="401" t="str">
        <f t="shared" si="22"/>
        <v/>
      </c>
    </row>
    <row r="87" spans="3:17" ht="13" x14ac:dyDescent="0.25">
      <c r="C87" s="46" t="str">
        <f>'Margin Calculation'!C93</f>
        <v>Y</v>
      </c>
      <c r="D87" s="46" t="str">
        <f>IF('Project Estimations'!D112="","",'Project Estimations'!C112&amp;" "&amp;'Project Estimations'!D112&amp;" "&amp;'Project Estimations'!E112)</f>
        <v/>
      </c>
      <c r="E87" s="38" t="str">
        <f>IF('Project Estimations'!F112="","",'Project Estimations'!F112)</f>
        <v/>
      </c>
      <c r="F87" s="38" t="str">
        <f>IF('Project Estimations'!G112="","",'Project Estimations'!G112)</f>
        <v/>
      </c>
      <c r="G87" s="38" t="str">
        <f>IF((OR('Project Estimations'!H112="",'Project Estimations'!H112=0)),"",'Project Estimations'!H112)</f>
        <v/>
      </c>
      <c r="H87" s="38" t="str">
        <f>IF((OR('Project Estimations'!H112="",'Project Estimations'!H112=0)),"",COUNT('Project Estimations'!K112:BR112))</f>
        <v/>
      </c>
      <c r="I87" s="390" t="str">
        <f t="shared" si="18"/>
        <v/>
      </c>
      <c r="J87" s="391"/>
      <c r="K87" s="392"/>
      <c r="L87" s="392"/>
      <c r="M87" s="393">
        <f t="shared" si="19"/>
        <v>0</v>
      </c>
      <c r="N87" s="391"/>
      <c r="O87" s="394" t="str">
        <f t="shared" si="20"/>
        <v/>
      </c>
      <c r="P87" s="395" t="str">
        <f t="shared" si="21"/>
        <v/>
      </c>
      <c r="Q87" s="395" t="str">
        <f t="shared" si="22"/>
        <v/>
      </c>
    </row>
    <row r="88" spans="3:17" ht="13" x14ac:dyDescent="0.25">
      <c r="C88" s="45" t="str">
        <f>'Margin Calculation'!C94</f>
        <v>Y</v>
      </c>
      <c r="D88" s="45" t="str">
        <f>IF('Project Estimations'!D113="","",'Project Estimations'!C113&amp;" "&amp;'Project Estimations'!D113&amp;" "&amp;'Project Estimations'!E113)</f>
        <v/>
      </c>
      <c r="E88" s="40" t="str">
        <f>IF('Project Estimations'!F113="","",'Project Estimations'!F113)</f>
        <v/>
      </c>
      <c r="F88" s="40" t="str">
        <f>IF('Project Estimations'!G113="","",'Project Estimations'!G113)</f>
        <v/>
      </c>
      <c r="G88" s="40" t="str">
        <f>IF((OR('Project Estimations'!H113="",'Project Estimations'!H113=0)),"",'Project Estimations'!H113)</f>
        <v/>
      </c>
      <c r="H88" s="40" t="str">
        <f>IF((OR('Project Estimations'!H113="",'Project Estimations'!H113=0)),"",COUNT('Project Estimations'!K113:BR113))</f>
        <v/>
      </c>
      <c r="I88" s="375" t="str">
        <f t="shared" si="18"/>
        <v/>
      </c>
      <c r="J88" s="397"/>
      <c r="K88" s="398"/>
      <c r="L88" s="398"/>
      <c r="M88" s="399">
        <f t="shared" si="19"/>
        <v>0</v>
      </c>
      <c r="N88" s="397"/>
      <c r="O88" s="400" t="str">
        <f t="shared" si="20"/>
        <v/>
      </c>
      <c r="P88" s="401" t="str">
        <f t="shared" si="21"/>
        <v/>
      </c>
      <c r="Q88" s="401" t="str">
        <f t="shared" si="22"/>
        <v/>
      </c>
    </row>
    <row r="89" spans="3:17" ht="13" x14ac:dyDescent="0.25">
      <c r="C89" s="46" t="str">
        <f>'Margin Calculation'!C95</f>
        <v>Y</v>
      </c>
      <c r="D89" s="46" t="str">
        <f>IF('Project Estimations'!D114="","",'Project Estimations'!C114&amp;" "&amp;'Project Estimations'!D114&amp;" "&amp;'Project Estimations'!E114)</f>
        <v/>
      </c>
      <c r="E89" s="38" t="str">
        <f>IF('Project Estimations'!F114="","",'Project Estimations'!F114)</f>
        <v/>
      </c>
      <c r="F89" s="38" t="str">
        <f>IF('Project Estimations'!G114="","",'Project Estimations'!G114)</f>
        <v/>
      </c>
      <c r="G89" s="38" t="str">
        <f>IF((OR('Project Estimations'!H114="",'Project Estimations'!H114=0)),"",'Project Estimations'!H114)</f>
        <v/>
      </c>
      <c r="H89" s="38" t="str">
        <f>IF((OR('Project Estimations'!H114="",'Project Estimations'!H114=0)),"",COUNT('Project Estimations'!K114:BR114))</f>
        <v/>
      </c>
      <c r="I89" s="390" t="str">
        <f t="shared" si="18"/>
        <v/>
      </c>
      <c r="J89" s="391"/>
      <c r="K89" s="392"/>
      <c r="L89" s="392"/>
      <c r="M89" s="393">
        <f t="shared" si="19"/>
        <v>0</v>
      </c>
      <c r="N89" s="391"/>
      <c r="O89" s="394" t="str">
        <f t="shared" si="20"/>
        <v/>
      </c>
      <c r="P89" s="395" t="str">
        <f t="shared" si="21"/>
        <v/>
      </c>
      <c r="Q89" s="395" t="str">
        <f t="shared" si="22"/>
        <v/>
      </c>
    </row>
    <row r="90" spans="3:17" ht="13" x14ac:dyDescent="0.25">
      <c r="C90" s="45" t="str">
        <f>'Margin Calculation'!C96</f>
        <v>Y</v>
      </c>
      <c r="D90" s="45" t="str">
        <f>IF('Project Estimations'!D115="","",'Project Estimations'!C115&amp;" "&amp;'Project Estimations'!D115&amp;" "&amp;'Project Estimations'!E115)</f>
        <v/>
      </c>
      <c r="E90" s="40" t="str">
        <f>IF('Project Estimations'!F115="","",'Project Estimations'!F115)</f>
        <v/>
      </c>
      <c r="F90" s="40" t="str">
        <f>IF('Project Estimations'!G115="","",'Project Estimations'!G115)</f>
        <v/>
      </c>
      <c r="G90" s="40" t="str">
        <f>IF((OR('Project Estimations'!H115="",'Project Estimations'!H115=0)),"",'Project Estimations'!H115)</f>
        <v/>
      </c>
      <c r="H90" s="40" t="str">
        <f>IF((OR('Project Estimations'!H115="",'Project Estimations'!H115=0)),"",COUNT('Project Estimations'!K115:BR115))</f>
        <v/>
      </c>
      <c r="I90" s="375" t="str">
        <f t="shared" si="18"/>
        <v/>
      </c>
      <c r="J90" s="397"/>
      <c r="K90" s="398"/>
      <c r="L90" s="398"/>
      <c r="M90" s="399">
        <f t="shared" si="19"/>
        <v>0</v>
      </c>
      <c r="N90" s="397"/>
      <c r="O90" s="400" t="str">
        <f t="shared" si="20"/>
        <v/>
      </c>
      <c r="P90" s="401" t="str">
        <f t="shared" si="21"/>
        <v/>
      </c>
      <c r="Q90" s="401" t="str">
        <f t="shared" si="22"/>
        <v/>
      </c>
    </row>
    <row r="91" spans="3:17" ht="13" x14ac:dyDescent="0.25">
      <c r="C91" s="46" t="str">
        <f>'Margin Calculation'!C97</f>
        <v>Y</v>
      </c>
      <c r="D91" s="46" t="str">
        <f>IF('Project Estimations'!D116="","",'Project Estimations'!C116&amp;" "&amp;'Project Estimations'!D116&amp;" "&amp;'Project Estimations'!E116)</f>
        <v/>
      </c>
      <c r="E91" s="38" t="str">
        <f>IF('Project Estimations'!F116="","",'Project Estimations'!F116)</f>
        <v/>
      </c>
      <c r="F91" s="38" t="str">
        <f>IF('Project Estimations'!G116="","",'Project Estimations'!G116)</f>
        <v/>
      </c>
      <c r="G91" s="38" t="str">
        <f>IF((OR('Project Estimations'!H116="",'Project Estimations'!H116=0)),"",'Project Estimations'!H116)</f>
        <v/>
      </c>
      <c r="H91" s="38" t="str">
        <f>IF((OR('Project Estimations'!H116="",'Project Estimations'!H116=0)),"",COUNT('Project Estimations'!K116:BR116))</f>
        <v/>
      </c>
      <c r="I91" s="390" t="str">
        <f t="shared" si="18"/>
        <v/>
      </c>
      <c r="J91" s="391"/>
      <c r="K91" s="392"/>
      <c r="L91" s="392"/>
      <c r="M91" s="393">
        <f t="shared" si="19"/>
        <v>0</v>
      </c>
      <c r="N91" s="391"/>
      <c r="O91" s="394" t="str">
        <f t="shared" si="20"/>
        <v/>
      </c>
      <c r="P91" s="395" t="str">
        <f t="shared" si="21"/>
        <v/>
      </c>
      <c r="Q91" s="395" t="str">
        <f t="shared" si="22"/>
        <v/>
      </c>
    </row>
    <row r="92" spans="3:17" ht="13" x14ac:dyDescent="0.25">
      <c r="C92" s="45" t="str">
        <f>'Margin Calculation'!C98</f>
        <v>Y</v>
      </c>
      <c r="D92" s="45" t="str">
        <f>IF('Project Estimations'!D117="","",'Project Estimations'!C117&amp;" "&amp;'Project Estimations'!D117&amp;" "&amp;'Project Estimations'!E117)</f>
        <v/>
      </c>
      <c r="E92" s="40" t="str">
        <f>IF('Project Estimations'!F117="","",'Project Estimations'!F117)</f>
        <v/>
      </c>
      <c r="F92" s="40" t="str">
        <f>IF('Project Estimations'!G117="","",'Project Estimations'!G117)</f>
        <v/>
      </c>
      <c r="G92" s="40" t="str">
        <f>IF((OR('Project Estimations'!H117="",'Project Estimations'!H117=0)),"",'Project Estimations'!H117)</f>
        <v/>
      </c>
      <c r="H92" s="40" t="str">
        <f>IF((OR('Project Estimations'!H117="",'Project Estimations'!H117=0)),"",COUNT('Project Estimations'!K117:BR117))</f>
        <v/>
      </c>
      <c r="I92" s="375" t="str">
        <f t="shared" si="18"/>
        <v/>
      </c>
      <c r="J92" s="397"/>
      <c r="K92" s="398"/>
      <c r="L92" s="398"/>
      <c r="M92" s="399">
        <f t="shared" si="19"/>
        <v>0</v>
      </c>
      <c r="N92" s="397"/>
      <c r="O92" s="400" t="str">
        <f t="shared" si="20"/>
        <v/>
      </c>
      <c r="P92" s="401" t="str">
        <f t="shared" si="21"/>
        <v/>
      </c>
      <c r="Q92" s="401" t="str">
        <f t="shared" si="22"/>
        <v/>
      </c>
    </row>
    <row r="93" spans="3:17" ht="13" x14ac:dyDescent="0.25">
      <c r="C93" s="46" t="str">
        <f>'Margin Calculation'!C99</f>
        <v>Y</v>
      </c>
      <c r="D93" s="46" t="str">
        <f>IF('Project Estimations'!D118="","",'Project Estimations'!C118&amp;" "&amp;'Project Estimations'!D118&amp;" "&amp;'Project Estimations'!E118)</f>
        <v/>
      </c>
      <c r="E93" s="38" t="str">
        <f>IF('Project Estimations'!F118="","",'Project Estimations'!F118)</f>
        <v/>
      </c>
      <c r="F93" s="38" t="str">
        <f>IF('Project Estimations'!G118="","",'Project Estimations'!G118)</f>
        <v/>
      </c>
      <c r="G93" s="38" t="str">
        <f>IF((OR('Project Estimations'!H118="",'Project Estimations'!H118=0)),"",'Project Estimations'!H118)</f>
        <v/>
      </c>
      <c r="H93" s="38" t="str">
        <f>IF((OR('Project Estimations'!H118="",'Project Estimations'!H118=0)),"",COUNT('Project Estimations'!K118:BR118))</f>
        <v/>
      </c>
      <c r="I93" s="390" t="str">
        <f t="shared" si="18"/>
        <v/>
      </c>
      <c r="J93" s="391"/>
      <c r="K93" s="392"/>
      <c r="L93" s="392"/>
      <c r="M93" s="393">
        <f t="shared" si="19"/>
        <v>0</v>
      </c>
      <c r="N93" s="391"/>
      <c r="O93" s="394" t="str">
        <f t="shared" si="20"/>
        <v/>
      </c>
      <c r="P93" s="395" t="str">
        <f t="shared" si="21"/>
        <v/>
      </c>
      <c r="Q93" s="395" t="str">
        <f t="shared" si="22"/>
        <v/>
      </c>
    </row>
    <row r="94" spans="3:17" ht="13" x14ac:dyDescent="0.25">
      <c r="C94" s="45" t="str">
        <f>'Margin Calculation'!C100</f>
        <v>Y</v>
      </c>
      <c r="D94" s="45" t="str">
        <f>IF('Project Estimations'!D119="","",'Project Estimations'!C119&amp;" "&amp;'Project Estimations'!D119&amp;" "&amp;'Project Estimations'!E119)</f>
        <v/>
      </c>
      <c r="E94" s="40" t="str">
        <f>IF('Project Estimations'!F119="","",'Project Estimations'!F119)</f>
        <v/>
      </c>
      <c r="F94" s="40" t="str">
        <f>IF('Project Estimations'!G119="","",'Project Estimations'!G119)</f>
        <v/>
      </c>
      <c r="G94" s="40" t="str">
        <f>IF((OR('Project Estimations'!H119="",'Project Estimations'!H119=0)),"",'Project Estimations'!H119)</f>
        <v/>
      </c>
      <c r="H94" s="40" t="str">
        <f>IF((OR('Project Estimations'!H119="",'Project Estimations'!H119=0)),"",COUNT('Project Estimations'!K119:BR119))</f>
        <v/>
      </c>
      <c r="I94" s="375" t="str">
        <f t="shared" si="18"/>
        <v/>
      </c>
      <c r="J94" s="397"/>
      <c r="K94" s="398"/>
      <c r="L94" s="398"/>
      <c r="M94" s="399">
        <f t="shared" si="19"/>
        <v>0</v>
      </c>
      <c r="N94" s="397"/>
      <c r="O94" s="400" t="str">
        <f t="shared" si="20"/>
        <v/>
      </c>
      <c r="P94" s="401" t="str">
        <f t="shared" si="21"/>
        <v/>
      </c>
      <c r="Q94" s="401" t="str">
        <f t="shared" si="22"/>
        <v/>
      </c>
    </row>
    <row r="95" spans="3:17" ht="13" x14ac:dyDescent="0.25">
      <c r="C95" s="46">
        <f>'Margin Calculation'!C101</f>
        <v>0</v>
      </c>
      <c r="D95" s="46" t="str">
        <f>IF('Project Estimations'!D120="","",'Project Estimations'!C120&amp;" "&amp;'Project Estimations'!D120&amp;" "&amp;'Project Estimations'!E120)</f>
        <v/>
      </c>
      <c r="E95" s="38" t="str">
        <f>IF('Project Estimations'!F120="","",'Project Estimations'!F120)</f>
        <v/>
      </c>
      <c r="F95" s="38" t="str">
        <f>IF('Project Estimations'!G120="","",'Project Estimations'!G120)</f>
        <v/>
      </c>
      <c r="G95" s="38" t="str">
        <f>IF((OR('Project Estimations'!H120="",'Project Estimations'!H120=0)),"",'Project Estimations'!H120)</f>
        <v/>
      </c>
      <c r="H95" s="38" t="str">
        <f>IF((OR('Project Estimations'!H120="",'Project Estimations'!H120=0)),"",COUNT('Project Estimations'!K120:BR120))</f>
        <v/>
      </c>
      <c r="I95" s="390" t="str">
        <f t="shared" si="18"/>
        <v/>
      </c>
      <c r="J95" s="391"/>
      <c r="K95" s="392"/>
      <c r="L95" s="392"/>
      <c r="M95" s="393">
        <f t="shared" si="19"/>
        <v>0</v>
      </c>
      <c r="N95" s="391"/>
      <c r="O95" s="394" t="str">
        <f t="shared" si="20"/>
        <v/>
      </c>
      <c r="P95" s="395" t="str">
        <f t="shared" si="21"/>
        <v/>
      </c>
      <c r="Q95" s="395" t="str">
        <f t="shared" si="22"/>
        <v/>
      </c>
    </row>
    <row r="96" spans="3:17" ht="13" x14ac:dyDescent="0.25">
      <c r="C96" s="45">
        <f>'Margin Calculation'!C102</f>
        <v>0</v>
      </c>
      <c r="D96" s="45" t="str">
        <f>IF('Project Estimations'!D121="","",'Project Estimations'!C121&amp;" "&amp;'Project Estimations'!D121&amp;" "&amp;'Project Estimations'!E121)</f>
        <v/>
      </c>
      <c r="E96" s="40" t="str">
        <f>IF('Project Estimations'!F121="","",'Project Estimations'!F121)</f>
        <v/>
      </c>
      <c r="F96" s="40" t="str">
        <f>IF('Project Estimations'!G121="","",'Project Estimations'!G121)</f>
        <v/>
      </c>
      <c r="G96" s="40" t="str">
        <f>IF((OR('Project Estimations'!H121="",'Project Estimations'!H121=0)),"",'Project Estimations'!H121)</f>
        <v/>
      </c>
      <c r="H96" s="40" t="str">
        <f>IF((OR('Project Estimations'!H121="",'Project Estimations'!H121=0)),"",COUNT('Project Estimations'!K121:BR121))</f>
        <v/>
      </c>
      <c r="I96" s="375" t="str">
        <f t="shared" si="18"/>
        <v/>
      </c>
      <c r="J96" s="397"/>
      <c r="K96" s="398"/>
      <c r="L96" s="398"/>
      <c r="M96" s="399">
        <f t="shared" si="19"/>
        <v>0</v>
      </c>
      <c r="N96" s="397"/>
      <c r="O96" s="400" t="str">
        <f t="shared" si="20"/>
        <v/>
      </c>
      <c r="P96" s="401" t="str">
        <f t="shared" si="21"/>
        <v/>
      </c>
      <c r="Q96" s="401" t="str">
        <f t="shared" si="22"/>
        <v/>
      </c>
    </row>
    <row r="97" spans="3:17" ht="13" x14ac:dyDescent="0.25">
      <c r="C97" s="46">
        <f>'Margin Calculation'!C103</f>
        <v>0</v>
      </c>
      <c r="D97" s="46" t="str">
        <f>IF('Project Estimations'!D122="","",'Project Estimations'!C122&amp;" "&amp;'Project Estimations'!D122&amp;" "&amp;'Project Estimations'!E122)</f>
        <v/>
      </c>
      <c r="E97" s="38" t="str">
        <f>IF('Project Estimations'!F122="","",'Project Estimations'!F122)</f>
        <v/>
      </c>
      <c r="F97" s="38" t="str">
        <f>IF('Project Estimations'!G122="","",'Project Estimations'!G122)</f>
        <v/>
      </c>
      <c r="G97" s="38" t="str">
        <f>IF((OR('Project Estimations'!H122="",'Project Estimations'!H122=0)),"",'Project Estimations'!H122)</f>
        <v/>
      </c>
      <c r="H97" s="38" t="str">
        <f>IF((OR('Project Estimations'!H122="",'Project Estimations'!H122=0)),"",COUNT('Project Estimations'!K122:BR122))</f>
        <v/>
      </c>
      <c r="I97" s="390" t="str">
        <f t="shared" si="18"/>
        <v/>
      </c>
      <c r="J97" s="391"/>
      <c r="K97" s="392"/>
      <c r="L97" s="392"/>
      <c r="M97" s="393">
        <f t="shared" si="19"/>
        <v>0</v>
      </c>
      <c r="N97" s="391"/>
      <c r="O97" s="394" t="str">
        <f t="shared" si="20"/>
        <v/>
      </c>
      <c r="P97" s="395" t="str">
        <f t="shared" si="21"/>
        <v/>
      </c>
      <c r="Q97" s="395" t="str">
        <f t="shared" si="22"/>
        <v/>
      </c>
    </row>
    <row r="98" spans="3:17" ht="13" x14ac:dyDescent="0.25">
      <c r="C98" s="45">
        <f>'Margin Calculation'!C104</f>
        <v>0</v>
      </c>
      <c r="D98" s="45" t="str">
        <f>IF('Project Estimations'!D123="","",'Project Estimations'!C123&amp;" "&amp;'Project Estimations'!D123&amp;" "&amp;'Project Estimations'!E123)</f>
        <v/>
      </c>
      <c r="E98" s="40" t="str">
        <f>IF('Project Estimations'!F123="","",'Project Estimations'!F123)</f>
        <v/>
      </c>
      <c r="F98" s="40" t="str">
        <f>IF('Project Estimations'!G123="","",'Project Estimations'!G123)</f>
        <v/>
      </c>
      <c r="G98" s="40" t="str">
        <f>IF((OR('Project Estimations'!H123="",'Project Estimations'!H123=0)),"",'Project Estimations'!H123)</f>
        <v/>
      </c>
      <c r="H98" s="40" t="str">
        <f>IF((OR('Project Estimations'!H123="",'Project Estimations'!H123=0)),"",COUNT('Project Estimations'!K123:BR123))</f>
        <v/>
      </c>
      <c r="I98" s="375" t="str">
        <f t="shared" si="18"/>
        <v/>
      </c>
      <c r="J98" s="397"/>
      <c r="K98" s="398"/>
      <c r="L98" s="398"/>
      <c r="M98" s="399">
        <f t="shared" si="19"/>
        <v>0</v>
      </c>
      <c r="N98" s="397"/>
      <c r="O98" s="400" t="str">
        <f t="shared" si="20"/>
        <v/>
      </c>
      <c r="P98" s="401" t="str">
        <f t="shared" si="21"/>
        <v/>
      </c>
      <c r="Q98" s="401" t="str">
        <f t="shared" si="22"/>
        <v/>
      </c>
    </row>
    <row r="99" spans="3:17" ht="13" x14ac:dyDescent="0.25">
      <c r="C99" s="46">
        <f>'Margin Calculation'!C105</f>
        <v>0</v>
      </c>
      <c r="D99" s="46" t="str">
        <f>IF('Project Estimations'!D124="","",'Project Estimations'!C124&amp;" "&amp;'Project Estimations'!D124&amp;" "&amp;'Project Estimations'!E124)</f>
        <v/>
      </c>
      <c r="E99" s="38" t="str">
        <f>IF('Project Estimations'!F124="","",'Project Estimations'!F124)</f>
        <v/>
      </c>
      <c r="F99" s="38" t="str">
        <f>IF('Project Estimations'!G124="","",'Project Estimations'!G124)</f>
        <v/>
      </c>
      <c r="G99" s="38" t="str">
        <f>IF((OR('Project Estimations'!H124="",'Project Estimations'!H124=0)),"",'Project Estimations'!H124)</f>
        <v/>
      </c>
      <c r="H99" s="38" t="str">
        <f>IF((OR('Project Estimations'!H124="",'Project Estimations'!H124=0)),"",COUNT('Project Estimations'!K124:BR124))</f>
        <v/>
      </c>
      <c r="I99" s="390" t="str">
        <f t="shared" si="18"/>
        <v/>
      </c>
      <c r="J99" s="391"/>
      <c r="K99" s="392"/>
      <c r="L99" s="392"/>
      <c r="M99" s="393">
        <f t="shared" si="19"/>
        <v>0</v>
      </c>
      <c r="N99" s="391"/>
      <c r="O99" s="394" t="str">
        <f t="shared" si="20"/>
        <v/>
      </c>
      <c r="P99" s="395" t="str">
        <f t="shared" si="21"/>
        <v/>
      </c>
      <c r="Q99" s="395" t="str">
        <f t="shared" si="22"/>
        <v/>
      </c>
    </row>
    <row r="100" spans="3:17" ht="13" x14ac:dyDescent="0.25">
      <c r="C100" s="45">
        <f>'Margin Calculation'!C106</f>
        <v>0</v>
      </c>
      <c r="D100" s="45" t="str">
        <f>IF('Project Estimations'!D125="","",'Project Estimations'!C125&amp;" "&amp;'Project Estimations'!D125&amp;" "&amp;'Project Estimations'!E125)</f>
        <v/>
      </c>
      <c r="E100" s="40" t="str">
        <f>IF('Project Estimations'!F125="","",'Project Estimations'!F125)</f>
        <v/>
      </c>
      <c r="F100" s="40" t="str">
        <f>IF('Project Estimations'!G125="","",'Project Estimations'!G125)</f>
        <v/>
      </c>
      <c r="G100" s="40" t="str">
        <f>IF((OR('Project Estimations'!H125="",'Project Estimations'!H125=0)),"",'Project Estimations'!H125)</f>
        <v/>
      </c>
      <c r="H100" s="40" t="str">
        <f>IF((OR('Project Estimations'!H125="",'Project Estimations'!H125=0)),"",COUNT('Project Estimations'!K125:BR125))</f>
        <v/>
      </c>
      <c r="I100" s="375" t="str">
        <f t="shared" si="18"/>
        <v/>
      </c>
      <c r="J100" s="397"/>
      <c r="K100" s="398"/>
      <c r="L100" s="398"/>
      <c r="M100" s="399">
        <f t="shared" si="19"/>
        <v>0</v>
      </c>
      <c r="N100" s="397"/>
      <c r="O100" s="400" t="str">
        <f t="shared" si="20"/>
        <v/>
      </c>
      <c r="P100" s="401" t="str">
        <f t="shared" si="21"/>
        <v/>
      </c>
      <c r="Q100" s="401" t="str">
        <f t="shared" si="22"/>
        <v/>
      </c>
    </row>
    <row r="101" spans="3:17" ht="13" x14ac:dyDescent="0.25">
      <c r="C101" s="46">
        <f>'Margin Calculation'!C107</f>
        <v>0</v>
      </c>
      <c r="D101" s="46" t="str">
        <f>IF('Project Estimations'!D126="","",'Project Estimations'!C126&amp;" "&amp;'Project Estimations'!D126&amp;" "&amp;'Project Estimations'!E126)</f>
        <v/>
      </c>
      <c r="E101" s="38" t="str">
        <f>IF('Project Estimations'!F126="","",'Project Estimations'!F126)</f>
        <v/>
      </c>
      <c r="F101" s="38" t="str">
        <f>IF('Project Estimations'!G126="","",'Project Estimations'!G126)</f>
        <v/>
      </c>
      <c r="G101" s="38" t="str">
        <f>IF((OR('Project Estimations'!H126="",'Project Estimations'!H126=0)),"",'Project Estimations'!H126)</f>
        <v/>
      </c>
      <c r="H101" s="38" t="str">
        <f>IF((OR('Project Estimations'!H126="",'Project Estimations'!H126=0)),"",COUNT('Project Estimations'!K126:BR126))</f>
        <v/>
      </c>
      <c r="I101" s="390" t="str">
        <f t="shared" si="18"/>
        <v/>
      </c>
      <c r="J101" s="391"/>
      <c r="K101" s="392"/>
      <c r="L101" s="392"/>
      <c r="M101" s="393">
        <f t="shared" si="19"/>
        <v>0</v>
      </c>
      <c r="N101" s="391"/>
      <c r="O101" s="394" t="str">
        <f t="shared" si="20"/>
        <v/>
      </c>
      <c r="P101" s="395" t="str">
        <f t="shared" si="21"/>
        <v/>
      </c>
      <c r="Q101" s="395" t="str">
        <f t="shared" si="22"/>
        <v/>
      </c>
    </row>
    <row r="102" spans="3:17" ht="13" x14ac:dyDescent="0.25">
      <c r="C102" s="45">
        <f>'Margin Calculation'!C108</f>
        <v>0</v>
      </c>
      <c r="D102" s="45" t="str">
        <f>IF('Project Estimations'!D127="","",'Project Estimations'!C127&amp;" "&amp;'Project Estimations'!D127&amp;" "&amp;'Project Estimations'!E127)</f>
        <v/>
      </c>
      <c r="E102" s="40" t="str">
        <f>IF('Project Estimations'!F127="","",'Project Estimations'!F127)</f>
        <v/>
      </c>
      <c r="F102" s="40" t="str">
        <f>IF('Project Estimations'!G127="","",'Project Estimations'!G127)</f>
        <v/>
      </c>
      <c r="G102" s="40" t="str">
        <f>IF((OR('Project Estimations'!H127="",'Project Estimations'!H127=0)),"",'Project Estimations'!H127)</f>
        <v/>
      </c>
      <c r="H102" s="40" t="str">
        <f>IF((OR('Project Estimations'!H127="",'Project Estimations'!H127=0)),"",COUNT('Project Estimations'!K127:BR127))</f>
        <v/>
      </c>
      <c r="I102" s="375" t="str">
        <f t="shared" si="18"/>
        <v/>
      </c>
      <c r="J102" s="397"/>
      <c r="K102" s="398"/>
      <c r="L102" s="398"/>
      <c r="M102" s="399">
        <f t="shared" si="19"/>
        <v>0</v>
      </c>
      <c r="N102" s="397"/>
      <c r="O102" s="400" t="str">
        <f t="shared" si="20"/>
        <v/>
      </c>
      <c r="P102" s="401" t="str">
        <f t="shared" si="21"/>
        <v/>
      </c>
      <c r="Q102" s="401" t="str">
        <f t="shared" si="22"/>
        <v/>
      </c>
    </row>
    <row r="103" spans="3:17" ht="13" x14ac:dyDescent="0.25">
      <c r="C103" s="46">
        <f>'Margin Calculation'!C109</f>
        <v>0</v>
      </c>
      <c r="D103" s="46" t="str">
        <f>IF('Project Estimations'!D128="","",'Project Estimations'!C128&amp;" "&amp;'Project Estimations'!D128&amp;" "&amp;'Project Estimations'!E128)</f>
        <v/>
      </c>
      <c r="E103" s="38" t="str">
        <f>IF('Project Estimations'!F128="","",'Project Estimations'!F128)</f>
        <v/>
      </c>
      <c r="F103" s="38" t="str">
        <f>IF('Project Estimations'!G128="","",'Project Estimations'!G128)</f>
        <v/>
      </c>
      <c r="G103" s="38" t="str">
        <f>IF((OR('Project Estimations'!H128="",'Project Estimations'!H128=0)),"",'Project Estimations'!H128)</f>
        <v/>
      </c>
      <c r="H103" s="38" t="str">
        <f>IF((OR('Project Estimations'!H128="",'Project Estimations'!H128=0)),"",COUNT('Project Estimations'!K128:BR128))</f>
        <v/>
      </c>
      <c r="I103" s="390" t="str">
        <f t="shared" si="18"/>
        <v/>
      </c>
      <c r="J103" s="391"/>
      <c r="K103" s="392"/>
      <c r="L103" s="392"/>
      <c r="M103" s="393">
        <f t="shared" si="19"/>
        <v>0</v>
      </c>
      <c r="N103" s="391"/>
      <c r="O103" s="394" t="str">
        <f t="shared" si="20"/>
        <v/>
      </c>
      <c r="P103" s="395" t="str">
        <f t="shared" si="21"/>
        <v/>
      </c>
      <c r="Q103" s="395" t="str">
        <f t="shared" si="22"/>
        <v/>
      </c>
    </row>
    <row r="104" spans="3:17" ht="13" x14ac:dyDescent="0.25">
      <c r="C104" s="45">
        <f>'Margin Calculation'!C110</f>
        <v>0</v>
      </c>
      <c r="D104" s="45" t="str">
        <f>IF('Project Estimations'!D129="","",'Project Estimations'!C129&amp;" "&amp;'Project Estimations'!D129&amp;" "&amp;'Project Estimations'!E129)</f>
        <v/>
      </c>
      <c r="E104" s="40" t="str">
        <f>IF('Project Estimations'!F129="","",'Project Estimations'!F129)</f>
        <v/>
      </c>
      <c r="F104" s="40" t="str">
        <f>IF('Project Estimations'!G129="","",'Project Estimations'!G129)</f>
        <v/>
      </c>
      <c r="G104" s="40" t="str">
        <f>IF((OR('Project Estimations'!H129="",'Project Estimations'!H129=0)),"",'Project Estimations'!H129)</f>
        <v/>
      </c>
      <c r="H104" s="40" t="str">
        <f>IF((OR('Project Estimations'!H129="",'Project Estimations'!H129=0)),"",COUNT('Project Estimations'!K129:BR129))</f>
        <v/>
      </c>
      <c r="I104" s="375" t="str">
        <f t="shared" si="18"/>
        <v/>
      </c>
      <c r="J104" s="397"/>
      <c r="K104" s="398"/>
      <c r="L104" s="398"/>
      <c r="M104" s="399">
        <f t="shared" si="19"/>
        <v>0</v>
      </c>
      <c r="N104" s="397"/>
      <c r="O104" s="400" t="str">
        <f t="shared" si="20"/>
        <v/>
      </c>
      <c r="P104" s="401" t="str">
        <f t="shared" si="21"/>
        <v/>
      </c>
      <c r="Q104" s="401" t="str">
        <f t="shared" si="22"/>
        <v/>
      </c>
    </row>
    <row r="105" spans="3:17" ht="13" x14ac:dyDescent="0.25">
      <c r="C105" s="46">
        <f>'Margin Calculation'!C111</f>
        <v>0</v>
      </c>
      <c r="D105" s="46" t="str">
        <f>IF('Project Estimations'!D130="","",'Project Estimations'!C130&amp;" "&amp;'Project Estimations'!D130&amp;" "&amp;'Project Estimations'!E130)</f>
        <v/>
      </c>
      <c r="E105" s="38" t="str">
        <f>IF('Project Estimations'!F130="","",'Project Estimations'!F130)</f>
        <v/>
      </c>
      <c r="F105" s="38" t="str">
        <f>IF('Project Estimations'!G130="","",'Project Estimations'!G130)</f>
        <v/>
      </c>
      <c r="G105" s="38" t="str">
        <f>IF((OR('Project Estimations'!H130="",'Project Estimations'!H130=0)),"",'Project Estimations'!H130)</f>
        <v/>
      </c>
      <c r="H105" s="38" t="str">
        <f>IF((OR('Project Estimations'!H130="",'Project Estimations'!H130=0)),"",COUNT('Project Estimations'!K130:BR130))</f>
        <v/>
      </c>
      <c r="I105" s="390" t="str">
        <f t="shared" si="18"/>
        <v/>
      </c>
      <c r="J105" s="391"/>
      <c r="K105" s="392"/>
      <c r="L105" s="392"/>
      <c r="M105" s="393">
        <f t="shared" si="19"/>
        <v>0</v>
      </c>
      <c r="N105" s="391"/>
      <c r="O105" s="394" t="str">
        <f t="shared" si="20"/>
        <v/>
      </c>
      <c r="P105" s="395" t="str">
        <f t="shared" si="21"/>
        <v/>
      </c>
      <c r="Q105" s="395" t="str">
        <f t="shared" si="22"/>
        <v/>
      </c>
    </row>
  </sheetData>
  <dataValidations disablePrompts="1" count="1">
    <dataValidation type="list" allowBlank="1" showInputMessage="1" showErrorMessage="1" sqref="L5:L105" xr:uid="{C5C94E84-CC01-4A74-83A7-0F68D7151136}">
      <formula1>"&gt;= 3hours,&gt;= 6hours,includes Sundays,&lt; 3hours"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AO111"/>
  <sheetViews>
    <sheetView showGridLines="0" tabSelected="1" topLeftCell="H1" zoomScale="80" zoomScaleNormal="80" workbookViewId="0">
      <selection activeCell="H3" sqref="H3:I3"/>
    </sheetView>
  </sheetViews>
  <sheetFormatPr defaultColWidth="8.81640625" defaultRowHeight="12.5" x14ac:dyDescent="0.25"/>
  <cols>
    <col min="1" max="2" width="1.08984375" customWidth="1"/>
    <col min="3" max="3" width="4.08984375" customWidth="1"/>
    <col min="4" max="4" width="42.08984375" style="70" customWidth="1"/>
    <col min="5" max="5" width="7.81640625" customWidth="1"/>
    <col min="6" max="6" width="7.6328125" customWidth="1"/>
    <col min="7" max="7" width="6.08984375" customWidth="1"/>
    <col min="8" max="10" width="11.08984375" style="78" customWidth="1"/>
    <col min="11" max="11" width="11" style="36" customWidth="1"/>
    <col min="12" max="12" width="12.08984375" customWidth="1"/>
    <col min="13" max="13" width="3" customWidth="1"/>
    <col min="14" max="14" width="7.08984375" customWidth="1"/>
    <col min="15" max="15" width="10.6328125" customWidth="1"/>
    <col min="16" max="16" width="7.81640625" customWidth="1"/>
    <col min="17" max="17" width="2.08984375" customWidth="1"/>
    <col min="18" max="18" width="3.81640625" customWidth="1"/>
    <col min="19" max="19" width="6.08984375" customWidth="1"/>
    <col min="20" max="20" width="5.6328125" customWidth="1"/>
    <col min="21" max="21" width="8" customWidth="1"/>
    <col min="22" max="22" width="12.6328125" style="78" customWidth="1"/>
    <col min="23" max="23" width="14.08984375" hidden="1" customWidth="1"/>
    <col min="24" max="24" width="2.81640625" customWidth="1"/>
    <col min="25" max="25" width="3.453125" customWidth="1"/>
    <col min="26" max="26" width="1.453125" customWidth="1"/>
    <col min="27" max="27" width="16.08984375" customWidth="1"/>
    <col min="28" max="28" width="14.08984375" style="81" customWidth="1"/>
    <col min="29" max="29" width="2.08984375" style="72" customWidth="1"/>
    <col min="30" max="31" width="7.81640625" customWidth="1"/>
    <col min="32" max="32" width="8" bestFit="1" customWidth="1"/>
    <col min="33" max="33" width="6.6328125" customWidth="1"/>
    <col min="34" max="34" width="14.6328125" bestFit="1" customWidth="1"/>
  </cols>
  <sheetData>
    <row r="1" spans="3:40" ht="76.25" customHeight="1" x14ac:dyDescent="0.25"/>
    <row r="2" spans="3:40" ht="18" customHeight="1" x14ac:dyDescent="0.25">
      <c r="D2" s="442" t="s">
        <v>175</v>
      </c>
      <c r="E2" s="442"/>
      <c r="H2" s="444" t="s">
        <v>434</v>
      </c>
      <c r="I2" s="444"/>
      <c r="J2" s="444"/>
      <c r="K2" s="287"/>
      <c r="L2" s="286"/>
      <c r="M2" s="287"/>
      <c r="N2" s="430"/>
      <c r="O2" s="131"/>
      <c r="P2" s="131"/>
      <c r="Q2" s="131"/>
      <c r="S2" s="131"/>
      <c r="T2" s="131"/>
      <c r="V2"/>
      <c r="W2" s="78"/>
      <c r="AB2"/>
      <c r="AC2" s="81"/>
      <c r="AD2" s="72"/>
    </row>
    <row r="3" spans="3:40" ht="18" customHeight="1" x14ac:dyDescent="0.25">
      <c r="D3" s="142" t="s">
        <v>176</v>
      </c>
      <c r="E3" s="144" t="s">
        <v>433</v>
      </c>
      <c r="H3" s="443">
        <f>12*12483.31</f>
        <v>149799.72</v>
      </c>
      <c r="I3" s="443"/>
      <c r="J3" s="156" t="s">
        <v>2</v>
      </c>
      <c r="K3" s="288"/>
      <c r="L3" s="289"/>
      <c r="M3" s="288"/>
      <c r="N3" s="430"/>
    </row>
    <row r="4" spans="3:40" ht="18" customHeight="1" x14ac:dyDescent="0.25">
      <c r="D4" s="141" t="s">
        <v>173</v>
      </c>
      <c r="E4" s="145" t="s">
        <v>168</v>
      </c>
      <c r="H4" s="423"/>
      <c r="I4" s="423"/>
      <c r="J4" s="290"/>
      <c r="K4" s="288"/>
      <c r="L4" s="289"/>
      <c r="M4" s="288"/>
      <c r="N4" s="430"/>
      <c r="P4" s="130"/>
    </row>
    <row r="5" spans="3:40" ht="18" customHeight="1" x14ac:dyDescent="0.25">
      <c r="D5" s="141" t="s">
        <v>174</v>
      </c>
      <c r="E5" s="145" t="s">
        <v>168</v>
      </c>
      <c r="H5" s="429"/>
      <c r="I5" s="429"/>
      <c r="J5" s="429"/>
      <c r="K5" s="288"/>
      <c r="L5" s="289"/>
      <c r="M5" s="288"/>
      <c r="N5" s="430"/>
      <c r="P5" s="130"/>
    </row>
    <row r="6" spans="3:40" ht="18" customHeight="1" x14ac:dyDescent="0.25">
      <c r="C6" s="141"/>
      <c r="D6" s="141" t="s">
        <v>169</v>
      </c>
      <c r="E6" s="145" t="s">
        <v>168</v>
      </c>
      <c r="H6" s="431"/>
      <c r="I6" s="431"/>
      <c r="J6" s="290"/>
      <c r="K6" s="288"/>
      <c r="L6" s="289"/>
      <c r="M6" s="288"/>
      <c r="N6" s="430"/>
      <c r="P6" s="130"/>
    </row>
    <row r="7" spans="3:40" ht="18" customHeight="1" x14ac:dyDescent="0.25">
      <c r="D7" s="143" t="s">
        <v>172</v>
      </c>
      <c r="E7" s="146" t="s">
        <v>168</v>
      </c>
      <c r="H7" s="289"/>
      <c r="I7" s="288"/>
      <c r="J7" s="289"/>
      <c r="K7" s="288"/>
      <c r="L7" s="289"/>
      <c r="M7" s="288"/>
      <c r="N7" s="430"/>
      <c r="P7" s="130"/>
    </row>
    <row r="8" spans="3:40" ht="18" customHeight="1" x14ac:dyDescent="0.25">
      <c r="C8" s="34"/>
      <c r="D8" s="71"/>
      <c r="E8" s="34"/>
      <c r="F8" s="34"/>
      <c r="H8"/>
      <c r="I8"/>
      <c r="J8"/>
      <c r="K8"/>
      <c r="N8" s="34"/>
      <c r="O8" s="34"/>
      <c r="S8" s="34"/>
      <c r="U8" s="34"/>
      <c r="V8" s="79"/>
      <c r="Z8" s="34"/>
      <c r="AA8" s="34"/>
      <c r="AB8" s="82"/>
      <c r="AD8" s="73"/>
      <c r="AE8" s="34"/>
      <c r="AF8" s="34"/>
    </row>
    <row r="9" spans="3:40" ht="17" x14ac:dyDescent="0.4">
      <c r="C9" s="9" t="s">
        <v>55</v>
      </c>
      <c r="D9" s="31"/>
      <c r="E9" s="98"/>
      <c r="F9" s="98"/>
      <c r="G9" s="99"/>
      <c r="H9" s="99"/>
      <c r="I9" s="99"/>
      <c r="J9" s="99"/>
      <c r="K9" s="99"/>
      <c r="L9" s="63" t="str">
        <f>'Project Estimations'!D7</f>
        <v>USD</v>
      </c>
      <c r="N9" s="16" t="s">
        <v>95</v>
      </c>
      <c r="O9" s="16"/>
      <c r="P9" s="63" t="s">
        <v>2</v>
      </c>
      <c r="R9" s="9" t="s">
        <v>97</v>
      </c>
      <c r="S9" s="31"/>
      <c r="T9" s="98"/>
      <c r="U9" s="98"/>
      <c r="V9" s="100"/>
      <c r="W9" s="63" t="str">
        <f>'Project Estimations'!D7</f>
        <v>USD</v>
      </c>
      <c r="Y9" s="9" t="s">
        <v>56</v>
      </c>
      <c r="Z9" s="7"/>
      <c r="AA9" s="8"/>
      <c r="AB9" s="63" t="str">
        <f>'Project Estimations'!$D$7</f>
        <v>USD</v>
      </c>
      <c r="AC9"/>
      <c r="AD9" s="9" t="s">
        <v>84</v>
      </c>
      <c r="AE9" s="102"/>
      <c r="AF9" s="103"/>
      <c r="AG9" s="72"/>
      <c r="AH9" s="9" t="s">
        <v>254</v>
      </c>
      <c r="AI9" s="9"/>
      <c r="AJ9" s="9"/>
      <c r="AK9" s="9"/>
      <c r="AL9" s="9"/>
    </row>
    <row r="10" spans="3:40" ht="18.5" x14ac:dyDescent="0.45">
      <c r="C10" s="89" t="s">
        <v>170</v>
      </c>
      <c r="D10" s="96" t="s">
        <v>48</v>
      </c>
      <c r="E10" s="89" t="s">
        <v>38</v>
      </c>
      <c r="F10" s="89" t="s">
        <v>37</v>
      </c>
      <c r="G10" s="89" t="s">
        <v>4</v>
      </c>
      <c r="H10" s="97" t="s">
        <v>50</v>
      </c>
      <c r="I10" s="97" t="s">
        <v>51</v>
      </c>
      <c r="J10" s="89" t="s">
        <v>52</v>
      </c>
      <c r="K10" s="89" t="s">
        <v>63</v>
      </c>
      <c r="L10" s="89" t="s">
        <v>74</v>
      </c>
      <c r="M10" s="35"/>
      <c r="N10" s="80" t="s">
        <v>6</v>
      </c>
      <c r="O10" s="80" t="s">
        <v>238</v>
      </c>
      <c r="P10" s="69" t="s">
        <v>96</v>
      </c>
      <c r="R10" s="96" t="s">
        <v>53</v>
      </c>
      <c r="S10" s="96"/>
      <c r="T10" s="89" t="s">
        <v>4</v>
      </c>
      <c r="U10" s="89" t="s">
        <v>3</v>
      </c>
      <c r="V10" s="97" t="s">
        <v>75</v>
      </c>
      <c r="W10" s="89" t="s">
        <v>35</v>
      </c>
      <c r="Y10" s="9" t="s">
        <v>62</v>
      </c>
      <c r="Z10" s="31"/>
      <c r="AA10" s="98"/>
      <c r="AB10" s="104">
        <f>AB11+AB16</f>
        <v>111688.98259932779</v>
      </c>
      <c r="AC10"/>
      <c r="AD10" s="89" t="s">
        <v>86</v>
      </c>
      <c r="AE10" s="89" t="s">
        <v>87</v>
      </c>
      <c r="AF10" s="101" t="s">
        <v>88</v>
      </c>
      <c r="AG10" s="298"/>
      <c r="AH10" s="302" t="s">
        <v>350</v>
      </c>
      <c r="AI10" s="318">
        <f>(65*2+40*5)*52</f>
        <v>17160</v>
      </c>
    </row>
    <row r="11" spans="3:40" ht="15.5" x14ac:dyDescent="0.35">
      <c r="C11" s="67" t="s">
        <v>171</v>
      </c>
      <c r="D11" s="46" t="str">
        <f>IF('Project Estimations'!D30="","",'Project Estimations'!C30&amp;" "&amp;'Project Estimations'!D30&amp;" "&amp;'Project Estimations'!E30)</f>
        <v/>
      </c>
      <c r="E11" s="38" t="str">
        <f>IF('Project Estimations'!F30="","",'Project Estimations'!F30)</f>
        <v/>
      </c>
      <c r="F11" s="38" t="str">
        <f>IF('Project Estimations'!G30="","",'Project Estimations'!G30)</f>
        <v/>
      </c>
      <c r="G11" s="38" t="str">
        <f>IF((OR('Project Estimations'!H30="",'Project Estimations'!H30=0,C11="N")),"",'Project Estimations'!H30)</f>
        <v/>
      </c>
      <c r="H11" s="291"/>
      <c r="I11" s="39" t="str">
        <f>IFERROR(IF(E11="","",(IF(F11="KT",VLOOKUP(E11,CostRate!$B$5:$BV$23,9+'Project Estimations'!$E$7,FALSE))+IF(F11="PT",VLOOKUP(E11,CostRate!$B$5:$BV$23,2+'Project Estimations'!$E$7,FALSE))+IF(F11="US",VLOOKUP(E11,CostRate!$B$5:$BV$23,3+'Project Estimations'!$E$7,FALSE))+IF(F11="DE",VLOOKUP(E11,CostRate!$B$5:$BV$23,4+'Project Estimations'!$E$7,FALSE))+IF(F11="BR",VLOOKUP(E11,CostRate!$B$5:$BV$23,5+'Project Estimations'!$E$7,FALSE))+IF(F11="MX",VLOOKUP(E11,CostRate!$B$5:$BV$23,6+'Project Estimations'!$E$7,FALSE))+IF(F11="CL",VLOOKUP(E11,CostRate!$B$5:$BV$23,7+'Project Estimations'!$E$7,FALSE))+IF(F11="CN",VLOOKUP(E11,CostRate!$B$5:$BV$23,8+'Project Estimations'!$E$7,FALSE))+IF(F11="EXT",VLOOKUP(E11,CostRate!$B$5:$BV$23,9+'Project Estimations'!$E$7,FALSE)))),"")</f>
        <v/>
      </c>
      <c r="J11" s="39" t="str">
        <f t="shared" ref="J11" si="0">IF(G11&lt;&gt;"",IF(OR(I11="",I11=0),"MISSING COST",I11*G11),"")</f>
        <v/>
      </c>
      <c r="K11" s="42" t="str">
        <f>IF(G11&lt;&gt;"",IF(H11="","INVALUE",H11*G11),"")</f>
        <v/>
      </c>
      <c r="L11" s="147" t="str">
        <f>IF(G11&lt;&gt;"",IF(H11="","INVALUE",(K11-J11)/K11),"")</f>
        <v/>
      </c>
      <c r="N11" s="38">
        <v>100</v>
      </c>
      <c r="O11" s="85"/>
      <c r="P11" s="38">
        <v>115</v>
      </c>
      <c r="R11" s="111" t="s">
        <v>0</v>
      </c>
      <c r="S11" s="48"/>
      <c r="T11" s="47"/>
      <c r="U11" s="47"/>
      <c r="V11" s="116"/>
      <c r="W11" s="47"/>
      <c r="Y11" s="64" t="s">
        <v>25</v>
      </c>
      <c r="Z11" s="65"/>
      <c r="AA11" s="65"/>
      <c r="AB11" s="77">
        <f>SUM(AB12:AB15)</f>
        <v>111688.98259932779</v>
      </c>
      <c r="AC11"/>
      <c r="AD11" s="38" t="str">
        <f>+[1]CostRate!CT3</f>
        <v>EUR</v>
      </c>
      <c r="AE11" s="38" t="str">
        <f>+[1]CostRate!CU3</f>
        <v>EUR</v>
      </c>
      <c r="AF11" s="83">
        <f>+IF(SUMIFS(Currency!E:E,Currency!A:A,YEAR('Project Estimations'!$D$4),Currency!B:B,MONTH('Project Estimations'!$D$4),Currency!C:C,AD11,Currency!D:D,AE11)=0,SUMIFS(Currency!E:E,Currency!A:A,YEAR(Currency!$H$2),Currency!B:B,MONTH(Currency!$H$2),Currency!C:C,AD11,Currency!D:D,AE11),SUMIFS(Currency!E:E,Currency!A:A,YEAR('Project Estimations'!$D$4),Currency!B:B,MONTH('Project Estimations'!$D$4),Currency!C:C,AD11,Currency!D:D,AE11))</f>
        <v>1</v>
      </c>
      <c r="AG11" s="299"/>
      <c r="AH11" s="302" t="s">
        <v>349</v>
      </c>
      <c r="AI11" s="318">
        <f>200*12</f>
        <v>2400</v>
      </c>
      <c r="AK11" s="318">
        <f>+SUM(AK13:AK21)</f>
        <v>0</v>
      </c>
    </row>
    <row r="12" spans="3:40" ht="17" x14ac:dyDescent="0.4">
      <c r="C12" s="68" t="s">
        <v>171</v>
      </c>
      <c r="D12" s="45" t="str">
        <f>IF('Project Estimations'!D31="","",'Project Estimations'!C31&amp;" "&amp;'Project Estimations'!D31&amp;" "&amp;'Project Estimations'!E31)</f>
        <v xml:space="preserve">Service Manager 300 - Project Manager </v>
      </c>
      <c r="E12" s="40">
        <f>IF('Project Estimations'!F31="","",'Project Estimations'!F31)</f>
        <v>300</v>
      </c>
      <c r="F12" s="40" t="str">
        <f>IF('Project Estimations'!G31="","",'Project Estimations'!G31)</f>
        <v>PT</v>
      </c>
      <c r="G12" s="40">
        <f>IF((OR('Project Estimations'!H31="",'Project Estimations'!H31=0,C12="N")),"",'Project Estimations'!H31)</f>
        <v>61</v>
      </c>
      <c r="H12" s="292">
        <v>537.20936712709329</v>
      </c>
      <c r="I12" s="41">
        <f>IFERROR(IF(E12="","",(IF(F12="KT",VLOOKUP(E12,CostRate!$B$5:$BV$23,9+'Project Estimations'!$E$7,FALSE))+IF(F12="PT",VLOOKUP(E12,CostRate!$B$5:$BV$23,2+'Project Estimations'!$E$7,FALSE))+IF(F12="US",VLOOKUP(E12,CostRate!$B$5:$BV$23,3+'Project Estimations'!$E$7,FALSE))+IF(F12="DE",VLOOKUP(E12,CostRate!$B$5:$BV$23,4+'Project Estimations'!$E$7,FALSE))+IF(F12="BR",VLOOKUP(E12,CostRate!$B$5:$BV$23,5+'Project Estimations'!$E$7,FALSE))+IF(F12="MX",VLOOKUP(E12,CostRate!$B$5:$BV$23,6+'Project Estimations'!$E$7,FALSE))+IF(F12="CL",VLOOKUP(E12,CostRate!$B$5:$BV$23,7+'Project Estimations'!$E$7,FALSE))+IF(F12="CN",VLOOKUP(E12,CostRate!$B$5:$BV$23,8+'Project Estimations'!$E$7,FALSE))+IF(F12="EXT",VLOOKUP(E12,CostRate!$B$5:$BV$23,9+'Project Estimations'!$E$7,FALSE)))),"")</f>
        <v>506.03077408815091</v>
      </c>
      <c r="J12" s="41">
        <f t="shared" ref="J12:J75" si="1">IF(G12&lt;&gt;"",IF(OR(I12="",I12=0),"MISSING COST",I12*G12),"")</f>
        <v>30867.877219377206</v>
      </c>
      <c r="K12" s="41">
        <f t="shared" ref="K12:K75" si="2">IF(G12&lt;&gt;"",IF(H12="","INVALUE",H12*G12),"")</f>
        <v>32769.771394752694</v>
      </c>
      <c r="L12" s="148">
        <f t="shared" ref="L12:L75" si="3">IF(G12&lt;&gt;"",IF(H12="","INVALUE",(K12-J12)/K12),"")</f>
        <v>5.8038066621362863E-2</v>
      </c>
      <c r="N12" s="40">
        <v>101</v>
      </c>
      <c r="O12" s="86"/>
      <c r="P12" s="40">
        <v>145</v>
      </c>
      <c r="R12" s="40"/>
      <c r="S12" s="45" t="s">
        <v>0</v>
      </c>
      <c r="T12" s="40">
        <f>SUM(G11:G100)</f>
        <v>278.84792999999996</v>
      </c>
      <c r="U12" s="43">
        <f>SUM(U14:U22)</f>
        <v>1.0000000000000002</v>
      </c>
      <c r="V12" s="74">
        <f>SUM(V14:V22)</f>
        <v>91258.982599327777</v>
      </c>
      <c r="W12" s="41">
        <f>SUM(W14:W22)</f>
        <v>149799.72000000003</v>
      </c>
      <c r="Y12" s="40"/>
      <c r="Z12" s="40"/>
      <c r="AA12" s="45" t="s">
        <v>57</v>
      </c>
      <c r="AB12" s="74">
        <f>SUM($J$11:$J$100)-SUMIFS($J$11:$J$100,$F$11:$F$100,"EXT")-SUMIFS($J$11:$J$100,$F$11:$F$100,"CTG")</f>
        <v>91258.982599327792</v>
      </c>
      <c r="AC12"/>
      <c r="AD12" s="40" t="str">
        <f>+[1]CostRate!CT4</f>
        <v>EUR</v>
      </c>
      <c r="AE12" s="40" t="str">
        <f>+[1]CostRate!CU4</f>
        <v>USD</v>
      </c>
      <c r="AF12" s="84">
        <f>+IF(SUMIFS(Currency!E:E,Currency!A:A,YEAR('Project Estimations'!$D$4),Currency!B:B,MONTH('Project Estimations'!$D$4),Currency!C:C,AD12,Currency!D:D,AE12)=0,SUMIFS(Currency!E:E,Currency!A:A,YEAR(Currency!$H$2),Currency!B:B,MONTH(Currency!$H$2),Currency!C:C,AD12,Currency!D:D,AE12),SUMIFS(Currency!E:E,Currency!A:A,YEAR('Project Estimations'!$D$4),Currency!B:B,MONTH('Project Estimations'!$D$4),Currency!C:C,AD12,Currency!D:D,AE12))</f>
        <v>1.1195999999999999</v>
      </c>
      <c r="AG12" s="299"/>
      <c r="AH12" s="247" t="s">
        <v>255</v>
      </c>
      <c r="AI12" s="247" t="s">
        <v>339</v>
      </c>
      <c r="AJ12" s="319" t="s">
        <v>130</v>
      </c>
      <c r="AK12" s="247" t="s">
        <v>196</v>
      </c>
      <c r="AL12" s="247" t="s">
        <v>340</v>
      </c>
      <c r="AN12" s="320"/>
    </row>
    <row r="13" spans="3:40" ht="15.5" x14ac:dyDescent="0.35">
      <c r="C13" s="67" t="s">
        <v>171</v>
      </c>
      <c r="D13" s="46" t="str">
        <f>IF('Project Estimations'!D32="","",'Project Estimations'!C32&amp;" "&amp;'Project Estimations'!D32&amp;" "&amp;'Project Estimations'!E32)</f>
        <v xml:space="preserve">OPS Manager 303 - Senior Project Manager </v>
      </c>
      <c r="E13" s="38">
        <f>IF('Project Estimations'!F32="","",'Project Estimations'!F32)</f>
        <v>303</v>
      </c>
      <c r="F13" s="38" t="str">
        <f>IF('Project Estimations'!G32="","",'Project Estimations'!G32)</f>
        <v>BR</v>
      </c>
      <c r="G13" s="38">
        <f>IF((OR('Project Estimations'!H32="",'Project Estimations'!H32=0,C13="N")),"",'Project Estimations'!H32)</f>
        <v>8</v>
      </c>
      <c r="H13" s="291">
        <v>537.20936712709329</v>
      </c>
      <c r="I13" s="39">
        <f>IFERROR(IF(E13="","",(IF(F13="KT",VLOOKUP(E13,CostRate!$B$5:$BV$23,9+'Project Estimations'!$E$7,FALSE))+IF(F13="PT",VLOOKUP(E13,CostRate!$B$5:$BV$23,2+'Project Estimations'!$E$7,FALSE))+IF(F13="US",VLOOKUP(E13,CostRate!$B$5:$BV$23,3+'Project Estimations'!$E$7,FALSE))+IF(F13="DE",VLOOKUP(E13,CostRate!$B$5:$BV$23,4+'Project Estimations'!$E$7,FALSE))+IF(F13="BR",VLOOKUP(E13,CostRate!$B$5:$BV$23,5+'Project Estimations'!$E$7,FALSE))+IF(F13="MX",VLOOKUP(E13,CostRate!$B$5:$BV$23,6+'Project Estimations'!$E$7,FALSE))+IF(F13="CL",VLOOKUP(E13,CostRate!$B$5:$BV$23,7+'Project Estimations'!$E$7,FALSE))+IF(F13="CN",VLOOKUP(E13,CostRate!$B$5:$BV$23,8+'Project Estimations'!$E$7,FALSE))+IF(F13="EXT",VLOOKUP(E13,CostRate!$B$5:$BV$23,9+'Project Estimations'!$E$7,FALSE)))),"")</f>
        <v>466.31865222166613</v>
      </c>
      <c r="J13" s="39">
        <f t="shared" si="1"/>
        <v>3730.549217773329</v>
      </c>
      <c r="K13" s="39">
        <f t="shared" si="2"/>
        <v>4297.6749370167463</v>
      </c>
      <c r="L13" s="147">
        <f t="shared" si="3"/>
        <v>0.13196105511811709</v>
      </c>
      <c r="N13" s="38">
        <v>102</v>
      </c>
      <c r="O13" s="85"/>
      <c r="P13" s="38">
        <v>175</v>
      </c>
      <c r="R13" s="48" t="s">
        <v>17</v>
      </c>
      <c r="S13" s="51"/>
      <c r="T13" s="47"/>
      <c r="U13" s="47"/>
      <c r="V13" s="116"/>
      <c r="W13" s="47"/>
      <c r="AA13" s="46" t="s">
        <v>58</v>
      </c>
      <c r="AB13" s="75">
        <f>SUMIFS($J$11:$J$100,$F$11:$F$100,"EXT")</f>
        <v>0</v>
      </c>
      <c r="AC13"/>
      <c r="AD13" s="38" t="str">
        <f>+[1]CostRate!CT5</f>
        <v>EUR</v>
      </c>
      <c r="AE13" s="38" t="str">
        <f>+[1]CostRate!CU5</f>
        <v>GBP</v>
      </c>
      <c r="AF13" s="83">
        <f>+IF(SUMIFS(Currency!E:E,Currency!A:A,YEAR('Project Estimations'!$D$4),Currency!B:B,MONTH('Project Estimations'!$D$4),Currency!C:C,AD13,Currency!D:D,AE13)=0,SUMIFS(Currency!E:E,Currency!A:A,YEAR(Currency!$H$2),Currency!B:B,MONTH(Currency!$H$2),Currency!C:C,AD13,Currency!D:D,AE13),SUMIFS(Currency!E:E,Currency!A:A,YEAR('Project Estimations'!$D$4),Currency!B:B,MONTH('Project Estimations'!$D$4),Currency!C:C,AD13,Currency!D:D,AE13))</f>
        <v>0.83543000000000001</v>
      </c>
      <c r="AG13" s="299"/>
      <c r="AH13" s="45" t="s">
        <v>341</v>
      </c>
      <c r="AI13" s="255"/>
      <c r="AJ13" s="40">
        <v>1</v>
      </c>
      <c r="AK13" s="240">
        <f t="shared" ref="AK13:AK20" si="4">IF(AL13="Y",$AI$10*AJ13/AI13,0)</f>
        <v>0</v>
      </c>
      <c r="AL13" s="255" t="s">
        <v>351</v>
      </c>
    </row>
    <row r="14" spans="3:40" ht="13" x14ac:dyDescent="0.25">
      <c r="C14" s="68" t="s">
        <v>171</v>
      </c>
      <c r="D14" s="45" t="str">
        <f>IF('Project Estimations'!D33="","",'Project Estimations'!C33&amp;" "&amp;'Project Estimations'!D33&amp;" "&amp;'Project Estimations'!E33)</f>
        <v/>
      </c>
      <c r="E14" s="40" t="str">
        <f>IF('Project Estimations'!F33="","",'Project Estimations'!F33)</f>
        <v/>
      </c>
      <c r="F14" s="40" t="str">
        <f>IF('Project Estimations'!G33="","",'Project Estimations'!G33)</f>
        <v/>
      </c>
      <c r="G14" s="40" t="str">
        <f>IF((OR('Project Estimations'!H33="",'Project Estimations'!H33=0,C14="N")),"",'Project Estimations'!H33)</f>
        <v/>
      </c>
      <c r="H14" s="292"/>
      <c r="I14" s="41" t="str">
        <f>IFERROR(IF(E14="","",(IF(F14="KT",VLOOKUP(E14,CostRate!$B$5:$BV$23,9+'Project Estimations'!$E$7,FALSE))+IF(F14="PT",VLOOKUP(E14,CostRate!$B$5:$BV$23,2+'Project Estimations'!$E$7,FALSE))+IF(F14="US",VLOOKUP(E14,CostRate!$B$5:$BV$23,3+'Project Estimations'!$E$7,FALSE))+IF(F14="DE",VLOOKUP(E14,CostRate!$B$5:$BV$23,4+'Project Estimations'!$E$7,FALSE))+IF(F14="BR",VLOOKUP(E14,CostRate!$B$5:$BV$23,5+'Project Estimations'!$E$7,FALSE))+IF(F14="MX",VLOOKUP(E14,CostRate!$B$5:$BV$23,6+'Project Estimations'!$E$7,FALSE))+IF(F14="CL",VLOOKUP(E14,CostRate!$B$5:$BV$23,7+'Project Estimations'!$E$7,FALSE))+IF(F14="CN",VLOOKUP(E14,CostRate!$B$5:$BV$23,8+'Project Estimations'!$E$7,FALSE))+IF(F14="EXT",VLOOKUP(E14,CostRate!$B$5:$BV$23,9+'Project Estimations'!$E$7,FALSE)))),"")</f>
        <v/>
      </c>
      <c r="J14" s="41" t="str">
        <f t="shared" si="1"/>
        <v/>
      </c>
      <c r="K14" s="41" t="str">
        <f t="shared" si="2"/>
        <v/>
      </c>
      <c r="L14" s="148" t="str">
        <f t="shared" si="3"/>
        <v/>
      </c>
      <c r="N14" s="40">
        <v>200</v>
      </c>
      <c r="O14" s="86"/>
      <c r="P14" s="40">
        <v>205</v>
      </c>
      <c r="R14" s="40"/>
      <c r="S14" s="45" t="s">
        <v>13</v>
      </c>
      <c r="T14" s="40">
        <f t="shared" ref="T14:T22" si="5">SUMIFS($G$11:$G$100,$F$11:$F$100,S14)</f>
        <v>160.249585</v>
      </c>
      <c r="U14" s="43">
        <f>IFERROR(T14/$T$12,0)</f>
        <v>0.57468450635441337</v>
      </c>
      <c r="V14" s="74">
        <f t="shared" ref="V14:V22" si="6">SUMIFS($J$11:$J$100,$F$11:$F$100,S14)</f>
        <v>72582.946418326363</v>
      </c>
      <c r="W14" s="41">
        <f t="shared" ref="W14:W22" si="7">SUMIFS($K$11:$K$100,$F$11:$F$100,S14)</f>
        <v>86087.578140229351</v>
      </c>
      <c r="Y14" s="40"/>
      <c r="Z14" s="40"/>
      <c r="AA14" s="45" t="s">
        <v>414</v>
      </c>
      <c r="AB14" s="74">
        <f>+'Expenses Estimation'!AB37</f>
        <v>0</v>
      </c>
      <c r="AC14"/>
      <c r="AD14" s="40" t="str">
        <f>+[1]CostRate!CT6</f>
        <v>EUR</v>
      </c>
      <c r="AE14" s="40" t="str">
        <f>+[1]CostRate!CU6</f>
        <v>BRL</v>
      </c>
      <c r="AF14" s="84">
        <f>+IF(SUMIFS(Currency!E:E,Currency!A:A,YEAR('Project Estimations'!$D$4),Currency!B:B,MONTH('Project Estimations'!$D$4),Currency!C:C,AD14,Currency!D:D,AE14)=0,SUMIFS(Currency!E:E,Currency!A:A,YEAR(Currency!$H$2),Currency!B:B,MONTH(Currency!$H$2),Currency!C:C,AD14,Currency!D:D,AE14),SUMIFS(Currency!E:E,Currency!A:A,YEAR('Project Estimations'!$D$4),Currency!B:B,MONTH('Project Estimations'!$D$4),Currency!C:C,AD14,Currency!D:D,AE14))</f>
        <v>6.0503999999999998</v>
      </c>
      <c r="AG14" s="299"/>
      <c r="AH14" s="315" t="s">
        <v>342</v>
      </c>
      <c r="AI14" s="256"/>
      <c r="AJ14" s="316">
        <v>1</v>
      </c>
      <c r="AK14" s="317">
        <f t="shared" si="4"/>
        <v>0</v>
      </c>
      <c r="AL14" s="256" t="s">
        <v>351</v>
      </c>
    </row>
    <row r="15" spans="3:40" ht="13" x14ac:dyDescent="0.25">
      <c r="C15" s="67" t="s">
        <v>171</v>
      </c>
      <c r="D15" s="46" t="str">
        <f>IF('Project Estimations'!D34="","",'Project Estimations'!C34&amp;" "&amp;'Project Estimations'!D34&amp;" "&amp;'Project Estimations'!E34)</f>
        <v xml:space="preserve">CMS Structure 403 - Non Executive Manager </v>
      </c>
      <c r="E15" s="38">
        <f>IF('Project Estimations'!F34="","",'Project Estimations'!F34)</f>
        <v>403</v>
      </c>
      <c r="F15" s="38" t="str">
        <f>IF('Project Estimations'!G34="","",'Project Estimations'!G34)</f>
        <v>PT</v>
      </c>
      <c r="G15" s="38">
        <f>IF((OR('Project Estimations'!H34="",'Project Estimations'!H34=0,C15="N")),"",'Project Estimations'!H34)</f>
        <v>1</v>
      </c>
      <c r="H15" s="291">
        <v>537.20936712709329</v>
      </c>
      <c r="I15" s="39">
        <f>IFERROR(IF(E15="","",(IF(F15="KT",VLOOKUP(E15,CostRate!$B$5:$BV$23,9+'Project Estimations'!$E$7,FALSE))+IF(F15="PT",VLOOKUP(E15,CostRate!$B$5:$BV$23,2+'Project Estimations'!$E$7,FALSE))+IF(F15="US",VLOOKUP(E15,CostRate!$B$5:$BV$23,3+'Project Estimations'!$E$7,FALSE))+IF(F15="DE",VLOOKUP(E15,CostRate!$B$5:$BV$23,4+'Project Estimations'!$E$7,FALSE))+IF(F15="BR",VLOOKUP(E15,CostRate!$B$5:$BV$23,5+'Project Estimations'!$E$7,FALSE))+IF(F15="MX",VLOOKUP(E15,CostRate!$B$5:$BV$23,6+'Project Estimations'!$E$7,FALSE))+IF(F15="CL",VLOOKUP(E15,CostRate!$B$5:$BV$23,7+'Project Estimations'!$E$7,FALSE))+IF(F15="CN",VLOOKUP(E15,CostRate!$B$5:$BV$23,8+'Project Estimations'!$E$7,FALSE))+IF(F15="EXT",VLOOKUP(E15,CostRate!$B$5:$BV$23,9+'Project Estimations'!$E$7,FALSE)))),"")</f>
        <v>1179.805706442158</v>
      </c>
      <c r="J15" s="39">
        <f t="shared" si="1"/>
        <v>1179.805706442158</v>
      </c>
      <c r="K15" s="39">
        <f t="shared" si="2"/>
        <v>537.20936712709329</v>
      </c>
      <c r="L15" s="147">
        <f t="shared" si="3"/>
        <v>-1.1961748596298003</v>
      </c>
      <c r="N15" s="38">
        <v>201</v>
      </c>
      <c r="O15" s="85"/>
      <c r="P15" s="38">
        <v>235</v>
      </c>
      <c r="S15" s="46" t="s">
        <v>20</v>
      </c>
      <c r="T15" s="38">
        <f t="shared" si="5"/>
        <v>0</v>
      </c>
      <c r="U15" s="50">
        <f t="shared" ref="U15:U22" si="8">IFERROR(T15/$T$12,0)</f>
        <v>0</v>
      </c>
      <c r="V15" s="75">
        <f t="shared" si="6"/>
        <v>0</v>
      </c>
      <c r="W15" s="39">
        <f t="shared" si="7"/>
        <v>0</v>
      </c>
      <c r="AA15" s="46" t="s">
        <v>10</v>
      </c>
      <c r="AB15" s="76">
        <f>((330*52)/4)+((330*52)/4)+((330*52)/4)+((260*6))+(12*500)</f>
        <v>20430</v>
      </c>
      <c r="AC15"/>
      <c r="AD15" s="38" t="str">
        <f>+[1]CostRate!CT7</f>
        <v>EUR</v>
      </c>
      <c r="AE15" s="38" t="str">
        <f>+[1]CostRate!CU7</f>
        <v>MXN</v>
      </c>
      <c r="AF15" s="83">
        <f>+IF(SUMIFS(Currency!E:E,Currency!A:A,YEAR('Project Estimations'!$D$4),Currency!B:B,MONTH('Project Estimations'!$D$4),Currency!C:C,AD15,Currency!D:D,AE15)=0,SUMIFS(Currency!E:E,Currency!A:A,YEAR(Currency!$H$2),Currency!B:B,MONTH(Currency!$H$2),Currency!C:C,AD15,Currency!D:D,AE15),SUMIFS(Currency!E:E,Currency!A:A,YEAR('Project Estimations'!$D$4),Currency!B:B,MONTH('Project Estimations'!$D$4),Currency!C:C,AD15,Currency!D:D,AE15))</f>
        <v>21.984200000000001</v>
      </c>
      <c r="AG15" s="299"/>
      <c r="AH15" s="45" t="s">
        <v>343</v>
      </c>
      <c r="AI15" s="255"/>
      <c r="AJ15" s="40">
        <v>1</v>
      </c>
      <c r="AK15" s="240">
        <f t="shared" si="4"/>
        <v>0</v>
      </c>
      <c r="AL15" s="255" t="s">
        <v>351</v>
      </c>
    </row>
    <row r="16" spans="3:40" ht="14.5" x14ac:dyDescent="0.35">
      <c r="C16" s="68" t="s">
        <v>171</v>
      </c>
      <c r="D16" s="45" t="str">
        <f>IF('Project Estimations'!D35="","",'Project Estimations'!C35&amp;" "&amp;'Project Estimations'!D35&amp;" "&amp;'Project Estimations'!E35)</f>
        <v xml:space="preserve">CMS Structure 400 - Delivery Manager </v>
      </c>
      <c r="E16" s="40">
        <f>IF('Project Estimations'!F35="","",'Project Estimations'!F35)</f>
        <v>400</v>
      </c>
      <c r="F16" s="40" t="str">
        <f>IF('Project Estimations'!G35="","",'Project Estimations'!G35)</f>
        <v>PT</v>
      </c>
      <c r="G16" s="40">
        <f>IF((OR('Project Estimations'!H35="",'Project Estimations'!H35=0,C16="N")),"",'Project Estimations'!H35)</f>
        <v>1</v>
      </c>
      <c r="H16" s="292">
        <v>537.20936712709329</v>
      </c>
      <c r="I16" s="41">
        <f>IFERROR(IF(E16="","",(IF(F16="KT",VLOOKUP(E16,CostRate!$B$5:$BV$23,9+'Project Estimations'!$E$7,FALSE))+IF(F16="PT",VLOOKUP(E16,CostRate!$B$5:$BV$23,2+'Project Estimations'!$E$7,FALSE))+IF(F16="US",VLOOKUP(E16,CostRate!$B$5:$BV$23,3+'Project Estimations'!$E$7,FALSE))+IF(F16="DE",VLOOKUP(E16,CostRate!$B$5:$BV$23,4+'Project Estimations'!$E$7,FALSE))+IF(F16="BR",VLOOKUP(E16,CostRate!$B$5:$BV$23,5+'Project Estimations'!$E$7,FALSE))+IF(F16="MX",VLOOKUP(E16,CostRate!$B$5:$BV$23,6+'Project Estimations'!$E$7,FALSE))+IF(F16="CL",VLOOKUP(E16,CostRate!$B$5:$BV$23,7+'Project Estimations'!$E$7,FALSE))+IF(F16="CN",VLOOKUP(E16,CostRate!$B$5:$BV$23,8+'Project Estimations'!$E$7,FALSE))+IF(F16="EXT",VLOOKUP(E16,CostRate!$B$5:$BV$23,9+'Project Estimations'!$E$7,FALSE)))),"")</f>
        <v>807.91310162734828</v>
      </c>
      <c r="J16" s="41">
        <f t="shared" si="1"/>
        <v>807.91310162734828</v>
      </c>
      <c r="K16" s="41">
        <f t="shared" si="2"/>
        <v>537.20936712709329</v>
      </c>
      <c r="L16" s="148">
        <f t="shared" si="3"/>
        <v>-0.50390732378315317</v>
      </c>
      <c r="N16" s="40">
        <v>202</v>
      </c>
      <c r="O16" s="86"/>
      <c r="P16" s="40">
        <v>265</v>
      </c>
      <c r="R16" s="40"/>
      <c r="S16" s="45" t="s">
        <v>15</v>
      </c>
      <c r="T16" s="40">
        <f t="shared" si="5"/>
        <v>0</v>
      </c>
      <c r="U16" s="43">
        <f t="shared" si="8"/>
        <v>0</v>
      </c>
      <c r="V16" s="74">
        <f t="shared" si="6"/>
        <v>0</v>
      </c>
      <c r="W16" s="41">
        <f t="shared" si="7"/>
        <v>0</v>
      </c>
      <c r="Y16" s="65" t="s">
        <v>61</v>
      </c>
      <c r="Z16" s="65"/>
      <c r="AA16" s="65"/>
      <c r="AB16" s="77">
        <f>SUM(AB17:AB21)</f>
        <v>0</v>
      </c>
      <c r="AC16"/>
      <c r="AD16" s="40" t="str">
        <f>+[1]CostRate!CT8</f>
        <v>EUR</v>
      </c>
      <c r="AE16" s="40" t="str">
        <f>+[1]CostRate!CU8</f>
        <v>CLP</v>
      </c>
      <c r="AF16" s="84">
        <f>+IF(SUMIFS(Currency!E:E,Currency!A:A,YEAR('Project Estimations'!$D$4),Currency!B:B,MONTH('Project Estimations'!$D$4),Currency!C:C,AD16,Currency!D:D,AE16)=0,SUMIFS(Currency!E:E,Currency!A:A,YEAR(Currency!$H$2),Currency!B:B,MONTH(Currency!$H$2),Currency!C:C,AD16,Currency!D:D,AE16),SUMIFS(Currency!E:E,Currency!A:A,YEAR('Project Estimations'!$D$4),Currency!B:B,MONTH('Project Estimations'!$D$4),Currency!C:C,AD16,Currency!D:D,AE16))</f>
        <v>1006.073</v>
      </c>
      <c r="AG16" s="299"/>
      <c r="AH16" s="315" t="s">
        <v>344</v>
      </c>
      <c r="AI16" s="256"/>
      <c r="AJ16" s="316">
        <v>1</v>
      </c>
      <c r="AK16" s="317">
        <f t="shared" si="4"/>
        <v>0</v>
      </c>
      <c r="AL16" s="256" t="s">
        <v>351</v>
      </c>
    </row>
    <row r="17" spans="3:41" ht="13" x14ac:dyDescent="0.25">
      <c r="C17" s="67" t="s">
        <v>171</v>
      </c>
      <c r="D17" s="46" t="str">
        <f>IF('Project Estimations'!D36="","",'Project Estimations'!C36&amp;" "&amp;'Project Estimations'!D36&amp;" "&amp;'Project Estimations'!E36)</f>
        <v xml:space="preserve">CMS Structure 400 - Principal Solutions Architect </v>
      </c>
      <c r="E17" s="38">
        <f>IF('Project Estimations'!F36="","",'Project Estimations'!F36)</f>
        <v>400</v>
      </c>
      <c r="F17" s="38" t="str">
        <f>IF('Project Estimations'!G36="","",'Project Estimations'!G36)</f>
        <v>PT</v>
      </c>
      <c r="G17" s="38">
        <f>IF((OR('Project Estimations'!H36="",'Project Estimations'!H36=0,C17="N")),"",'Project Estimations'!H36)</f>
        <v>2</v>
      </c>
      <c r="H17" s="291">
        <v>537.20936712709329</v>
      </c>
      <c r="I17" s="39">
        <f>IFERROR(IF(E17="","",(IF(F17="KT",VLOOKUP(E17,CostRate!$B$5:$BV$23,9+'Project Estimations'!$E$7,FALSE))+IF(F17="PT",VLOOKUP(E17,CostRate!$B$5:$BV$23,2+'Project Estimations'!$E$7,FALSE))+IF(F17="US",VLOOKUP(E17,CostRate!$B$5:$BV$23,3+'Project Estimations'!$E$7,FALSE))+IF(F17="DE",VLOOKUP(E17,CostRate!$B$5:$BV$23,4+'Project Estimations'!$E$7,FALSE))+IF(F17="BR",VLOOKUP(E17,CostRate!$B$5:$BV$23,5+'Project Estimations'!$E$7,FALSE))+IF(F17="MX",VLOOKUP(E17,CostRate!$B$5:$BV$23,6+'Project Estimations'!$E$7,FALSE))+IF(F17="CL",VLOOKUP(E17,CostRate!$B$5:$BV$23,7+'Project Estimations'!$E$7,FALSE))+IF(F17="CN",VLOOKUP(E17,CostRate!$B$5:$BV$23,8+'Project Estimations'!$E$7,FALSE))+IF(F17="EXT",VLOOKUP(E17,CostRate!$B$5:$BV$23,9+'Project Estimations'!$E$7,FALSE)))),"")</f>
        <v>807.91310162734828</v>
      </c>
      <c r="J17" s="39">
        <f t="shared" si="1"/>
        <v>1615.8262032546966</v>
      </c>
      <c r="K17" s="39">
        <f t="shared" si="2"/>
        <v>1074.4187342541866</v>
      </c>
      <c r="L17" s="147">
        <f t="shared" si="3"/>
        <v>-0.50390732378315317</v>
      </c>
      <c r="N17" s="38">
        <v>203</v>
      </c>
      <c r="O17" s="85"/>
      <c r="P17" s="38">
        <v>295</v>
      </c>
      <c r="S17" s="46" t="s">
        <v>16</v>
      </c>
      <c r="T17" s="38">
        <f t="shared" si="5"/>
        <v>118.59834500000001</v>
      </c>
      <c r="U17" s="50">
        <f t="shared" si="8"/>
        <v>0.4253154936455868</v>
      </c>
      <c r="V17" s="75">
        <f t="shared" si="6"/>
        <v>18676.036181001415</v>
      </c>
      <c r="W17" s="39">
        <f t="shared" si="7"/>
        <v>63712.14185977068</v>
      </c>
      <c r="Y17" s="40"/>
      <c r="Z17" s="40"/>
      <c r="AA17" s="45" t="s">
        <v>11</v>
      </c>
      <c r="AB17" s="74">
        <f>'Expenses Estimation'!AB5</f>
        <v>0</v>
      </c>
      <c r="AC17"/>
      <c r="AD17" s="38" t="str">
        <f>+[1]CostRate!CT9</f>
        <v>EUR</v>
      </c>
      <c r="AE17" s="38" t="str">
        <f>+[1]CostRate!CU9</f>
        <v>CNY</v>
      </c>
      <c r="AF17" s="83">
        <f>+IF(SUMIFS(Currency!E:E,Currency!A:A,YEAR('Project Estimations'!$D$4),Currency!B:B,MONTH('Project Estimations'!$D$4),Currency!C:C,AD17,Currency!D:D,AE17)=0,SUMIFS(Currency!E:E,Currency!A:A,YEAR(Currency!$H$2),Currency!B:B,MONTH(Currency!$H$2),Currency!C:C,AD17,Currency!D:D,AE17),SUMIFS(Currency!E:E,Currency!A:A,YEAR('Project Estimations'!$D$4),Currency!B:B,MONTH('Project Estimations'!$D$4),Currency!C:C,AD17,Currency!D:D,AE17))</f>
        <v>7.8510999999999997</v>
      </c>
      <c r="AG17" s="299"/>
      <c r="AH17" s="45" t="s">
        <v>345</v>
      </c>
      <c r="AI17" s="255"/>
      <c r="AJ17" s="40">
        <v>1</v>
      </c>
      <c r="AK17" s="240">
        <f t="shared" si="4"/>
        <v>0</v>
      </c>
      <c r="AL17" s="255" t="s">
        <v>351</v>
      </c>
    </row>
    <row r="18" spans="3:41" ht="13" x14ac:dyDescent="0.25">
      <c r="C18" s="68" t="s">
        <v>171</v>
      </c>
      <c r="D18" s="45" t="str">
        <f>IF('Project Estimations'!D37="","",'Project Estimations'!C37&amp;" "&amp;'Project Estimations'!D37&amp;" "&amp;'Project Estimations'!E37)</f>
        <v xml:space="preserve">CMS Structure 302 - Senior Project Manager </v>
      </c>
      <c r="E18" s="40">
        <f>IF('Project Estimations'!F37="","",'Project Estimations'!F37)</f>
        <v>302</v>
      </c>
      <c r="F18" s="40" t="str">
        <f>IF('Project Estimations'!G37="","",'Project Estimations'!G37)</f>
        <v>PT</v>
      </c>
      <c r="G18" s="40">
        <f>IF((OR('Project Estimations'!H37="",'Project Estimations'!H37=0,C18="N")),"",'Project Estimations'!H37)</f>
        <v>2</v>
      </c>
      <c r="H18" s="292">
        <v>537.20936712709329</v>
      </c>
      <c r="I18" s="41">
        <f>IFERROR(IF(E18="","",(IF(F18="KT",VLOOKUP(E18,CostRate!$B$5:$BV$23,9+'Project Estimations'!$E$7,FALSE))+IF(F18="PT",VLOOKUP(E18,CostRate!$B$5:$BV$23,2+'Project Estimations'!$E$7,FALSE))+IF(F18="US",VLOOKUP(E18,CostRate!$B$5:$BV$23,3+'Project Estimations'!$E$7,FALSE))+IF(F18="DE",VLOOKUP(E18,CostRate!$B$5:$BV$23,4+'Project Estimations'!$E$7,FALSE))+IF(F18="BR",VLOOKUP(E18,CostRate!$B$5:$BV$23,5+'Project Estimations'!$E$7,FALSE))+IF(F18="MX",VLOOKUP(E18,CostRate!$B$5:$BV$23,6+'Project Estimations'!$E$7,FALSE))+IF(F18="CL",VLOOKUP(E18,CostRate!$B$5:$BV$23,7+'Project Estimations'!$E$7,FALSE))+IF(F18="CN",VLOOKUP(E18,CostRate!$B$5:$BV$23,8+'Project Estimations'!$E$7,FALSE))+IF(F18="EXT",VLOOKUP(E18,CostRate!$B$5:$BV$23,9+'Project Estimations'!$E$7,FALSE)))),"")</f>
        <v>643.35579042914276</v>
      </c>
      <c r="J18" s="41">
        <f t="shared" si="1"/>
        <v>1286.7115808582855</v>
      </c>
      <c r="K18" s="41">
        <f t="shared" si="2"/>
        <v>1074.4187342541866</v>
      </c>
      <c r="L18" s="148">
        <f t="shared" si="3"/>
        <v>-0.19758855633829128</v>
      </c>
      <c r="N18" s="40">
        <v>300</v>
      </c>
      <c r="O18" s="86"/>
      <c r="P18" s="40">
        <v>325</v>
      </c>
      <c r="R18" s="40"/>
      <c r="S18" s="45" t="s">
        <v>417</v>
      </c>
      <c r="T18" s="40">
        <f t="shared" si="5"/>
        <v>0</v>
      </c>
      <c r="U18" s="43">
        <f t="shared" si="8"/>
        <v>0</v>
      </c>
      <c r="V18" s="74">
        <f t="shared" si="6"/>
        <v>0</v>
      </c>
      <c r="W18" s="41">
        <f t="shared" si="7"/>
        <v>0</v>
      </c>
      <c r="AA18" s="46" t="s">
        <v>8</v>
      </c>
      <c r="AB18" s="75">
        <f>'Expenses Estimation'!AB15</f>
        <v>0</v>
      </c>
      <c r="AC18"/>
      <c r="AD18" s="40" t="str">
        <f>+[1]CostRate!CT10</f>
        <v>EUR</v>
      </c>
      <c r="AE18" s="40" t="str">
        <f>+[1]CostRate!CU10</f>
        <v>CHF</v>
      </c>
      <c r="AF18" s="84">
        <f>+IF(SUMIFS(Currency!E:E,Currency!A:A,YEAR('Project Estimations'!$D$4),Currency!B:B,MONTH('Project Estimations'!$D$4),Currency!C:C,AD18,Currency!D:D,AE18)=0,SUMIFS(Currency!E:E,Currency!A:A,YEAR(Currency!$H$2),Currency!B:B,MONTH(Currency!$H$2),Currency!C:C,AD18,Currency!D:D,AE18),SUMIFS(Currency!E:E,Currency!A:A,YEAR('Project Estimations'!$D$4),Currency!B:B,MONTH('Project Estimations'!$D$4),Currency!C:C,AD18,Currency!D:D,AE18))</f>
        <v>0.94389999999999996</v>
      </c>
      <c r="AG18" s="299"/>
      <c r="AH18" s="315" t="s">
        <v>346</v>
      </c>
      <c r="AI18" s="256"/>
      <c r="AJ18" s="316">
        <v>1</v>
      </c>
      <c r="AK18" s="317">
        <f t="shared" si="4"/>
        <v>0</v>
      </c>
      <c r="AL18" s="256" t="s">
        <v>351</v>
      </c>
    </row>
    <row r="19" spans="3:41" ht="13" x14ac:dyDescent="0.25">
      <c r="C19" s="67" t="s">
        <v>171</v>
      </c>
      <c r="D19" s="46" t="str">
        <f>IF('Project Estimations'!D38="","",'Project Estimations'!C38&amp;" "&amp;'Project Estimations'!D38&amp;" "&amp;'Project Estimations'!E38)</f>
        <v/>
      </c>
      <c r="E19" s="38" t="str">
        <f>IF('Project Estimations'!F38="","",'Project Estimations'!F38)</f>
        <v/>
      </c>
      <c r="F19" s="38" t="str">
        <f>IF('Project Estimations'!G38="","",'Project Estimations'!G38)</f>
        <v/>
      </c>
      <c r="G19" s="38" t="str">
        <f>IF((OR('Project Estimations'!H38="",'Project Estimations'!H38=0,C19="N")),"",'Project Estimations'!H38)</f>
        <v/>
      </c>
      <c r="H19" s="291"/>
      <c r="I19" s="39" t="str">
        <f>IFERROR(IF(E19="","",(IF(F19="KT",VLOOKUP(E19,CostRate!$B$5:$BV$23,9+'Project Estimations'!$E$7,FALSE))+IF(F19="PT",VLOOKUP(E19,CostRate!$B$5:$BV$23,2+'Project Estimations'!$E$7,FALSE))+IF(F19="US",VLOOKUP(E19,CostRate!$B$5:$BV$23,3+'Project Estimations'!$E$7,FALSE))+IF(F19="DE",VLOOKUP(E19,CostRate!$B$5:$BV$23,4+'Project Estimations'!$E$7,FALSE))+IF(F19="BR",VLOOKUP(E19,CostRate!$B$5:$BV$23,5+'Project Estimations'!$E$7,FALSE))+IF(F19="MX",VLOOKUP(E19,CostRate!$B$5:$BV$23,6+'Project Estimations'!$E$7,FALSE))+IF(F19="CL",VLOOKUP(E19,CostRate!$B$5:$BV$23,7+'Project Estimations'!$E$7,FALSE))+IF(F19="CN",VLOOKUP(E19,CostRate!$B$5:$BV$23,8+'Project Estimations'!$E$7,FALSE))+IF(F19="EXT",VLOOKUP(E19,CostRate!$B$5:$BV$23,9+'Project Estimations'!$E$7,FALSE)))),"")</f>
        <v/>
      </c>
      <c r="J19" s="39" t="str">
        <f t="shared" si="1"/>
        <v/>
      </c>
      <c r="K19" s="39" t="str">
        <f t="shared" si="2"/>
        <v/>
      </c>
      <c r="L19" s="147" t="str">
        <f t="shared" si="3"/>
        <v/>
      </c>
      <c r="N19" s="38">
        <v>301</v>
      </c>
      <c r="O19" s="85"/>
      <c r="P19" s="38">
        <v>355</v>
      </c>
      <c r="S19" s="46" t="s">
        <v>100</v>
      </c>
      <c r="T19" s="38">
        <f t="shared" si="5"/>
        <v>0</v>
      </c>
      <c r="U19" s="50">
        <f t="shared" si="8"/>
        <v>0</v>
      </c>
      <c r="V19" s="75">
        <f t="shared" si="6"/>
        <v>0</v>
      </c>
      <c r="W19" s="39">
        <f t="shared" si="7"/>
        <v>0</v>
      </c>
      <c r="Y19" s="40"/>
      <c r="Z19" s="40"/>
      <c r="AA19" s="45" t="s">
        <v>7</v>
      </c>
      <c r="AB19" s="74">
        <f>'Expenses Estimation'!AB25</f>
        <v>0</v>
      </c>
      <c r="AC19"/>
      <c r="AD19" s="38" t="str">
        <f>+[1]CostRate!CT11</f>
        <v>EUR</v>
      </c>
      <c r="AE19" s="38" t="str">
        <f>+[1]CostRate!CU11</f>
        <v>SEK</v>
      </c>
      <c r="AF19" s="83">
        <f>+IF(SUMIFS(Currency!E:E,Currency!A:A,YEAR('Project Estimations'!$D$4),Currency!B:B,MONTH('Project Estimations'!$D$4),Currency!C:C,AD19,Currency!D:D,AE19)=0,SUMIFS(Currency!E:E,Currency!A:A,YEAR(Currency!$H$2),Currency!B:B,MONTH(Currency!$H$2),Currency!C:C,AD19,Currency!D:D,AE19),SUMIFS(Currency!E:E,Currency!A:A,YEAR('Project Estimations'!$D$4),Currency!B:B,MONTH('Project Estimations'!$D$4),Currency!C:C,AD19,Currency!D:D,AE19))</f>
        <v>11.3</v>
      </c>
      <c r="AG19" s="299"/>
      <c r="AH19" s="45" t="s">
        <v>347</v>
      </c>
      <c r="AI19" s="255"/>
      <c r="AJ19" s="40">
        <v>1</v>
      </c>
      <c r="AK19" s="240">
        <f t="shared" si="4"/>
        <v>0</v>
      </c>
      <c r="AL19" s="255" t="s">
        <v>351</v>
      </c>
    </row>
    <row r="20" spans="3:41" ht="13" x14ac:dyDescent="0.25">
      <c r="C20" s="68" t="s">
        <v>171</v>
      </c>
      <c r="D20" s="45" t="str">
        <f>IF('Project Estimations'!D39="","",'Project Estimations'!C39&amp;" "&amp;'Project Estimations'!D39&amp;" "&amp;'Project Estimations'!E39)</f>
        <v/>
      </c>
      <c r="E20" s="40" t="str">
        <f>IF('Project Estimations'!F39="","",'Project Estimations'!F39)</f>
        <v/>
      </c>
      <c r="F20" s="40" t="str">
        <f>IF('Project Estimations'!G39="","",'Project Estimations'!G39)</f>
        <v/>
      </c>
      <c r="G20" s="40" t="str">
        <f>IF((OR('Project Estimations'!H39="",'Project Estimations'!H39=0,C20="N")),"",'Project Estimations'!H39)</f>
        <v/>
      </c>
      <c r="H20" s="292"/>
      <c r="I20" s="41" t="str">
        <f>IFERROR(IF(E20="","",(IF(F20="KT",VLOOKUP(E20,CostRate!$B$5:$BV$23,9+'Project Estimations'!$E$7,FALSE))+IF(F20="PT",VLOOKUP(E20,CostRate!$B$5:$BV$23,2+'Project Estimations'!$E$7,FALSE))+IF(F20="US",VLOOKUP(E20,CostRate!$B$5:$BV$23,3+'Project Estimations'!$E$7,FALSE))+IF(F20="DE",VLOOKUP(E20,CostRate!$B$5:$BV$23,4+'Project Estimations'!$E$7,FALSE))+IF(F20="BR",VLOOKUP(E20,CostRate!$B$5:$BV$23,5+'Project Estimations'!$E$7,FALSE))+IF(F20="MX",VLOOKUP(E20,CostRate!$B$5:$BV$23,6+'Project Estimations'!$E$7,FALSE))+IF(F20="CL",VLOOKUP(E20,CostRate!$B$5:$BV$23,7+'Project Estimations'!$E$7,FALSE))+IF(F20="CN",VLOOKUP(E20,CostRate!$B$5:$BV$23,8+'Project Estimations'!$E$7,FALSE))+IF(F20="EXT",VLOOKUP(E20,CostRate!$B$5:$BV$23,9+'Project Estimations'!$E$7,FALSE)))),"")</f>
        <v/>
      </c>
      <c r="J20" s="41" t="str">
        <f t="shared" si="1"/>
        <v/>
      </c>
      <c r="K20" s="41" t="str">
        <f t="shared" si="2"/>
        <v/>
      </c>
      <c r="L20" s="148" t="str">
        <f t="shared" si="3"/>
        <v/>
      </c>
      <c r="N20" s="40">
        <v>302</v>
      </c>
      <c r="O20" s="86"/>
      <c r="P20" s="40">
        <v>385</v>
      </c>
      <c r="R20" s="40"/>
      <c r="S20" s="45" t="s">
        <v>178</v>
      </c>
      <c r="T20" s="40">
        <f t="shared" si="5"/>
        <v>0</v>
      </c>
      <c r="U20" s="43">
        <f t="shared" si="8"/>
        <v>0</v>
      </c>
      <c r="V20" s="74">
        <f t="shared" si="6"/>
        <v>0</v>
      </c>
      <c r="W20" s="41">
        <f t="shared" si="7"/>
        <v>0</v>
      </c>
      <c r="Y20" s="47"/>
      <c r="Z20" s="47"/>
      <c r="AA20" s="46" t="s">
        <v>9</v>
      </c>
      <c r="AB20" s="75">
        <f>'Expenses Estimation'!AB35</f>
        <v>0</v>
      </c>
      <c r="AC20"/>
      <c r="AD20" s="40" t="str">
        <f>+[1]CostRate!CT12</f>
        <v>EUR</v>
      </c>
      <c r="AE20" s="40" t="str">
        <f>+[1]CostRate!CU12</f>
        <v>SAR</v>
      </c>
      <c r="AF20" s="84">
        <f>+IF(SUMIFS(Currency!E:E,Currency!A:A,YEAR('Project Estimations'!$D$4),Currency!B:B,MONTH('Project Estimations'!$D$4),Currency!C:C,AD20,Currency!D:D,AE20)=0,SUMIFS(Currency!E:E,Currency!A:A,YEAR(Currency!$H$2),Currency!B:B,MONTH(Currency!$H$2),Currency!C:C,AD20,Currency!D:D,AE20),SUMIFS(Currency!E:E,Currency!A:A,YEAR('Project Estimations'!$D$4),Currency!B:B,MONTH('Project Estimations'!$D$4),Currency!C:C,AD20,Currency!D:D,AE20))</f>
        <v>4.2</v>
      </c>
      <c r="AG20" s="299"/>
      <c r="AH20" s="315" t="s">
        <v>348</v>
      </c>
      <c r="AI20" s="256"/>
      <c r="AJ20" s="316">
        <v>1</v>
      </c>
      <c r="AK20" s="317">
        <f t="shared" si="4"/>
        <v>0</v>
      </c>
      <c r="AL20" s="256" t="s">
        <v>351</v>
      </c>
    </row>
    <row r="21" spans="3:41" ht="13" x14ac:dyDescent="0.25">
      <c r="C21" s="67" t="s">
        <v>171</v>
      </c>
      <c r="D21" s="46" t="str">
        <f>IF('Project Estimations'!D40="","",'Project Estimations'!C40&amp;" "&amp;'Project Estimations'!D40&amp;" "&amp;'Project Estimations'!E40)</f>
        <v/>
      </c>
      <c r="E21" s="38" t="str">
        <f>IF('Project Estimations'!F40="","",'Project Estimations'!F40)</f>
        <v/>
      </c>
      <c r="F21" s="38" t="str">
        <f>IF('Project Estimations'!G40="","",'Project Estimations'!G40)</f>
        <v/>
      </c>
      <c r="G21" s="38" t="str">
        <f>IF((OR('Project Estimations'!H40="",'Project Estimations'!H40=0,C21="N")),"",'Project Estimations'!H40)</f>
        <v/>
      </c>
      <c r="H21" s="291"/>
      <c r="I21" s="39" t="str">
        <f>IFERROR(IF(E21="","",(IF(F21="KT",VLOOKUP(E21,CostRate!$B$5:$BV$23,9+'Project Estimations'!$E$7,FALSE))+IF(F21="PT",VLOOKUP(E21,CostRate!$B$5:$BV$23,2+'Project Estimations'!$E$7,FALSE))+IF(F21="US",VLOOKUP(E21,CostRate!$B$5:$BV$23,3+'Project Estimations'!$E$7,FALSE))+IF(F21="DE",VLOOKUP(E21,CostRate!$B$5:$BV$23,4+'Project Estimations'!$E$7,FALSE))+IF(F21="BR",VLOOKUP(E21,CostRate!$B$5:$BV$23,5+'Project Estimations'!$E$7,FALSE))+IF(F21="MX",VLOOKUP(E21,CostRate!$B$5:$BV$23,6+'Project Estimations'!$E$7,FALSE))+IF(F21="CL",VLOOKUP(E21,CostRate!$B$5:$BV$23,7+'Project Estimations'!$E$7,FALSE))+IF(F21="CN",VLOOKUP(E21,CostRate!$B$5:$BV$23,8+'Project Estimations'!$E$7,FALSE))+IF(F21="EXT",VLOOKUP(E21,CostRate!$B$5:$BV$23,9+'Project Estimations'!$E$7,FALSE)))),"")</f>
        <v/>
      </c>
      <c r="J21" s="39" t="str">
        <f t="shared" si="1"/>
        <v/>
      </c>
      <c r="K21" s="39" t="str">
        <f t="shared" si="2"/>
        <v/>
      </c>
      <c r="L21" s="147" t="str">
        <f t="shared" si="3"/>
        <v/>
      </c>
      <c r="N21" s="38">
        <v>303</v>
      </c>
      <c r="O21" s="85"/>
      <c r="P21" s="38">
        <v>415</v>
      </c>
      <c r="S21" s="46" t="s">
        <v>354</v>
      </c>
      <c r="T21" s="38">
        <f t="shared" si="5"/>
        <v>0</v>
      </c>
      <c r="U21" s="50">
        <f t="shared" si="8"/>
        <v>0</v>
      </c>
      <c r="V21" s="75">
        <f t="shared" si="6"/>
        <v>0</v>
      </c>
      <c r="W21" s="39">
        <f t="shared" si="7"/>
        <v>0</v>
      </c>
      <c r="Y21" s="40"/>
      <c r="Z21" s="49"/>
      <c r="AA21" s="45" t="s">
        <v>415</v>
      </c>
      <c r="AB21" s="74">
        <f>'Expenses Estimation'!AB65</f>
        <v>0</v>
      </c>
      <c r="AC21"/>
      <c r="AD21" s="38" t="str">
        <f>+[1]CostRate!CT13</f>
        <v>USD</v>
      </c>
      <c r="AE21" s="38" t="str">
        <f>+[1]CostRate!CU13</f>
        <v>EUR</v>
      </c>
      <c r="AF21" s="83">
        <f>+IF(SUMIFS(Currency!E:E,Currency!A:A,YEAR('Project Estimations'!$D$4),Currency!B:B,MONTH('Project Estimations'!$D$4),Currency!C:C,AD21,Currency!D:D,AE21)=0,SUMIFS(Currency!E:E,Currency!A:A,YEAR(Currency!$H$2),Currency!B:B,MONTH(Currency!$H$2),Currency!C:C,AD21,Currency!D:D,AE21),SUMIFS(Currency!E:E,Currency!A:A,YEAR('Project Estimations'!$D$4),Currency!B:B,MONTH('Project Estimations'!$D$4),Currency!C:C,AD21,Currency!D:D,AE21))</f>
        <v>0.8931761343336907</v>
      </c>
      <c r="AG21" s="299"/>
      <c r="AH21" s="45" t="s">
        <v>349</v>
      </c>
      <c r="AI21" s="255"/>
      <c r="AJ21" s="40">
        <v>7</v>
      </c>
      <c r="AK21" s="240">
        <f>IF(AL21="Y",$AI$11*AJ21/AI21,0)</f>
        <v>0</v>
      </c>
      <c r="AL21" s="255" t="s">
        <v>351</v>
      </c>
    </row>
    <row r="22" spans="3:41" ht="18.5" x14ac:dyDescent="0.4">
      <c r="C22" s="68" t="s">
        <v>171</v>
      </c>
      <c r="D22" s="45" t="str">
        <f>IF('Project Estimations'!D41="","",'Project Estimations'!C41&amp;" "&amp;'Project Estimations'!D41&amp;" "&amp;'Project Estimations'!E41)</f>
        <v/>
      </c>
      <c r="E22" s="40" t="str">
        <f>IF('Project Estimations'!F41="","",'Project Estimations'!F41)</f>
        <v/>
      </c>
      <c r="F22" s="40" t="str">
        <f>IF('Project Estimations'!G41="","",'Project Estimations'!G41)</f>
        <v/>
      </c>
      <c r="G22" s="40" t="str">
        <f>IF((OR('Project Estimations'!H41="",'Project Estimations'!H41=0,C22="N")),"",'Project Estimations'!H41)</f>
        <v/>
      </c>
      <c r="H22" s="292"/>
      <c r="I22" s="41" t="str">
        <f>IFERROR(IF(E22="","",(IF(F22="KT",VLOOKUP(E22,CostRate!$B$5:$BV$23,9+'Project Estimations'!$E$7,FALSE))+IF(F22="PT",VLOOKUP(E22,CostRate!$B$5:$BV$23,2+'Project Estimations'!$E$7,FALSE))+IF(F22="US",VLOOKUP(E22,CostRate!$B$5:$BV$23,3+'Project Estimations'!$E$7,FALSE))+IF(F22="DE",VLOOKUP(E22,CostRate!$B$5:$BV$23,4+'Project Estimations'!$E$7,FALSE))+IF(F22="BR",VLOOKUP(E22,CostRate!$B$5:$BV$23,5+'Project Estimations'!$E$7,FALSE))+IF(F22="MX",VLOOKUP(E22,CostRate!$B$5:$BV$23,6+'Project Estimations'!$E$7,FALSE))+IF(F22="CL",VLOOKUP(E22,CostRate!$B$5:$BV$23,7+'Project Estimations'!$E$7,FALSE))+IF(F22="CN",VLOOKUP(E22,CostRate!$B$5:$BV$23,8+'Project Estimations'!$E$7,FALSE))+IF(F22="EXT",VLOOKUP(E22,CostRate!$B$5:$BV$23,9+'Project Estimations'!$E$7,FALSE)))),"")</f>
        <v/>
      </c>
      <c r="J22" s="41" t="str">
        <f t="shared" si="1"/>
        <v/>
      </c>
      <c r="K22" s="41" t="str">
        <f t="shared" si="2"/>
        <v/>
      </c>
      <c r="L22" s="148" t="str">
        <f t="shared" si="3"/>
        <v/>
      </c>
      <c r="N22" s="40">
        <v>304</v>
      </c>
      <c r="O22" s="86"/>
      <c r="P22" s="40">
        <v>445</v>
      </c>
      <c r="R22" s="40"/>
      <c r="S22" s="45" t="s">
        <v>49</v>
      </c>
      <c r="T22" s="40">
        <f t="shared" si="5"/>
        <v>0</v>
      </c>
      <c r="U22" s="43">
        <f t="shared" si="8"/>
        <v>0</v>
      </c>
      <c r="V22" s="74">
        <f t="shared" si="6"/>
        <v>0</v>
      </c>
      <c r="W22" s="41">
        <f t="shared" si="7"/>
        <v>0</v>
      </c>
      <c r="Y22" s="9" t="s">
        <v>18</v>
      </c>
      <c r="Z22" s="31"/>
      <c r="AA22" s="98"/>
      <c r="AB22" s="115">
        <f>SUM(AB23:AB26)</f>
        <v>149799.72000000006</v>
      </c>
      <c r="AC22"/>
      <c r="AD22" s="40" t="str">
        <f>+[1]CostRate!CT14</f>
        <v>USD</v>
      </c>
      <c r="AE22" s="40" t="str">
        <f>+[1]CostRate!CU14</f>
        <v>USD</v>
      </c>
      <c r="AF22" s="84">
        <f>+IF(SUMIFS(Currency!E:E,Currency!A:A,YEAR('Project Estimations'!$D$4),Currency!B:B,MONTH('Project Estimations'!$D$4),Currency!C:C,AD22,Currency!D:D,AE22)=0,SUMIFS(Currency!E:E,Currency!A:A,YEAR(Currency!$H$2),Currency!B:B,MONTH(Currency!$H$2),Currency!C:C,AD22,Currency!D:D,AE22),SUMIFS(Currency!E:E,Currency!A:A,YEAR('Project Estimations'!$D$4),Currency!B:B,MONTH('Project Estimations'!$D$4),Currency!C:C,AD22,Currency!D:D,AE22))</f>
        <v>1</v>
      </c>
      <c r="AG22" s="299"/>
    </row>
    <row r="23" spans="3:41" ht="15.5" x14ac:dyDescent="0.35">
      <c r="C23" s="67" t="s">
        <v>171</v>
      </c>
      <c r="D23" s="46" t="str">
        <f>IF('Project Estimations'!D42="","",'Project Estimations'!C42&amp;" "&amp;'Project Estimations'!D42&amp;" "&amp;'Project Estimations'!E42)</f>
        <v/>
      </c>
      <c r="E23" s="38" t="str">
        <f>IF('Project Estimations'!F42="","",'Project Estimations'!F42)</f>
        <v/>
      </c>
      <c r="F23" s="38" t="str">
        <f>IF('Project Estimations'!G42="","",'Project Estimations'!G42)</f>
        <v/>
      </c>
      <c r="G23" s="38" t="str">
        <f>IF((OR('Project Estimations'!H42="",'Project Estimations'!H42=0,C23="N")),"",'Project Estimations'!H42)</f>
        <v/>
      </c>
      <c r="H23" s="291"/>
      <c r="I23" s="39" t="str">
        <f>IFERROR(IF(E23="","",(IF(F23="KT",VLOOKUP(E23,CostRate!$B$5:$BV$23,9+'Project Estimations'!$E$7,FALSE))+IF(F23="PT",VLOOKUP(E23,CostRate!$B$5:$BV$23,2+'Project Estimations'!$E$7,FALSE))+IF(F23="US",VLOOKUP(E23,CostRate!$B$5:$BV$23,3+'Project Estimations'!$E$7,FALSE))+IF(F23="DE",VLOOKUP(E23,CostRate!$B$5:$BV$23,4+'Project Estimations'!$E$7,FALSE))+IF(F23="BR",VLOOKUP(E23,CostRate!$B$5:$BV$23,5+'Project Estimations'!$E$7,FALSE))+IF(F23="MX",VLOOKUP(E23,CostRate!$B$5:$BV$23,6+'Project Estimations'!$E$7,FALSE))+IF(F23="CL",VLOOKUP(E23,CostRate!$B$5:$BV$23,7+'Project Estimations'!$E$7,FALSE))+IF(F23="CN",VLOOKUP(E23,CostRate!$B$5:$BV$23,8+'Project Estimations'!$E$7,FALSE))+IF(F23="EXT",VLOOKUP(E23,CostRate!$B$5:$BV$23,9+'Project Estimations'!$E$7,FALSE)))),"")</f>
        <v/>
      </c>
      <c r="J23" s="39" t="str">
        <f t="shared" si="1"/>
        <v/>
      </c>
      <c r="K23" s="39" t="str">
        <f t="shared" si="2"/>
        <v/>
      </c>
      <c r="L23" s="147" t="str">
        <f t="shared" si="3"/>
        <v/>
      </c>
      <c r="N23" s="38">
        <v>400</v>
      </c>
      <c r="O23" s="85"/>
      <c r="P23" s="38">
        <v>475</v>
      </c>
      <c r="R23" s="111" t="s">
        <v>6</v>
      </c>
      <c r="S23" s="51"/>
      <c r="T23" s="47"/>
      <c r="U23" s="50"/>
      <c r="V23" s="313" t="s">
        <v>338</v>
      </c>
      <c r="W23" s="47"/>
      <c r="Y23" s="40"/>
      <c r="Z23" s="40"/>
      <c r="AA23" s="45" t="s">
        <v>57</v>
      </c>
      <c r="AB23" s="74">
        <f>SUM($K$11:$K$100)</f>
        <v>149799.72000000006</v>
      </c>
      <c r="AC23"/>
      <c r="AD23" s="38" t="str">
        <f>+[1]CostRate!CT15</f>
        <v>USD</v>
      </c>
      <c r="AE23" s="38" t="str">
        <f>+[1]CostRate!CU15</f>
        <v>GBP</v>
      </c>
      <c r="AF23" s="83">
        <f>+IF(SUMIFS(Currency!E:E,Currency!A:A,YEAR('Project Estimations'!$D$4),Currency!B:B,MONTH('Project Estimations'!$D$4),Currency!C:C,AD23,Currency!D:D,AE23)=0,SUMIFS(Currency!E:E,Currency!A:A,YEAR(Currency!$H$2),Currency!B:B,MONTH(Currency!$H$2),Currency!C:C,AD23,Currency!D:D,AE23),SUMIFS(Currency!E:E,Currency!A:A,YEAR('Project Estimations'!$D$4),Currency!B:B,MONTH('Project Estimations'!$D$4),Currency!C:C,AD23,Currency!D:D,AE23))</f>
        <v>0.74619000000000002</v>
      </c>
      <c r="AG23" s="299"/>
      <c r="AL23" s="89" t="s">
        <v>38</v>
      </c>
      <c r="AM23" s="89" t="s">
        <v>317</v>
      </c>
      <c r="AN23" s="89" t="s">
        <v>49</v>
      </c>
      <c r="AO23" s="89" t="s">
        <v>253</v>
      </c>
    </row>
    <row r="24" spans="3:41" ht="13" x14ac:dyDescent="0.25">
      <c r="C24" s="68" t="s">
        <v>171</v>
      </c>
      <c r="D24" s="45" t="str">
        <f>IF('Project Estimations'!D43="","",'Project Estimations'!C43&amp;" "&amp;'Project Estimations'!D43&amp;" "&amp;'Project Estimations'!E43)</f>
        <v/>
      </c>
      <c r="E24" s="40" t="str">
        <f>IF('Project Estimations'!F43="","",'Project Estimations'!F43)</f>
        <v/>
      </c>
      <c r="F24" s="40" t="str">
        <f>IF('Project Estimations'!G43="","",'Project Estimations'!G43)</f>
        <v/>
      </c>
      <c r="G24" s="40" t="str">
        <f>IF((OR('Project Estimations'!H43="",'Project Estimations'!H43=0,C24="N")),"",'Project Estimations'!H43)</f>
        <v/>
      </c>
      <c r="H24" s="292"/>
      <c r="I24" s="41" t="str">
        <f>IFERROR(IF(E24="","",(IF(F24="KT",VLOOKUP(E24,CostRate!$B$5:$BV$23,9+'Project Estimations'!$E$7,FALSE))+IF(F24="PT",VLOOKUP(E24,CostRate!$B$5:$BV$23,2+'Project Estimations'!$E$7,FALSE))+IF(F24="US",VLOOKUP(E24,CostRate!$B$5:$BV$23,3+'Project Estimations'!$E$7,FALSE))+IF(F24="DE",VLOOKUP(E24,CostRate!$B$5:$BV$23,4+'Project Estimations'!$E$7,FALSE))+IF(F24="BR",VLOOKUP(E24,CostRate!$B$5:$BV$23,5+'Project Estimations'!$E$7,FALSE))+IF(F24="MX",VLOOKUP(E24,CostRate!$B$5:$BV$23,6+'Project Estimations'!$E$7,FALSE))+IF(F24="CL",VLOOKUP(E24,CostRate!$B$5:$BV$23,7+'Project Estimations'!$E$7,FALSE))+IF(F24="CN",VLOOKUP(E24,CostRate!$B$5:$BV$23,8+'Project Estimations'!$E$7,FALSE))+IF(F24="EXT",VLOOKUP(E24,CostRate!$B$5:$BV$23,9+'Project Estimations'!$E$7,FALSE)))),"")</f>
        <v/>
      </c>
      <c r="J24" s="41" t="str">
        <f t="shared" si="1"/>
        <v/>
      </c>
      <c r="K24" s="41" t="str">
        <f t="shared" si="2"/>
        <v/>
      </c>
      <c r="L24" s="148" t="str">
        <f t="shared" si="3"/>
        <v/>
      </c>
      <c r="N24" s="40">
        <v>401</v>
      </c>
      <c r="O24" s="86"/>
      <c r="P24" s="40">
        <v>505</v>
      </c>
      <c r="R24" s="40"/>
      <c r="S24" s="45">
        <v>100</v>
      </c>
      <c r="T24" s="40">
        <f>SUMIFS($G$11:$G$100,$E$11:$E$100,"&gt;=100",$E$11:$E$100,"&lt;200",$F$11:$F$100,"&lt;&gt;EXT")</f>
        <v>110.59834500000001</v>
      </c>
      <c r="U24" s="43">
        <f>IFERROR(T24/$T$12,0)</f>
        <v>0.39662602121521945</v>
      </c>
      <c r="V24" s="43">
        <f>+IFERROR(AM24/SUM($AM$24:$AM$28),0)</f>
        <v>0.49450549450549453</v>
      </c>
      <c r="W24" s="40"/>
      <c r="Y24" s="46"/>
      <c r="Z24" s="46"/>
      <c r="AA24" s="46" t="s">
        <v>59</v>
      </c>
      <c r="AB24" s="93">
        <f>+AB16</f>
        <v>0</v>
      </c>
      <c r="AC24"/>
      <c r="AD24" s="40" t="str">
        <f>+[1]CostRate!CT16</f>
        <v>USD</v>
      </c>
      <c r="AE24" s="40" t="str">
        <f>+[1]CostRate!CU16</f>
        <v>BRL</v>
      </c>
      <c r="AF24" s="84">
        <f>+IF(SUMIFS(Currency!E:E,Currency!A:A,YEAR('Project Estimations'!$D$4),Currency!B:B,MONTH('Project Estimations'!$D$4),Currency!C:C,AD24,Currency!D:D,AE24)=0,SUMIFS(Currency!E:E,Currency!A:A,YEAR(Currency!$H$2),Currency!B:B,MONTH(Currency!$H$2),Currency!C:C,AD24,Currency!D:D,AE24),SUMIFS(Currency!E:E,Currency!A:A,YEAR('Project Estimations'!$D$4),Currency!B:B,MONTH('Project Estimations'!$D$4),Currency!C:C,AD24,Currency!D:D,AE24))</f>
        <v>5.4040699999999999</v>
      </c>
      <c r="AG24" s="299"/>
      <c r="AL24" s="40">
        <v>100</v>
      </c>
      <c r="AM24" s="240">
        <f>(IF((AO27)&gt;0,AO27*Config!$D$7,IF(AO26&gt;0,AO26*Config!$E$7,IF(AO25&gt;0,AO25*Config!$F$7,AO24))))</f>
        <v>45</v>
      </c>
      <c r="AN24" s="240">
        <f>+SUMIFS($G$11:$G$125,$E$11:$E$125,"&gt;=100",$E$11:$E$125,"&lt;200",$F$11:$F$125,"EXT")</f>
        <v>0</v>
      </c>
      <c r="AO24" s="240">
        <f>+T24+AN24</f>
        <v>110.59834500000001</v>
      </c>
    </row>
    <row r="25" spans="3:41" ht="13" x14ac:dyDescent="0.25">
      <c r="C25" s="67" t="s">
        <v>171</v>
      </c>
      <c r="D25" s="46" t="str">
        <f>IF('Project Estimations'!D44="","",'Project Estimations'!C44&amp;" "&amp;'Project Estimations'!D44&amp;" "&amp;'Project Estimations'!E44)</f>
        <v/>
      </c>
      <c r="E25" s="38" t="str">
        <f>IF('Project Estimations'!F44="","",'Project Estimations'!F44)</f>
        <v/>
      </c>
      <c r="F25" s="38" t="str">
        <f>IF('Project Estimations'!G44="","",'Project Estimations'!G44)</f>
        <v/>
      </c>
      <c r="G25" s="38" t="str">
        <f>IF((OR('Project Estimations'!H44="",'Project Estimations'!H44=0,C25="N")),"",'Project Estimations'!H44)</f>
        <v/>
      </c>
      <c r="H25" s="291"/>
      <c r="I25" s="39" t="str">
        <f>IFERROR(IF(E25="","",(IF(F25="KT",VLOOKUP(E25,CostRate!$B$5:$BV$23,9+'Project Estimations'!$E$7,FALSE))+IF(F25="PT",VLOOKUP(E25,CostRate!$B$5:$BV$23,2+'Project Estimations'!$E$7,FALSE))+IF(F25="US",VLOOKUP(E25,CostRate!$B$5:$BV$23,3+'Project Estimations'!$E$7,FALSE))+IF(F25="DE",VLOOKUP(E25,CostRate!$B$5:$BV$23,4+'Project Estimations'!$E$7,FALSE))+IF(F25="BR",VLOOKUP(E25,CostRate!$B$5:$BV$23,5+'Project Estimations'!$E$7,FALSE))+IF(F25="MX",VLOOKUP(E25,CostRate!$B$5:$BV$23,6+'Project Estimations'!$E$7,FALSE))+IF(F25="CL",VLOOKUP(E25,CostRate!$B$5:$BV$23,7+'Project Estimations'!$E$7,FALSE))+IF(F25="CN",VLOOKUP(E25,CostRate!$B$5:$BV$23,8+'Project Estimations'!$E$7,FALSE))+IF(F25="EXT",VLOOKUP(E25,CostRate!$B$5:$BV$23,9+'Project Estimations'!$E$7,FALSE)))),"")</f>
        <v/>
      </c>
      <c r="J25" s="39" t="str">
        <f t="shared" si="1"/>
        <v/>
      </c>
      <c r="K25" s="39" t="str">
        <f t="shared" si="2"/>
        <v/>
      </c>
      <c r="L25" s="147" t="str">
        <f t="shared" si="3"/>
        <v/>
      </c>
      <c r="N25" s="38">
        <v>402</v>
      </c>
      <c r="O25" s="85"/>
      <c r="P25" s="38">
        <v>535</v>
      </c>
      <c r="S25" s="46">
        <v>200</v>
      </c>
      <c r="T25" s="38">
        <f>SUMIFS($G$11:$G$100,$E$11:$E$100,"&gt;=200",$E$11:$E$100,"&lt;300",$F$11:$F$100,"&lt;&gt;EXT")</f>
        <v>88.912395000000004</v>
      </c>
      <c r="U25" s="50">
        <f>IFERROR(T25/$T$12,0)</f>
        <v>0.31885621313380386</v>
      </c>
      <c r="V25" s="50">
        <f>+IFERROR(AM25/SUM($AM$24:$AM$30),0)</f>
        <v>0.32967032967032966</v>
      </c>
      <c r="W25" s="38"/>
      <c r="Y25" s="40"/>
      <c r="Z25" s="40"/>
      <c r="AA25" s="45" t="s">
        <v>60</v>
      </c>
      <c r="AB25" s="94"/>
      <c r="AC25"/>
      <c r="AD25" s="38" t="str">
        <f>+[1]CostRate!CT17</f>
        <v>USD</v>
      </c>
      <c r="AE25" s="38" t="str">
        <f>+[1]CostRate!CU17</f>
        <v>MXN</v>
      </c>
      <c r="AF25" s="83">
        <f>+IF(SUMIFS(Currency!E:E,Currency!A:A,YEAR('Project Estimations'!$D$4),Currency!B:B,MONTH('Project Estimations'!$D$4),Currency!C:C,AD25,Currency!D:D,AE25)=0,SUMIFS(Currency!E:E,Currency!A:A,YEAR(Currency!$H$2),Currency!B:B,MONTH(Currency!$H$2),Currency!C:C,AD25,Currency!D:D,AE25),SUMIFS(Currency!E:E,Currency!A:A,YEAR('Project Estimations'!$D$4),Currency!B:B,MONTH('Project Estimations'!$D$4),Currency!C:C,AD25,Currency!D:D,AE25))</f>
        <v>19.635760000000001</v>
      </c>
      <c r="AG25" s="299"/>
      <c r="AL25" s="38">
        <v>200</v>
      </c>
      <c r="AM25" s="239">
        <f>IF(AO27&gt;0,AO27*Config!$D$6,IF(AO26&gt;0,AO26*Config!$E$6,AO25))</f>
        <v>30</v>
      </c>
      <c r="AN25" s="239">
        <f>SUMIFS($G$11:$G$125,$E$11:$E$125,"&gt;=200",$E$11:$E$125,"&lt;300",$F$11:$F$125,"EXT")</f>
        <v>0</v>
      </c>
      <c r="AO25" s="239">
        <f>+T25+AN25</f>
        <v>88.912395000000004</v>
      </c>
    </row>
    <row r="26" spans="3:41" ht="13" x14ac:dyDescent="0.25">
      <c r="C26" s="68" t="s">
        <v>171</v>
      </c>
      <c r="D26" s="45" t="str">
        <f>IF('Project Estimations'!D45="","",'Project Estimations'!C45&amp;" "&amp;'Project Estimations'!D45&amp;" "&amp;'Project Estimations'!E45)</f>
        <v/>
      </c>
      <c r="E26" s="40" t="str">
        <f>IF('Project Estimations'!F45="","",'Project Estimations'!F45)</f>
        <v/>
      </c>
      <c r="F26" s="40" t="str">
        <f>IF('Project Estimations'!G45="","",'Project Estimations'!G45)</f>
        <v/>
      </c>
      <c r="G26" s="40" t="str">
        <f>IF((OR('Project Estimations'!H45="",'Project Estimations'!H45=0,C26="N")),"",'Project Estimations'!H45)</f>
        <v/>
      </c>
      <c r="H26" s="292"/>
      <c r="I26" s="41" t="str">
        <f>IFERROR(IF(E26="","",(IF(F26="KT",VLOOKUP(E26,CostRate!$B$5:$BV$23,9+'Project Estimations'!$E$7,FALSE))+IF(F26="PT",VLOOKUP(E26,CostRate!$B$5:$BV$23,2+'Project Estimations'!$E$7,FALSE))+IF(F26="US",VLOOKUP(E26,CostRate!$B$5:$BV$23,3+'Project Estimations'!$E$7,FALSE))+IF(F26="DE",VLOOKUP(E26,CostRate!$B$5:$BV$23,4+'Project Estimations'!$E$7,FALSE))+IF(F26="BR",VLOOKUP(E26,CostRate!$B$5:$BV$23,5+'Project Estimations'!$E$7,FALSE))+IF(F26="MX",VLOOKUP(E26,CostRate!$B$5:$BV$23,6+'Project Estimations'!$E$7,FALSE))+IF(F26="CL",VLOOKUP(E26,CostRate!$B$5:$BV$23,7+'Project Estimations'!$E$7,FALSE))+IF(F26="CN",VLOOKUP(E26,CostRate!$B$5:$BV$23,8+'Project Estimations'!$E$7,FALSE))+IF(F26="EXT",VLOOKUP(E26,CostRate!$B$5:$BV$23,9+'Project Estimations'!$E$7,FALSE)))),"")</f>
        <v/>
      </c>
      <c r="J26" s="41" t="str">
        <f t="shared" si="1"/>
        <v/>
      </c>
      <c r="K26" s="41" t="str">
        <f t="shared" si="2"/>
        <v/>
      </c>
      <c r="L26" s="148" t="str">
        <f t="shared" si="3"/>
        <v/>
      </c>
      <c r="N26" s="86"/>
      <c r="O26" s="86"/>
      <c r="P26" s="86"/>
      <c r="R26" s="40"/>
      <c r="S26" s="45">
        <v>300</v>
      </c>
      <c r="T26" s="40">
        <f>SUMIFS($G$11:$G$100,$E$11:$E$100,"&gt;=300",$E$11:$E$100,"&lt;400",$F$11:$F$100,"&lt;&gt;EXT")</f>
        <v>75.337189999999993</v>
      </c>
      <c r="U26" s="43">
        <f t="shared" ref="U26:U28" si="9">IFERROR(T26/$T$12,0)</f>
        <v>0.27017302943579319</v>
      </c>
      <c r="V26" s="43">
        <f>+IFERROR(AM26/SUM($AM$24:$AM$30),0)</f>
        <v>0.13186813186813187</v>
      </c>
      <c r="W26" s="40"/>
      <c r="Y26" s="46"/>
      <c r="Z26" s="46"/>
      <c r="AA26" s="46" t="s">
        <v>416</v>
      </c>
      <c r="AB26" s="75">
        <f>+Financial!T3</f>
        <v>0</v>
      </c>
      <c r="AC26"/>
      <c r="AD26" s="40" t="str">
        <f>+[1]CostRate!CT18</f>
        <v>USD</v>
      </c>
      <c r="AE26" s="40" t="str">
        <f>+[1]CostRate!CU18</f>
        <v>CLP</v>
      </c>
      <c r="AF26" s="84">
        <f>+IF(SUMIFS(Currency!E:E,Currency!A:A,YEAR('Project Estimations'!$D$4),Currency!B:B,MONTH('Project Estimations'!$D$4),Currency!C:C,AD26,Currency!D:D,AE26)=0,SUMIFS(Currency!E:E,Currency!A:A,YEAR(Currency!$H$2),Currency!B:B,MONTH(Currency!$H$2),Currency!C:C,AD26,Currency!D:D,AE26),SUMIFS(Currency!E:E,Currency!A:A,YEAR('Project Estimations'!$D$4),Currency!B:B,MONTH('Project Estimations'!$D$4),Currency!C:C,AD26,Currency!D:D,AE26))</f>
        <v>898.60038999999995</v>
      </c>
      <c r="AG26" s="299"/>
      <c r="AL26" s="40">
        <v>300</v>
      </c>
      <c r="AM26" s="240">
        <f>IF(AO27&gt;0,AO27*Config!$D$5,AO26)</f>
        <v>12</v>
      </c>
      <c r="AN26" s="240">
        <f>SUMIFS($G$11:$G$125,$E$11:$E$125,"&gt;=300",$E$11:$E$125,"&lt;400",$F$11:$F$125,"EXT")</f>
        <v>0</v>
      </c>
      <c r="AO26" s="240">
        <f>+T26+AN26</f>
        <v>75.337189999999993</v>
      </c>
    </row>
    <row r="27" spans="3:41" ht="18.5" x14ac:dyDescent="0.45">
      <c r="C27" s="67" t="s">
        <v>171</v>
      </c>
      <c r="D27" s="46" t="str">
        <f>IF('Project Estimations'!D46="","",'Project Estimations'!C46&amp;" "&amp;'Project Estimations'!D46&amp;" "&amp;'Project Estimations'!E46)</f>
        <v/>
      </c>
      <c r="E27" s="38" t="str">
        <f>IF('Project Estimations'!F46="","",'Project Estimations'!F46)</f>
        <v/>
      </c>
      <c r="F27" s="38" t="str">
        <f>IF('Project Estimations'!G46="","",'Project Estimations'!G46)</f>
        <v/>
      </c>
      <c r="G27" s="38" t="str">
        <f>IF((OR('Project Estimations'!H46="",'Project Estimations'!H46=0,C27="N")),"",'Project Estimations'!H46)</f>
        <v/>
      </c>
      <c r="H27" s="291"/>
      <c r="I27" s="39" t="str">
        <f>IFERROR(IF(E27="","",(IF(F27="KT",VLOOKUP(E27,CostRate!$B$5:$BV$23,9+'Project Estimations'!$E$7,FALSE))+IF(F27="PT",VLOOKUP(E27,CostRate!$B$5:$BV$23,2+'Project Estimations'!$E$7,FALSE))+IF(F27="US",VLOOKUP(E27,CostRate!$B$5:$BV$23,3+'Project Estimations'!$E$7,FALSE))+IF(F27="DE",VLOOKUP(E27,CostRate!$B$5:$BV$23,4+'Project Estimations'!$E$7,FALSE))+IF(F27="BR",VLOOKUP(E27,CostRate!$B$5:$BV$23,5+'Project Estimations'!$E$7,FALSE))+IF(F27="MX",VLOOKUP(E27,CostRate!$B$5:$BV$23,6+'Project Estimations'!$E$7,FALSE))+IF(F27="CL",VLOOKUP(E27,CostRate!$B$5:$BV$23,7+'Project Estimations'!$E$7,FALSE))+IF(F27="CN",VLOOKUP(E27,CostRate!$B$5:$BV$23,8+'Project Estimations'!$E$7,FALSE))+IF(F27="EXT",VLOOKUP(E27,CostRate!$B$5:$BV$23,9+'Project Estimations'!$E$7,FALSE)))),"")</f>
        <v/>
      </c>
      <c r="J27" s="39" t="str">
        <f t="shared" si="1"/>
        <v/>
      </c>
      <c r="K27" s="39" t="str">
        <f t="shared" si="2"/>
        <v/>
      </c>
      <c r="L27" s="147" t="str">
        <f t="shared" si="3"/>
        <v/>
      </c>
      <c r="N27" s="85"/>
      <c r="O27" s="85"/>
      <c r="P27" s="85"/>
      <c r="S27" s="46">
        <v>400</v>
      </c>
      <c r="T27" s="38">
        <f>SUMIFS($G$11:$G$100,$E$11:$E$100,"&gt;=400",$E$11:$E$100,"&lt;500",$F$11:$F$100,"&lt;&gt;EXT")</f>
        <v>4</v>
      </c>
      <c r="U27" s="50">
        <f t="shared" si="9"/>
        <v>1.4344736215183668E-2</v>
      </c>
      <c r="V27" s="50">
        <f>+IFERROR(AM27/SUM($AM$24:$AM$30),0)</f>
        <v>4.3956043956043959E-2</v>
      </c>
      <c r="W27" s="38"/>
      <c r="Y27" s="9" t="s">
        <v>26</v>
      </c>
      <c r="Z27" s="31"/>
      <c r="AA27" s="98"/>
      <c r="AB27" s="406">
        <f>AB30</f>
        <v>0.25441127260232699</v>
      </c>
      <c r="AC27"/>
      <c r="AD27" s="38" t="str">
        <f>+[1]CostRate!CT19</f>
        <v>USD</v>
      </c>
      <c r="AE27" s="38" t="str">
        <f>+[1]CostRate!CU19</f>
        <v>CNY</v>
      </c>
      <c r="AF27" s="83">
        <f>+IF(SUMIFS(Currency!E:E,Currency!A:A,YEAR('Project Estimations'!$D$4),Currency!B:B,MONTH('Project Estimations'!$D$4),Currency!C:C,AD27,Currency!D:D,AE27)=0,SUMIFS(Currency!E:E,Currency!A:A,YEAR(Currency!$H$2),Currency!B:B,MONTH(Currency!$H$2),Currency!C:C,AD27,Currency!D:D,AE27),SUMIFS(Currency!E:E,Currency!A:A,YEAR('Project Estimations'!$D$4),Currency!B:B,MONTH('Project Estimations'!$D$4),Currency!C:C,AD27,Currency!D:D,AE27))</f>
        <v>7.0124199999999997</v>
      </c>
      <c r="AG27" s="299"/>
      <c r="AL27" s="38">
        <v>400</v>
      </c>
      <c r="AM27" s="239">
        <f>AO27</f>
        <v>4</v>
      </c>
      <c r="AN27" s="239">
        <f>SUMIFS($G$11:$G$125,$E$11:$E$125,"&gt;=400",$E$11:$E$125,"&lt;500",$F$11:$F$125,"EXT")</f>
        <v>0</v>
      </c>
      <c r="AO27" s="239">
        <f>+T27+AN27</f>
        <v>4</v>
      </c>
    </row>
    <row r="28" spans="3:41" ht="13.5" thickBot="1" x14ac:dyDescent="0.3">
      <c r="C28" s="68" t="s">
        <v>171</v>
      </c>
      <c r="D28" s="45" t="str">
        <f>IF('Project Estimations'!D47="","",'Project Estimations'!C47&amp;" "&amp;'Project Estimations'!D47&amp;" "&amp;'Project Estimations'!E47)</f>
        <v/>
      </c>
      <c r="E28" s="40" t="str">
        <f>IF('Project Estimations'!F47="","",'Project Estimations'!F47)</f>
        <v/>
      </c>
      <c r="F28" s="40" t="str">
        <f>IF('Project Estimations'!G47="","",'Project Estimations'!G47)</f>
        <v/>
      </c>
      <c r="G28" s="40" t="str">
        <f>IF((OR('Project Estimations'!H47="",'Project Estimations'!H47=0,C28="N")),"",'Project Estimations'!H47)</f>
        <v/>
      </c>
      <c r="H28" s="292"/>
      <c r="I28" s="41" t="str">
        <f>IFERROR(IF(E28="","",(IF(F28="KT",VLOOKUP(E28,CostRate!$B$5:$BV$23,9+'Project Estimations'!$E$7,FALSE))+IF(F28="PT",VLOOKUP(E28,CostRate!$B$5:$BV$23,2+'Project Estimations'!$E$7,FALSE))+IF(F28="US",VLOOKUP(E28,CostRate!$B$5:$BV$23,3+'Project Estimations'!$E$7,FALSE))+IF(F28="DE",VLOOKUP(E28,CostRate!$B$5:$BV$23,4+'Project Estimations'!$E$7,FALSE))+IF(F28="BR",VLOOKUP(E28,CostRate!$B$5:$BV$23,5+'Project Estimations'!$E$7,FALSE))+IF(F28="MX",VLOOKUP(E28,CostRate!$B$5:$BV$23,6+'Project Estimations'!$E$7,FALSE))+IF(F28="CL",VLOOKUP(E28,CostRate!$B$5:$BV$23,7+'Project Estimations'!$E$7,FALSE))+IF(F28="CN",VLOOKUP(E28,CostRate!$B$5:$BV$23,8+'Project Estimations'!$E$7,FALSE))+IF(F28="EXT",VLOOKUP(E28,CostRate!$B$5:$BV$23,9+'Project Estimations'!$E$7,FALSE)))),"")</f>
        <v/>
      </c>
      <c r="J28" s="41" t="str">
        <f t="shared" si="1"/>
        <v/>
      </c>
      <c r="K28" s="41" t="str">
        <f t="shared" si="2"/>
        <v/>
      </c>
      <c r="L28" s="148" t="str">
        <f t="shared" si="3"/>
        <v/>
      </c>
      <c r="N28" s="86"/>
      <c r="O28" s="86"/>
      <c r="P28" s="86"/>
      <c r="R28" s="40"/>
      <c r="S28" s="45">
        <v>500</v>
      </c>
      <c r="T28" s="40">
        <f>SUMIFS($G$11:$G$100,$E$11:$E$100,"&gt;=500",$E$11:$E$100,"&lt;600",$F$11:$F$100,"&lt;&gt;EXT")</f>
        <v>0</v>
      </c>
      <c r="U28" s="43">
        <f t="shared" si="9"/>
        <v>0</v>
      </c>
      <c r="V28" s="114"/>
      <c r="W28" s="40"/>
      <c r="Y28" s="40"/>
      <c r="Z28" s="40"/>
      <c r="AA28" s="45" t="s">
        <v>19</v>
      </c>
      <c r="AB28" s="74">
        <f>AB22-AB10</f>
        <v>38110.737400672268</v>
      </c>
      <c r="AC28"/>
      <c r="AD28" s="40" t="str">
        <f>+[1]CostRate!CT20</f>
        <v>USD</v>
      </c>
      <c r="AE28" s="40" t="str">
        <f>+[1]CostRate!CU20</f>
        <v>CHF</v>
      </c>
      <c r="AF28" s="84">
        <f>+IF(SUMIFS(Currency!E:E,Currency!A:A,YEAR('Project Estimations'!$D$4),Currency!B:B,MONTH('Project Estimations'!$D$4),Currency!C:C,AD28,Currency!D:D,AE28)=0,SUMIFS(Currency!E:E,Currency!A:A,YEAR(Currency!$H$2),Currency!B:B,MONTH(Currency!$H$2),Currency!C:C,AD28,Currency!D:D,AE28),SUMIFS(Currency!E:E,Currency!A:A,YEAR('Project Estimations'!$D$4),Currency!B:B,MONTH('Project Estimations'!$D$4),Currency!C:C,AD28,Currency!D:D,AE28))</f>
        <v>0.84306999999999999</v>
      </c>
      <c r="AG28" s="299"/>
      <c r="AL28" s="40">
        <v>500</v>
      </c>
      <c r="AM28" s="240"/>
      <c r="AN28" s="240">
        <f>SUMIFS($G$11:$G$125,$E$11:$E$125,"&gt;=500",$E$11:$E$125,"&lt;600",$F$11:$F$125,"EXT")</f>
        <v>0</v>
      </c>
      <c r="AO28" s="240">
        <f>+T28+AN28</f>
        <v>0</v>
      </c>
    </row>
    <row r="29" spans="3:41" ht="13.5" thickBot="1" x14ac:dyDescent="0.35">
      <c r="C29" s="67" t="s">
        <v>171</v>
      </c>
      <c r="D29" s="46" t="str">
        <f>IF('Project Estimations'!D48="","",'Project Estimations'!C48&amp;" "&amp;'Project Estimations'!D48&amp;" "&amp;'Project Estimations'!E48)</f>
        <v/>
      </c>
      <c r="E29" s="38" t="str">
        <f>IF('Project Estimations'!F48="","",'Project Estimations'!F48)</f>
        <v/>
      </c>
      <c r="F29" s="38" t="str">
        <f>IF('Project Estimations'!G48="","",'Project Estimations'!G48)</f>
        <v/>
      </c>
      <c r="G29" s="38" t="str">
        <f>IF((OR('Project Estimations'!H48="",'Project Estimations'!H48=0,C29="N")),"",'Project Estimations'!H48)</f>
        <v/>
      </c>
      <c r="H29" s="291"/>
      <c r="I29" s="39" t="str">
        <f>IFERROR(IF(E29="","",(IF(F29="KT",VLOOKUP(E29,CostRate!$B$5:$BV$23,9+'Project Estimations'!$E$7,FALSE))+IF(F29="PT",VLOOKUP(E29,CostRate!$B$5:$BV$23,2+'Project Estimations'!$E$7,FALSE))+IF(F29="US",VLOOKUP(E29,CostRate!$B$5:$BV$23,3+'Project Estimations'!$E$7,FALSE))+IF(F29="DE",VLOOKUP(E29,CostRate!$B$5:$BV$23,4+'Project Estimations'!$E$7,FALSE))+IF(F29="BR",VLOOKUP(E29,CostRate!$B$5:$BV$23,5+'Project Estimations'!$E$7,FALSE))+IF(F29="MX",VLOOKUP(E29,CostRate!$B$5:$BV$23,6+'Project Estimations'!$E$7,FALSE))+IF(F29="CL",VLOOKUP(E29,CostRate!$B$5:$BV$23,7+'Project Estimations'!$E$7,FALSE))+IF(F29="CN",VLOOKUP(E29,CostRate!$B$5:$BV$23,8+'Project Estimations'!$E$7,FALSE))+IF(F29="EXT",VLOOKUP(E29,CostRate!$B$5:$BV$23,9+'Project Estimations'!$E$7,FALSE)))),"")</f>
        <v/>
      </c>
      <c r="J29" s="39" t="str">
        <f t="shared" si="1"/>
        <v/>
      </c>
      <c r="K29" s="39" t="str">
        <f t="shared" si="2"/>
        <v/>
      </c>
      <c r="L29" s="147" t="str">
        <f t="shared" si="3"/>
        <v/>
      </c>
      <c r="N29" s="85"/>
      <c r="O29" s="85"/>
      <c r="P29" s="85"/>
      <c r="U29" s="313" t="s">
        <v>337</v>
      </c>
      <c r="V29" s="314" t="str">
        <f>+IF(((U24-V24)*Config!C14+(U25-V25)*Config!C13)-((U26-V26)*Config!C12+(U27-V27)*Config!C11)&gt;Config!$J$3,Config!$L$3,IF(((U24-V24)*Config!C14+(U25-V25)*Config!C13)-((U26-V26)*Config!C12+(U27-V27)*Config!C11)&gt;Config!$J$4,Config!$L$4,IF(((U24-V24)*Config!C14+(U25-V25)*Config!C13)-((U26-V26)*Config!C12+(U27-V27)*Config!C11)&gt;Config!$J$5,Config!$L$5,Config!$L$6)))</f>
        <v>Below Target</v>
      </c>
      <c r="W29" s="38"/>
      <c r="Y29" s="46"/>
      <c r="Z29" s="46"/>
      <c r="AA29" s="46" t="s">
        <v>64</v>
      </c>
      <c r="AB29" s="50">
        <f>IFERROR(((AB23+AB25)-AB11)/AB23,0)</f>
        <v>0.25441127260232699</v>
      </c>
      <c r="AC29"/>
      <c r="AD29" s="38" t="str">
        <f>+[1]CostRate!CT21</f>
        <v>USD</v>
      </c>
      <c r="AE29" s="38" t="str">
        <f>+[1]CostRate!CU21</f>
        <v>SEK</v>
      </c>
      <c r="AF29" s="83">
        <f>+IF(SUMIFS(Currency!E:E,Currency!A:A,YEAR('Project Estimations'!$D$4),Currency!B:B,MONTH('Project Estimations'!$D$4),Currency!C:C,AD29,Currency!D:D,AE29)=0,SUMIFS(Currency!E:E,Currency!A:A,YEAR(Currency!$H$2),Currency!B:B,MONTH(Currency!$H$2),Currency!C:C,AD29,Currency!D:D,AE29),SUMIFS(Currency!E:E,Currency!A:A,YEAR('Project Estimations'!$D$4),Currency!B:B,MONTH('Project Estimations'!$D$4),Currency!C:C,AD29,Currency!D:D,AE29))</f>
        <v>10.092890000000001</v>
      </c>
      <c r="AG29" s="72"/>
    </row>
    <row r="30" spans="3:41" ht="13" x14ac:dyDescent="0.25">
      <c r="C30" s="68" t="s">
        <v>171</v>
      </c>
      <c r="D30" s="45" t="str">
        <f>IF('Project Estimations'!D49="","",'Project Estimations'!C49&amp;" "&amp;'Project Estimations'!D49&amp;" "&amp;'Project Estimations'!E49)</f>
        <v/>
      </c>
      <c r="E30" s="40" t="str">
        <f>IF('Project Estimations'!F49="","",'Project Estimations'!F49)</f>
        <v/>
      </c>
      <c r="F30" s="40" t="str">
        <f>IF('Project Estimations'!G49="","",'Project Estimations'!G49)</f>
        <v/>
      </c>
      <c r="G30" s="40" t="str">
        <f>IF((OR('Project Estimations'!H49="",'Project Estimations'!H49=0,C30="N")),"",'Project Estimations'!H49)</f>
        <v/>
      </c>
      <c r="H30" s="292"/>
      <c r="I30" s="41" t="str">
        <f>IFERROR(IF(E30="","",(IF(F30="KT",VLOOKUP(E30,CostRate!$B$5:$BV$23,9+'Project Estimations'!$E$7,FALSE))+IF(F30="PT",VLOOKUP(E30,CostRate!$B$5:$BV$23,2+'Project Estimations'!$E$7,FALSE))+IF(F30="US",VLOOKUP(E30,CostRate!$B$5:$BV$23,3+'Project Estimations'!$E$7,FALSE))+IF(F30="DE",VLOOKUP(E30,CostRate!$B$5:$BV$23,4+'Project Estimations'!$E$7,FALSE))+IF(F30="BR",VLOOKUP(E30,CostRate!$B$5:$BV$23,5+'Project Estimations'!$E$7,FALSE))+IF(F30="MX",VLOOKUP(E30,CostRate!$B$5:$BV$23,6+'Project Estimations'!$E$7,FALSE))+IF(F30="CL",VLOOKUP(E30,CostRate!$B$5:$BV$23,7+'Project Estimations'!$E$7,FALSE))+IF(F30="CN",VLOOKUP(E30,CostRate!$B$5:$BV$23,8+'Project Estimations'!$E$7,FALSE))+IF(F30="EXT",VLOOKUP(E30,CostRate!$B$5:$BV$23,9+'Project Estimations'!$E$7,FALSE)))),"")</f>
        <v/>
      </c>
      <c r="J30" s="41" t="str">
        <f t="shared" si="1"/>
        <v/>
      </c>
      <c r="K30" s="41" t="str">
        <f t="shared" si="2"/>
        <v/>
      </c>
      <c r="L30" s="148" t="str">
        <f t="shared" si="3"/>
        <v/>
      </c>
      <c r="N30" s="86"/>
      <c r="O30" s="86"/>
      <c r="P30" s="86"/>
      <c r="R30" s="40"/>
      <c r="S30" s="45" t="s">
        <v>49</v>
      </c>
      <c r="T30" s="40">
        <f>SUMIFS($G$11:$G$125,$F$11:$F$125,S30)</f>
        <v>0</v>
      </c>
      <c r="U30" s="43">
        <f>IFERROR(T30/$T$12,0)</f>
        <v>0</v>
      </c>
      <c r="V30" s="40"/>
      <c r="W30" s="40"/>
      <c r="Y30" s="40"/>
      <c r="Z30" s="40"/>
      <c r="AA30" s="45" t="s">
        <v>65</v>
      </c>
      <c r="AB30" s="43">
        <f>IFERROR(AB28/AB22,0)</f>
        <v>0.25441127260232699</v>
      </c>
      <c r="AC30"/>
      <c r="AD30" s="40" t="str">
        <f>+[1]CostRate!CT22</f>
        <v>USD</v>
      </c>
      <c r="AE30" s="40" t="str">
        <f>+[1]CostRate!CU22</f>
        <v>SAR</v>
      </c>
      <c r="AF30" s="84">
        <f>+IF(SUMIFS(Currency!E:E,Currency!A:A,YEAR('Project Estimations'!$D$4),Currency!B:B,MONTH('Project Estimations'!$D$4),Currency!C:C,AD30,Currency!D:D,AE30)=0,SUMIFS(Currency!E:E,Currency!A:A,YEAR(Currency!$H$2),Currency!B:B,MONTH(Currency!$H$2),Currency!C:C,AD30,Currency!D:D,AE30),SUMIFS(Currency!E:E,Currency!A:A,YEAR('Project Estimations'!$D$4),Currency!B:B,MONTH('Project Estimations'!$D$4),Currency!C:C,AD30,Currency!D:D,AE30))</f>
        <v>3.7513399999999999</v>
      </c>
      <c r="AG30" s="72"/>
    </row>
    <row r="31" spans="3:41" ht="15.5" x14ac:dyDescent="0.35">
      <c r="C31" s="67" t="s">
        <v>171</v>
      </c>
      <c r="D31" s="46" t="str">
        <f>IF('Project Estimations'!D50="","",'Project Estimations'!C50&amp;" "&amp;'Project Estimations'!D50&amp;" "&amp;'Project Estimations'!E50)</f>
        <v/>
      </c>
      <c r="E31" s="38" t="str">
        <f>IF('Project Estimations'!F50="","",'Project Estimations'!F50)</f>
        <v/>
      </c>
      <c r="F31" s="38" t="str">
        <f>IF('Project Estimations'!G50="","",'Project Estimations'!G50)</f>
        <v/>
      </c>
      <c r="G31" s="38" t="str">
        <f>IF((OR('Project Estimations'!H50="",'Project Estimations'!H50=0,C31="N")),"",'Project Estimations'!H50)</f>
        <v/>
      </c>
      <c r="H31" s="291"/>
      <c r="I31" s="39" t="str">
        <f>IFERROR(IF(E31="","",(IF(F31="KT",VLOOKUP(E31,CostRate!$B$5:$BV$23,9+'Project Estimations'!$E$7,FALSE))+IF(F31="PT",VLOOKUP(E31,CostRate!$B$5:$BV$23,2+'Project Estimations'!$E$7,FALSE))+IF(F31="US",VLOOKUP(E31,CostRate!$B$5:$BV$23,3+'Project Estimations'!$E$7,FALSE))+IF(F31="DE",VLOOKUP(E31,CostRate!$B$5:$BV$23,4+'Project Estimations'!$E$7,FALSE))+IF(F31="BR",VLOOKUP(E31,CostRate!$B$5:$BV$23,5+'Project Estimations'!$E$7,FALSE))+IF(F31="MX",VLOOKUP(E31,CostRate!$B$5:$BV$23,6+'Project Estimations'!$E$7,FALSE))+IF(F31="CL",VLOOKUP(E31,CostRate!$B$5:$BV$23,7+'Project Estimations'!$E$7,FALSE))+IF(F31="CN",VLOOKUP(E31,CostRate!$B$5:$BV$23,8+'Project Estimations'!$E$7,FALSE))+IF(F31="EXT",VLOOKUP(E31,CostRate!$B$5:$BV$23,9+'Project Estimations'!$E$7,FALSE)))),"")</f>
        <v/>
      </c>
      <c r="J31" s="39" t="str">
        <f t="shared" si="1"/>
        <v/>
      </c>
      <c r="K31" s="39" t="str">
        <f t="shared" si="2"/>
        <v/>
      </c>
      <c r="L31" s="147" t="str">
        <f t="shared" si="3"/>
        <v/>
      </c>
      <c r="N31" s="85"/>
      <c r="O31" s="85"/>
      <c r="P31" s="85"/>
      <c r="R31" s="111" t="s">
        <v>82</v>
      </c>
      <c r="S31" s="51"/>
      <c r="T31" s="47"/>
      <c r="U31" s="47"/>
      <c r="V31" s="116"/>
      <c r="W31" s="47"/>
      <c r="AB31"/>
      <c r="AC31"/>
      <c r="AD31" s="38" t="str">
        <f>+[1]CostRate!CT23</f>
        <v>GBP</v>
      </c>
      <c r="AE31" s="38" t="str">
        <f>+[1]CostRate!CU23</f>
        <v>EUR</v>
      </c>
      <c r="AF31" s="83">
        <f>+IF(SUMIFS(Currency!E:E,Currency!A:A,YEAR('Project Estimations'!$D$4),Currency!B:B,MONTH('Project Estimations'!$D$4),Currency!C:C,AD31,Currency!D:D,AE31)=0,SUMIFS(Currency!E:E,Currency!A:A,YEAR(Currency!$H$2),Currency!B:B,MONTH(Currency!$H$2),Currency!C:C,AD31,Currency!D:D,AE31),SUMIFS(Currency!E:E,Currency!A:A,YEAR('Project Estimations'!$D$4),Currency!B:B,MONTH('Project Estimations'!$D$4),Currency!C:C,AD31,Currency!D:D,AE31))</f>
        <v>1.1969883772428569</v>
      </c>
      <c r="AG31" s="72"/>
    </row>
    <row r="32" spans="3:41" ht="17" x14ac:dyDescent="0.4">
      <c r="C32" s="68" t="s">
        <v>171</v>
      </c>
      <c r="D32" s="45" t="str">
        <f>IF('Project Estimations'!D51="","",'Project Estimations'!C51&amp;" "&amp;'Project Estimations'!D51&amp;" "&amp;'Project Estimations'!E51)</f>
        <v/>
      </c>
      <c r="E32" s="40" t="str">
        <f>IF('Project Estimations'!F51="","",'Project Estimations'!F51)</f>
        <v/>
      </c>
      <c r="F32" s="40" t="str">
        <f>IF('Project Estimations'!G51="","",'Project Estimations'!G51)</f>
        <v/>
      </c>
      <c r="G32" s="40" t="str">
        <f>IF((OR('Project Estimations'!H51="",'Project Estimations'!H51=0,C32="N")),"",'Project Estimations'!H51)</f>
        <v/>
      </c>
      <c r="H32" s="292"/>
      <c r="I32" s="41" t="str">
        <f>IFERROR(IF(E32="","",(IF(F32="KT",VLOOKUP(E32,CostRate!$B$5:$BV$23,9+'Project Estimations'!$E$7,FALSE))+IF(F32="PT",VLOOKUP(E32,CostRate!$B$5:$BV$23,2+'Project Estimations'!$E$7,FALSE))+IF(F32="US",VLOOKUP(E32,CostRate!$B$5:$BV$23,3+'Project Estimations'!$E$7,FALSE))+IF(F32="DE",VLOOKUP(E32,CostRate!$B$5:$BV$23,4+'Project Estimations'!$E$7,FALSE))+IF(F32="BR",VLOOKUP(E32,CostRate!$B$5:$BV$23,5+'Project Estimations'!$E$7,FALSE))+IF(F32="MX",VLOOKUP(E32,CostRate!$B$5:$BV$23,6+'Project Estimations'!$E$7,FALSE))+IF(F32="CL",VLOOKUP(E32,CostRate!$B$5:$BV$23,7+'Project Estimations'!$E$7,FALSE))+IF(F32="CN",VLOOKUP(E32,CostRate!$B$5:$BV$23,8+'Project Estimations'!$E$7,FALSE))+IF(F32="EXT",VLOOKUP(E32,CostRate!$B$5:$BV$23,9+'Project Estimations'!$E$7,FALSE)))),"")</f>
        <v/>
      </c>
      <c r="J32" s="41" t="str">
        <f t="shared" si="1"/>
        <v/>
      </c>
      <c r="K32" s="41" t="str">
        <f t="shared" si="2"/>
        <v/>
      </c>
      <c r="L32" s="148" t="str">
        <f t="shared" si="3"/>
        <v/>
      </c>
      <c r="R32" s="40"/>
      <c r="S32" s="45" t="s">
        <v>25</v>
      </c>
      <c r="T32" s="40"/>
      <c r="U32" s="43"/>
      <c r="V32" s="114">
        <f>IFERROR(V12/T12,0)</f>
        <v>327.27150816334836</v>
      </c>
      <c r="W32" s="40"/>
      <c r="Y32" s="407"/>
      <c r="Z32" s="408"/>
      <c r="AA32" s="409"/>
      <c r="AB32" s="410"/>
      <c r="AC32"/>
      <c r="AD32" s="40" t="str">
        <f>+[1]CostRate!CT24</f>
        <v>GBP</v>
      </c>
      <c r="AE32" s="40" t="str">
        <f>+[1]CostRate!CU24</f>
        <v>USD</v>
      </c>
      <c r="AF32" s="84">
        <f>+IF(SUMIFS(Currency!E:E,Currency!A:A,YEAR('Project Estimations'!$D$4),Currency!B:B,MONTH('Project Estimations'!$D$4),Currency!C:C,AD32,Currency!D:D,AE32)=0,SUMIFS(Currency!E:E,Currency!A:A,YEAR(Currency!$H$2),Currency!B:B,MONTH(Currency!$H$2),Currency!C:C,AD32,Currency!D:D,AE32),SUMIFS(Currency!E:E,Currency!A:A,YEAR('Project Estimations'!$D$4),Currency!B:B,MONTH('Project Estimations'!$D$4),Currency!C:C,AD32,Currency!D:D,AE32))</f>
        <v>1.3401412508878436</v>
      </c>
      <c r="AG32" s="72"/>
    </row>
    <row r="33" spans="3:33" ht="18.5" x14ac:dyDescent="0.45">
      <c r="C33" s="67" t="s">
        <v>171</v>
      </c>
      <c r="D33" s="46" t="str">
        <f>IF('Project Estimations'!D52="","",'Project Estimations'!C52&amp;" "&amp;'Project Estimations'!D52&amp;" "&amp;'Project Estimations'!E52)</f>
        <v/>
      </c>
      <c r="E33" s="38" t="str">
        <f>IF('Project Estimations'!F52="","",'Project Estimations'!F52)</f>
        <v/>
      </c>
      <c r="F33" s="38" t="str">
        <f>IF('Project Estimations'!G52="","",'Project Estimations'!G52)</f>
        <v/>
      </c>
      <c r="G33" s="38" t="str">
        <f>IF((OR('Project Estimations'!H52="",'Project Estimations'!H52=0,C33="N")),"",'Project Estimations'!H52)</f>
        <v/>
      </c>
      <c r="H33" s="291"/>
      <c r="I33" s="39" t="str">
        <f>IFERROR(IF(E33="","",(IF(F33="KT",VLOOKUP(E33,CostRate!$B$5:$BV$23,9+'Project Estimations'!$E$7,FALSE))+IF(F33="PT",VLOOKUP(E33,CostRate!$B$5:$BV$23,2+'Project Estimations'!$E$7,FALSE))+IF(F33="US",VLOOKUP(E33,CostRate!$B$5:$BV$23,3+'Project Estimations'!$E$7,FALSE))+IF(F33="DE",VLOOKUP(E33,CostRate!$B$5:$BV$23,4+'Project Estimations'!$E$7,FALSE))+IF(F33="BR",VLOOKUP(E33,CostRate!$B$5:$BV$23,5+'Project Estimations'!$E$7,FALSE))+IF(F33="MX",VLOOKUP(E33,CostRate!$B$5:$BV$23,6+'Project Estimations'!$E$7,FALSE))+IF(F33="CL",VLOOKUP(E33,CostRate!$B$5:$BV$23,7+'Project Estimations'!$E$7,FALSE))+IF(F33="CN",VLOOKUP(E33,CostRate!$B$5:$BV$23,8+'Project Estimations'!$E$7,FALSE))+IF(F33="EXT",VLOOKUP(E33,CostRate!$B$5:$BV$23,9+'Project Estimations'!$E$7,FALSE)))),"")</f>
        <v/>
      </c>
      <c r="J33" s="39" t="str">
        <f t="shared" si="1"/>
        <v/>
      </c>
      <c r="K33" s="39" t="str">
        <f t="shared" si="2"/>
        <v/>
      </c>
      <c r="L33" s="147" t="str">
        <f t="shared" si="3"/>
        <v/>
      </c>
      <c r="S33" s="46" t="s">
        <v>27</v>
      </c>
      <c r="T33" s="38"/>
      <c r="U33" s="44"/>
      <c r="V33" s="113">
        <f>IFERROR(W12/T12,0)</f>
        <v>537.2093671270934</v>
      </c>
      <c r="W33" s="38"/>
      <c r="Y33" s="407"/>
      <c r="Z33" s="408"/>
      <c r="AA33" s="409"/>
      <c r="AB33" s="411"/>
      <c r="AC33"/>
      <c r="AD33" s="38" t="str">
        <f>+[1]CostRate!CT25</f>
        <v>GBP</v>
      </c>
      <c r="AE33" s="38" t="str">
        <f>+[1]CostRate!CU25</f>
        <v>GBP</v>
      </c>
      <c r="AF33" s="83">
        <f>+IF(SUMIFS(Currency!E:E,Currency!A:A,YEAR('Project Estimations'!$D$4),Currency!B:B,MONTH('Project Estimations'!$D$4),Currency!C:C,AD33,Currency!D:D,AE33)=0,SUMIFS(Currency!E:E,Currency!A:A,YEAR(Currency!$H$2),Currency!B:B,MONTH(Currency!$H$2),Currency!C:C,AD33,Currency!D:D,AE33),SUMIFS(Currency!E:E,Currency!A:A,YEAR('Project Estimations'!$D$4),Currency!B:B,MONTH('Project Estimations'!$D$4),Currency!C:C,AD33,Currency!D:D,AE33))</f>
        <v>1</v>
      </c>
      <c r="AG33" s="72"/>
    </row>
    <row r="34" spans="3:33" ht="15.5" x14ac:dyDescent="0.35">
      <c r="C34" s="68" t="s">
        <v>171</v>
      </c>
      <c r="D34" s="45" t="str">
        <f>IF('Project Estimations'!D53="","",'Project Estimations'!C53&amp;" "&amp;'Project Estimations'!D53&amp;" "&amp;'Project Estimations'!E53)</f>
        <v/>
      </c>
      <c r="E34" s="40" t="str">
        <f>IF('Project Estimations'!F53="","",'Project Estimations'!F53)</f>
        <v/>
      </c>
      <c r="F34" s="40" t="str">
        <f>IF('Project Estimations'!G53="","",'Project Estimations'!G53)</f>
        <v/>
      </c>
      <c r="G34" s="40" t="str">
        <f>IF((OR('Project Estimations'!H53="",'Project Estimations'!H53=0,C34="N")),"",'Project Estimations'!H53)</f>
        <v/>
      </c>
      <c r="H34" s="292"/>
      <c r="I34" s="41" t="str">
        <f>IFERROR(IF(E34="","",(IF(F34="KT",VLOOKUP(E34,CostRate!$B$5:$BV$23,9+'Project Estimations'!$E$7,FALSE))+IF(F34="PT",VLOOKUP(E34,CostRate!$B$5:$BV$23,2+'Project Estimations'!$E$7,FALSE))+IF(F34="US",VLOOKUP(E34,CostRate!$B$5:$BV$23,3+'Project Estimations'!$E$7,FALSE))+IF(F34="DE",VLOOKUP(E34,CostRate!$B$5:$BV$23,4+'Project Estimations'!$E$7,FALSE))+IF(F34="BR",VLOOKUP(E34,CostRate!$B$5:$BV$23,5+'Project Estimations'!$E$7,FALSE))+IF(F34="MX",VLOOKUP(E34,CostRate!$B$5:$BV$23,6+'Project Estimations'!$E$7,FALSE))+IF(F34="CL",VLOOKUP(E34,CostRate!$B$5:$BV$23,7+'Project Estimations'!$E$7,FALSE))+IF(F34="CN",VLOOKUP(E34,CostRate!$B$5:$BV$23,8+'Project Estimations'!$E$7,FALSE))+IF(F34="EXT",VLOOKUP(E34,CostRate!$B$5:$BV$23,9+'Project Estimations'!$E$7,FALSE)))),"")</f>
        <v/>
      </c>
      <c r="J34" s="41" t="str">
        <f t="shared" si="1"/>
        <v/>
      </c>
      <c r="K34" s="41" t="str">
        <f t="shared" si="2"/>
        <v/>
      </c>
      <c r="L34" s="148" t="str">
        <f t="shared" si="3"/>
        <v/>
      </c>
      <c r="R34" s="111" t="s">
        <v>59</v>
      </c>
      <c r="S34" s="51"/>
      <c r="T34" s="47"/>
      <c r="U34" s="47"/>
      <c r="V34" s="116"/>
      <c r="W34" s="47"/>
      <c r="Y34" s="65"/>
      <c r="Z34" s="65"/>
      <c r="AA34" s="65"/>
      <c r="AB34" s="77"/>
      <c r="AC34"/>
      <c r="AD34" s="40" t="str">
        <f>+[1]CostRate!CT26</f>
        <v>GBP</v>
      </c>
      <c r="AE34" s="40" t="str">
        <f>+[1]CostRate!CU26</f>
        <v>BRL</v>
      </c>
      <c r="AF34" s="84">
        <f>+IF(SUMIFS(Currency!E:E,Currency!A:A,YEAR('Project Estimations'!$D$4),Currency!B:B,MONTH('Project Estimations'!$D$4),Currency!C:C,AD34,Currency!D:D,AE34)=0,SUMIFS(Currency!E:E,Currency!A:A,YEAR(Currency!$H$2),Currency!B:B,MONTH(Currency!$H$2),Currency!C:C,AD34,Currency!D:D,AE34),SUMIFS(Currency!E:E,Currency!A:A,YEAR('Project Estimations'!$D$4),Currency!B:B,MONTH('Project Estimations'!$D$4),Currency!C:C,AD34,Currency!D:D,AE34))</f>
        <v>7.2422599999999999</v>
      </c>
      <c r="AG34" s="72"/>
    </row>
    <row r="35" spans="3:33" ht="13" x14ac:dyDescent="0.25">
      <c r="C35" s="67" t="s">
        <v>171</v>
      </c>
      <c r="D35" s="46" t="str">
        <f>IF('Project Estimations'!D54="","",'Project Estimations'!C54&amp;" "&amp;'Project Estimations'!D54&amp;" "&amp;'Project Estimations'!E54)</f>
        <v/>
      </c>
      <c r="E35" s="38" t="str">
        <f>IF('Project Estimations'!F54="","",'Project Estimations'!F54)</f>
        <v/>
      </c>
      <c r="F35" s="38" t="str">
        <f>IF('Project Estimations'!G54="","",'Project Estimations'!G54)</f>
        <v/>
      </c>
      <c r="G35" s="38" t="str">
        <f>IF((OR('Project Estimations'!H54="",'Project Estimations'!H54=0,C35="N")),"",'Project Estimations'!H54)</f>
        <v/>
      </c>
      <c r="H35" s="291"/>
      <c r="I35" s="39" t="str">
        <f>IFERROR(IF(E35="","",(IF(F35="KT",VLOOKUP(E35,CostRate!$B$5:$BV$23,9+'Project Estimations'!$E$7,FALSE))+IF(F35="PT",VLOOKUP(E35,CostRate!$B$5:$BV$23,2+'Project Estimations'!$E$7,FALSE))+IF(F35="US",VLOOKUP(E35,CostRate!$B$5:$BV$23,3+'Project Estimations'!$E$7,FALSE))+IF(F35="DE",VLOOKUP(E35,CostRate!$B$5:$BV$23,4+'Project Estimations'!$E$7,FALSE))+IF(F35="BR",VLOOKUP(E35,CostRate!$B$5:$BV$23,5+'Project Estimations'!$E$7,FALSE))+IF(F35="MX",VLOOKUP(E35,CostRate!$B$5:$BV$23,6+'Project Estimations'!$E$7,FALSE))+IF(F35="CL",VLOOKUP(E35,CostRate!$B$5:$BV$23,7+'Project Estimations'!$E$7,FALSE))+IF(F35="CN",VLOOKUP(E35,CostRate!$B$5:$BV$23,8+'Project Estimations'!$E$7,FALSE))+IF(F35="EXT",VLOOKUP(E35,CostRate!$B$5:$BV$23,9+'Project Estimations'!$E$7,FALSE)))),"")</f>
        <v/>
      </c>
      <c r="J35" s="39" t="str">
        <f t="shared" si="1"/>
        <v/>
      </c>
      <c r="K35" s="39" t="str">
        <f t="shared" si="2"/>
        <v/>
      </c>
      <c r="L35" s="147" t="str">
        <f t="shared" si="3"/>
        <v/>
      </c>
      <c r="R35" s="40"/>
      <c r="S35" s="45" t="s">
        <v>99</v>
      </c>
      <c r="T35" s="40"/>
      <c r="U35" s="43"/>
      <c r="V35" s="117">
        <f>IFERROR(AB15/AB21,0)</f>
        <v>0</v>
      </c>
      <c r="W35" s="40"/>
      <c r="Y35" s="299"/>
      <c r="Z35" s="299"/>
      <c r="AA35" s="412"/>
      <c r="AB35" s="413"/>
      <c r="AC35"/>
      <c r="AD35" s="38" t="str">
        <f>+[1]CostRate!CT27</f>
        <v>GBP</v>
      </c>
      <c r="AE35" s="38" t="str">
        <f>+[1]CostRate!CU27</f>
        <v>MXN</v>
      </c>
      <c r="AF35" s="83">
        <f>+IF(SUMIFS(Currency!E:E,Currency!A:A,YEAR('Project Estimations'!$D$4),Currency!B:B,MONTH('Project Estimations'!$D$4),Currency!C:C,AD35,Currency!D:D,AE35)=0,SUMIFS(Currency!E:E,Currency!A:A,YEAR(Currency!$H$2),Currency!B:B,MONTH(Currency!$H$2),Currency!C:C,AD35,Currency!D:D,AE35),SUMIFS(Currency!E:E,Currency!A:A,YEAR('Project Estimations'!$D$4),Currency!B:B,MONTH('Project Estimations'!$D$4),Currency!C:C,AD35,Currency!D:D,AE35))</f>
        <v>26.314830000000001</v>
      </c>
      <c r="AG35" s="72"/>
    </row>
    <row r="36" spans="3:33" ht="13" x14ac:dyDescent="0.25">
      <c r="C36" s="68" t="s">
        <v>171</v>
      </c>
      <c r="D36" s="45" t="str">
        <f>IF('Project Estimations'!D55="","",'Project Estimations'!C55&amp;" "&amp;'Project Estimations'!D55&amp;" "&amp;'Project Estimations'!E55)</f>
        <v/>
      </c>
      <c r="E36" s="40" t="str">
        <f>IF('Project Estimations'!F55="","",'Project Estimations'!F55)</f>
        <v/>
      </c>
      <c r="F36" s="40" t="str">
        <f>IF('Project Estimations'!G55="","",'Project Estimations'!G55)</f>
        <v/>
      </c>
      <c r="G36" s="40" t="str">
        <f>IF((OR('Project Estimations'!H55="",'Project Estimations'!H55=0,C36="N")),"",'Project Estimations'!H55)</f>
        <v/>
      </c>
      <c r="H36" s="292"/>
      <c r="I36" s="41" t="str">
        <f>IFERROR(IF(E36="","",(IF(F36="KT",VLOOKUP(E36,CostRate!$B$5:$BV$23,9+'Project Estimations'!$E$7,FALSE))+IF(F36="PT",VLOOKUP(E36,CostRate!$B$5:$BV$23,2+'Project Estimations'!$E$7,FALSE))+IF(F36="US",VLOOKUP(E36,CostRate!$B$5:$BV$23,3+'Project Estimations'!$E$7,FALSE))+IF(F36="DE",VLOOKUP(E36,CostRate!$B$5:$BV$23,4+'Project Estimations'!$E$7,FALSE))+IF(F36="BR",VLOOKUP(E36,CostRate!$B$5:$BV$23,5+'Project Estimations'!$E$7,FALSE))+IF(F36="MX",VLOOKUP(E36,CostRate!$B$5:$BV$23,6+'Project Estimations'!$E$7,FALSE))+IF(F36="CL",VLOOKUP(E36,CostRate!$B$5:$BV$23,7+'Project Estimations'!$E$7,FALSE))+IF(F36="CN",VLOOKUP(E36,CostRate!$B$5:$BV$23,8+'Project Estimations'!$E$7,FALSE))+IF(F36="EXT",VLOOKUP(E36,CostRate!$B$5:$BV$23,9+'Project Estimations'!$E$7,FALSE)))),"")</f>
        <v/>
      </c>
      <c r="J36" s="41" t="str">
        <f t="shared" si="1"/>
        <v/>
      </c>
      <c r="K36" s="41" t="str">
        <f t="shared" si="2"/>
        <v/>
      </c>
      <c r="L36" s="148" t="str">
        <f t="shared" si="3"/>
        <v/>
      </c>
      <c r="AA36" s="412"/>
      <c r="AB36" s="413"/>
      <c r="AC36"/>
      <c r="AD36" s="40" t="str">
        <f>+[1]CostRate!CT28</f>
        <v>GBP</v>
      </c>
      <c r="AE36" s="40" t="str">
        <f>+[1]CostRate!CU28</f>
        <v>CLP</v>
      </c>
      <c r="AF36" s="84">
        <f>+IF(SUMIFS(Currency!E:E,Currency!A:A,YEAR('Project Estimations'!$D$4),Currency!B:B,MONTH('Project Estimations'!$D$4),Currency!C:C,AD36,Currency!D:D,AE36)=0,SUMIFS(Currency!E:E,Currency!A:A,YEAR(Currency!$H$2),Currency!B:B,MONTH(Currency!$H$2),Currency!C:C,AD36,Currency!D:D,AE36),SUMIFS(Currency!E:E,Currency!A:A,YEAR('Project Estimations'!$D$4),Currency!B:B,MONTH('Project Estimations'!$D$4),Currency!C:C,AD36,Currency!D:D,AE36))</f>
        <v>1204.2576899999999</v>
      </c>
      <c r="AG36" s="72"/>
    </row>
    <row r="37" spans="3:33" ht="13" x14ac:dyDescent="0.25">
      <c r="C37" s="67" t="s">
        <v>171</v>
      </c>
      <c r="D37" s="46" t="str">
        <f>IF('Project Estimations'!D56="","",'Project Estimations'!C56&amp;" "&amp;'Project Estimations'!D56&amp;" "&amp;'Project Estimations'!E56)</f>
        <v/>
      </c>
      <c r="E37" s="38" t="str">
        <f>IF('Project Estimations'!F56="","",'Project Estimations'!F56)</f>
        <v/>
      </c>
      <c r="F37" s="38" t="str">
        <f>IF('Project Estimations'!G56="","",'Project Estimations'!G56)</f>
        <v/>
      </c>
      <c r="G37" s="38" t="str">
        <f>IF((OR('Project Estimations'!H56="",'Project Estimations'!H56=0,C37="N")),"",'Project Estimations'!H56)</f>
        <v/>
      </c>
      <c r="H37" s="291"/>
      <c r="I37" s="39" t="str">
        <f>IFERROR(IF(E37="","",(IF(F37="KT",VLOOKUP(E37,CostRate!$B$5:$BV$23,9+'Project Estimations'!$E$7,FALSE))+IF(F37="PT",VLOOKUP(E37,CostRate!$B$5:$BV$23,2+'Project Estimations'!$E$7,FALSE))+IF(F37="US",VLOOKUP(E37,CostRate!$B$5:$BV$23,3+'Project Estimations'!$E$7,FALSE))+IF(F37="DE",VLOOKUP(E37,CostRate!$B$5:$BV$23,4+'Project Estimations'!$E$7,FALSE))+IF(F37="BR",VLOOKUP(E37,CostRate!$B$5:$BV$23,5+'Project Estimations'!$E$7,FALSE))+IF(F37="MX",VLOOKUP(E37,CostRate!$B$5:$BV$23,6+'Project Estimations'!$E$7,FALSE))+IF(F37="CL",VLOOKUP(E37,CostRate!$B$5:$BV$23,7+'Project Estimations'!$E$7,FALSE))+IF(F37="CN",VLOOKUP(E37,CostRate!$B$5:$BV$23,8+'Project Estimations'!$E$7,FALSE))+IF(F37="EXT",VLOOKUP(E37,CostRate!$B$5:$BV$23,9+'Project Estimations'!$E$7,FALSE)))),"")</f>
        <v/>
      </c>
      <c r="J37" s="39" t="str">
        <f t="shared" si="1"/>
        <v/>
      </c>
      <c r="K37" s="39" t="str">
        <f t="shared" si="2"/>
        <v/>
      </c>
      <c r="L37" s="147" t="str">
        <f t="shared" si="3"/>
        <v/>
      </c>
      <c r="Y37" s="299"/>
      <c r="Z37" s="299"/>
      <c r="AA37" s="412"/>
      <c r="AB37" s="414"/>
      <c r="AD37" s="38" t="str">
        <f>+[1]CostRate!CT29</f>
        <v>GBP</v>
      </c>
      <c r="AE37" s="38" t="str">
        <f>+[1]CostRate!CU29</f>
        <v>CNY</v>
      </c>
      <c r="AF37" s="83">
        <f>+IF(SUMIFS(Currency!E:E,Currency!A:A,YEAR('Project Estimations'!$D$4),Currency!B:B,MONTH('Project Estimations'!$D$4),Currency!C:C,AD37,Currency!D:D,AE37)=0,SUMIFS(Currency!E:E,Currency!A:A,YEAR(Currency!$H$2),Currency!B:B,MONTH(Currency!$H$2),Currency!C:C,AD37,Currency!D:D,AE37),SUMIFS(Currency!E:E,Currency!A:A,YEAR('Project Estimations'!$D$4),Currency!B:B,MONTH('Project Estimations'!$D$4),Currency!C:C,AD37,Currency!D:D,AE37))</f>
        <v>9.3976799999999994</v>
      </c>
    </row>
    <row r="38" spans="3:33" ht="18.5" x14ac:dyDescent="0.4">
      <c r="C38" s="68" t="s">
        <v>171</v>
      </c>
      <c r="D38" s="45" t="str">
        <f>IF('Project Estimations'!D57="","",'Project Estimations'!C57&amp;" "&amp;'Project Estimations'!D57&amp;" "&amp;'Project Estimations'!E57)</f>
        <v/>
      </c>
      <c r="E38" s="40" t="str">
        <f>IF('Project Estimations'!F57="","",'Project Estimations'!F57)</f>
        <v/>
      </c>
      <c r="F38" s="40" t="str">
        <f>IF('Project Estimations'!G57="","",'Project Estimations'!G57)</f>
        <v/>
      </c>
      <c r="G38" s="40" t="str">
        <f>IF((OR('Project Estimations'!H57="",'Project Estimations'!H57=0,C38="N")),"",'Project Estimations'!H57)</f>
        <v/>
      </c>
      <c r="H38" s="292"/>
      <c r="I38" s="41" t="str">
        <f>IFERROR(IF(E38="","",(IF(F38="KT",VLOOKUP(E38,CostRate!$B$5:$BV$23,9+'Project Estimations'!$E$7,FALSE))+IF(F38="PT",VLOOKUP(E38,CostRate!$B$5:$BV$23,2+'Project Estimations'!$E$7,FALSE))+IF(F38="US",VLOOKUP(E38,CostRate!$B$5:$BV$23,3+'Project Estimations'!$E$7,FALSE))+IF(F38="DE",VLOOKUP(E38,CostRate!$B$5:$BV$23,4+'Project Estimations'!$E$7,FALSE))+IF(F38="BR",VLOOKUP(E38,CostRate!$B$5:$BV$23,5+'Project Estimations'!$E$7,FALSE))+IF(F38="MX",VLOOKUP(E38,CostRate!$B$5:$BV$23,6+'Project Estimations'!$E$7,FALSE))+IF(F38="CL",VLOOKUP(E38,CostRate!$B$5:$BV$23,7+'Project Estimations'!$E$7,FALSE))+IF(F38="CN",VLOOKUP(E38,CostRate!$B$5:$BV$23,8+'Project Estimations'!$E$7,FALSE))+IF(F38="EXT",VLOOKUP(E38,CostRate!$B$5:$BV$23,9+'Project Estimations'!$E$7,FALSE)))),"")</f>
        <v/>
      </c>
      <c r="J38" s="41" t="str">
        <f t="shared" si="1"/>
        <v/>
      </c>
      <c r="K38" s="41" t="str">
        <f t="shared" si="2"/>
        <v/>
      </c>
      <c r="L38" s="148" t="str">
        <f t="shared" si="3"/>
        <v/>
      </c>
      <c r="Y38" s="407"/>
      <c r="Z38" s="408"/>
      <c r="AA38" s="409"/>
      <c r="AB38" s="415"/>
      <c r="AD38" s="40" t="str">
        <f>+[1]CostRate!CT30</f>
        <v>GBP</v>
      </c>
      <c r="AE38" s="40" t="str">
        <f>+[1]CostRate!CU30</f>
        <v>CHF</v>
      </c>
      <c r="AF38" s="84">
        <f>+IF(SUMIFS(Currency!E:E,Currency!A:A,YEAR('Project Estimations'!$D$4),Currency!B:B,MONTH('Project Estimations'!$D$4),Currency!C:C,AD38,Currency!D:D,AE38)=0,SUMIFS(Currency!E:E,Currency!A:A,YEAR(Currency!$H$2),Currency!B:B,MONTH(Currency!$H$2),Currency!C:C,AD38,Currency!D:D,AE38),SUMIFS(Currency!E:E,Currency!A:A,YEAR('Project Estimations'!$D$4),Currency!B:B,MONTH('Project Estimations'!$D$4),Currency!C:C,AD38,Currency!D:D,AE38))</f>
        <v>1.12984</v>
      </c>
    </row>
    <row r="39" spans="3:33" ht="13" x14ac:dyDescent="0.25">
      <c r="C39" s="67" t="s">
        <v>171</v>
      </c>
      <c r="D39" s="46" t="str">
        <f>IF('Project Estimations'!D58="","",'Project Estimations'!C58&amp;" "&amp;'Project Estimations'!D58&amp;" "&amp;'Project Estimations'!E58)</f>
        <v/>
      </c>
      <c r="E39" s="38" t="str">
        <f>IF('Project Estimations'!F58="","",'Project Estimations'!F58)</f>
        <v/>
      </c>
      <c r="F39" s="38" t="str">
        <f>IF('Project Estimations'!G58="","",'Project Estimations'!G58)</f>
        <v/>
      </c>
      <c r="G39" s="38" t="str">
        <f>IF((OR('Project Estimations'!H58="",'Project Estimations'!H58=0,C39="N")),"",'Project Estimations'!H58)</f>
        <v/>
      </c>
      <c r="H39" s="291"/>
      <c r="I39" s="39" t="str">
        <f>IFERROR(IF(E39="","",(IF(F39="KT",VLOOKUP(E39,CostRate!$B$5:$BV$23,9+'Project Estimations'!$E$7,FALSE))+IF(F39="PT",VLOOKUP(E39,CostRate!$B$5:$BV$23,2+'Project Estimations'!$E$7,FALSE))+IF(F39="US",VLOOKUP(E39,CostRate!$B$5:$BV$23,3+'Project Estimations'!$E$7,FALSE))+IF(F39="DE",VLOOKUP(E39,CostRate!$B$5:$BV$23,4+'Project Estimations'!$E$7,FALSE))+IF(F39="BR",VLOOKUP(E39,CostRate!$B$5:$BV$23,5+'Project Estimations'!$E$7,FALSE))+IF(F39="MX",VLOOKUP(E39,CostRate!$B$5:$BV$23,6+'Project Estimations'!$E$7,FALSE))+IF(F39="CL",VLOOKUP(E39,CostRate!$B$5:$BV$23,7+'Project Estimations'!$E$7,FALSE))+IF(F39="CN",VLOOKUP(E39,CostRate!$B$5:$BV$23,8+'Project Estimations'!$E$7,FALSE))+IF(F39="EXT",VLOOKUP(E39,CostRate!$B$5:$BV$23,9+'Project Estimations'!$E$7,FALSE)))),"")</f>
        <v/>
      </c>
      <c r="J39" s="39" t="str">
        <f t="shared" si="1"/>
        <v/>
      </c>
      <c r="K39" s="39" t="str">
        <f t="shared" si="2"/>
        <v/>
      </c>
      <c r="L39" s="147" t="str">
        <f t="shared" si="3"/>
        <v/>
      </c>
      <c r="Y39" s="299"/>
      <c r="Z39" s="299"/>
      <c r="AA39" s="412"/>
      <c r="AB39" s="413"/>
      <c r="AD39" s="38" t="str">
        <f>+[1]CostRate!CT31</f>
        <v>GBP</v>
      </c>
      <c r="AE39" s="38" t="str">
        <f>+[1]CostRate!CU31</f>
        <v>SEK</v>
      </c>
      <c r="AF39" s="83">
        <f>+IF(SUMIFS(Currency!E:E,Currency!A:A,YEAR('Project Estimations'!$D$4),Currency!B:B,MONTH('Project Estimations'!$D$4),Currency!C:C,AD39,Currency!D:D,AE39)=0,SUMIFS(Currency!E:E,Currency!A:A,YEAR(Currency!$H$2),Currency!B:B,MONTH(Currency!$H$2),Currency!C:C,AD39,Currency!D:D,AE39),SUMIFS(Currency!E:E,Currency!A:A,YEAR('Project Estimations'!$D$4),Currency!B:B,MONTH('Project Estimations'!$D$4),Currency!C:C,AD39,Currency!D:D,AE39))</f>
        <v>13.525969999999999</v>
      </c>
    </row>
    <row r="40" spans="3:33" ht="13" x14ac:dyDescent="0.25">
      <c r="C40" s="68" t="s">
        <v>171</v>
      </c>
      <c r="D40" s="45" t="str">
        <f>IF('Project Estimations'!D59="","",'Project Estimations'!C59&amp;" "&amp;'Project Estimations'!D59&amp;" "&amp;'Project Estimations'!E59)</f>
        <v/>
      </c>
      <c r="E40" s="40" t="str">
        <f>IF('Project Estimations'!F59="","",'Project Estimations'!F59)</f>
        <v/>
      </c>
      <c r="F40" s="40" t="str">
        <f>IF('Project Estimations'!G59="","",'Project Estimations'!G59)</f>
        <v/>
      </c>
      <c r="G40" s="40" t="str">
        <f>IF((OR('Project Estimations'!H59="",'Project Estimations'!H59=0,C40="N")),"",'Project Estimations'!H59)</f>
        <v/>
      </c>
      <c r="H40" s="292"/>
      <c r="I40" s="41" t="str">
        <f>IFERROR(IF(E40="","",(IF(F40="KT",VLOOKUP(E40,CostRate!$B$5:$BV$23,9+'Project Estimations'!$E$7,FALSE))+IF(F40="PT",VLOOKUP(E40,CostRate!$B$5:$BV$23,2+'Project Estimations'!$E$7,FALSE))+IF(F40="US",VLOOKUP(E40,CostRate!$B$5:$BV$23,3+'Project Estimations'!$E$7,FALSE))+IF(F40="DE",VLOOKUP(E40,CostRate!$B$5:$BV$23,4+'Project Estimations'!$E$7,FALSE))+IF(F40="BR",VLOOKUP(E40,CostRate!$B$5:$BV$23,5+'Project Estimations'!$E$7,FALSE))+IF(F40="MX",VLOOKUP(E40,CostRate!$B$5:$BV$23,6+'Project Estimations'!$E$7,FALSE))+IF(F40="CL",VLOOKUP(E40,CostRate!$B$5:$BV$23,7+'Project Estimations'!$E$7,FALSE))+IF(F40="CN",VLOOKUP(E40,CostRate!$B$5:$BV$23,8+'Project Estimations'!$E$7,FALSE))+IF(F40="EXT",VLOOKUP(E40,CostRate!$B$5:$BV$23,9+'Project Estimations'!$E$7,FALSE)))),"")</f>
        <v/>
      </c>
      <c r="J40" s="41" t="str">
        <f t="shared" si="1"/>
        <v/>
      </c>
      <c r="K40" s="41" t="str">
        <f t="shared" si="2"/>
        <v/>
      </c>
      <c r="L40" s="148" t="str">
        <f t="shared" si="3"/>
        <v/>
      </c>
      <c r="Y40" s="412"/>
      <c r="Z40" s="412"/>
      <c r="AA40" s="412"/>
      <c r="AB40" s="416"/>
      <c r="AD40" s="40" t="str">
        <f>+[1]CostRate!CT32</f>
        <v>GBP</v>
      </c>
      <c r="AE40" s="40" t="str">
        <f>+[1]CostRate!CU32</f>
        <v>SAR</v>
      </c>
      <c r="AF40" s="84">
        <f>+IF(SUMIFS(Currency!E:E,Currency!A:A,YEAR('Project Estimations'!$D$4),Currency!B:B,MONTH('Project Estimations'!$D$4),Currency!C:C,AD40,Currency!D:D,AE40)=0,SUMIFS(Currency!E:E,Currency!A:A,YEAR(Currency!$H$2),Currency!B:B,MONTH(Currency!$H$2),Currency!C:C,AD40,Currency!D:D,AE40),SUMIFS(Currency!E:E,Currency!A:A,YEAR('Project Estimations'!$D$4),Currency!B:B,MONTH('Project Estimations'!$D$4),Currency!C:C,AD40,Currency!D:D,AE40))</f>
        <v>5.0273500000000002</v>
      </c>
    </row>
    <row r="41" spans="3:33" ht="13" x14ac:dyDescent="0.25">
      <c r="C41" s="67" t="s">
        <v>171</v>
      </c>
      <c r="D41" s="46" t="str">
        <f>IF('Project Estimations'!D60="","",'Project Estimations'!C60&amp;" "&amp;'Project Estimations'!D60&amp;" "&amp;'Project Estimations'!E60)</f>
        <v/>
      </c>
      <c r="E41" s="38" t="str">
        <f>IF('Project Estimations'!F60="","",'Project Estimations'!F60)</f>
        <v/>
      </c>
      <c r="F41" s="38" t="str">
        <f>IF('Project Estimations'!G60="","",'Project Estimations'!G60)</f>
        <v/>
      </c>
      <c r="G41" s="38" t="str">
        <f>IF((OR('Project Estimations'!H60="",'Project Estimations'!H60=0,C41="N")),"",'Project Estimations'!H60)</f>
        <v/>
      </c>
      <c r="H41" s="291"/>
      <c r="I41" s="39" t="str">
        <f>IFERROR(IF(E41="","",(IF(F41="KT",VLOOKUP(E41,CostRate!$B$5:$BV$23,9+'Project Estimations'!$E$7,FALSE))+IF(F41="PT",VLOOKUP(E41,CostRate!$B$5:$BV$23,2+'Project Estimations'!$E$7,FALSE))+IF(F41="US",VLOOKUP(E41,CostRate!$B$5:$BV$23,3+'Project Estimations'!$E$7,FALSE))+IF(F41="DE",VLOOKUP(E41,CostRate!$B$5:$BV$23,4+'Project Estimations'!$E$7,FALSE))+IF(F41="BR",VLOOKUP(E41,CostRate!$B$5:$BV$23,5+'Project Estimations'!$E$7,FALSE))+IF(F41="MX",VLOOKUP(E41,CostRate!$B$5:$BV$23,6+'Project Estimations'!$E$7,FALSE))+IF(F41="CL",VLOOKUP(E41,CostRate!$B$5:$BV$23,7+'Project Estimations'!$E$7,FALSE))+IF(F41="CN",VLOOKUP(E41,CostRate!$B$5:$BV$23,8+'Project Estimations'!$E$7,FALSE))+IF(F41="EXT",VLOOKUP(E41,CostRate!$B$5:$BV$23,9+'Project Estimations'!$E$7,FALSE)))),"")</f>
        <v/>
      </c>
      <c r="J41" s="39" t="str">
        <f t="shared" si="1"/>
        <v/>
      </c>
      <c r="K41" s="39" t="str">
        <f t="shared" si="2"/>
        <v/>
      </c>
      <c r="L41" s="147" t="str">
        <f t="shared" si="3"/>
        <v/>
      </c>
      <c r="Y41" s="299"/>
      <c r="Z41" s="299"/>
      <c r="AA41" s="412"/>
      <c r="AB41" s="416"/>
      <c r="AD41" s="38" t="str">
        <f>+[1]CostRate!CT33</f>
        <v>MXN</v>
      </c>
      <c r="AE41" s="38" t="str">
        <f>+[1]CostRate!CU33</f>
        <v>EUR</v>
      </c>
      <c r="AF41" s="83">
        <f>+IF(SUMIFS(Currency!E:E,Currency!A:A,YEAR('Project Estimations'!$D$4),Currency!B:B,MONTH('Project Estimations'!$D$4),Currency!C:C,AD41,Currency!D:D,AE41)=0,SUMIFS(Currency!E:E,Currency!A:A,YEAR(Currency!$H$2),Currency!B:B,MONTH(Currency!$H$2),Currency!C:C,AD41,Currency!D:D,AE41),SUMIFS(Currency!E:E,Currency!A:A,YEAR('Project Estimations'!$D$4),Currency!B:B,MONTH('Project Estimations'!$D$4),Currency!C:C,AD41,Currency!D:D,AE41))</f>
        <v>4.5487213544272702E-2</v>
      </c>
    </row>
    <row r="42" spans="3:33" ht="18.5" x14ac:dyDescent="0.45">
      <c r="C42" s="68" t="s">
        <v>171</v>
      </c>
      <c r="D42" s="45" t="str">
        <f>IF('Project Estimations'!D61="","",'Project Estimations'!C61&amp;" "&amp;'Project Estimations'!D61&amp;" "&amp;'Project Estimations'!E61)</f>
        <v/>
      </c>
      <c r="E42" s="40" t="str">
        <f>IF('Project Estimations'!F61="","",'Project Estimations'!F61)</f>
        <v/>
      </c>
      <c r="F42" s="40" t="str">
        <f>IF('Project Estimations'!G61="","",'Project Estimations'!G61)</f>
        <v/>
      </c>
      <c r="G42" s="40" t="str">
        <f>IF((OR('Project Estimations'!H61="",'Project Estimations'!H61=0,C42="N")),"",'Project Estimations'!H61)</f>
        <v/>
      </c>
      <c r="H42" s="292"/>
      <c r="I42" s="41" t="str">
        <f>IFERROR(IF(E42="","",(IF(F42="KT",VLOOKUP(E42,CostRate!$B$5:$BV$23,9+'Project Estimations'!$E$7,FALSE))+IF(F42="PT",VLOOKUP(E42,CostRate!$B$5:$BV$23,2+'Project Estimations'!$E$7,FALSE))+IF(F42="US",VLOOKUP(E42,CostRate!$B$5:$BV$23,3+'Project Estimations'!$E$7,FALSE))+IF(F42="DE",VLOOKUP(E42,CostRate!$B$5:$BV$23,4+'Project Estimations'!$E$7,FALSE))+IF(F42="BR",VLOOKUP(E42,CostRate!$B$5:$BV$23,5+'Project Estimations'!$E$7,FALSE))+IF(F42="MX",VLOOKUP(E42,CostRate!$B$5:$BV$23,6+'Project Estimations'!$E$7,FALSE))+IF(F42="CL",VLOOKUP(E42,CostRate!$B$5:$BV$23,7+'Project Estimations'!$E$7,FALSE))+IF(F42="CN",VLOOKUP(E42,CostRate!$B$5:$BV$23,8+'Project Estimations'!$E$7,FALSE))+IF(F42="EXT",VLOOKUP(E42,CostRate!$B$5:$BV$23,9+'Project Estimations'!$E$7,FALSE)))),"")</f>
        <v/>
      </c>
      <c r="J42" s="41" t="str">
        <f t="shared" si="1"/>
        <v/>
      </c>
      <c r="K42" s="41" t="str">
        <f t="shared" si="2"/>
        <v/>
      </c>
      <c r="L42" s="148" t="str">
        <f t="shared" si="3"/>
        <v/>
      </c>
      <c r="Y42" s="407"/>
      <c r="Z42" s="408"/>
      <c r="AA42" s="409"/>
      <c r="AB42" s="417"/>
      <c r="AD42" s="40" t="str">
        <f>+[1]CostRate!CT34</f>
        <v>MXN</v>
      </c>
      <c r="AE42" s="40" t="str">
        <f>+[1]CostRate!CU34</f>
        <v>USD</v>
      </c>
      <c r="AF42" s="84">
        <f>+IF(SUMIFS(Currency!E:E,Currency!A:A,YEAR('Project Estimations'!$D$4),Currency!B:B,MONTH('Project Estimations'!$D$4),Currency!C:C,AD42,Currency!D:D,AE42)=0,SUMIFS(Currency!E:E,Currency!A:A,YEAR(Currency!$H$2),Currency!B:B,MONTH(Currency!$H$2),Currency!C:C,AD42,Currency!D:D,AE42),SUMIFS(Currency!E:E,Currency!A:A,YEAR('Project Estimations'!$D$4),Currency!B:B,MONTH('Project Estimations'!$D$4),Currency!C:C,AD42,Currency!D:D,AE42))</f>
        <v>5.0927491474737921E-2</v>
      </c>
    </row>
    <row r="43" spans="3:33" ht="13" x14ac:dyDescent="0.25">
      <c r="C43" s="67" t="s">
        <v>171</v>
      </c>
      <c r="D43" s="46" t="str">
        <f>IF('Project Estimations'!D62="","",'Project Estimations'!C62&amp;" "&amp;'Project Estimations'!D62&amp;" "&amp;'Project Estimations'!E62)</f>
        <v/>
      </c>
      <c r="E43" s="38" t="str">
        <f>IF('Project Estimations'!F62="","",'Project Estimations'!F62)</f>
        <v/>
      </c>
      <c r="F43" s="38" t="str">
        <f>IF('Project Estimations'!G62="","",'Project Estimations'!G62)</f>
        <v/>
      </c>
      <c r="G43" s="38" t="str">
        <f>IF((OR('Project Estimations'!H62="",'Project Estimations'!H62=0,C43="N")),"",'Project Estimations'!H62)</f>
        <v/>
      </c>
      <c r="H43" s="291"/>
      <c r="I43" s="39" t="str">
        <f>IFERROR(IF(E43="","",(IF(F43="KT",VLOOKUP(E43,CostRate!$B$5:$BV$23,9+'Project Estimations'!$E$7,FALSE))+IF(F43="PT",VLOOKUP(E43,CostRate!$B$5:$BV$23,2+'Project Estimations'!$E$7,FALSE))+IF(F43="US",VLOOKUP(E43,CostRate!$B$5:$BV$23,3+'Project Estimations'!$E$7,FALSE))+IF(F43="DE",VLOOKUP(E43,CostRate!$B$5:$BV$23,4+'Project Estimations'!$E$7,FALSE))+IF(F43="BR",VLOOKUP(E43,CostRate!$B$5:$BV$23,5+'Project Estimations'!$E$7,FALSE))+IF(F43="MX",VLOOKUP(E43,CostRate!$B$5:$BV$23,6+'Project Estimations'!$E$7,FALSE))+IF(F43="CL",VLOOKUP(E43,CostRate!$B$5:$BV$23,7+'Project Estimations'!$E$7,FALSE))+IF(F43="CN",VLOOKUP(E43,CostRate!$B$5:$BV$23,8+'Project Estimations'!$E$7,FALSE))+IF(F43="EXT",VLOOKUP(E43,CostRate!$B$5:$BV$23,9+'Project Estimations'!$E$7,FALSE)))),"")</f>
        <v/>
      </c>
      <c r="J43" s="39" t="str">
        <f t="shared" si="1"/>
        <v/>
      </c>
      <c r="K43" s="39" t="str">
        <f t="shared" si="2"/>
        <v/>
      </c>
      <c r="L43" s="147" t="str">
        <f t="shared" si="3"/>
        <v/>
      </c>
      <c r="Y43" s="299"/>
      <c r="Z43" s="299"/>
      <c r="AA43" s="412"/>
      <c r="AB43" s="413"/>
      <c r="AD43" s="38" t="str">
        <f>+[1]CostRate!CT35</f>
        <v>MXN</v>
      </c>
      <c r="AE43" s="38" t="str">
        <f>+[1]CostRate!CU35</f>
        <v>GBP</v>
      </c>
      <c r="AF43" s="83">
        <f>+IF(SUMIFS(Currency!E:E,Currency!A:A,YEAR('Project Estimations'!$D$4),Currency!B:B,MONTH('Project Estimations'!$D$4),Currency!C:C,AD43,Currency!D:D,AE43)=0,SUMIFS(Currency!E:E,Currency!A:A,YEAR(Currency!$H$2),Currency!B:B,MONTH(Currency!$H$2),Currency!C:C,AD43,Currency!D:D,AE43),SUMIFS(Currency!E:E,Currency!A:A,YEAR('Project Estimations'!$D$4),Currency!B:B,MONTH('Project Estimations'!$D$4),Currency!C:C,AD43,Currency!D:D,AE43))</f>
        <v>3.8001385530516442E-2</v>
      </c>
    </row>
    <row r="44" spans="3:33" ht="13" x14ac:dyDescent="0.25">
      <c r="C44" s="68" t="s">
        <v>171</v>
      </c>
      <c r="D44" s="45" t="str">
        <f>IF('Project Estimations'!D63="","",'Project Estimations'!C63&amp;" "&amp;'Project Estimations'!D63&amp;" "&amp;'Project Estimations'!E63)</f>
        <v/>
      </c>
      <c r="E44" s="40">
        <f>IF('Project Estimations'!F63="","",'Project Estimations'!F63)</f>
        <v>100</v>
      </c>
      <c r="F44" s="40" t="str">
        <f>IF('Project Estimations'!G63="","",'Project Estimations'!G63)</f>
        <v/>
      </c>
      <c r="G44" s="40" t="str">
        <f>IF((OR('Project Estimations'!H63="",'Project Estimations'!H63=0,C44="N")),"",'Project Estimations'!H63)</f>
        <v/>
      </c>
      <c r="H44" s="292"/>
      <c r="I44" s="41">
        <f>IFERROR(IF(E44="","",(IF(F44="KT",VLOOKUP(E44,CostRate!$B$5:$BV$23,9+'Project Estimations'!$E$7,FALSE))+IF(F44="PT",VLOOKUP(E44,CostRate!$B$5:$BV$23,2+'Project Estimations'!$E$7,FALSE))+IF(F44="US",VLOOKUP(E44,CostRate!$B$5:$BV$23,3+'Project Estimations'!$E$7,FALSE))+IF(F44="DE",VLOOKUP(E44,CostRate!$B$5:$BV$23,4+'Project Estimations'!$E$7,FALSE))+IF(F44="BR",VLOOKUP(E44,CostRate!$B$5:$BV$23,5+'Project Estimations'!$E$7,FALSE))+IF(F44="MX",VLOOKUP(E44,CostRate!$B$5:$BV$23,6+'Project Estimations'!$E$7,FALSE))+IF(F44="CL",VLOOKUP(E44,CostRate!$B$5:$BV$23,7+'Project Estimations'!$E$7,FALSE))+IF(F44="CN",VLOOKUP(E44,CostRate!$B$5:$BV$23,8+'Project Estimations'!$E$7,FALSE))+IF(F44="EXT",VLOOKUP(E44,CostRate!$B$5:$BV$23,9+'Project Estimations'!$E$7,FALSE)))),"")</f>
        <v>0</v>
      </c>
      <c r="J44" s="41" t="str">
        <f t="shared" si="1"/>
        <v/>
      </c>
      <c r="K44" s="41" t="str">
        <f t="shared" si="2"/>
        <v/>
      </c>
      <c r="L44" s="148" t="str">
        <f t="shared" si="3"/>
        <v/>
      </c>
      <c r="Y44" s="412"/>
      <c r="Z44" s="412"/>
      <c r="AA44" s="412"/>
      <c r="AB44" s="418"/>
      <c r="AD44" s="40" t="str">
        <f>+[1]CostRate!CT36</f>
        <v>MXN</v>
      </c>
      <c r="AE44" s="40" t="str">
        <f>+[1]CostRate!CU36</f>
        <v>BRL</v>
      </c>
      <c r="AF44" s="84">
        <f>+IF(SUMIFS(Currency!E:E,Currency!A:A,YEAR('Project Estimations'!$D$4),Currency!B:B,MONTH('Project Estimations'!$D$4),Currency!C:C,AD44,Currency!D:D,AE44)=0,SUMIFS(Currency!E:E,Currency!A:A,YEAR(Currency!$H$2),Currency!B:B,MONTH(Currency!$H$2),Currency!C:C,AD44,Currency!D:D,AE44),SUMIFS(Currency!E:E,Currency!A:A,YEAR('Project Estimations'!$D$4),Currency!B:B,MONTH('Project Estimations'!$D$4),Currency!C:C,AD44,Currency!D:D,AE44))</f>
        <v>0.27521597573695961</v>
      </c>
    </row>
    <row r="45" spans="3:33" ht="13" x14ac:dyDescent="0.25">
      <c r="C45" s="67" t="s">
        <v>171</v>
      </c>
      <c r="D45" s="46" t="str">
        <f>IF('Project Estimations'!D64="","",'Project Estimations'!C64&amp;" "&amp;'Project Estimations'!D64&amp;" "&amp;'Project Estimations'!E64)</f>
        <v/>
      </c>
      <c r="E45" s="38">
        <f>IF('Project Estimations'!F64="","",'Project Estimations'!F64)</f>
        <v>101</v>
      </c>
      <c r="F45" s="38" t="str">
        <f>IF('Project Estimations'!G64="","",'Project Estimations'!G64)</f>
        <v>BR</v>
      </c>
      <c r="G45" s="38">
        <f>IF((OR('Project Estimations'!H64="",'Project Estimations'!H64=0,C45="N")),"",'Project Estimations'!H64)</f>
        <v>54.214875000000006</v>
      </c>
      <c r="H45" s="291">
        <v>537.20936712709329</v>
      </c>
      <c r="I45" s="39">
        <f>IFERROR(IF(E45="","",(IF(F45="KT",VLOOKUP(E45,CostRate!$B$5:$BV$23,9+'Project Estimations'!$E$7,FALSE))+IF(F45="PT",VLOOKUP(E45,CostRate!$B$5:$BV$23,2+'Project Estimations'!$E$7,FALSE))+IF(F45="US",VLOOKUP(E45,CostRate!$B$5:$BV$23,3+'Project Estimations'!$E$7,FALSE))+IF(F45="DE",VLOOKUP(E45,CostRate!$B$5:$BV$23,4+'Project Estimations'!$E$7,FALSE))+IF(F45="BR",VLOOKUP(E45,CostRate!$B$5:$BV$23,5+'Project Estimations'!$E$7,FALSE))+IF(F45="MX",VLOOKUP(E45,CostRate!$B$5:$BV$23,6+'Project Estimations'!$E$7,FALSE))+IF(F45="CL",VLOOKUP(E45,CostRate!$B$5:$BV$23,7+'Project Estimations'!$E$7,FALSE))+IF(F45="CN",VLOOKUP(E45,CostRate!$B$5:$BV$23,8+'Project Estimations'!$E$7,FALSE))+IF(F45="EXT",VLOOKUP(E45,CostRate!$B$5:$BV$23,9+'Project Estimations'!$E$7,FALSE)))),"")</f>
        <v>123.31452161482827</v>
      </c>
      <c r="J45" s="39">
        <f t="shared" si="1"/>
        <v>6685.481375032713</v>
      </c>
      <c r="K45" s="39">
        <f t="shared" si="2"/>
        <v>29124.738687624475</v>
      </c>
      <c r="L45" s="147">
        <f t="shared" si="3"/>
        <v>0.77045351559245168</v>
      </c>
      <c r="Y45" s="299"/>
      <c r="Z45" s="299"/>
      <c r="AA45" s="412"/>
      <c r="AB45" s="418"/>
      <c r="AD45" s="38" t="str">
        <f>+[1]CostRate!CT37</f>
        <v>MXN</v>
      </c>
      <c r="AE45" s="38" t="str">
        <f>+[1]CostRate!CU37</f>
        <v>MXN</v>
      </c>
      <c r="AF45" s="83">
        <f>+IF(SUMIFS(Currency!E:E,Currency!A:A,YEAR('Project Estimations'!$D$4),Currency!B:B,MONTH('Project Estimations'!$D$4),Currency!C:C,AD45,Currency!D:D,AE45)=0,SUMIFS(Currency!E:E,Currency!A:A,YEAR(Currency!$H$2),Currency!B:B,MONTH(Currency!$H$2),Currency!C:C,AD45,Currency!D:D,AE45),SUMIFS(Currency!E:E,Currency!A:A,YEAR('Project Estimations'!$D$4),Currency!B:B,MONTH('Project Estimations'!$D$4),Currency!C:C,AD45,Currency!D:D,AE45))</f>
        <v>1</v>
      </c>
    </row>
    <row r="46" spans="3:33" ht="13" x14ac:dyDescent="0.25">
      <c r="C46" s="68" t="s">
        <v>171</v>
      </c>
      <c r="D46" s="45" t="str">
        <f>IF('Project Estimations'!D65="","",'Project Estimations'!C65&amp;" "&amp;'Project Estimations'!D65&amp;" "&amp;'Project Estimations'!E65)</f>
        <v/>
      </c>
      <c r="E46" s="40">
        <f>IF('Project Estimations'!F65="","",'Project Estimations'!F65)</f>
        <v>102</v>
      </c>
      <c r="F46" s="40" t="str">
        <f>IF('Project Estimations'!G65="","",'Project Estimations'!G65)</f>
        <v>BR</v>
      </c>
      <c r="G46" s="40">
        <f>IF((OR('Project Estimations'!H65="",'Project Estimations'!H65=0,C46="N")),"",'Project Estimations'!H65)</f>
        <v>56.383470000000003</v>
      </c>
      <c r="H46" s="292">
        <v>537.20936712709329</v>
      </c>
      <c r="I46" s="41">
        <f>IFERROR(IF(E46="","",(IF(F46="KT",VLOOKUP(E46,CostRate!$B$5:$BV$23,9+'Project Estimations'!$E$7,FALSE))+IF(F46="PT",VLOOKUP(E46,CostRate!$B$5:$BV$23,2+'Project Estimations'!$E$7,FALSE))+IF(F46="US",VLOOKUP(E46,CostRate!$B$5:$BV$23,3+'Project Estimations'!$E$7,FALSE))+IF(F46="DE",VLOOKUP(E46,CostRate!$B$5:$BV$23,4+'Project Estimations'!$E$7,FALSE))+IF(F46="BR",VLOOKUP(E46,CostRate!$B$5:$BV$23,5+'Project Estimations'!$E$7,FALSE))+IF(F46="MX",VLOOKUP(E46,CostRate!$B$5:$BV$23,6+'Project Estimations'!$E$7,FALSE))+IF(F46="CL",VLOOKUP(E46,CostRate!$B$5:$BV$23,7+'Project Estimations'!$E$7,FALSE))+IF(F46="CN",VLOOKUP(E46,CostRate!$B$5:$BV$23,8+'Project Estimations'!$E$7,FALSE))+IF(F46="EXT",VLOOKUP(E46,CostRate!$B$5:$BV$23,9+'Project Estimations'!$E$7,FALSE)))),"")</f>
        <v>146.49693586072959</v>
      </c>
      <c r="J46" s="41">
        <f t="shared" si="1"/>
        <v>8260.0055881953722</v>
      </c>
      <c r="K46" s="41">
        <f t="shared" si="2"/>
        <v>30289.728235129453</v>
      </c>
      <c r="L46" s="148">
        <f t="shared" si="3"/>
        <v>0.72730010899815301</v>
      </c>
      <c r="AD46" s="40" t="str">
        <f>+[1]CostRate!CT38</f>
        <v>MXN</v>
      </c>
      <c r="AE46" s="40" t="str">
        <f>+[1]CostRate!CU38</f>
        <v>CLP</v>
      </c>
      <c r="AF46" s="84">
        <f>+IF(SUMIFS(Currency!E:E,Currency!A:A,YEAR('Project Estimations'!$D$4),Currency!B:B,MONTH('Project Estimations'!$D$4),Currency!C:C,AD46,Currency!D:D,AE46)=0,SUMIFS(Currency!E:E,Currency!A:A,YEAR(Currency!$H$2),Currency!B:B,MONTH(Currency!$H$2),Currency!C:C,AD46,Currency!D:D,AE46),SUMIFS(Currency!E:E,Currency!A:A,YEAR('Project Estimations'!$D$4),Currency!B:B,MONTH('Project Estimations'!$D$4),Currency!C:C,AD46,Currency!D:D,AE46))</f>
        <v>45.763460000000002</v>
      </c>
    </row>
    <row r="47" spans="3:33" ht="18.5" x14ac:dyDescent="0.4">
      <c r="C47" s="67" t="s">
        <v>171</v>
      </c>
      <c r="D47" s="46" t="str">
        <f>IF('Project Estimations'!D66="","",'Project Estimations'!C66&amp;" "&amp;'Project Estimations'!D66&amp;" "&amp;'Project Estimations'!E66)</f>
        <v/>
      </c>
      <c r="E47" s="38">
        <f>IF('Project Estimations'!F66="","",'Project Estimations'!F66)</f>
        <v>200</v>
      </c>
      <c r="F47" s="38" t="str">
        <f>IF('Project Estimations'!G66="","",'Project Estimations'!G66)</f>
        <v>PT</v>
      </c>
      <c r="G47" s="38">
        <f>IF((OR('Project Estimations'!H66="",'Project Estimations'!H66=0,C47="N")),"",'Project Estimations'!H66)</f>
        <v>21.685950000000002</v>
      </c>
      <c r="H47" s="291">
        <v>537.20936712709329</v>
      </c>
      <c r="I47" s="39">
        <f>IFERROR(IF(E47="","",(IF(F47="KT",VLOOKUP(E47,CostRate!$B$5:$BV$23,9+'Project Estimations'!$E$7,FALSE))+IF(F47="PT",VLOOKUP(E47,CostRate!$B$5:$BV$23,2+'Project Estimations'!$E$7,FALSE))+IF(F47="US",VLOOKUP(E47,CostRate!$B$5:$BV$23,3+'Project Estimations'!$E$7,FALSE))+IF(F47="DE",VLOOKUP(E47,CostRate!$B$5:$BV$23,4+'Project Estimations'!$E$7,FALSE))+IF(F47="BR",VLOOKUP(E47,CostRate!$B$5:$BV$23,5+'Project Estimations'!$E$7,FALSE))+IF(F47="MX",VLOOKUP(E47,CostRate!$B$5:$BV$23,6+'Project Estimations'!$E$7,FALSE))+IF(F47="CL",VLOOKUP(E47,CostRate!$B$5:$BV$23,7+'Project Estimations'!$E$7,FALSE))+IF(F47="CN",VLOOKUP(E47,CostRate!$B$5:$BV$23,8+'Project Estimations'!$E$7,FALSE))+IF(F47="EXT",VLOOKUP(E47,CostRate!$B$5:$BV$23,9+'Project Estimations'!$E$7,FALSE)))),"")</f>
        <v>334.43013576805146</v>
      </c>
      <c r="J47" s="39">
        <f t="shared" si="1"/>
        <v>7252.4352027591758</v>
      </c>
      <c r="K47" s="39">
        <f t="shared" si="2"/>
        <v>11649.895475049791</v>
      </c>
      <c r="L47" s="147">
        <f t="shared" si="3"/>
        <v>0.37746778773324746</v>
      </c>
      <c r="Y47" s="407"/>
      <c r="Z47" s="408"/>
      <c r="AA47" s="409"/>
      <c r="AB47" s="415"/>
      <c r="AD47" s="38" t="str">
        <f>+[1]CostRate!CT39</f>
        <v>MXN</v>
      </c>
      <c r="AE47" s="38" t="str">
        <f>+[1]CostRate!CU39</f>
        <v>CNY</v>
      </c>
      <c r="AF47" s="83">
        <f>+IF(SUMIFS(Currency!E:E,Currency!A:A,YEAR('Project Estimations'!$D$4),Currency!B:B,MONTH('Project Estimations'!$D$4),Currency!C:C,AD47,Currency!D:D,AE47)=0,SUMIFS(Currency!E:E,Currency!A:A,YEAR(Currency!$H$2),Currency!B:B,MONTH(Currency!$H$2),Currency!C:C,AD47,Currency!D:D,AE47),SUMIFS(Currency!E:E,Currency!A:A,YEAR('Project Estimations'!$D$4),Currency!B:B,MONTH('Project Estimations'!$D$4),Currency!C:C,AD47,Currency!D:D,AE47))</f>
        <v>0.35711999999999999</v>
      </c>
    </row>
    <row r="48" spans="3:33" ht="13" x14ac:dyDescent="0.25">
      <c r="C48" s="68" t="s">
        <v>171</v>
      </c>
      <c r="D48" s="45" t="str">
        <f>IF('Project Estimations'!D67="","",'Project Estimations'!C67&amp;" "&amp;'Project Estimations'!D67&amp;" "&amp;'Project Estimations'!E67)</f>
        <v/>
      </c>
      <c r="E48" s="40">
        <f>IF('Project Estimations'!F67="","",'Project Estimations'!F67)</f>
        <v>201</v>
      </c>
      <c r="F48" s="40" t="str">
        <f>IF('Project Estimations'!G67="","",'Project Estimations'!G67)</f>
        <v>PT</v>
      </c>
      <c r="G48" s="40">
        <f>IF((OR('Project Estimations'!H67="",'Project Estimations'!H67=0,C48="N")),"",'Project Estimations'!H67)</f>
        <v>21.685950000000002</v>
      </c>
      <c r="H48" s="292">
        <v>537.20936712709329</v>
      </c>
      <c r="I48" s="41">
        <f>IFERROR(IF(E48="","",(IF(F48="KT",VLOOKUP(E48,CostRate!$B$5:$BV$23,9+'Project Estimations'!$E$7,FALSE))+IF(F48="PT",VLOOKUP(E48,CostRate!$B$5:$BV$23,2+'Project Estimations'!$E$7,FALSE))+IF(F48="US",VLOOKUP(E48,CostRate!$B$5:$BV$23,3+'Project Estimations'!$E$7,FALSE))+IF(F48="DE",VLOOKUP(E48,CostRate!$B$5:$BV$23,4+'Project Estimations'!$E$7,FALSE))+IF(F48="BR",VLOOKUP(E48,CostRate!$B$5:$BV$23,5+'Project Estimations'!$E$7,FALSE))+IF(F48="MX",VLOOKUP(E48,CostRate!$B$5:$BV$23,6+'Project Estimations'!$E$7,FALSE))+IF(F48="CL",VLOOKUP(E48,CostRate!$B$5:$BV$23,7+'Project Estimations'!$E$7,FALSE))+IF(F48="CN",VLOOKUP(E48,CostRate!$B$5:$BV$23,8+'Project Estimations'!$E$7,FALSE))+IF(F48="EXT",VLOOKUP(E48,CostRate!$B$5:$BV$23,9+'Project Estimations'!$E$7,FALSE)))),"")</f>
        <v>363.51493727180645</v>
      </c>
      <c r="J48" s="41">
        <f t="shared" si="1"/>
        <v>7883.1667539295313</v>
      </c>
      <c r="K48" s="41">
        <f t="shared" si="2"/>
        <v>11649.895475049791</v>
      </c>
      <c r="L48" s="148">
        <f t="shared" si="3"/>
        <v>0.32332725466827938</v>
      </c>
      <c r="AD48" s="40" t="str">
        <f>+[1]CostRate!CT40</f>
        <v>MXN</v>
      </c>
      <c r="AE48" s="40" t="str">
        <f>+[1]CostRate!CU40</f>
        <v>CHF</v>
      </c>
      <c r="AF48" s="84">
        <f>+IF(SUMIFS(Currency!E:E,Currency!A:A,YEAR('Project Estimations'!$D$4),Currency!B:B,MONTH('Project Estimations'!$D$4),Currency!C:C,AD48,Currency!D:D,AE48)=0,SUMIFS(Currency!E:E,Currency!A:A,YEAR(Currency!$H$2),Currency!B:B,MONTH(Currency!$H$2),Currency!C:C,AD48,Currency!D:D,AE48),SUMIFS(Currency!E:E,Currency!A:A,YEAR('Project Estimations'!$D$4),Currency!B:B,MONTH('Project Estimations'!$D$4),Currency!C:C,AD48,Currency!D:D,AE48))</f>
        <v>4.2939999999999999E-2</v>
      </c>
    </row>
    <row r="49" spans="3:32" ht="13" x14ac:dyDescent="0.25">
      <c r="C49" s="67" t="s">
        <v>171</v>
      </c>
      <c r="D49" s="46" t="str">
        <f>IF('Project Estimations'!D68="","",'Project Estimations'!C68&amp;" "&amp;'Project Estimations'!D68&amp;" "&amp;'Project Estimations'!E68)</f>
        <v/>
      </c>
      <c r="E49" s="38">
        <f>IF('Project Estimations'!F68="","",'Project Estimations'!F68)</f>
        <v>202</v>
      </c>
      <c r="F49" s="38" t="str">
        <f>IF('Project Estimations'!G68="","",'Project Estimations'!G68)</f>
        <v>PT</v>
      </c>
      <c r="G49" s="38">
        <f>IF((OR('Project Estimations'!H68="",'Project Estimations'!H68=0,C49="N")),"",'Project Estimations'!H68)</f>
        <v>21.685950000000002</v>
      </c>
      <c r="H49" s="291">
        <v>537.20936712709329</v>
      </c>
      <c r="I49" s="39">
        <f>IFERROR(IF(E49="","",(IF(F49="KT",VLOOKUP(E49,CostRate!$B$5:$BV$23,9+'Project Estimations'!$E$7,FALSE))+IF(F49="PT",VLOOKUP(E49,CostRate!$B$5:$BV$23,2+'Project Estimations'!$E$7,FALSE))+IF(F49="US",VLOOKUP(E49,CostRate!$B$5:$BV$23,3+'Project Estimations'!$E$7,FALSE))+IF(F49="DE",VLOOKUP(E49,CostRate!$B$5:$BV$23,4+'Project Estimations'!$E$7,FALSE))+IF(F49="BR",VLOOKUP(E49,CostRate!$B$5:$BV$23,5+'Project Estimations'!$E$7,FALSE))+IF(F49="MX",VLOOKUP(E49,CostRate!$B$5:$BV$23,6+'Project Estimations'!$E$7,FALSE))+IF(F49="CL",VLOOKUP(E49,CostRate!$B$5:$BV$23,7+'Project Estimations'!$E$7,FALSE))+IF(F49="CN",VLOOKUP(E49,CostRate!$B$5:$BV$23,8+'Project Estimations'!$E$7,FALSE))+IF(F49="EXT",VLOOKUP(E49,CostRate!$B$5:$BV$23,9+'Project Estimations'!$E$7,FALSE)))),"")</f>
        <v>406.04491413105427</v>
      </c>
      <c r="J49" s="39">
        <f t="shared" si="1"/>
        <v>8805.469705600337</v>
      </c>
      <c r="K49" s="39">
        <f t="shared" si="2"/>
        <v>11649.895475049791</v>
      </c>
      <c r="L49" s="147">
        <f t="shared" si="3"/>
        <v>0.2441589090255161</v>
      </c>
      <c r="AD49" s="38" t="str">
        <f>+[1]CostRate!CT41</f>
        <v>MXN</v>
      </c>
      <c r="AE49" s="38" t="str">
        <f>+[1]CostRate!CU41</f>
        <v>SEK</v>
      </c>
      <c r="AF49" s="83">
        <f>+IF(SUMIFS(Currency!E:E,Currency!A:A,YEAR('Project Estimations'!$D$4),Currency!B:B,MONTH('Project Estimations'!$D$4),Currency!C:C,AD49,Currency!D:D,AE49)=0,SUMIFS(Currency!E:E,Currency!A:A,YEAR(Currency!$H$2),Currency!B:B,MONTH(Currency!$H$2),Currency!C:C,AD49,Currency!D:D,AE49),SUMIFS(Currency!E:E,Currency!A:A,YEAR('Project Estimations'!$D$4),Currency!B:B,MONTH('Project Estimations'!$D$4),Currency!C:C,AD49,Currency!D:D,AE49))</f>
        <v>0.51400999999999997</v>
      </c>
    </row>
    <row r="50" spans="3:32" ht="13" x14ac:dyDescent="0.25">
      <c r="C50" s="68" t="s">
        <v>171</v>
      </c>
      <c r="D50" s="45" t="str">
        <f>IF('Project Estimations'!D69="","",'Project Estimations'!C69&amp;" "&amp;'Project Estimations'!D69&amp;" "&amp;'Project Estimations'!E69)</f>
        <v/>
      </c>
      <c r="E50" s="40">
        <f>IF('Project Estimations'!F69="","",'Project Estimations'!F69)</f>
        <v>203</v>
      </c>
      <c r="F50" s="40" t="str">
        <f>IF('Project Estimations'!G69="","",'Project Estimations'!G69)</f>
        <v>PT</v>
      </c>
      <c r="G50" s="40">
        <f>IF((OR('Project Estimations'!H69="",'Project Estimations'!H69=0,C50="N")),"",'Project Estimations'!H69)</f>
        <v>23.854545000000002</v>
      </c>
      <c r="H50" s="292">
        <v>537.20936712709329</v>
      </c>
      <c r="I50" s="41">
        <f>IFERROR(IF(E50="","",(IF(F50="KT",VLOOKUP(E50,CostRate!$B$5:$BV$23,9+'Project Estimations'!$E$7,FALSE))+IF(F50="PT",VLOOKUP(E50,CostRate!$B$5:$BV$23,2+'Project Estimations'!$E$7,FALSE))+IF(F50="US",VLOOKUP(E50,CostRate!$B$5:$BV$23,3+'Project Estimations'!$E$7,FALSE))+IF(F50="DE",VLOOKUP(E50,CostRate!$B$5:$BV$23,4+'Project Estimations'!$E$7,FALSE))+IF(F50="BR",VLOOKUP(E50,CostRate!$B$5:$BV$23,5+'Project Estimations'!$E$7,FALSE))+IF(F50="MX",VLOOKUP(E50,CostRate!$B$5:$BV$23,6+'Project Estimations'!$E$7,FALSE))+IF(F50="CL",VLOOKUP(E50,CostRate!$B$5:$BV$23,7+'Project Estimations'!$E$7,FALSE))+IF(F50="CN",VLOOKUP(E50,CostRate!$B$5:$BV$23,8+'Project Estimations'!$E$7,FALSE))+IF(F50="EXT",VLOOKUP(E50,CostRate!$B$5:$BV$23,9+'Project Estimations'!$E$7,FALSE)))),"")</f>
        <v>448.09026252272866</v>
      </c>
      <c r="J50" s="41">
        <f t="shared" si="1"/>
        <v>10688.989331410245</v>
      </c>
      <c r="K50" s="41">
        <f t="shared" si="2"/>
        <v>12814.885022554769</v>
      </c>
      <c r="L50" s="148">
        <f t="shared" si="3"/>
        <v>0.16589268552958944</v>
      </c>
      <c r="AD50" s="40" t="str">
        <f>+[1]CostRate!CT42</f>
        <v>MXN</v>
      </c>
      <c r="AE50" s="40" t="str">
        <f>+[1]CostRate!CU42</f>
        <v>SAR</v>
      </c>
      <c r="AF50" s="84">
        <f>+IF(SUMIFS(Currency!E:E,Currency!A:A,YEAR('Project Estimations'!$D$4),Currency!B:B,MONTH('Project Estimations'!$D$4),Currency!C:C,AD50,Currency!D:D,AE50)=0,SUMIFS(Currency!E:E,Currency!A:A,YEAR(Currency!$H$2),Currency!B:B,MONTH(Currency!$H$2),Currency!C:C,AD50,Currency!D:D,AE50),SUMIFS(Currency!E:E,Currency!A:A,YEAR('Project Estimations'!$D$4),Currency!B:B,MONTH('Project Estimations'!$D$4),Currency!C:C,AD50,Currency!D:D,AE50))</f>
        <v>0.19105</v>
      </c>
    </row>
    <row r="51" spans="3:32" ht="13" x14ac:dyDescent="0.25">
      <c r="C51" s="67" t="s">
        <v>171</v>
      </c>
      <c r="D51" s="46" t="str">
        <f>IF('Project Estimations'!D70="","",'Project Estimations'!C70&amp;" "&amp;'Project Estimations'!D70&amp;" "&amp;'Project Estimations'!E70)</f>
        <v/>
      </c>
      <c r="E51" s="38">
        <f>IF('Project Estimations'!F70="","",'Project Estimations'!F70)</f>
        <v>300</v>
      </c>
      <c r="F51" s="38" t="str">
        <f>IF('Project Estimations'!G70="","",'Project Estimations'!G70)</f>
        <v>PT</v>
      </c>
      <c r="G51" s="38">
        <f>IF((OR('Project Estimations'!H70="",'Project Estimations'!H70=0,C51="N")),"",'Project Estimations'!H70)</f>
        <v>4.3371899999999997</v>
      </c>
      <c r="H51" s="291">
        <v>537.20936712709329</v>
      </c>
      <c r="I51" s="39">
        <f>IFERROR(IF(E51="","",(IF(F51="KT",VLOOKUP(E51,CostRate!$B$5:$BV$23,9+'Project Estimations'!$E$7,FALSE))+IF(F51="PT",VLOOKUP(E51,CostRate!$B$5:$BV$23,2+'Project Estimations'!$E$7,FALSE))+IF(F51="US",VLOOKUP(E51,CostRate!$B$5:$BV$23,3+'Project Estimations'!$E$7,FALSE))+IF(F51="DE",VLOOKUP(E51,CostRate!$B$5:$BV$23,4+'Project Estimations'!$E$7,FALSE))+IF(F51="BR",VLOOKUP(E51,CostRate!$B$5:$BV$23,5+'Project Estimations'!$E$7,FALSE))+IF(F51="MX",VLOOKUP(E51,CostRate!$B$5:$BV$23,6+'Project Estimations'!$E$7,FALSE))+IF(F51="CL",VLOOKUP(E51,CostRate!$B$5:$BV$23,7+'Project Estimations'!$E$7,FALSE))+IF(F51="CN",VLOOKUP(E51,CostRate!$B$5:$BV$23,8+'Project Estimations'!$E$7,FALSE))+IF(F51="EXT",VLOOKUP(E51,CostRate!$B$5:$BV$23,9+'Project Estimations'!$E$7,FALSE)))),"")</f>
        <v>506.03077408815091</v>
      </c>
      <c r="J51" s="39">
        <f t="shared" si="1"/>
        <v>2194.7516130673871</v>
      </c>
      <c r="K51" s="39">
        <f t="shared" si="2"/>
        <v>2329.9790950099577</v>
      </c>
      <c r="L51" s="147">
        <f t="shared" si="3"/>
        <v>5.8038066621362849E-2</v>
      </c>
      <c r="AD51" s="38" t="str">
        <f>+[1]CostRate!CT43</f>
        <v>BRL</v>
      </c>
      <c r="AE51" s="38" t="str">
        <f>+[1]CostRate!CU43</f>
        <v>EUR</v>
      </c>
      <c r="AF51" s="83">
        <f>+IF(SUMIFS(Currency!E:E,Currency!A:A,YEAR('Project Estimations'!$D$4),Currency!B:B,MONTH('Project Estimations'!$D$4),Currency!C:C,AD51,Currency!D:D,AE51)=0,SUMIFS(Currency!E:E,Currency!A:A,YEAR(Currency!$H$2),Currency!B:B,MONTH(Currency!$H$2),Currency!C:C,AD51,Currency!D:D,AE51),SUMIFS(Currency!E:E,Currency!A:A,YEAR('Project Estimations'!$D$4),Currency!B:B,MONTH('Project Estimations'!$D$4),Currency!C:C,AD51,Currency!D:D,AE51))</f>
        <v>0.16527832870554013</v>
      </c>
    </row>
    <row r="52" spans="3:32" ht="13" x14ac:dyDescent="0.25">
      <c r="C52" s="68" t="s">
        <v>171</v>
      </c>
      <c r="D52" s="45" t="str">
        <f>IF('Project Estimations'!D71="","",'Project Estimations'!C71&amp;" "&amp;'Project Estimations'!D71&amp;" "&amp;'Project Estimations'!E71)</f>
        <v/>
      </c>
      <c r="E52" s="40">
        <f>IF('Project Estimations'!F71="","",'Project Estimations'!F71)</f>
        <v>301</v>
      </c>
      <c r="F52" s="40" t="str">
        <f>IF('Project Estimations'!G71="","",'Project Estimations'!G71)</f>
        <v/>
      </c>
      <c r="G52" s="40" t="str">
        <f>IF((OR('Project Estimations'!H71="",'Project Estimations'!H71=0,C52="N")),"",'Project Estimations'!H71)</f>
        <v/>
      </c>
      <c r="H52" s="292"/>
      <c r="I52" s="41">
        <f>IFERROR(IF(E52="","",(IF(F52="KT",VLOOKUP(E52,CostRate!$B$5:$BV$23,9+'Project Estimations'!$E$7,FALSE))+IF(F52="PT",VLOOKUP(E52,CostRate!$B$5:$BV$23,2+'Project Estimations'!$E$7,FALSE))+IF(F52="US",VLOOKUP(E52,CostRate!$B$5:$BV$23,3+'Project Estimations'!$E$7,FALSE))+IF(F52="DE",VLOOKUP(E52,CostRate!$B$5:$BV$23,4+'Project Estimations'!$E$7,FALSE))+IF(F52="BR",VLOOKUP(E52,CostRate!$B$5:$BV$23,5+'Project Estimations'!$E$7,FALSE))+IF(F52="MX",VLOOKUP(E52,CostRate!$B$5:$BV$23,6+'Project Estimations'!$E$7,FALSE))+IF(F52="CL",VLOOKUP(E52,CostRate!$B$5:$BV$23,7+'Project Estimations'!$E$7,FALSE))+IF(F52="CN",VLOOKUP(E52,CostRate!$B$5:$BV$23,8+'Project Estimations'!$E$7,FALSE))+IF(F52="EXT",VLOOKUP(E52,CostRate!$B$5:$BV$23,9+'Project Estimations'!$E$7,FALSE)))),"")</f>
        <v>0</v>
      </c>
      <c r="J52" s="41" t="str">
        <f t="shared" si="1"/>
        <v/>
      </c>
      <c r="K52" s="41" t="str">
        <f t="shared" si="2"/>
        <v/>
      </c>
      <c r="L52" s="148" t="str">
        <f t="shared" si="3"/>
        <v/>
      </c>
      <c r="AD52" s="40" t="str">
        <f>+[1]CostRate!CT44</f>
        <v>BRL</v>
      </c>
      <c r="AE52" s="40" t="str">
        <f>+[1]CostRate!CU44</f>
        <v>USD</v>
      </c>
      <c r="AF52" s="84">
        <f>+IF(SUMIFS(Currency!E:E,Currency!A:A,YEAR('Project Estimations'!$D$4),Currency!B:B,MONTH('Project Estimations'!$D$4),Currency!C:C,AD52,Currency!D:D,AE52)=0,SUMIFS(Currency!E:E,Currency!A:A,YEAR(Currency!$H$2),Currency!B:B,MONTH(Currency!$H$2),Currency!C:C,AD52,Currency!D:D,AE52),SUMIFS(Currency!E:E,Currency!A:A,YEAR('Project Estimations'!$D$4),Currency!B:B,MONTH('Project Estimations'!$D$4),Currency!C:C,AD52,Currency!D:D,AE52))</f>
        <v>0.18504571554402516</v>
      </c>
    </row>
    <row r="53" spans="3:32" ht="13" x14ac:dyDescent="0.25">
      <c r="C53" s="67" t="s">
        <v>171</v>
      </c>
      <c r="D53" s="46" t="str">
        <f>IF('Project Estimations'!D72="","",'Project Estimations'!C72&amp;" "&amp;'Project Estimations'!D72&amp;" "&amp;'Project Estimations'!E72)</f>
        <v/>
      </c>
      <c r="E53" s="38">
        <f>IF('Project Estimations'!F72="","",'Project Estimations'!F72)</f>
        <v>302</v>
      </c>
      <c r="F53" s="38" t="str">
        <f>IF('Project Estimations'!G72="","",'Project Estimations'!G72)</f>
        <v/>
      </c>
      <c r="G53" s="38" t="str">
        <f>IF((OR('Project Estimations'!H72="",'Project Estimations'!H72=0,C53="N")),"",'Project Estimations'!H72)</f>
        <v/>
      </c>
      <c r="H53" s="291"/>
      <c r="I53" s="39">
        <f>IFERROR(IF(E53="","",(IF(F53="KT",VLOOKUP(E53,CostRate!$B$5:$BV$23,9+'Project Estimations'!$E$7,FALSE))+IF(F53="PT",VLOOKUP(E53,CostRate!$B$5:$BV$23,2+'Project Estimations'!$E$7,FALSE))+IF(F53="US",VLOOKUP(E53,CostRate!$B$5:$BV$23,3+'Project Estimations'!$E$7,FALSE))+IF(F53="DE",VLOOKUP(E53,CostRate!$B$5:$BV$23,4+'Project Estimations'!$E$7,FALSE))+IF(F53="BR",VLOOKUP(E53,CostRate!$B$5:$BV$23,5+'Project Estimations'!$E$7,FALSE))+IF(F53="MX",VLOOKUP(E53,CostRate!$B$5:$BV$23,6+'Project Estimations'!$E$7,FALSE))+IF(F53="CL",VLOOKUP(E53,CostRate!$B$5:$BV$23,7+'Project Estimations'!$E$7,FALSE))+IF(F53="CN",VLOOKUP(E53,CostRate!$B$5:$BV$23,8+'Project Estimations'!$E$7,FALSE))+IF(F53="EXT",VLOOKUP(E53,CostRate!$B$5:$BV$23,9+'Project Estimations'!$E$7,FALSE)))),"")</f>
        <v>0</v>
      </c>
      <c r="J53" s="39" t="str">
        <f t="shared" si="1"/>
        <v/>
      </c>
      <c r="K53" s="39" t="str">
        <f t="shared" si="2"/>
        <v/>
      </c>
      <c r="L53" s="147" t="str">
        <f t="shared" si="3"/>
        <v/>
      </c>
      <c r="AD53" s="38" t="str">
        <f>+[1]CostRate!CT45</f>
        <v>BRL</v>
      </c>
      <c r="AE53" s="38" t="str">
        <f>+[1]CostRate!CU45</f>
        <v>GBP</v>
      </c>
      <c r="AF53" s="83">
        <f>+IF(SUMIFS(Currency!E:E,Currency!A:A,YEAR('Project Estimations'!$D$4),Currency!B:B,MONTH('Project Estimations'!$D$4),Currency!C:C,AD53,Currency!D:D,AE53)=0,SUMIFS(Currency!E:E,Currency!A:A,YEAR(Currency!$H$2),Currency!B:B,MONTH(Currency!$H$2),Currency!C:C,AD53,Currency!D:D,AE53),SUMIFS(Currency!E:E,Currency!A:A,YEAR('Project Estimations'!$D$4),Currency!B:B,MONTH('Project Estimations'!$D$4),Currency!C:C,AD53,Currency!D:D,AE53))</f>
        <v>0.13807844512624512</v>
      </c>
    </row>
    <row r="54" spans="3:32" ht="13" x14ac:dyDescent="0.25">
      <c r="C54" s="68" t="s">
        <v>171</v>
      </c>
      <c r="D54" s="45" t="str">
        <f>IF('Project Estimations'!D73="","",'Project Estimations'!C73&amp;" "&amp;'Project Estimations'!D73&amp;" "&amp;'Project Estimations'!E73)</f>
        <v/>
      </c>
      <c r="E54" s="40">
        <f>IF('Project Estimations'!F73="","",'Project Estimations'!F73)</f>
        <v>303</v>
      </c>
      <c r="F54" s="40" t="str">
        <f>IF('Project Estimations'!G73="","",'Project Estimations'!G73)</f>
        <v/>
      </c>
      <c r="G54" s="40" t="str">
        <f>IF((OR('Project Estimations'!H73="",'Project Estimations'!H73=0,C54="N")),"",'Project Estimations'!H73)</f>
        <v/>
      </c>
      <c r="H54" s="292"/>
      <c r="I54" s="41">
        <f>IFERROR(IF(E54="","",(IF(F54="KT",VLOOKUP(E54,CostRate!$B$5:$BV$23,9+'Project Estimations'!$E$7,FALSE))+IF(F54="PT",VLOOKUP(E54,CostRate!$B$5:$BV$23,2+'Project Estimations'!$E$7,FALSE))+IF(F54="US",VLOOKUP(E54,CostRate!$B$5:$BV$23,3+'Project Estimations'!$E$7,FALSE))+IF(F54="DE",VLOOKUP(E54,CostRate!$B$5:$BV$23,4+'Project Estimations'!$E$7,FALSE))+IF(F54="BR",VLOOKUP(E54,CostRate!$B$5:$BV$23,5+'Project Estimations'!$E$7,FALSE))+IF(F54="MX",VLOOKUP(E54,CostRate!$B$5:$BV$23,6+'Project Estimations'!$E$7,FALSE))+IF(F54="CL",VLOOKUP(E54,CostRate!$B$5:$BV$23,7+'Project Estimations'!$E$7,FALSE))+IF(F54="CN",VLOOKUP(E54,CostRate!$B$5:$BV$23,8+'Project Estimations'!$E$7,FALSE))+IF(F54="EXT",VLOOKUP(E54,CostRate!$B$5:$BV$23,9+'Project Estimations'!$E$7,FALSE)))),"")</f>
        <v>0</v>
      </c>
      <c r="J54" s="41" t="str">
        <f t="shared" si="1"/>
        <v/>
      </c>
      <c r="K54" s="41" t="str">
        <f t="shared" si="2"/>
        <v/>
      </c>
      <c r="L54" s="148" t="str">
        <f t="shared" si="3"/>
        <v/>
      </c>
      <c r="AD54" s="40" t="str">
        <f>+[1]CostRate!CT46</f>
        <v>BRL</v>
      </c>
      <c r="AE54" s="40" t="str">
        <f>+[1]CostRate!CU46</f>
        <v>BRL</v>
      </c>
      <c r="AF54" s="84">
        <f>+IF(SUMIFS(Currency!E:E,Currency!A:A,YEAR('Project Estimations'!$D$4),Currency!B:B,MONTH('Project Estimations'!$D$4),Currency!C:C,AD54,Currency!D:D,AE54)=0,SUMIFS(Currency!E:E,Currency!A:A,YEAR(Currency!$H$2),Currency!B:B,MONTH(Currency!$H$2),Currency!C:C,AD54,Currency!D:D,AE54),SUMIFS(Currency!E:E,Currency!A:A,YEAR('Project Estimations'!$D$4),Currency!B:B,MONTH('Project Estimations'!$D$4),Currency!C:C,AD54,Currency!D:D,AE54))</f>
        <v>1</v>
      </c>
    </row>
    <row r="55" spans="3:32" ht="13" x14ac:dyDescent="0.25">
      <c r="C55" s="67" t="s">
        <v>171</v>
      </c>
      <c r="D55" s="46" t="str">
        <f>IF('Project Estimations'!D74="","",'Project Estimations'!C74&amp;" "&amp;'Project Estimations'!D74&amp;" "&amp;'Project Estimations'!E74)</f>
        <v/>
      </c>
      <c r="E55" s="38">
        <f>IF('Project Estimations'!F74="","",'Project Estimations'!F74)</f>
        <v>304</v>
      </c>
      <c r="F55" s="38" t="str">
        <f>IF('Project Estimations'!G74="","",'Project Estimations'!G74)</f>
        <v/>
      </c>
      <c r="G55" s="38" t="str">
        <f>IF((OR('Project Estimations'!H74="",'Project Estimations'!H74=0,C55="N")),"",'Project Estimations'!H74)</f>
        <v/>
      </c>
      <c r="H55" s="291"/>
      <c r="I55" s="39">
        <f>IFERROR(IF(E55="","",(IF(F55="KT",VLOOKUP(E55,CostRate!$B$5:$BV$23,9+'Project Estimations'!$E$7,FALSE))+IF(F55="PT",VLOOKUP(E55,CostRate!$B$5:$BV$23,2+'Project Estimations'!$E$7,FALSE))+IF(F55="US",VLOOKUP(E55,CostRate!$B$5:$BV$23,3+'Project Estimations'!$E$7,FALSE))+IF(F55="DE",VLOOKUP(E55,CostRate!$B$5:$BV$23,4+'Project Estimations'!$E$7,FALSE))+IF(F55="BR",VLOOKUP(E55,CostRate!$B$5:$BV$23,5+'Project Estimations'!$E$7,FALSE))+IF(F55="MX",VLOOKUP(E55,CostRate!$B$5:$BV$23,6+'Project Estimations'!$E$7,FALSE))+IF(F55="CL",VLOOKUP(E55,CostRate!$B$5:$BV$23,7+'Project Estimations'!$E$7,FALSE))+IF(F55="CN",VLOOKUP(E55,CostRate!$B$5:$BV$23,8+'Project Estimations'!$E$7,FALSE))+IF(F55="EXT",VLOOKUP(E55,CostRate!$B$5:$BV$23,9+'Project Estimations'!$E$7,FALSE)))),"")</f>
        <v>0</v>
      </c>
      <c r="J55" s="39" t="str">
        <f t="shared" si="1"/>
        <v/>
      </c>
      <c r="K55" s="39" t="str">
        <f t="shared" si="2"/>
        <v/>
      </c>
      <c r="L55" s="147" t="str">
        <f t="shared" si="3"/>
        <v/>
      </c>
      <c r="AD55" s="38" t="str">
        <f>+[1]CostRate!CT47</f>
        <v>BRL</v>
      </c>
      <c r="AE55" s="38" t="str">
        <f>+[1]CostRate!CU47</f>
        <v>MXN</v>
      </c>
      <c r="AF55" s="83">
        <f>+IF(SUMIFS(Currency!E:E,Currency!A:A,YEAR('Project Estimations'!$D$4),Currency!B:B,MONTH('Project Estimations'!$D$4),Currency!C:C,AD55,Currency!D:D,AE55)=0,SUMIFS(Currency!E:E,Currency!A:A,YEAR(Currency!$H$2),Currency!B:B,MONTH(Currency!$H$2),Currency!C:C,AD55,Currency!D:D,AE55),SUMIFS(Currency!E:E,Currency!A:A,YEAR('Project Estimations'!$D$4),Currency!B:B,MONTH('Project Estimations'!$D$4),Currency!C:C,AD55,Currency!D:D,AE55))</f>
        <v>3.6335099999999998</v>
      </c>
    </row>
    <row r="56" spans="3:32" ht="13" x14ac:dyDescent="0.25">
      <c r="C56" s="68" t="s">
        <v>171</v>
      </c>
      <c r="D56" s="45" t="str">
        <f>IF('Project Estimations'!D75="","",'Project Estimations'!C75&amp;" "&amp;'Project Estimations'!D75&amp;" "&amp;'Project Estimations'!E75)</f>
        <v/>
      </c>
      <c r="E56" s="40">
        <f>IF('Project Estimations'!F75="","",'Project Estimations'!F75)</f>
        <v>400</v>
      </c>
      <c r="F56" s="40" t="str">
        <f>IF('Project Estimations'!G75="","",'Project Estimations'!G75)</f>
        <v/>
      </c>
      <c r="G56" s="40" t="str">
        <f>IF((OR('Project Estimations'!H75="",'Project Estimations'!H75=0,C56="N")),"",'Project Estimations'!H75)</f>
        <v/>
      </c>
      <c r="H56" s="292"/>
      <c r="I56" s="41">
        <f>IFERROR(IF(E56="","",(IF(F56="KT",VLOOKUP(E56,CostRate!$B$5:$BV$23,9+'Project Estimations'!$E$7,FALSE))+IF(F56="PT",VLOOKUP(E56,CostRate!$B$5:$BV$23,2+'Project Estimations'!$E$7,FALSE))+IF(F56="US",VLOOKUP(E56,CostRate!$B$5:$BV$23,3+'Project Estimations'!$E$7,FALSE))+IF(F56="DE",VLOOKUP(E56,CostRate!$B$5:$BV$23,4+'Project Estimations'!$E$7,FALSE))+IF(F56="BR",VLOOKUP(E56,CostRate!$B$5:$BV$23,5+'Project Estimations'!$E$7,FALSE))+IF(F56="MX",VLOOKUP(E56,CostRate!$B$5:$BV$23,6+'Project Estimations'!$E$7,FALSE))+IF(F56="CL",VLOOKUP(E56,CostRate!$B$5:$BV$23,7+'Project Estimations'!$E$7,FALSE))+IF(F56="CN",VLOOKUP(E56,CostRate!$B$5:$BV$23,8+'Project Estimations'!$E$7,FALSE))+IF(F56="EXT",VLOOKUP(E56,CostRate!$B$5:$BV$23,9+'Project Estimations'!$E$7,FALSE)))),"")</f>
        <v>0</v>
      </c>
      <c r="J56" s="41" t="str">
        <f t="shared" si="1"/>
        <v/>
      </c>
      <c r="K56" s="41" t="str">
        <f t="shared" si="2"/>
        <v/>
      </c>
      <c r="L56" s="148" t="str">
        <f t="shared" si="3"/>
        <v/>
      </c>
      <c r="AD56" s="40" t="str">
        <f>+[1]CostRate!CT48</f>
        <v>BRL</v>
      </c>
      <c r="AE56" s="40" t="str">
        <f>+[1]CostRate!CU48</f>
        <v>CLP</v>
      </c>
      <c r="AF56" s="84">
        <f>+IF(SUMIFS(Currency!E:E,Currency!A:A,YEAR('Project Estimations'!$D$4),Currency!B:B,MONTH('Project Estimations'!$D$4),Currency!C:C,AD56,Currency!D:D,AE56)=0,SUMIFS(Currency!E:E,Currency!A:A,YEAR(Currency!$H$2),Currency!B:B,MONTH(Currency!$H$2),Currency!C:C,AD56,Currency!D:D,AE56),SUMIFS(Currency!E:E,Currency!A:A,YEAR('Project Estimations'!$D$4),Currency!B:B,MONTH('Project Estimations'!$D$4),Currency!C:C,AD56,Currency!D:D,AE56))</f>
        <v>166.28206</v>
      </c>
    </row>
    <row r="57" spans="3:32" ht="13" x14ac:dyDescent="0.25">
      <c r="C57" s="67" t="s">
        <v>171</v>
      </c>
      <c r="D57" s="46" t="str">
        <f>IF('Project Estimations'!D76="","",'Project Estimations'!C76&amp;" "&amp;'Project Estimations'!D76&amp;" "&amp;'Project Estimations'!E76)</f>
        <v/>
      </c>
      <c r="E57" s="38" t="str">
        <f>IF('Project Estimations'!F76="","",'Project Estimations'!F76)</f>
        <v/>
      </c>
      <c r="F57" s="38" t="str">
        <f>IF('Project Estimations'!G76="","",'Project Estimations'!G76)</f>
        <v/>
      </c>
      <c r="G57" s="38" t="str">
        <f>IF((OR('Project Estimations'!H76="",'Project Estimations'!H76=0,C57="N")),"",'Project Estimations'!H76)</f>
        <v/>
      </c>
      <c r="H57" s="291"/>
      <c r="I57" s="39" t="str">
        <f>IFERROR(IF(E57="","",(IF(F57="KT",VLOOKUP(E57,CostRate!$B$5:$BV$23,9+'Project Estimations'!$E$7,FALSE))+IF(F57="PT",VLOOKUP(E57,CostRate!$B$5:$BV$23,2+'Project Estimations'!$E$7,FALSE))+IF(F57="US",VLOOKUP(E57,CostRate!$B$5:$BV$23,3+'Project Estimations'!$E$7,FALSE))+IF(F57="DE",VLOOKUP(E57,CostRate!$B$5:$BV$23,4+'Project Estimations'!$E$7,FALSE))+IF(F57="BR",VLOOKUP(E57,CostRate!$B$5:$BV$23,5+'Project Estimations'!$E$7,FALSE))+IF(F57="MX",VLOOKUP(E57,CostRate!$B$5:$BV$23,6+'Project Estimations'!$E$7,FALSE))+IF(F57="CL",VLOOKUP(E57,CostRate!$B$5:$BV$23,7+'Project Estimations'!$E$7,FALSE))+IF(F57="CN",VLOOKUP(E57,CostRate!$B$5:$BV$23,8+'Project Estimations'!$E$7,FALSE))+IF(F57="EXT",VLOOKUP(E57,CostRate!$B$5:$BV$23,9+'Project Estimations'!$E$7,FALSE)))),"")</f>
        <v/>
      </c>
      <c r="J57" s="39" t="str">
        <f t="shared" ref="J57" si="10">IF(G57&lt;&gt;"",IF(OR(I57="",I57=0),"MISSING COST",I57*G57),"")</f>
        <v/>
      </c>
      <c r="K57" s="39" t="str">
        <f t="shared" ref="K57" si="11">IF(G57&lt;&gt;"",IF(H57="","INVALUE",H57*G57),"")</f>
        <v/>
      </c>
      <c r="L57" s="147" t="str">
        <f t="shared" ref="L57" si="12">IF(G57&lt;&gt;"",IF(H57="","INVALUE",(K57-J57)/K57),"")</f>
        <v/>
      </c>
      <c r="AD57" s="38" t="str">
        <f>+[1]CostRate!CT49</f>
        <v>BRL</v>
      </c>
      <c r="AE57" s="38" t="str">
        <f>+[1]CostRate!CU49</f>
        <v>CNY</v>
      </c>
      <c r="AF57" s="83">
        <f>+IF(SUMIFS(Currency!E:E,Currency!A:A,YEAR('Project Estimations'!$D$4),Currency!B:B,MONTH('Project Estimations'!$D$4),Currency!C:C,AD57,Currency!D:D,AE57)=0,SUMIFS(Currency!E:E,Currency!A:A,YEAR(Currency!$H$2),Currency!B:B,MONTH(Currency!$H$2),Currency!C:C,AD57,Currency!D:D,AE57),SUMIFS(Currency!E:E,Currency!A:A,YEAR('Project Estimations'!$D$4),Currency!B:B,MONTH('Project Estimations'!$D$4),Currency!C:C,AD57,Currency!D:D,AE57))</f>
        <v>1.29762</v>
      </c>
    </row>
    <row r="58" spans="3:32" ht="13" x14ac:dyDescent="0.25">
      <c r="C58" s="68" t="s">
        <v>171</v>
      </c>
      <c r="D58" s="45" t="str">
        <f>IF('Project Estimations'!D77="","",'Project Estimations'!C77&amp;" "&amp;'Project Estimations'!D77&amp;" "&amp;'Project Estimations'!E77)</f>
        <v/>
      </c>
      <c r="E58" s="40" t="str">
        <f>IF('Project Estimations'!F77="","",'Project Estimations'!F77)</f>
        <v/>
      </c>
      <c r="F58" s="40" t="str">
        <f>IF('Project Estimations'!G77="","",'Project Estimations'!G77)</f>
        <v/>
      </c>
      <c r="G58" s="40" t="str">
        <f>IF((OR('Project Estimations'!H77="",'Project Estimations'!H77=0,C58="N")),"",'Project Estimations'!H77)</f>
        <v/>
      </c>
      <c r="H58" s="292"/>
      <c r="I58" s="41" t="str">
        <f>IFERROR(IF(E58="","",(IF(F58="KT",VLOOKUP(E58,CostRate!$B$5:$BV$23,9+'Project Estimations'!$E$7,FALSE))+IF(F58="PT",VLOOKUP(E58,CostRate!$B$5:$BV$23,2+'Project Estimations'!$E$7,FALSE))+IF(F58="US",VLOOKUP(E58,CostRate!$B$5:$BV$23,3+'Project Estimations'!$E$7,FALSE))+IF(F58="DE",VLOOKUP(E58,CostRate!$B$5:$BV$23,4+'Project Estimations'!$E$7,FALSE))+IF(F58="BR",VLOOKUP(E58,CostRate!$B$5:$BV$23,5+'Project Estimations'!$E$7,FALSE))+IF(F58="MX",VLOOKUP(E58,CostRate!$B$5:$BV$23,6+'Project Estimations'!$E$7,FALSE))+IF(F58="CL",VLOOKUP(E58,CostRate!$B$5:$BV$23,7+'Project Estimations'!$E$7,FALSE))+IF(F58="CN",VLOOKUP(E58,CostRate!$B$5:$BV$23,8+'Project Estimations'!$E$7,FALSE))+IF(F58="EXT",VLOOKUP(E58,CostRate!$B$5:$BV$23,9+'Project Estimations'!$E$7,FALSE)))),"")</f>
        <v/>
      </c>
      <c r="J58" s="41" t="str">
        <f t="shared" si="1"/>
        <v/>
      </c>
      <c r="K58" s="41" t="str">
        <f t="shared" si="2"/>
        <v/>
      </c>
      <c r="L58" s="148" t="str">
        <f t="shared" si="3"/>
        <v/>
      </c>
      <c r="AD58" s="40" t="str">
        <f>+[1]CostRate!CT50</f>
        <v>BRL</v>
      </c>
      <c r="AE58" s="40" t="str">
        <f>+[1]CostRate!CU50</f>
        <v>CHF</v>
      </c>
      <c r="AF58" s="84">
        <f>+IF(SUMIFS(Currency!E:E,Currency!A:A,YEAR('Project Estimations'!$D$4),Currency!B:B,MONTH('Project Estimations'!$D$4),Currency!C:C,AD58,Currency!D:D,AE58)=0,SUMIFS(Currency!E:E,Currency!A:A,YEAR(Currency!$H$2),Currency!B:B,MONTH(Currency!$H$2),Currency!C:C,AD58,Currency!D:D,AE58),SUMIFS(Currency!E:E,Currency!A:A,YEAR('Project Estimations'!$D$4),Currency!B:B,MONTH('Project Estimations'!$D$4),Currency!C:C,AD58,Currency!D:D,AE58))</f>
        <v>0.15601000000000001</v>
      </c>
    </row>
    <row r="59" spans="3:32" ht="13" x14ac:dyDescent="0.25">
      <c r="C59" s="67" t="s">
        <v>171</v>
      </c>
      <c r="D59" s="46" t="str">
        <f>IF('Project Estimations'!D78="","",'Project Estimations'!C78&amp;" "&amp;'Project Estimations'!D78&amp;" "&amp;'Project Estimations'!E78)</f>
        <v/>
      </c>
      <c r="E59" s="38" t="str">
        <f>IF('Project Estimations'!F78="","",'Project Estimations'!F78)</f>
        <v/>
      </c>
      <c r="F59" s="38" t="str">
        <f>IF('Project Estimations'!G78="","",'Project Estimations'!G78)</f>
        <v/>
      </c>
      <c r="G59" s="38" t="str">
        <f>IF((OR('Project Estimations'!H78="",'Project Estimations'!H78=0,C59="N")),"",'Project Estimations'!H78)</f>
        <v/>
      </c>
      <c r="H59" s="291"/>
      <c r="I59" s="39" t="str">
        <f>IFERROR(IF(E59="","",(IF(F59="KT",VLOOKUP(E59,CostRate!$B$5:$BV$23,9+'Project Estimations'!$E$7,FALSE))+IF(F59="PT",VLOOKUP(E59,CostRate!$B$5:$BV$23,2+'Project Estimations'!$E$7,FALSE))+IF(F59="US",VLOOKUP(E59,CostRate!$B$5:$BV$23,3+'Project Estimations'!$E$7,FALSE))+IF(F59="DE",VLOOKUP(E59,CostRate!$B$5:$BV$23,4+'Project Estimations'!$E$7,FALSE))+IF(F59="BR",VLOOKUP(E59,CostRate!$B$5:$BV$23,5+'Project Estimations'!$E$7,FALSE))+IF(F59="MX",VLOOKUP(E59,CostRate!$B$5:$BV$23,6+'Project Estimations'!$E$7,FALSE))+IF(F59="CL",VLOOKUP(E59,CostRate!$B$5:$BV$23,7+'Project Estimations'!$E$7,FALSE))+IF(F59="CN",VLOOKUP(E59,CostRate!$B$5:$BV$23,8+'Project Estimations'!$E$7,FALSE))+IF(F59="EXT",VLOOKUP(E59,CostRate!$B$5:$BV$23,9+'Project Estimations'!$E$7,FALSE)))),"")</f>
        <v/>
      </c>
      <c r="J59" s="39" t="str">
        <f t="shared" si="1"/>
        <v/>
      </c>
      <c r="K59" s="39" t="str">
        <f t="shared" si="2"/>
        <v/>
      </c>
      <c r="L59" s="147" t="str">
        <f t="shared" si="3"/>
        <v/>
      </c>
      <c r="AD59" s="38" t="str">
        <f>+[1]CostRate!CT51</f>
        <v>BRL</v>
      </c>
      <c r="AE59" s="38" t="str">
        <f>+[1]CostRate!CU51</f>
        <v>SEK</v>
      </c>
      <c r="AF59" s="83">
        <f>+IF(SUMIFS(Currency!E:E,Currency!A:A,YEAR('Project Estimations'!$D$4),Currency!B:B,MONTH('Project Estimations'!$D$4),Currency!C:C,AD59,Currency!D:D,AE59)=0,SUMIFS(Currency!E:E,Currency!A:A,YEAR(Currency!$H$2),Currency!B:B,MONTH(Currency!$H$2),Currency!C:C,AD59,Currency!D:D,AE59),SUMIFS(Currency!E:E,Currency!A:A,YEAR('Project Estimations'!$D$4),Currency!B:B,MONTH('Project Estimations'!$D$4),Currency!C:C,AD59,Currency!D:D,AE59))</f>
        <v>1.86765</v>
      </c>
    </row>
    <row r="60" spans="3:32" ht="13" x14ac:dyDescent="0.25">
      <c r="C60" s="68" t="s">
        <v>171</v>
      </c>
      <c r="D60" s="45" t="str">
        <f>IF('Project Estimations'!D79="","",'Project Estimations'!C79&amp;" "&amp;'Project Estimations'!D79&amp;" "&amp;'Project Estimations'!E79)</f>
        <v/>
      </c>
      <c r="E60" s="40" t="str">
        <f>IF('Project Estimations'!F79="","",'Project Estimations'!F79)</f>
        <v/>
      </c>
      <c r="F60" s="40" t="str">
        <f>IF('Project Estimations'!G79="","",'Project Estimations'!G79)</f>
        <v/>
      </c>
      <c r="G60" s="40" t="str">
        <f>IF((OR('Project Estimations'!H79="",'Project Estimations'!H79=0,C60="N")),"",'Project Estimations'!H79)</f>
        <v/>
      </c>
      <c r="H60" s="292"/>
      <c r="I60" s="41" t="str">
        <f>IFERROR(IF(E60="","",(IF(F60="KT",VLOOKUP(E60,CostRate!$B$5:$BV$23,9+'Project Estimations'!$E$7,FALSE))+IF(F60="PT",VLOOKUP(E60,CostRate!$B$5:$BV$23,2+'Project Estimations'!$E$7,FALSE))+IF(F60="US",VLOOKUP(E60,CostRate!$B$5:$BV$23,3+'Project Estimations'!$E$7,FALSE))+IF(F60="DE",VLOOKUP(E60,CostRate!$B$5:$BV$23,4+'Project Estimations'!$E$7,FALSE))+IF(F60="BR",VLOOKUP(E60,CostRate!$B$5:$BV$23,5+'Project Estimations'!$E$7,FALSE))+IF(F60="MX",VLOOKUP(E60,CostRate!$B$5:$BV$23,6+'Project Estimations'!$E$7,FALSE))+IF(F60="CL",VLOOKUP(E60,CostRate!$B$5:$BV$23,7+'Project Estimations'!$E$7,FALSE))+IF(F60="CN",VLOOKUP(E60,CostRate!$B$5:$BV$23,8+'Project Estimations'!$E$7,FALSE))+IF(F60="EXT",VLOOKUP(E60,CostRate!$B$5:$BV$23,9+'Project Estimations'!$E$7,FALSE)))),"")</f>
        <v/>
      </c>
      <c r="J60" s="41" t="str">
        <f t="shared" si="1"/>
        <v/>
      </c>
      <c r="K60" s="41" t="str">
        <f t="shared" si="2"/>
        <v/>
      </c>
      <c r="L60" s="148" t="str">
        <f t="shared" si="3"/>
        <v/>
      </c>
      <c r="AD60" s="40" t="str">
        <f>+[1]CostRate!CT52</f>
        <v>BRL</v>
      </c>
      <c r="AE60" s="40" t="str">
        <f>+[1]CostRate!CU52</f>
        <v>SAR</v>
      </c>
      <c r="AF60" s="84">
        <f>+IF(SUMIFS(Currency!E:E,Currency!A:A,YEAR('Project Estimations'!$D$4),Currency!B:B,MONTH('Project Estimations'!$D$4),Currency!C:C,AD60,Currency!D:D,AE60)=0,SUMIFS(Currency!E:E,Currency!A:A,YEAR(Currency!$H$2),Currency!B:B,MONTH(Currency!$H$2),Currency!C:C,AD60,Currency!D:D,AE60),SUMIFS(Currency!E:E,Currency!A:A,YEAR('Project Estimations'!$D$4),Currency!B:B,MONTH('Project Estimations'!$D$4),Currency!C:C,AD60,Currency!D:D,AE60))</f>
        <v>0.69416999999999995</v>
      </c>
    </row>
    <row r="61" spans="3:32" ht="13" x14ac:dyDescent="0.25">
      <c r="C61" s="67" t="s">
        <v>171</v>
      </c>
      <c r="D61" s="46" t="str">
        <f>IF('Project Estimations'!D80="","",'Project Estimations'!C80&amp;" "&amp;'Project Estimations'!D80&amp;" "&amp;'Project Estimations'!E80)</f>
        <v/>
      </c>
      <c r="E61" s="38" t="str">
        <f>IF('Project Estimations'!F80="","",'Project Estimations'!F80)</f>
        <v/>
      </c>
      <c r="F61" s="38" t="str">
        <f>IF('Project Estimations'!G80="","",'Project Estimations'!G80)</f>
        <v/>
      </c>
      <c r="G61" s="38" t="str">
        <f>IF((OR('Project Estimations'!H80="",'Project Estimations'!H80=0,C61="N")),"",'Project Estimations'!H80)</f>
        <v/>
      </c>
      <c r="H61" s="291"/>
      <c r="I61" s="39" t="str">
        <f>IFERROR(IF(E61="","",(IF(F61="KT",VLOOKUP(E61,CostRate!$B$5:$BV$23,9+'Project Estimations'!$E$7,FALSE))+IF(F61="PT",VLOOKUP(E61,CostRate!$B$5:$BV$23,2+'Project Estimations'!$E$7,FALSE))+IF(F61="US",VLOOKUP(E61,CostRate!$B$5:$BV$23,3+'Project Estimations'!$E$7,FALSE))+IF(F61="DE",VLOOKUP(E61,CostRate!$B$5:$BV$23,4+'Project Estimations'!$E$7,FALSE))+IF(F61="BR",VLOOKUP(E61,CostRate!$B$5:$BV$23,5+'Project Estimations'!$E$7,FALSE))+IF(F61="MX",VLOOKUP(E61,CostRate!$B$5:$BV$23,6+'Project Estimations'!$E$7,FALSE))+IF(F61="CL",VLOOKUP(E61,CostRate!$B$5:$BV$23,7+'Project Estimations'!$E$7,FALSE))+IF(F61="CN",VLOOKUP(E61,CostRate!$B$5:$BV$23,8+'Project Estimations'!$E$7,FALSE))+IF(F61="EXT",VLOOKUP(E61,CostRate!$B$5:$BV$23,9+'Project Estimations'!$E$7,FALSE)))),"")</f>
        <v/>
      </c>
      <c r="J61" s="39" t="str">
        <f t="shared" si="1"/>
        <v/>
      </c>
      <c r="K61" s="39" t="str">
        <f t="shared" si="2"/>
        <v/>
      </c>
      <c r="L61" s="147" t="str">
        <f t="shared" si="3"/>
        <v/>
      </c>
      <c r="AD61" s="38" t="str">
        <f>+[1]CostRate!CT53</f>
        <v>CLP</v>
      </c>
      <c r="AE61" s="38" t="str">
        <f>+[1]CostRate!CU53</f>
        <v>EUR</v>
      </c>
      <c r="AF61" s="83">
        <f>+IF(SUMIFS(Currency!E:E,Currency!A:A,YEAR('Project Estimations'!$D$4),Currency!B:B,MONTH('Project Estimations'!$D$4),Currency!C:C,AD61,Currency!D:D,AE61)=0,SUMIFS(Currency!E:E,Currency!A:A,YEAR(Currency!$H$2),Currency!B:B,MONTH(Currency!$H$2),Currency!C:C,AD61,Currency!D:D,AE61),SUMIFS(Currency!E:E,Currency!A:A,YEAR('Project Estimations'!$D$4),Currency!B:B,MONTH('Project Estimations'!$D$4),Currency!C:C,AD61,Currency!D:D,AE61))</f>
        <v>9.9396365870071056E-4</v>
      </c>
    </row>
    <row r="62" spans="3:32" ht="13" x14ac:dyDescent="0.25">
      <c r="C62" s="68" t="s">
        <v>171</v>
      </c>
      <c r="D62" s="45" t="str">
        <f>IF('Project Estimations'!D81="","",'Project Estimations'!C81&amp;" "&amp;'Project Estimations'!D81&amp;" "&amp;'Project Estimations'!E81)</f>
        <v/>
      </c>
      <c r="E62" s="40" t="str">
        <f>IF('Project Estimations'!F81="","",'Project Estimations'!F81)</f>
        <v/>
      </c>
      <c r="F62" s="40" t="str">
        <f>IF('Project Estimations'!G81="","",'Project Estimations'!G81)</f>
        <v/>
      </c>
      <c r="G62" s="40" t="str">
        <f>IF((OR('Project Estimations'!H81="",'Project Estimations'!H81=0,C62="N")),"",'Project Estimations'!H81)</f>
        <v/>
      </c>
      <c r="H62" s="292"/>
      <c r="I62" s="41" t="str">
        <f>IFERROR(IF(E62="","",(IF(F62="KT",VLOOKUP(E62,CostRate!$B$5:$BV$23,9+'Project Estimations'!$E$7,FALSE))+IF(F62="PT",VLOOKUP(E62,CostRate!$B$5:$BV$23,2+'Project Estimations'!$E$7,FALSE))+IF(F62="US",VLOOKUP(E62,CostRate!$B$5:$BV$23,3+'Project Estimations'!$E$7,FALSE))+IF(F62="DE",VLOOKUP(E62,CostRate!$B$5:$BV$23,4+'Project Estimations'!$E$7,FALSE))+IF(F62="BR",VLOOKUP(E62,CostRate!$B$5:$BV$23,5+'Project Estimations'!$E$7,FALSE))+IF(F62="MX",VLOOKUP(E62,CostRate!$B$5:$BV$23,6+'Project Estimations'!$E$7,FALSE))+IF(F62="CL",VLOOKUP(E62,CostRate!$B$5:$BV$23,7+'Project Estimations'!$E$7,FALSE))+IF(F62="CN",VLOOKUP(E62,CostRate!$B$5:$BV$23,8+'Project Estimations'!$E$7,FALSE))+IF(F62="EXT",VLOOKUP(E62,CostRate!$B$5:$BV$23,9+'Project Estimations'!$E$7,FALSE)))),"")</f>
        <v/>
      </c>
      <c r="J62" s="41" t="str">
        <f t="shared" si="1"/>
        <v/>
      </c>
      <c r="K62" s="41" t="str">
        <f t="shared" si="2"/>
        <v/>
      </c>
      <c r="L62" s="148" t="str">
        <f t="shared" si="3"/>
        <v/>
      </c>
      <c r="AD62" s="40" t="str">
        <f>+[1]CostRate!CT54</f>
        <v>CLP</v>
      </c>
      <c r="AE62" s="40" t="str">
        <f>+[1]CostRate!CU54</f>
        <v>USD</v>
      </c>
      <c r="AF62" s="84">
        <f>+IF(SUMIFS(Currency!E:E,Currency!A:A,YEAR('Project Estimations'!$D$4),Currency!B:B,MONTH('Project Estimations'!$D$4),Currency!C:C,AD62,Currency!D:D,AE62)=0,SUMIFS(Currency!E:E,Currency!A:A,YEAR(Currency!$H$2),Currency!B:B,MONTH(Currency!$H$2),Currency!C:C,AD62,Currency!D:D,AE62),SUMIFS(Currency!E:E,Currency!A:A,YEAR('Project Estimations'!$D$4),Currency!B:B,MONTH('Project Estimations'!$D$4),Currency!C:C,AD62,Currency!D:D,AE62))</f>
        <v>1.1128417159934686E-3</v>
      </c>
    </row>
    <row r="63" spans="3:32" ht="13" x14ac:dyDescent="0.25">
      <c r="C63" s="67" t="s">
        <v>171</v>
      </c>
      <c r="D63" s="46" t="str">
        <f>IF('Project Estimations'!D82="","",'Project Estimations'!C82&amp;" "&amp;'Project Estimations'!D82&amp;" "&amp;'Project Estimations'!E82)</f>
        <v/>
      </c>
      <c r="E63" s="38" t="str">
        <f>IF('Project Estimations'!F82="","",'Project Estimations'!F82)</f>
        <v/>
      </c>
      <c r="F63" s="38" t="str">
        <f>IF('Project Estimations'!G82="","",'Project Estimations'!G82)</f>
        <v/>
      </c>
      <c r="G63" s="38" t="str">
        <f>IF((OR('Project Estimations'!H82="",'Project Estimations'!H82=0,C63="N")),"",'Project Estimations'!H82)</f>
        <v/>
      </c>
      <c r="H63" s="291"/>
      <c r="I63" s="39" t="str">
        <f>IFERROR(IF(E63="","",(IF(F63="KT",VLOOKUP(E63,CostRate!$B$5:$BV$23,9+'Project Estimations'!$E$7,FALSE))+IF(F63="PT",VLOOKUP(E63,CostRate!$B$5:$BV$23,2+'Project Estimations'!$E$7,FALSE))+IF(F63="US",VLOOKUP(E63,CostRate!$B$5:$BV$23,3+'Project Estimations'!$E$7,FALSE))+IF(F63="DE",VLOOKUP(E63,CostRate!$B$5:$BV$23,4+'Project Estimations'!$E$7,FALSE))+IF(F63="BR",VLOOKUP(E63,CostRate!$B$5:$BV$23,5+'Project Estimations'!$E$7,FALSE))+IF(F63="MX",VLOOKUP(E63,CostRate!$B$5:$BV$23,6+'Project Estimations'!$E$7,FALSE))+IF(F63="CL",VLOOKUP(E63,CostRate!$B$5:$BV$23,7+'Project Estimations'!$E$7,FALSE))+IF(F63="CN",VLOOKUP(E63,CostRate!$B$5:$BV$23,8+'Project Estimations'!$E$7,FALSE))+IF(F63="EXT",VLOOKUP(E63,CostRate!$B$5:$BV$23,9+'Project Estimations'!$E$7,FALSE)))),"")</f>
        <v/>
      </c>
      <c r="J63" s="39" t="str">
        <f t="shared" si="1"/>
        <v/>
      </c>
      <c r="K63" s="39" t="str">
        <f t="shared" si="2"/>
        <v/>
      </c>
      <c r="L63" s="147" t="str">
        <f t="shared" si="3"/>
        <v/>
      </c>
      <c r="AD63" s="38" t="str">
        <f>+[1]CostRate!CT55</f>
        <v>CLP</v>
      </c>
      <c r="AE63" s="38" t="str">
        <f>+[1]CostRate!CU55</f>
        <v>GBP</v>
      </c>
      <c r="AF63" s="83">
        <f>+IF(SUMIFS(Currency!E:E,Currency!A:A,YEAR('Project Estimations'!$D$4),Currency!B:B,MONTH('Project Estimations'!$D$4),Currency!C:C,AD63,Currency!D:D,AE63)=0,SUMIFS(Currency!E:E,Currency!A:A,YEAR(Currency!$H$2),Currency!B:B,MONTH(Currency!$H$2),Currency!C:C,AD63,Currency!D:D,AE63),SUMIFS(Currency!E:E,Currency!A:A,YEAR('Project Estimations'!$D$4),Currency!B:B,MONTH('Project Estimations'!$D$4),Currency!C:C,AD63,Currency!D:D,AE63))</f>
        <v>8.3038705777332435E-4</v>
      </c>
    </row>
    <row r="64" spans="3:32" ht="13" x14ac:dyDescent="0.25">
      <c r="C64" s="68" t="s">
        <v>171</v>
      </c>
      <c r="D64" s="45" t="str">
        <f>IF('Project Estimations'!D83="","",'Project Estimations'!C83&amp;" "&amp;'Project Estimations'!D83&amp;" "&amp;'Project Estimations'!E83)</f>
        <v/>
      </c>
      <c r="E64" s="40" t="str">
        <f>IF('Project Estimations'!F83="","",'Project Estimations'!F83)</f>
        <v/>
      </c>
      <c r="F64" s="40" t="str">
        <f>IF('Project Estimations'!G83="","",'Project Estimations'!G83)</f>
        <v/>
      </c>
      <c r="G64" s="40" t="str">
        <f>IF((OR('Project Estimations'!H83="",'Project Estimations'!H83=0,C64="N")),"",'Project Estimations'!H83)</f>
        <v/>
      </c>
      <c r="H64" s="292"/>
      <c r="I64" s="41" t="str">
        <f>IFERROR(IF(E64="","",(IF(F64="KT",VLOOKUP(E64,CostRate!$B$5:$BV$23,9+'Project Estimations'!$E$7,FALSE))+IF(F64="PT",VLOOKUP(E64,CostRate!$B$5:$BV$23,2+'Project Estimations'!$E$7,FALSE))+IF(F64="US",VLOOKUP(E64,CostRate!$B$5:$BV$23,3+'Project Estimations'!$E$7,FALSE))+IF(F64="DE",VLOOKUP(E64,CostRate!$B$5:$BV$23,4+'Project Estimations'!$E$7,FALSE))+IF(F64="BR",VLOOKUP(E64,CostRate!$B$5:$BV$23,5+'Project Estimations'!$E$7,FALSE))+IF(F64="MX",VLOOKUP(E64,CostRate!$B$5:$BV$23,6+'Project Estimations'!$E$7,FALSE))+IF(F64="CL",VLOOKUP(E64,CostRate!$B$5:$BV$23,7+'Project Estimations'!$E$7,FALSE))+IF(F64="CN",VLOOKUP(E64,CostRate!$B$5:$BV$23,8+'Project Estimations'!$E$7,FALSE))+IF(F64="EXT",VLOOKUP(E64,CostRate!$B$5:$BV$23,9+'Project Estimations'!$E$7,FALSE)))),"")</f>
        <v/>
      </c>
      <c r="J64" s="41" t="str">
        <f t="shared" si="1"/>
        <v/>
      </c>
      <c r="K64" s="41" t="str">
        <f t="shared" si="2"/>
        <v/>
      </c>
      <c r="L64" s="148" t="str">
        <f t="shared" si="3"/>
        <v/>
      </c>
      <c r="AD64" s="40" t="str">
        <f>+[1]CostRate!CT56</f>
        <v>CLP</v>
      </c>
      <c r="AE64" s="40" t="str">
        <f>+[1]CostRate!CU56</f>
        <v>BRL</v>
      </c>
      <c r="AF64" s="84">
        <f>+IF(SUMIFS(Currency!E:E,Currency!A:A,YEAR('Project Estimations'!$D$4),Currency!B:B,MONTH('Project Estimations'!$D$4),Currency!C:C,AD64,Currency!D:D,AE64)=0,SUMIFS(Currency!E:E,Currency!A:A,YEAR(Currency!$H$2),Currency!B:B,MONTH(Currency!$H$2),Currency!C:C,AD64,Currency!D:D,AE64),SUMIFS(Currency!E:E,Currency!A:A,YEAR('Project Estimations'!$D$4),Currency!B:B,MONTH('Project Estimations'!$D$4),Currency!C:C,AD64,Currency!D:D,AE64))</f>
        <v>6.0138778651166579E-3</v>
      </c>
    </row>
    <row r="65" spans="3:32" ht="13" x14ac:dyDescent="0.25">
      <c r="C65" s="67" t="s">
        <v>171</v>
      </c>
      <c r="D65" s="46" t="str">
        <f>IF('Project Estimations'!D84="","",'Project Estimations'!C84&amp;" "&amp;'Project Estimations'!D84&amp;" "&amp;'Project Estimations'!E84)</f>
        <v/>
      </c>
      <c r="E65" s="38" t="str">
        <f>IF('Project Estimations'!F84="","",'Project Estimations'!F84)</f>
        <v/>
      </c>
      <c r="F65" s="38" t="str">
        <f>IF('Project Estimations'!G84="","",'Project Estimations'!G84)</f>
        <v/>
      </c>
      <c r="G65" s="38" t="str">
        <f>IF((OR('Project Estimations'!H84="",'Project Estimations'!H84=0,C65="N")),"",'Project Estimations'!H84)</f>
        <v/>
      </c>
      <c r="H65" s="291"/>
      <c r="I65" s="39" t="str">
        <f>IFERROR(IF(E65="","",(IF(F65="KT",VLOOKUP(E65,CostRate!$B$5:$BV$23,9+'Project Estimations'!$E$7,FALSE))+IF(F65="PT",VLOOKUP(E65,CostRate!$B$5:$BV$23,2+'Project Estimations'!$E$7,FALSE))+IF(F65="US",VLOOKUP(E65,CostRate!$B$5:$BV$23,3+'Project Estimations'!$E$7,FALSE))+IF(F65="DE",VLOOKUP(E65,CostRate!$B$5:$BV$23,4+'Project Estimations'!$E$7,FALSE))+IF(F65="BR",VLOOKUP(E65,CostRate!$B$5:$BV$23,5+'Project Estimations'!$E$7,FALSE))+IF(F65="MX",VLOOKUP(E65,CostRate!$B$5:$BV$23,6+'Project Estimations'!$E$7,FALSE))+IF(F65="CL",VLOOKUP(E65,CostRate!$B$5:$BV$23,7+'Project Estimations'!$E$7,FALSE))+IF(F65="CN",VLOOKUP(E65,CostRate!$B$5:$BV$23,8+'Project Estimations'!$E$7,FALSE))+IF(F65="EXT",VLOOKUP(E65,CostRate!$B$5:$BV$23,9+'Project Estimations'!$E$7,FALSE)))),"")</f>
        <v/>
      </c>
      <c r="J65" s="39" t="str">
        <f t="shared" si="1"/>
        <v/>
      </c>
      <c r="K65" s="39" t="str">
        <f t="shared" si="2"/>
        <v/>
      </c>
      <c r="L65" s="147" t="str">
        <f t="shared" si="3"/>
        <v/>
      </c>
      <c r="AD65" s="38" t="str">
        <f>+[1]CostRate!CT57</f>
        <v>CLP</v>
      </c>
      <c r="AE65" s="38" t="str">
        <f>+[1]CostRate!CU57</f>
        <v>MXN</v>
      </c>
      <c r="AF65" s="83">
        <f>+IF(SUMIFS(Currency!E:E,Currency!A:A,YEAR('Project Estimations'!$D$4),Currency!B:B,MONTH('Project Estimations'!$D$4),Currency!C:C,AD65,Currency!D:D,AE65)=0,SUMIFS(Currency!E:E,Currency!A:A,YEAR(Currency!$H$2),Currency!B:B,MONTH(Currency!$H$2),Currency!C:C,AD65,Currency!D:D,AE65),SUMIFS(Currency!E:E,Currency!A:A,YEAR('Project Estimations'!$D$4),Currency!B:B,MONTH('Project Estimations'!$D$4),Currency!C:C,AD65,Currency!D:D,AE65))</f>
        <v>2.1851494620380538E-2</v>
      </c>
    </row>
    <row r="66" spans="3:32" ht="13" x14ac:dyDescent="0.25">
      <c r="C66" s="68" t="s">
        <v>171</v>
      </c>
      <c r="D66" s="45" t="str">
        <f>IF('Project Estimations'!D85="","",'Project Estimations'!C85&amp;" "&amp;'Project Estimations'!D85&amp;" "&amp;'Project Estimations'!E85)</f>
        <v/>
      </c>
      <c r="E66" s="40" t="str">
        <f>IF('Project Estimations'!F85="","",'Project Estimations'!F85)</f>
        <v/>
      </c>
      <c r="F66" s="40" t="str">
        <f>IF('Project Estimations'!G85="","",'Project Estimations'!G85)</f>
        <v/>
      </c>
      <c r="G66" s="40" t="str">
        <f>IF((OR('Project Estimations'!H85="",'Project Estimations'!H85=0,C66="N")),"",'Project Estimations'!H85)</f>
        <v/>
      </c>
      <c r="H66" s="292"/>
      <c r="I66" s="41" t="str">
        <f>IFERROR(IF(E66="","",(IF(F66="KT",VLOOKUP(E66,CostRate!$B$5:$BV$23,9+'Project Estimations'!$E$7,FALSE))+IF(F66="PT",VLOOKUP(E66,CostRate!$B$5:$BV$23,2+'Project Estimations'!$E$7,FALSE))+IF(F66="US",VLOOKUP(E66,CostRate!$B$5:$BV$23,3+'Project Estimations'!$E$7,FALSE))+IF(F66="DE",VLOOKUP(E66,CostRate!$B$5:$BV$23,4+'Project Estimations'!$E$7,FALSE))+IF(F66="BR",VLOOKUP(E66,CostRate!$B$5:$BV$23,5+'Project Estimations'!$E$7,FALSE))+IF(F66="MX",VLOOKUP(E66,CostRate!$B$5:$BV$23,6+'Project Estimations'!$E$7,FALSE))+IF(F66="CL",VLOOKUP(E66,CostRate!$B$5:$BV$23,7+'Project Estimations'!$E$7,FALSE))+IF(F66="CN",VLOOKUP(E66,CostRate!$B$5:$BV$23,8+'Project Estimations'!$E$7,FALSE))+IF(F66="EXT",VLOOKUP(E66,CostRate!$B$5:$BV$23,9+'Project Estimations'!$E$7,FALSE)))),"")</f>
        <v/>
      </c>
      <c r="J66" s="41" t="str">
        <f t="shared" si="1"/>
        <v/>
      </c>
      <c r="K66" s="41" t="str">
        <f t="shared" si="2"/>
        <v/>
      </c>
      <c r="L66" s="148" t="str">
        <f t="shared" si="3"/>
        <v/>
      </c>
      <c r="AD66" s="40" t="str">
        <f>+[1]CostRate!CT58</f>
        <v>CLP</v>
      </c>
      <c r="AE66" s="40" t="str">
        <f>+[1]CostRate!CU58</f>
        <v>CLP</v>
      </c>
      <c r="AF66" s="84">
        <f>+IF(SUMIFS(Currency!E:E,Currency!A:A,YEAR('Project Estimations'!$D$4),Currency!B:B,MONTH('Project Estimations'!$D$4),Currency!C:C,AD66,Currency!D:D,AE66)=0,SUMIFS(Currency!E:E,Currency!A:A,YEAR(Currency!$H$2),Currency!B:B,MONTH(Currency!$H$2),Currency!C:C,AD66,Currency!D:D,AE66),SUMIFS(Currency!E:E,Currency!A:A,YEAR('Project Estimations'!$D$4),Currency!B:B,MONTH('Project Estimations'!$D$4),Currency!C:C,AD66,Currency!D:D,AE66))</f>
        <v>1</v>
      </c>
    </row>
    <row r="67" spans="3:32" ht="13" x14ac:dyDescent="0.25">
      <c r="C67" s="67" t="s">
        <v>171</v>
      </c>
      <c r="D67" s="46" t="str">
        <f>IF('Project Estimations'!D86="","",'Project Estimations'!C86&amp;" "&amp;'Project Estimations'!D86&amp;" "&amp;'Project Estimations'!E86)</f>
        <v/>
      </c>
      <c r="E67" s="38" t="str">
        <f>IF('Project Estimations'!F86="","",'Project Estimations'!F86)</f>
        <v/>
      </c>
      <c r="F67" s="38" t="str">
        <f>IF('Project Estimations'!G86="","",'Project Estimations'!G86)</f>
        <v/>
      </c>
      <c r="G67" s="38" t="str">
        <f>IF((OR('Project Estimations'!H86="",'Project Estimations'!H86=0,C67="N")),"",'Project Estimations'!H86)</f>
        <v/>
      </c>
      <c r="H67" s="291"/>
      <c r="I67" s="39" t="str">
        <f>IFERROR(IF(E67="","",(IF(F67="KT",VLOOKUP(E67,CostRate!$B$5:$BV$23,9+'Project Estimations'!$E$7,FALSE))+IF(F67="PT",VLOOKUP(E67,CostRate!$B$5:$BV$23,2+'Project Estimations'!$E$7,FALSE))+IF(F67="US",VLOOKUP(E67,CostRate!$B$5:$BV$23,3+'Project Estimations'!$E$7,FALSE))+IF(F67="DE",VLOOKUP(E67,CostRate!$B$5:$BV$23,4+'Project Estimations'!$E$7,FALSE))+IF(F67="BR",VLOOKUP(E67,CostRate!$B$5:$BV$23,5+'Project Estimations'!$E$7,FALSE))+IF(F67="MX",VLOOKUP(E67,CostRate!$B$5:$BV$23,6+'Project Estimations'!$E$7,FALSE))+IF(F67="CL",VLOOKUP(E67,CostRate!$B$5:$BV$23,7+'Project Estimations'!$E$7,FALSE))+IF(F67="CN",VLOOKUP(E67,CostRate!$B$5:$BV$23,8+'Project Estimations'!$E$7,FALSE))+IF(F67="EXT",VLOOKUP(E67,CostRate!$B$5:$BV$23,9+'Project Estimations'!$E$7,FALSE)))),"")</f>
        <v/>
      </c>
      <c r="J67" s="39" t="str">
        <f t="shared" si="1"/>
        <v/>
      </c>
      <c r="K67" s="39" t="str">
        <f t="shared" si="2"/>
        <v/>
      </c>
      <c r="L67" s="147" t="str">
        <f t="shared" si="3"/>
        <v/>
      </c>
      <c r="AD67" s="38" t="str">
        <f>+[1]CostRate!CT59</f>
        <v>CLP</v>
      </c>
      <c r="AE67" s="38" t="str">
        <f>+[1]CostRate!CU59</f>
        <v>CNY</v>
      </c>
      <c r="AF67" s="83">
        <f>+IF(SUMIFS(Currency!E:E,Currency!A:A,YEAR('Project Estimations'!$D$4),Currency!B:B,MONTH('Project Estimations'!$D$4),Currency!C:C,AD67,Currency!D:D,AE67)=0,SUMIFS(Currency!E:E,Currency!A:A,YEAR(Currency!$H$2),Currency!B:B,MONTH(Currency!$H$2),Currency!C:C,AD67,Currency!D:D,AE67),SUMIFS(Currency!E:E,Currency!A:A,YEAR('Project Estimations'!$D$4),Currency!B:B,MONTH('Project Estimations'!$D$4),Currency!C:C,AD67,Currency!D:D,AE67))</f>
        <v>7.7999999999999996E-3</v>
      </c>
    </row>
    <row r="68" spans="3:32" ht="13" x14ac:dyDescent="0.25">
      <c r="C68" s="68" t="s">
        <v>171</v>
      </c>
      <c r="D68" s="45" t="str">
        <f>IF('Project Estimations'!D87="","",'Project Estimations'!C87&amp;" "&amp;'Project Estimations'!D87&amp;" "&amp;'Project Estimations'!E87)</f>
        <v/>
      </c>
      <c r="E68" s="40" t="str">
        <f>IF('Project Estimations'!F87="","",'Project Estimations'!F87)</f>
        <v/>
      </c>
      <c r="F68" s="40" t="str">
        <f>IF('Project Estimations'!G87="","",'Project Estimations'!G87)</f>
        <v/>
      </c>
      <c r="G68" s="40" t="str">
        <f>IF((OR('Project Estimations'!H87="",'Project Estimations'!H87=0,C68="N")),"",'Project Estimations'!H87)</f>
        <v/>
      </c>
      <c r="H68" s="292"/>
      <c r="I68" s="41" t="str">
        <f>IFERROR(IF(E68="","",(IF(F68="KT",VLOOKUP(E68,CostRate!$B$5:$BV$23,9+'Project Estimations'!$E$7,FALSE))+IF(F68="PT",VLOOKUP(E68,CostRate!$B$5:$BV$23,2+'Project Estimations'!$E$7,FALSE))+IF(F68="US",VLOOKUP(E68,CostRate!$B$5:$BV$23,3+'Project Estimations'!$E$7,FALSE))+IF(F68="DE",VLOOKUP(E68,CostRate!$B$5:$BV$23,4+'Project Estimations'!$E$7,FALSE))+IF(F68="BR",VLOOKUP(E68,CostRate!$B$5:$BV$23,5+'Project Estimations'!$E$7,FALSE))+IF(F68="MX",VLOOKUP(E68,CostRate!$B$5:$BV$23,6+'Project Estimations'!$E$7,FALSE))+IF(F68="CL",VLOOKUP(E68,CostRate!$B$5:$BV$23,7+'Project Estimations'!$E$7,FALSE))+IF(F68="CN",VLOOKUP(E68,CostRate!$B$5:$BV$23,8+'Project Estimations'!$E$7,FALSE))+IF(F68="EXT",VLOOKUP(E68,CostRate!$B$5:$BV$23,9+'Project Estimations'!$E$7,FALSE)))),"")</f>
        <v/>
      </c>
      <c r="J68" s="41" t="str">
        <f t="shared" si="1"/>
        <v/>
      </c>
      <c r="K68" s="41" t="str">
        <f t="shared" si="2"/>
        <v/>
      </c>
      <c r="L68" s="148" t="str">
        <f t="shared" si="3"/>
        <v/>
      </c>
      <c r="AD68" s="40" t="str">
        <f>+[1]CostRate!CT60</f>
        <v>CLP</v>
      </c>
      <c r="AE68" s="40" t="str">
        <f>+[1]CostRate!CU60</f>
        <v>CHF</v>
      </c>
      <c r="AF68" s="84">
        <f>+IF(SUMIFS(Currency!E:E,Currency!A:A,YEAR('Project Estimations'!$D$4),Currency!B:B,MONTH('Project Estimations'!$D$4),Currency!C:C,AD68,Currency!D:D,AE68)=0,SUMIFS(Currency!E:E,Currency!A:A,YEAR(Currency!$H$2),Currency!B:B,MONTH(Currency!$H$2),Currency!C:C,AD68,Currency!D:D,AE68),SUMIFS(Currency!E:E,Currency!A:A,YEAR('Project Estimations'!$D$4),Currency!B:B,MONTH('Project Estimations'!$D$4),Currency!C:C,AD68,Currency!D:D,AE68))</f>
        <v>9.3999999999999997E-4</v>
      </c>
    </row>
    <row r="69" spans="3:32" ht="13" x14ac:dyDescent="0.25">
      <c r="C69" s="67" t="s">
        <v>171</v>
      </c>
      <c r="D69" s="46" t="str">
        <f>IF('Project Estimations'!D88="","",'Project Estimations'!C88&amp;" "&amp;'Project Estimations'!D88&amp;" "&amp;'Project Estimations'!E88)</f>
        <v/>
      </c>
      <c r="E69" s="38" t="str">
        <f>IF('Project Estimations'!F88="","",'Project Estimations'!F88)</f>
        <v/>
      </c>
      <c r="F69" s="38" t="str">
        <f>IF('Project Estimations'!G88="","",'Project Estimations'!G88)</f>
        <v/>
      </c>
      <c r="G69" s="38" t="str">
        <f>IF((OR('Project Estimations'!H88="",'Project Estimations'!H88=0,C69="N")),"",'Project Estimations'!H88)</f>
        <v/>
      </c>
      <c r="H69" s="291"/>
      <c r="I69" s="39" t="str">
        <f>IFERROR(IF(E69="","",(IF(F69="KT",VLOOKUP(E69,CostRate!$B$5:$BV$23,9+'Project Estimations'!$E$7,FALSE))+IF(F69="PT",VLOOKUP(E69,CostRate!$B$5:$BV$23,2+'Project Estimations'!$E$7,FALSE))+IF(F69="US",VLOOKUP(E69,CostRate!$B$5:$BV$23,3+'Project Estimations'!$E$7,FALSE))+IF(F69="DE",VLOOKUP(E69,CostRate!$B$5:$BV$23,4+'Project Estimations'!$E$7,FALSE))+IF(F69="BR",VLOOKUP(E69,CostRate!$B$5:$BV$23,5+'Project Estimations'!$E$7,FALSE))+IF(F69="MX",VLOOKUP(E69,CostRate!$B$5:$BV$23,6+'Project Estimations'!$E$7,FALSE))+IF(F69="CL",VLOOKUP(E69,CostRate!$B$5:$BV$23,7+'Project Estimations'!$E$7,FALSE))+IF(F69="CN",VLOOKUP(E69,CostRate!$B$5:$BV$23,8+'Project Estimations'!$E$7,FALSE))+IF(F69="EXT",VLOOKUP(E69,CostRate!$B$5:$BV$23,9+'Project Estimations'!$E$7,FALSE)))),"")</f>
        <v/>
      </c>
      <c r="J69" s="39" t="str">
        <f t="shared" si="1"/>
        <v/>
      </c>
      <c r="K69" s="39" t="str">
        <f t="shared" si="2"/>
        <v/>
      </c>
      <c r="L69" s="147" t="str">
        <f t="shared" si="3"/>
        <v/>
      </c>
      <c r="AD69" s="38" t="str">
        <f>+[1]CostRate!CT61</f>
        <v>CLP</v>
      </c>
      <c r="AE69" s="38" t="str">
        <f>+[1]CostRate!CU61</f>
        <v>SEK</v>
      </c>
      <c r="AF69" s="83">
        <f>+IF(SUMIFS(Currency!E:E,Currency!A:A,YEAR('Project Estimations'!$D$4),Currency!B:B,MONTH('Project Estimations'!$D$4),Currency!C:C,AD69,Currency!D:D,AE69)=0,SUMIFS(Currency!E:E,Currency!A:A,YEAR(Currency!$H$2),Currency!B:B,MONTH(Currency!$H$2),Currency!C:C,AD69,Currency!D:D,AE69),SUMIFS(Currency!E:E,Currency!A:A,YEAR('Project Estimations'!$D$4),Currency!B:B,MONTH('Project Estimations'!$D$4),Currency!C:C,AD69,Currency!D:D,AE69))</f>
        <v>1.123E-2</v>
      </c>
    </row>
    <row r="70" spans="3:32" ht="13" x14ac:dyDescent="0.25">
      <c r="C70" s="68" t="s">
        <v>171</v>
      </c>
      <c r="D70" s="45" t="str">
        <f>IF('Project Estimations'!D89="","",'Project Estimations'!C89&amp;" "&amp;'Project Estimations'!D89&amp;" "&amp;'Project Estimations'!E89)</f>
        <v/>
      </c>
      <c r="E70" s="40" t="str">
        <f>IF('Project Estimations'!F89="","",'Project Estimations'!F89)</f>
        <v/>
      </c>
      <c r="F70" s="40" t="str">
        <f>IF('Project Estimations'!G89="","",'Project Estimations'!G89)</f>
        <v/>
      </c>
      <c r="G70" s="40" t="str">
        <f>IF((OR('Project Estimations'!H89="",'Project Estimations'!H89=0,C70="N")),"",'Project Estimations'!H89)</f>
        <v/>
      </c>
      <c r="H70" s="292"/>
      <c r="I70" s="41" t="str">
        <f>IFERROR(IF(E70="","",(IF(F70="KT",VLOOKUP(E70,CostRate!$B$5:$BV$23,9+'Project Estimations'!$E$7,FALSE))+IF(F70="PT",VLOOKUP(E70,CostRate!$B$5:$BV$23,2+'Project Estimations'!$E$7,FALSE))+IF(F70="US",VLOOKUP(E70,CostRate!$B$5:$BV$23,3+'Project Estimations'!$E$7,FALSE))+IF(F70="DE",VLOOKUP(E70,CostRate!$B$5:$BV$23,4+'Project Estimations'!$E$7,FALSE))+IF(F70="BR",VLOOKUP(E70,CostRate!$B$5:$BV$23,5+'Project Estimations'!$E$7,FALSE))+IF(F70="MX",VLOOKUP(E70,CostRate!$B$5:$BV$23,6+'Project Estimations'!$E$7,FALSE))+IF(F70="CL",VLOOKUP(E70,CostRate!$B$5:$BV$23,7+'Project Estimations'!$E$7,FALSE))+IF(F70="CN",VLOOKUP(E70,CostRate!$B$5:$BV$23,8+'Project Estimations'!$E$7,FALSE))+IF(F70="EXT",VLOOKUP(E70,CostRate!$B$5:$BV$23,9+'Project Estimations'!$E$7,FALSE)))),"")</f>
        <v/>
      </c>
      <c r="J70" s="41" t="str">
        <f t="shared" si="1"/>
        <v/>
      </c>
      <c r="K70" s="41" t="str">
        <f t="shared" si="2"/>
        <v/>
      </c>
      <c r="L70" s="148" t="str">
        <f t="shared" si="3"/>
        <v/>
      </c>
      <c r="AD70" s="40" t="str">
        <f>+[1]CostRate!CT62</f>
        <v>CLP</v>
      </c>
      <c r="AE70" s="40" t="str">
        <f>+[1]CostRate!CU62</f>
        <v>SAR</v>
      </c>
      <c r="AF70" s="84">
        <f>+IF(SUMIFS(Currency!E:E,Currency!A:A,YEAR('Project Estimations'!$D$4),Currency!B:B,MONTH('Project Estimations'!$D$4),Currency!C:C,AD70,Currency!D:D,AE70)=0,SUMIFS(Currency!E:E,Currency!A:A,YEAR(Currency!$H$2),Currency!B:B,MONTH(Currency!$H$2),Currency!C:C,AD70,Currency!D:D,AE70),SUMIFS(Currency!E:E,Currency!A:A,YEAR('Project Estimations'!$D$4),Currency!B:B,MONTH('Project Estimations'!$D$4),Currency!C:C,AD70,Currency!D:D,AE70))</f>
        <v>4.1700000000000001E-3</v>
      </c>
    </row>
    <row r="71" spans="3:32" ht="13" x14ac:dyDescent="0.25">
      <c r="C71" s="67" t="s">
        <v>171</v>
      </c>
      <c r="D71" s="46" t="str">
        <f>IF('Project Estimations'!D90="","",'Project Estimations'!C90&amp;" "&amp;'Project Estimations'!D90&amp;" "&amp;'Project Estimations'!E90)</f>
        <v/>
      </c>
      <c r="E71" s="38" t="str">
        <f>IF('Project Estimations'!F90="","",'Project Estimations'!F90)</f>
        <v/>
      </c>
      <c r="F71" s="38" t="str">
        <f>IF('Project Estimations'!G90="","",'Project Estimations'!G90)</f>
        <v/>
      </c>
      <c r="G71" s="38" t="str">
        <f>IF((OR('Project Estimations'!H90="",'Project Estimations'!H90=0,C71="N")),"",'Project Estimations'!H90)</f>
        <v/>
      </c>
      <c r="H71" s="291"/>
      <c r="I71" s="39" t="str">
        <f>IFERROR(IF(E71="","",(IF(F71="KT",VLOOKUP(E71,CostRate!$B$5:$BV$23,9+'Project Estimations'!$E$7,FALSE))+IF(F71="PT",VLOOKUP(E71,CostRate!$B$5:$BV$23,2+'Project Estimations'!$E$7,FALSE))+IF(F71="US",VLOOKUP(E71,CostRate!$B$5:$BV$23,3+'Project Estimations'!$E$7,FALSE))+IF(F71="DE",VLOOKUP(E71,CostRate!$B$5:$BV$23,4+'Project Estimations'!$E$7,FALSE))+IF(F71="BR",VLOOKUP(E71,CostRate!$B$5:$BV$23,5+'Project Estimations'!$E$7,FALSE))+IF(F71="MX",VLOOKUP(E71,CostRate!$B$5:$BV$23,6+'Project Estimations'!$E$7,FALSE))+IF(F71="CL",VLOOKUP(E71,CostRate!$B$5:$BV$23,7+'Project Estimations'!$E$7,FALSE))+IF(F71="CN",VLOOKUP(E71,CostRate!$B$5:$BV$23,8+'Project Estimations'!$E$7,FALSE))+IF(F71="EXT",VLOOKUP(E71,CostRate!$B$5:$BV$23,9+'Project Estimations'!$E$7,FALSE)))),"")</f>
        <v/>
      </c>
      <c r="J71" s="39" t="str">
        <f t="shared" si="1"/>
        <v/>
      </c>
      <c r="K71" s="39" t="str">
        <f t="shared" si="2"/>
        <v/>
      </c>
      <c r="L71" s="147" t="str">
        <f t="shared" si="3"/>
        <v/>
      </c>
      <c r="AD71" s="38" t="str">
        <f>+[1]CostRate!CT63</f>
        <v>CNY</v>
      </c>
      <c r="AE71" s="38" t="str">
        <f>+[1]CostRate!CU63</f>
        <v>EUR</v>
      </c>
      <c r="AF71" s="83">
        <f>+IF(SUMIFS(Currency!E:E,Currency!A:A,YEAR('Project Estimations'!$D$4),Currency!B:B,MONTH('Project Estimations'!$D$4),Currency!C:C,AD71,Currency!D:D,AE71)=0,SUMIFS(Currency!E:E,Currency!A:A,YEAR(Currency!$H$2),Currency!B:B,MONTH(Currency!$H$2),Currency!C:C,AD71,Currency!D:D,AE71),SUMIFS(Currency!E:E,Currency!A:A,YEAR('Project Estimations'!$D$4),Currency!B:B,MONTH('Project Estimations'!$D$4),Currency!C:C,AD71,Currency!D:D,AE71))</f>
        <v>0.12737068691011452</v>
      </c>
    </row>
    <row r="72" spans="3:32" ht="13" x14ac:dyDescent="0.25">
      <c r="C72" s="68" t="s">
        <v>171</v>
      </c>
      <c r="D72" s="45" t="str">
        <f>IF('Project Estimations'!D91="","",'Project Estimations'!C91&amp;" "&amp;'Project Estimations'!D91&amp;" "&amp;'Project Estimations'!E91)</f>
        <v/>
      </c>
      <c r="E72" s="40" t="str">
        <f>IF('Project Estimations'!F91="","",'Project Estimations'!F91)</f>
        <v/>
      </c>
      <c r="F72" s="40" t="str">
        <f>IF('Project Estimations'!G91="","",'Project Estimations'!G91)</f>
        <v/>
      </c>
      <c r="G72" s="40" t="str">
        <f>IF((OR('Project Estimations'!H91="",'Project Estimations'!H91=0,C72="N")),"",'Project Estimations'!H91)</f>
        <v/>
      </c>
      <c r="H72" s="292"/>
      <c r="I72" s="41" t="str">
        <f>IFERROR(IF(E72="","",(IF(F72="KT",VLOOKUP(E72,CostRate!$B$5:$BV$23,9+'Project Estimations'!$E$7,FALSE))+IF(F72="PT",VLOOKUP(E72,CostRate!$B$5:$BV$23,2+'Project Estimations'!$E$7,FALSE))+IF(F72="US",VLOOKUP(E72,CostRate!$B$5:$BV$23,3+'Project Estimations'!$E$7,FALSE))+IF(F72="DE",VLOOKUP(E72,CostRate!$B$5:$BV$23,4+'Project Estimations'!$E$7,FALSE))+IF(F72="BR",VLOOKUP(E72,CostRate!$B$5:$BV$23,5+'Project Estimations'!$E$7,FALSE))+IF(F72="MX",VLOOKUP(E72,CostRate!$B$5:$BV$23,6+'Project Estimations'!$E$7,FALSE))+IF(F72="CL",VLOOKUP(E72,CostRate!$B$5:$BV$23,7+'Project Estimations'!$E$7,FALSE))+IF(F72="CN",VLOOKUP(E72,CostRate!$B$5:$BV$23,8+'Project Estimations'!$E$7,FALSE))+IF(F72="EXT",VLOOKUP(E72,CostRate!$B$5:$BV$23,9+'Project Estimations'!$E$7,FALSE)))),"")</f>
        <v/>
      </c>
      <c r="J72" s="41" t="str">
        <f t="shared" si="1"/>
        <v/>
      </c>
      <c r="K72" s="41" t="str">
        <f t="shared" si="2"/>
        <v/>
      </c>
      <c r="L72" s="148" t="str">
        <f t="shared" si="3"/>
        <v/>
      </c>
      <c r="AD72" s="40" t="str">
        <f>+[1]CostRate!CT64</f>
        <v>CNY</v>
      </c>
      <c r="AE72" s="40" t="str">
        <f>+[1]CostRate!CU64</f>
        <v>USD</v>
      </c>
      <c r="AF72" s="84">
        <f>+IF(SUMIFS(Currency!E:E,Currency!A:A,YEAR('Project Estimations'!$D$4),Currency!B:B,MONTH('Project Estimations'!$D$4),Currency!C:C,AD72,Currency!D:D,AE72)=0,SUMIFS(Currency!E:E,Currency!A:A,YEAR(Currency!$H$2),Currency!B:B,MONTH(Currency!$H$2),Currency!C:C,AD72,Currency!D:D,AE72),SUMIFS(Currency!E:E,Currency!A:A,YEAR('Project Estimations'!$D$4),Currency!B:B,MONTH('Project Estimations'!$D$4),Currency!C:C,AD72,Currency!D:D,AE72))</f>
        <v>0.14260412239997033</v>
      </c>
    </row>
    <row r="73" spans="3:32" ht="13" x14ac:dyDescent="0.25">
      <c r="C73" s="67" t="s">
        <v>171</v>
      </c>
      <c r="D73" s="46" t="str">
        <f>IF('Project Estimations'!D92="","",'Project Estimations'!C92&amp;" "&amp;'Project Estimations'!D92&amp;" "&amp;'Project Estimations'!E92)</f>
        <v/>
      </c>
      <c r="E73" s="38" t="str">
        <f>IF('Project Estimations'!F92="","",'Project Estimations'!F92)</f>
        <v/>
      </c>
      <c r="F73" s="38" t="str">
        <f>IF('Project Estimations'!G92="","",'Project Estimations'!G92)</f>
        <v/>
      </c>
      <c r="G73" s="38" t="str">
        <f>IF((OR('Project Estimations'!H92="",'Project Estimations'!H92=0,C73="N")),"",'Project Estimations'!H92)</f>
        <v/>
      </c>
      <c r="H73" s="291"/>
      <c r="I73" s="39" t="str">
        <f>IFERROR(IF(E73="","",(IF(F73="KT",VLOOKUP(E73,CostRate!$B$5:$BV$23,9+'Project Estimations'!$E$7,FALSE))+IF(F73="PT",VLOOKUP(E73,CostRate!$B$5:$BV$23,2+'Project Estimations'!$E$7,FALSE))+IF(F73="US",VLOOKUP(E73,CostRate!$B$5:$BV$23,3+'Project Estimations'!$E$7,FALSE))+IF(F73="DE",VLOOKUP(E73,CostRate!$B$5:$BV$23,4+'Project Estimations'!$E$7,FALSE))+IF(F73="BR",VLOOKUP(E73,CostRate!$B$5:$BV$23,5+'Project Estimations'!$E$7,FALSE))+IF(F73="MX",VLOOKUP(E73,CostRate!$B$5:$BV$23,6+'Project Estimations'!$E$7,FALSE))+IF(F73="CL",VLOOKUP(E73,CostRate!$B$5:$BV$23,7+'Project Estimations'!$E$7,FALSE))+IF(F73="CN",VLOOKUP(E73,CostRate!$B$5:$BV$23,8+'Project Estimations'!$E$7,FALSE))+IF(F73="EXT",VLOOKUP(E73,CostRate!$B$5:$BV$23,9+'Project Estimations'!$E$7,FALSE)))),"")</f>
        <v/>
      </c>
      <c r="J73" s="39" t="str">
        <f t="shared" si="1"/>
        <v/>
      </c>
      <c r="K73" s="39" t="str">
        <f t="shared" si="2"/>
        <v/>
      </c>
      <c r="L73" s="147" t="str">
        <f t="shared" si="3"/>
        <v/>
      </c>
      <c r="AD73" s="38" t="str">
        <f>+[1]CostRate!CT65</f>
        <v>CNY</v>
      </c>
      <c r="AE73" s="38" t="str">
        <f>+[1]CostRate!CU65</f>
        <v>GBP</v>
      </c>
      <c r="AF73" s="83">
        <f>+IF(SUMIFS(Currency!E:E,Currency!A:A,YEAR('Project Estimations'!$D$4),Currency!B:B,MONTH('Project Estimations'!$D$4),Currency!C:C,AD73,Currency!D:D,AE73)=0,SUMIFS(Currency!E:E,Currency!A:A,YEAR(Currency!$H$2),Currency!B:B,MONTH(Currency!$H$2),Currency!C:C,AD73,Currency!D:D,AE73),SUMIFS(Currency!E:E,Currency!A:A,YEAR('Project Estimations'!$D$4),Currency!B:B,MONTH('Project Estimations'!$D$4),Currency!C:C,AD73,Currency!D:D,AE73))</f>
        <v>0.1064092414297997</v>
      </c>
    </row>
    <row r="74" spans="3:32" ht="13" x14ac:dyDescent="0.25">
      <c r="C74" s="68" t="s">
        <v>171</v>
      </c>
      <c r="D74" s="45" t="str">
        <f>IF('Project Estimations'!D93="","",'Project Estimations'!C93&amp;" "&amp;'Project Estimations'!D93&amp;" "&amp;'Project Estimations'!E93)</f>
        <v/>
      </c>
      <c r="E74" s="40" t="str">
        <f>IF('Project Estimations'!F93="","",'Project Estimations'!F93)</f>
        <v/>
      </c>
      <c r="F74" s="40" t="str">
        <f>IF('Project Estimations'!G93="","",'Project Estimations'!G93)</f>
        <v/>
      </c>
      <c r="G74" s="40" t="str">
        <f>IF((OR('Project Estimations'!H93="",'Project Estimations'!H93=0,C74="N")),"",'Project Estimations'!H93)</f>
        <v/>
      </c>
      <c r="H74" s="292"/>
      <c r="I74" s="41" t="str">
        <f>IFERROR(IF(E74="","",(IF(F74="KT",VLOOKUP(E74,CostRate!$B$5:$BV$23,9+'Project Estimations'!$E$7,FALSE))+IF(F74="PT",VLOOKUP(E74,CostRate!$B$5:$BV$23,2+'Project Estimations'!$E$7,FALSE))+IF(F74="US",VLOOKUP(E74,CostRate!$B$5:$BV$23,3+'Project Estimations'!$E$7,FALSE))+IF(F74="DE",VLOOKUP(E74,CostRate!$B$5:$BV$23,4+'Project Estimations'!$E$7,FALSE))+IF(F74="BR",VLOOKUP(E74,CostRate!$B$5:$BV$23,5+'Project Estimations'!$E$7,FALSE))+IF(F74="MX",VLOOKUP(E74,CostRate!$B$5:$BV$23,6+'Project Estimations'!$E$7,FALSE))+IF(F74="CL",VLOOKUP(E74,CostRate!$B$5:$BV$23,7+'Project Estimations'!$E$7,FALSE))+IF(F74="CN",VLOOKUP(E74,CostRate!$B$5:$BV$23,8+'Project Estimations'!$E$7,FALSE))+IF(F74="EXT",VLOOKUP(E74,CostRate!$B$5:$BV$23,9+'Project Estimations'!$E$7,FALSE)))),"")</f>
        <v/>
      </c>
      <c r="J74" s="41" t="str">
        <f t="shared" si="1"/>
        <v/>
      </c>
      <c r="K74" s="41" t="str">
        <f t="shared" si="2"/>
        <v/>
      </c>
      <c r="L74" s="148" t="str">
        <f t="shared" si="3"/>
        <v/>
      </c>
      <c r="AD74" s="40" t="str">
        <f>+[1]CostRate!CT66</f>
        <v>CNY</v>
      </c>
      <c r="AE74" s="40" t="str">
        <f>+[1]CostRate!CU66</f>
        <v>BRL</v>
      </c>
      <c r="AF74" s="84">
        <f>+IF(SUMIFS(Currency!E:E,Currency!A:A,YEAR('Project Estimations'!$D$4),Currency!B:B,MONTH('Project Estimations'!$D$4),Currency!C:C,AD74,Currency!D:D,AE74)=0,SUMIFS(Currency!E:E,Currency!A:A,YEAR(Currency!$H$2),Currency!B:B,MONTH(Currency!$H$2),Currency!C:C,AD74,Currency!D:D,AE74),SUMIFS(Currency!E:E,Currency!A:A,YEAR('Project Estimations'!$D$4),Currency!B:B,MONTH('Project Estimations'!$D$4),Currency!C:C,AD74,Currency!D:D,AE74))</f>
        <v>0.77064163622632209</v>
      </c>
    </row>
    <row r="75" spans="3:32" ht="13" x14ac:dyDescent="0.25">
      <c r="C75" s="67" t="s">
        <v>171</v>
      </c>
      <c r="D75" s="46" t="str">
        <f>IF('Project Estimations'!D94="","",'Project Estimations'!C94&amp;" "&amp;'Project Estimations'!D94&amp;" "&amp;'Project Estimations'!E94)</f>
        <v/>
      </c>
      <c r="E75" s="38" t="str">
        <f>IF('Project Estimations'!F94="","",'Project Estimations'!F94)</f>
        <v/>
      </c>
      <c r="F75" s="38" t="str">
        <f>IF('Project Estimations'!G94="","",'Project Estimations'!G94)</f>
        <v/>
      </c>
      <c r="G75" s="38" t="str">
        <f>IF((OR('Project Estimations'!H94="",'Project Estimations'!H94=0,C75="N")),"",'Project Estimations'!H94)</f>
        <v/>
      </c>
      <c r="H75" s="291"/>
      <c r="I75" s="39" t="str">
        <f>IFERROR(IF(E75="","",(IF(F75="KT",VLOOKUP(E75,CostRate!$B$5:$BV$23,9+'Project Estimations'!$E$7,FALSE))+IF(F75="PT",VLOOKUP(E75,CostRate!$B$5:$BV$23,2+'Project Estimations'!$E$7,FALSE))+IF(F75="US",VLOOKUP(E75,CostRate!$B$5:$BV$23,3+'Project Estimations'!$E$7,FALSE))+IF(F75="DE",VLOOKUP(E75,CostRate!$B$5:$BV$23,4+'Project Estimations'!$E$7,FALSE))+IF(F75="BR",VLOOKUP(E75,CostRate!$B$5:$BV$23,5+'Project Estimations'!$E$7,FALSE))+IF(F75="MX",VLOOKUP(E75,CostRate!$B$5:$BV$23,6+'Project Estimations'!$E$7,FALSE))+IF(F75="CL",VLOOKUP(E75,CostRate!$B$5:$BV$23,7+'Project Estimations'!$E$7,FALSE))+IF(F75="CN",VLOOKUP(E75,CostRate!$B$5:$BV$23,8+'Project Estimations'!$E$7,FALSE))+IF(F75="EXT",VLOOKUP(E75,CostRate!$B$5:$BV$23,9+'Project Estimations'!$E$7,FALSE)))),"")</f>
        <v/>
      </c>
      <c r="J75" s="39" t="str">
        <f t="shared" si="1"/>
        <v/>
      </c>
      <c r="K75" s="39" t="str">
        <f t="shared" si="2"/>
        <v/>
      </c>
      <c r="L75" s="147" t="str">
        <f t="shared" si="3"/>
        <v/>
      </c>
      <c r="AD75" s="38" t="str">
        <f>+[1]CostRate!CT67</f>
        <v>CNY</v>
      </c>
      <c r="AE75" s="38" t="str">
        <f>+[1]CostRate!CU67</f>
        <v>MXN</v>
      </c>
      <c r="AF75" s="83">
        <f>+IF(SUMIFS(Currency!E:E,Currency!A:A,YEAR('Project Estimations'!$D$4),Currency!B:B,MONTH('Project Estimations'!$D$4),Currency!C:C,AD75,Currency!D:D,AE75)=0,SUMIFS(Currency!E:E,Currency!A:A,YEAR(Currency!$H$2),Currency!B:B,MONTH(Currency!$H$2),Currency!C:C,AD75,Currency!D:D,AE75),SUMIFS(Currency!E:E,Currency!A:A,YEAR('Project Estimations'!$D$4),Currency!B:B,MONTH('Project Estimations'!$D$4),Currency!C:C,AD75,Currency!D:D,AE75))</f>
        <v>2.8001792114695343</v>
      </c>
    </row>
    <row r="76" spans="3:32" ht="13" x14ac:dyDescent="0.25">
      <c r="C76" s="68" t="s">
        <v>171</v>
      </c>
      <c r="D76" s="45" t="str">
        <f>IF('Project Estimations'!D95="","",'Project Estimations'!C95&amp;" "&amp;'Project Estimations'!D95&amp;" "&amp;'Project Estimations'!E95)</f>
        <v/>
      </c>
      <c r="E76" s="40" t="str">
        <f>IF('Project Estimations'!F95="","",'Project Estimations'!F95)</f>
        <v/>
      </c>
      <c r="F76" s="40" t="str">
        <f>IF('Project Estimations'!G95="","",'Project Estimations'!G95)</f>
        <v/>
      </c>
      <c r="G76" s="40" t="str">
        <f>IF((OR('Project Estimations'!H95="",'Project Estimations'!H95=0,C100="N")),"",'Project Estimations'!H95)</f>
        <v/>
      </c>
      <c r="H76" s="292"/>
      <c r="I76" s="41" t="str">
        <f>IFERROR(IF(E76="","",(IF(F76="KT",VLOOKUP(E76,CostRate!$B$5:$BV$23,9+'Project Estimations'!$E$7,FALSE))+IF(F76="PT",VLOOKUP(E76,CostRate!$B$5:$BV$23,2+'Project Estimations'!$E$7,FALSE))+IF(F76="US",VLOOKUP(E76,CostRate!$B$5:$BV$23,3+'Project Estimations'!$E$7,FALSE))+IF(F76="DE",VLOOKUP(E76,CostRate!$B$5:$BV$23,4+'Project Estimations'!$E$7,FALSE))+IF(F76="BR",VLOOKUP(E76,CostRate!$B$5:$BV$23,5+'Project Estimations'!$E$7,FALSE))+IF(F76="MX",VLOOKUP(E76,CostRate!$B$5:$BV$23,6+'Project Estimations'!$E$7,FALSE))+IF(F76="CL",VLOOKUP(E76,CostRate!$B$5:$BV$23,7+'Project Estimations'!$E$7,FALSE))+IF(F76="CN",VLOOKUP(E76,CostRate!$B$5:$BV$23,8+'Project Estimations'!$E$7,FALSE))+IF(F76="EXT",VLOOKUP(E76,CostRate!$B$5:$BV$23,9+'Project Estimations'!$E$7,FALSE)))),"")</f>
        <v/>
      </c>
      <c r="J76" s="41" t="str">
        <f>IF(G100&lt;&gt;"",IF(OR(I100="",I100=0),"MISSING COST",I100*G100),"")</f>
        <v/>
      </c>
      <c r="K76" s="41" t="str">
        <f>IF(G100&lt;&gt;"",IF(H100="","INVALUE",H100*G100),"")</f>
        <v/>
      </c>
      <c r="L76" s="148" t="str">
        <f>IF(G100&lt;&gt;"",IF(H100="","INVALUE",(K100-J100)/K100),"")</f>
        <v/>
      </c>
      <c r="AD76" s="40" t="str">
        <f>+[1]CostRate!CT68</f>
        <v>CNY</v>
      </c>
      <c r="AE76" s="40" t="str">
        <f>+[1]CostRate!CU68</f>
        <v>CLP</v>
      </c>
      <c r="AF76" s="84">
        <f>+IF(SUMIFS(Currency!E:E,Currency!A:A,YEAR('Project Estimations'!$D$4),Currency!B:B,MONTH('Project Estimations'!$D$4),Currency!C:C,AD76,Currency!D:D,AE76)=0,SUMIFS(Currency!E:E,Currency!A:A,YEAR(Currency!$H$2),Currency!B:B,MONTH(Currency!$H$2),Currency!C:C,AD76,Currency!D:D,AE76),SUMIFS(Currency!E:E,Currency!A:A,YEAR('Project Estimations'!$D$4),Currency!B:B,MONTH('Project Estimations'!$D$4),Currency!C:C,AD76,Currency!D:D,AE76))</f>
        <v>128.2051282051282</v>
      </c>
    </row>
    <row r="77" spans="3:32" ht="13" x14ac:dyDescent="0.25">
      <c r="C77" s="67" t="s">
        <v>171</v>
      </c>
      <c r="D77" s="46" t="str">
        <f>IF('Project Estimations'!D96="","",'Project Estimations'!C96&amp;" "&amp;'Project Estimations'!D96&amp;" "&amp;'Project Estimations'!E96)</f>
        <v/>
      </c>
      <c r="E77" s="38" t="str">
        <f>IF('Project Estimations'!F96="","",'Project Estimations'!F96)</f>
        <v/>
      </c>
      <c r="F77" s="38" t="str">
        <f>IF('Project Estimations'!G96="","",'Project Estimations'!G96)</f>
        <v/>
      </c>
      <c r="G77" s="38" t="str">
        <f>IF((OR('Project Estimations'!H96="",'Project Estimations'!H96=0,C77="N")),"",'Project Estimations'!H96)</f>
        <v/>
      </c>
      <c r="H77" s="155"/>
      <c r="I77" s="39" t="str">
        <f>IFERROR(IF(E77="","",(IF(F77="KT",VLOOKUP(E77,CostRate!$B$5:$BV$23,9+'Project Estimations'!$E$7,FALSE))+IF(F77="PT",VLOOKUP(E77,CostRate!$B$5:$BV$23,2+'Project Estimations'!$E$7,FALSE))+IF(F77="US",VLOOKUP(E77,CostRate!$B$5:$BV$23,3+'Project Estimations'!$E$7,FALSE))+IF(F77="DE",VLOOKUP(E77,CostRate!$B$5:$BV$23,4+'Project Estimations'!$E$7,FALSE))+IF(F77="BR",VLOOKUP(E77,CostRate!$B$5:$BV$23,5+'Project Estimations'!$E$7,FALSE))+IF(F77="MX",VLOOKUP(E77,CostRate!$B$5:$BV$23,6+'Project Estimations'!$E$7,FALSE))+IF(F77="CL",VLOOKUP(E77,CostRate!$B$5:$BV$23,7+'Project Estimations'!$E$7,FALSE))+IF(F77="CN",VLOOKUP(E77,CostRate!$B$5:$BV$23,8+'Project Estimations'!$E$7,FALSE))+IF(F77="EXT",VLOOKUP(E77,CostRate!$B$5:$BV$23,9+'Project Estimations'!$E$7,FALSE)))),"")</f>
        <v/>
      </c>
      <c r="J77" s="39" t="str">
        <f t="shared" ref="J77:J100" si="13">IF(G77&lt;&gt;"",IF(OR(I77="",I77=0),"MISSING COST",I77*G77),"")</f>
        <v/>
      </c>
      <c r="K77" s="39" t="str">
        <f t="shared" ref="K77:K100" si="14">IF(G77&lt;&gt;"",IF(H77="","INVALUE",H77*G77),"")</f>
        <v/>
      </c>
      <c r="L77" s="147" t="str">
        <f t="shared" ref="L77:L100" si="15">IF(G77&lt;&gt;"",IF(H77="","INVALUE",(K77-J77)/K77),"")</f>
        <v/>
      </c>
      <c r="AD77" s="38" t="str">
        <f>+[1]CostRate!CT69</f>
        <v>CNY</v>
      </c>
      <c r="AE77" s="38" t="str">
        <f>+[1]CostRate!CU69</f>
        <v>CNY</v>
      </c>
      <c r="AF77" s="83">
        <f>+IF(SUMIFS(Currency!E:E,Currency!A:A,YEAR('Project Estimations'!$D$4),Currency!B:B,MONTH('Project Estimations'!$D$4),Currency!C:C,AD77,Currency!D:D,AE77)=0,SUMIFS(Currency!E:E,Currency!A:A,YEAR(Currency!$H$2),Currency!B:B,MONTH(Currency!$H$2),Currency!C:C,AD77,Currency!D:D,AE77),SUMIFS(Currency!E:E,Currency!A:A,YEAR('Project Estimations'!$D$4),Currency!B:B,MONTH('Project Estimations'!$D$4),Currency!C:C,AD77,Currency!D:D,AE77))</f>
        <v>1</v>
      </c>
    </row>
    <row r="78" spans="3:32" ht="13" x14ac:dyDescent="0.25">
      <c r="C78" s="68" t="s">
        <v>171</v>
      </c>
      <c r="D78" s="45" t="str">
        <f>IF('Project Estimations'!D97="","",'Project Estimations'!C97&amp;" "&amp;'Project Estimations'!D97&amp;" "&amp;'Project Estimations'!E97)</f>
        <v/>
      </c>
      <c r="E78" s="40" t="str">
        <f>IF('Project Estimations'!F97="","",'Project Estimations'!F97)</f>
        <v/>
      </c>
      <c r="F78" s="40" t="str">
        <f>IF('Project Estimations'!G97="","",'Project Estimations'!G97)</f>
        <v/>
      </c>
      <c r="G78" s="40" t="str">
        <f>IF((OR('Project Estimations'!H97="",'Project Estimations'!H97=0,C78="N")),"",'Project Estimations'!H97)</f>
        <v/>
      </c>
      <c r="H78" s="292"/>
      <c r="I78" s="41" t="str">
        <f>IFERROR(IF(E78="","",(IF(F78="KT",VLOOKUP(E78,CostRate!$B$5:$BV$23,9+'Project Estimations'!$E$7,FALSE))+IF(F78="PT",VLOOKUP(E78,CostRate!$B$5:$BV$23,2+'Project Estimations'!$E$7,FALSE))+IF(F78="US",VLOOKUP(E78,CostRate!$B$5:$BV$23,3+'Project Estimations'!$E$7,FALSE))+IF(F78="DE",VLOOKUP(E78,CostRate!$B$5:$BV$23,4+'Project Estimations'!$E$7,FALSE))+IF(F78="BR",VLOOKUP(E78,CostRate!$B$5:$BV$23,5+'Project Estimations'!$E$7,FALSE))+IF(F78="MX",VLOOKUP(E78,CostRate!$B$5:$BV$23,6+'Project Estimations'!$E$7,FALSE))+IF(F78="CL",VLOOKUP(E78,CostRate!$B$5:$BV$23,7+'Project Estimations'!$E$7,FALSE))+IF(F78="CN",VLOOKUP(E78,CostRate!$B$5:$BV$23,8+'Project Estimations'!$E$7,FALSE))+IF(F78="EXT",VLOOKUP(E78,CostRate!$B$5:$BV$23,9+'Project Estimations'!$E$7,FALSE)))),"")</f>
        <v/>
      </c>
      <c r="J78" s="41" t="str">
        <f t="shared" si="13"/>
        <v/>
      </c>
      <c r="K78" s="41" t="str">
        <f t="shared" si="14"/>
        <v/>
      </c>
      <c r="L78" s="148" t="str">
        <f t="shared" si="15"/>
        <v/>
      </c>
      <c r="AD78" s="40" t="str">
        <f>+[1]CostRate!CT70</f>
        <v>CNY</v>
      </c>
      <c r="AE78" s="40" t="str">
        <f>+[1]CostRate!CU70</f>
        <v>CHF</v>
      </c>
      <c r="AF78" s="84">
        <f>+IF(SUMIFS(Currency!E:E,Currency!A:A,YEAR('Project Estimations'!$D$4),Currency!B:B,MONTH('Project Estimations'!$D$4),Currency!C:C,AD78,Currency!D:D,AE78)=0,SUMIFS(Currency!E:E,Currency!A:A,YEAR(Currency!$H$2),Currency!B:B,MONTH(Currency!$H$2),Currency!C:C,AD78,Currency!D:D,AE78),SUMIFS(Currency!E:E,Currency!A:A,YEAR('Project Estimations'!$D$4),Currency!B:B,MONTH('Project Estimations'!$D$4),Currency!C:C,AD78,Currency!D:D,AE78))</f>
        <v>0.12023</v>
      </c>
    </row>
    <row r="79" spans="3:32" ht="13" x14ac:dyDescent="0.25">
      <c r="C79" s="67" t="s">
        <v>171</v>
      </c>
      <c r="D79" s="46" t="str">
        <f>IF('Project Estimations'!D98="","",'Project Estimations'!C98&amp;" "&amp;'Project Estimations'!D98&amp;" "&amp;'Project Estimations'!E98)</f>
        <v/>
      </c>
      <c r="E79" s="38" t="str">
        <f>IF('Project Estimations'!F98="","",'Project Estimations'!F98)</f>
        <v/>
      </c>
      <c r="F79" s="38" t="str">
        <f>IF('Project Estimations'!G98="","",'Project Estimations'!G98)</f>
        <v/>
      </c>
      <c r="G79" s="38" t="str">
        <f>IF((OR('Project Estimations'!H98="",'Project Estimations'!H98=0,C79="N")),"",'Project Estimations'!H98)</f>
        <v/>
      </c>
      <c r="H79" s="155"/>
      <c r="I79" s="39" t="str">
        <f>IFERROR(IF(E79="","",(IF(F79="KT",VLOOKUP(E79,CostRate!$B$5:$BV$23,9+'Project Estimations'!$E$7,FALSE))+IF(F79="PT",VLOOKUP(E79,CostRate!$B$5:$BV$23,2+'Project Estimations'!$E$7,FALSE))+IF(F79="US",VLOOKUP(E79,CostRate!$B$5:$BV$23,3+'Project Estimations'!$E$7,FALSE))+IF(F79="DE",VLOOKUP(E79,CostRate!$B$5:$BV$23,4+'Project Estimations'!$E$7,FALSE))+IF(F79="BR",VLOOKUP(E79,CostRate!$B$5:$BV$23,5+'Project Estimations'!$E$7,FALSE))+IF(F79="MX",VLOOKUP(E79,CostRate!$B$5:$BV$23,6+'Project Estimations'!$E$7,FALSE))+IF(F79="CL",VLOOKUP(E79,CostRate!$B$5:$BV$23,7+'Project Estimations'!$E$7,FALSE))+IF(F79="CN",VLOOKUP(E79,CostRate!$B$5:$BV$23,8+'Project Estimations'!$E$7,FALSE))+IF(F79="EXT",VLOOKUP(E79,CostRate!$B$5:$BV$23,9+'Project Estimations'!$E$7,FALSE)))),"")</f>
        <v/>
      </c>
      <c r="J79" s="39" t="str">
        <f t="shared" si="13"/>
        <v/>
      </c>
      <c r="K79" s="39" t="str">
        <f t="shared" si="14"/>
        <v/>
      </c>
      <c r="L79" s="147" t="str">
        <f t="shared" si="15"/>
        <v/>
      </c>
      <c r="AD79" s="38" t="str">
        <f>+[1]CostRate!CT71</f>
        <v>CNY</v>
      </c>
      <c r="AE79" s="38" t="str">
        <f>+[1]CostRate!CU71</f>
        <v>SEK</v>
      </c>
      <c r="AF79" s="83">
        <f>+IF(SUMIFS(Currency!E:E,Currency!A:A,YEAR('Project Estimations'!$D$4),Currency!B:B,MONTH('Project Estimations'!$D$4),Currency!C:C,AD79,Currency!D:D,AE79)=0,SUMIFS(Currency!E:E,Currency!A:A,YEAR(Currency!$H$2),Currency!B:B,MONTH(Currency!$H$2),Currency!C:C,AD79,Currency!D:D,AE79),SUMIFS(Currency!E:E,Currency!A:A,YEAR('Project Estimations'!$D$4),Currency!B:B,MONTH('Project Estimations'!$D$4),Currency!C:C,AD79,Currency!D:D,AE79))</f>
        <v>1.43929</v>
      </c>
    </row>
    <row r="80" spans="3:32" ht="13" x14ac:dyDescent="0.25">
      <c r="C80" s="68" t="s">
        <v>171</v>
      </c>
      <c r="D80" s="45" t="str">
        <f>IF('Project Estimations'!D99="","",'Project Estimations'!C99&amp;" "&amp;'Project Estimations'!D99&amp;" "&amp;'Project Estimations'!E99)</f>
        <v/>
      </c>
      <c r="E80" s="40" t="str">
        <f>IF('Project Estimations'!F99="","",'Project Estimations'!F99)</f>
        <v/>
      </c>
      <c r="F80" s="40" t="str">
        <f>IF('Project Estimations'!G99="","",'Project Estimations'!G99)</f>
        <v/>
      </c>
      <c r="G80" s="40" t="str">
        <f>IF((OR('Project Estimations'!H99="",'Project Estimations'!H99=0,C80="N")),"",'Project Estimations'!H99)</f>
        <v/>
      </c>
      <c r="H80" s="292"/>
      <c r="I80" s="41" t="str">
        <f>IFERROR(IF(E80="","",(IF(F80="KT",VLOOKUP(E80,CostRate!$B$5:$BV$23,9+'Project Estimations'!$E$7,FALSE))+IF(F80="PT",VLOOKUP(E80,CostRate!$B$5:$BV$23,2+'Project Estimations'!$E$7,FALSE))+IF(F80="US",VLOOKUP(E80,CostRate!$B$5:$BV$23,3+'Project Estimations'!$E$7,FALSE))+IF(F80="DE",VLOOKUP(E80,CostRate!$B$5:$BV$23,4+'Project Estimations'!$E$7,FALSE))+IF(F80="BR",VLOOKUP(E80,CostRate!$B$5:$BV$23,5+'Project Estimations'!$E$7,FALSE))+IF(F80="MX",VLOOKUP(E80,CostRate!$B$5:$BV$23,6+'Project Estimations'!$E$7,FALSE))+IF(F80="CL",VLOOKUP(E80,CostRate!$B$5:$BV$23,7+'Project Estimations'!$E$7,FALSE))+IF(F80="CN",VLOOKUP(E80,CostRate!$B$5:$BV$23,8+'Project Estimations'!$E$7,FALSE))+IF(F80="EXT",VLOOKUP(E80,CostRate!$B$5:$BV$23,9+'Project Estimations'!$E$7,FALSE)))),"")</f>
        <v/>
      </c>
      <c r="J80" s="41" t="str">
        <f t="shared" si="13"/>
        <v/>
      </c>
      <c r="K80" s="41" t="str">
        <f t="shared" si="14"/>
        <v/>
      </c>
      <c r="L80" s="148" t="str">
        <f t="shared" si="15"/>
        <v/>
      </c>
      <c r="AD80" s="40" t="str">
        <f>+[1]CostRate!CT72</f>
        <v>CNY</v>
      </c>
      <c r="AE80" s="40" t="str">
        <f>+[1]CostRate!CU72</f>
        <v>SAR</v>
      </c>
      <c r="AF80" s="84">
        <f>+IF(SUMIFS(Currency!E:E,Currency!A:A,YEAR('Project Estimations'!$D$4),Currency!B:B,MONTH('Project Estimations'!$D$4),Currency!C:C,AD80,Currency!D:D,AE80)=0,SUMIFS(Currency!E:E,Currency!A:A,YEAR(Currency!$H$2),Currency!B:B,MONTH(Currency!$H$2),Currency!C:C,AD80,Currency!D:D,AE80),SUMIFS(Currency!E:E,Currency!A:A,YEAR('Project Estimations'!$D$4),Currency!B:B,MONTH('Project Estimations'!$D$4),Currency!C:C,AD80,Currency!D:D,AE80))</f>
        <v>0.53495999999999999</v>
      </c>
    </row>
    <row r="81" spans="3:32" ht="13" x14ac:dyDescent="0.25">
      <c r="C81" s="67" t="s">
        <v>171</v>
      </c>
      <c r="D81" s="46" t="str">
        <f>IF('Project Estimations'!D100="","",'Project Estimations'!C100&amp;" "&amp;'Project Estimations'!D100&amp;" "&amp;'Project Estimations'!E100)</f>
        <v/>
      </c>
      <c r="E81" s="38" t="str">
        <f>IF('Project Estimations'!F100="","",'Project Estimations'!F100)</f>
        <v/>
      </c>
      <c r="F81" s="38" t="str">
        <f>IF('Project Estimations'!G100="","",'Project Estimations'!G100)</f>
        <v/>
      </c>
      <c r="G81" s="38" t="str">
        <f>IF((OR('Project Estimations'!H100="",'Project Estimations'!H100=0,C81="N")),"",'Project Estimations'!H100)</f>
        <v/>
      </c>
      <c r="H81" s="155"/>
      <c r="I81" s="39" t="str">
        <f>IFERROR(IF(E81="","",(IF(F81="KT",VLOOKUP(E81,CostRate!$B$5:$BV$23,9+'Project Estimations'!$E$7,FALSE))+IF(F81="PT",VLOOKUP(E81,CostRate!$B$5:$BV$23,2+'Project Estimations'!$E$7,FALSE))+IF(F81="US",VLOOKUP(E81,CostRate!$B$5:$BV$23,3+'Project Estimations'!$E$7,FALSE))+IF(F81="DE",VLOOKUP(E81,CostRate!$B$5:$BV$23,4+'Project Estimations'!$E$7,FALSE))+IF(F81="BR",VLOOKUP(E81,CostRate!$B$5:$BV$23,5+'Project Estimations'!$E$7,FALSE))+IF(F81="MX",VLOOKUP(E81,CostRate!$B$5:$BV$23,6+'Project Estimations'!$E$7,FALSE))+IF(F81="CL",VLOOKUP(E81,CostRate!$B$5:$BV$23,7+'Project Estimations'!$E$7,FALSE))+IF(F81="CN",VLOOKUP(E81,CostRate!$B$5:$BV$23,8+'Project Estimations'!$E$7,FALSE))+IF(F81="EXT",VLOOKUP(E81,CostRate!$B$5:$BV$23,9+'Project Estimations'!$E$7,FALSE)))),"")</f>
        <v/>
      </c>
      <c r="J81" s="39" t="str">
        <f t="shared" si="13"/>
        <v/>
      </c>
      <c r="K81" s="39" t="str">
        <f t="shared" si="14"/>
        <v/>
      </c>
      <c r="L81" s="147" t="str">
        <f t="shared" si="15"/>
        <v/>
      </c>
      <c r="AD81" s="38" t="str">
        <f>+[1]CostRate!CT73</f>
        <v>SEK</v>
      </c>
      <c r="AE81" s="38" t="str">
        <f>+[1]CostRate!CU73</f>
        <v>EUR</v>
      </c>
      <c r="AF81" s="83">
        <f>+IF(SUMIFS(Currency!E:E,Currency!A:A,YEAR('Project Estimations'!$D$4),Currency!B:B,MONTH('Project Estimations'!$D$4),Currency!C:C,AD81,Currency!D:D,AE81)=0,SUMIFS(Currency!E:E,Currency!A:A,YEAR(Currency!$H$2),Currency!B:B,MONTH(Currency!$H$2),Currency!C:C,AD81,Currency!D:D,AE81),SUMIFS(Currency!E:E,Currency!A:A,YEAR('Project Estimations'!$D$4),Currency!B:B,MONTH('Project Estimations'!$D$4),Currency!C:C,AD81,Currency!D:D,AE81))</f>
        <v>8.8495575221238937E-2</v>
      </c>
    </row>
    <row r="82" spans="3:32" ht="13" x14ac:dyDescent="0.25">
      <c r="C82" s="68" t="s">
        <v>171</v>
      </c>
      <c r="D82" s="45" t="str">
        <f>IF('Project Estimations'!D101="","",'Project Estimations'!C101&amp;" "&amp;'Project Estimations'!D101&amp;" "&amp;'Project Estimations'!E101)</f>
        <v/>
      </c>
      <c r="E82" s="40" t="str">
        <f>IF('Project Estimations'!F101="","",'Project Estimations'!F101)</f>
        <v/>
      </c>
      <c r="F82" s="40" t="str">
        <f>IF('Project Estimations'!G101="","",'Project Estimations'!G101)</f>
        <v/>
      </c>
      <c r="G82" s="40" t="str">
        <f>IF((OR('Project Estimations'!H101="",'Project Estimations'!H101=0,C82="N")),"",'Project Estimations'!H101)</f>
        <v/>
      </c>
      <c r="H82" s="292"/>
      <c r="I82" s="41" t="str">
        <f>IFERROR(IF(E82="","",(IF(F82="KT",VLOOKUP(E82,CostRate!$B$5:$BV$23,9+'Project Estimations'!$E$7,FALSE))+IF(F82="PT",VLOOKUP(E82,CostRate!$B$5:$BV$23,2+'Project Estimations'!$E$7,FALSE))+IF(F82="US",VLOOKUP(E82,CostRate!$B$5:$BV$23,3+'Project Estimations'!$E$7,FALSE))+IF(F82="DE",VLOOKUP(E82,CostRate!$B$5:$BV$23,4+'Project Estimations'!$E$7,FALSE))+IF(F82="BR",VLOOKUP(E82,CostRate!$B$5:$BV$23,5+'Project Estimations'!$E$7,FALSE))+IF(F82="MX",VLOOKUP(E82,CostRate!$B$5:$BV$23,6+'Project Estimations'!$E$7,FALSE))+IF(F82="CL",VLOOKUP(E82,CostRate!$B$5:$BV$23,7+'Project Estimations'!$E$7,FALSE))+IF(F82="CN",VLOOKUP(E82,CostRate!$B$5:$BV$23,8+'Project Estimations'!$E$7,FALSE))+IF(F82="EXT",VLOOKUP(E82,CostRate!$B$5:$BV$23,9+'Project Estimations'!$E$7,FALSE)))),"")</f>
        <v/>
      </c>
      <c r="J82" s="41" t="str">
        <f t="shared" si="13"/>
        <v/>
      </c>
      <c r="K82" s="41" t="str">
        <f t="shared" si="14"/>
        <v/>
      </c>
      <c r="L82" s="148" t="str">
        <f t="shared" si="15"/>
        <v/>
      </c>
      <c r="AD82" s="40" t="str">
        <f>+[1]CostRate!CT74</f>
        <v>SEK</v>
      </c>
      <c r="AE82" s="40" t="str">
        <f>+[1]CostRate!CU74</f>
        <v>USD</v>
      </c>
      <c r="AF82" s="84">
        <f>+IF(SUMIFS(Currency!E:E,Currency!A:A,YEAR('Project Estimations'!$D$4),Currency!B:B,MONTH('Project Estimations'!$D$4),Currency!C:C,AD82,Currency!D:D,AE82)=0,SUMIFS(Currency!E:E,Currency!A:A,YEAR(Currency!$H$2),Currency!B:B,MONTH(Currency!$H$2),Currency!C:C,AD82,Currency!D:D,AE82),SUMIFS(Currency!E:E,Currency!A:A,YEAR('Project Estimations'!$D$4),Currency!B:B,MONTH('Project Estimations'!$D$4),Currency!C:C,AD82,Currency!D:D,AE82))</f>
        <v>9.9079649139146464E-2</v>
      </c>
    </row>
    <row r="83" spans="3:32" ht="13" x14ac:dyDescent="0.25">
      <c r="C83" s="67" t="s">
        <v>171</v>
      </c>
      <c r="D83" s="46" t="str">
        <f>IF('Project Estimations'!D102="","",'Project Estimations'!C102&amp;" "&amp;'Project Estimations'!D102&amp;" "&amp;'Project Estimations'!E102)</f>
        <v/>
      </c>
      <c r="E83" s="38" t="str">
        <f>IF('Project Estimations'!F102="","",'Project Estimations'!F102)</f>
        <v/>
      </c>
      <c r="F83" s="38" t="str">
        <f>IF('Project Estimations'!G102="","",'Project Estimations'!G102)</f>
        <v/>
      </c>
      <c r="G83" s="38" t="str">
        <f>IF((OR('Project Estimations'!H102="",'Project Estimations'!H102=0,C83="N")),"",'Project Estimations'!H102)</f>
        <v/>
      </c>
      <c r="H83" s="155"/>
      <c r="I83" s="39" t="str">
        <f>IFERROR(IF(E83="","",(IF(F83="KT",VLOOKUP(E83,CostRate!$B$5:$BV$23,9+'Project Estimations'!$E$7,FALSE))+IF(F83="PT",VLOOKUP(E83,CostRate!$B$5:$BV$23,2+'Project Estimations'!$E$7,FALSE))+IF(F83="US",VLOOKUP(E83,CostRate!$B$5:$BV$23,3+'Project Estimations'!$E$7,FALSE))+IF(F83="DE",VLOOKUP(E83,CostRate!$B$5:$BV$23,4+'Project Estimations'!$E$7,FALSE))+IF(F83="BR",VLOOKUP(E83,CostRate!$B$5:$BV$23,5+'Project Estimations'!$E$7,FALSE))+IF(F83="MX",VLOOKUP(E83,CostRate!$B$5:$BV$23,6+'Project Estimations'!$E$7,FALSE))+IF(F83="CL",VLOOKUP(E83,CostRate!$B$5:$BV$23,7+'Project Estimations'!$E$7,FALSE))+IF(F83="CN",VLOOKUP(E83,CostRate!$B$5:$BV$23,8+'Project Estimations'!$E$7,FALSE))+IF(F83="EXT",VLOOKUP(E83,CostRate!$B$5:$BV$23,9+'Project Estimations'!$E$7,FALSE)))),"")</f>
        <v/>
      </c>
      <c r="J83" s="39" t="str">
        <f t="shared" si="13"/>
        <v/>
      </c>
      <c r="K83" s="39" t="str">
        <f t="shared" si="14"/>
        <v/>
      </c>
      <c r="L83" s="147" t="str">
        <f t="shared" si="15"/>
        <v/>
      </c>
      <c r="AD83" s="38" t="str">
        <f>+[1]CostRate!CT75</f>
        <v>SEK</v>
      </c>
      <c r="AE83" s="38" t="str">
        <f>+[1]CostRate!CU75</f>
        <v>GBP</v>
      </c>
      <c r="AF83" s="83">
        <f>+IF(SUMIFS(Currency!E:E,Currency!A:A,YEAR('Project Estimations'!$D$4),Currency!B:B,MONTH('Project Estimations'!$D$4),Currency!C:C,AD83,Currency!D:D,AE83)=0,SUMIFS(Currency!E:E,Currency!A:A,YEAR(Currency!$H$2),Currency!B:B,MONTH(Currency!$H$2),Currency!C:C,AD83,Currency!D:D,AE83),SUMIFS(Currency!E:E,Currency!A:A,YEAR('Project Estimations'!$D$4),Currency!B:B,MONTH('Project Estimations'!$D$4),Currency!C:C,AD83,Currency!D:D,AE83))</f>
        <v>7.3931851098294615E-2</v>
      </c>
    </row>
    <row r="84" spans="3:32" ht="13" x14ac:dyDescent="0.25">
      <c r="C84" s="68" t="s">
        <v>171</v>
      </c>
      <c r="D84" s="45" t="str">
        <f>IF('Project Estimations'!D103="","",'Project Estimations'!C103&amp;" "&amp;'Project Estimations'!D103&amp;" "&amp;'Project Estimations'!E103)</f>
        <v/>
      </c>
      <c r="E84" s="40" t="str">
        <f>IF('Project Estimations'!F103="","",'Project Estimations'!F103)</f>
        <v/>
      </c>
      <c r="F84" s="40" t="str">
        <f>IF('Project Estimations'!G103="","",'Project Estimations'!G103)</f>
        <v/>
      </c>
      <c r="G84" s="40" t="str">
        <f>IF((OR('Project Estimations'!H103="",'Project Estimations'!H103=0,C84="N")),"",'Project Estimations'!H103)</f>
        <v/>
      </c>
      <c r="H84" s="292"/>
      <c r="I84" s="41" t="str">
        <f>IFERROR(IF(E84="","",(IF(F84="KT",VLOOKUP(E84,CostRate!$B$5:$BV$23,9+'Project Estimations'!$E$7,FALSE))+IF(F84="PT",VLOOKUP(E84,CostRate!$B$5:$BV$23,2+'Project Estimations'!$E$7,FALSE))+IF(F84="US",VLOOKUP(E84,CostRate!$B$5:$BV$23,3+'Project Estimations'!$E$7,FALSE))+IF(F84="DE",VLOOKUP(E84,CostRate!$B$5:$BV$23,4+'Project Estimations'!$E$7,FALSE))+IF(F84="BR",VLOOKUP(E84,CostRate!$B$5:$BV$23,5+'Project Estimations'!$E$7,FALSE))+IF(F84="MX",VLOOKUP(E84,CostRate!$B$5:$BV$23,6+'Project Estimations'!$E$7,FALSE))+IF(F84="CL",VLOOKUP(E84,CostRate!$B$5:$BV$23,7+'Project Estimations'!$E$7,FALSE))+IF(F84="CN",VLOOKUP(E84,CostRate!$B$5:$BV$23,8+'Project Estimations'!$E$7,FALSE))+IF(F84="EXT",VLOOKUP(E84,CostRate!$B$5:$BV$23,9+'Project Estimations'!$E$7,FALSE)))),"")</f>
        <v/>
      </c>
      <c r="J84" s="41" t="str">
        <f t="shared" si="13"/>
        <v/>
      </c>
      <c r="K84" s="41" t="str">
        <f t="shared" si="14"/>
        <v/>
      </c>
      <c r="L84" s="148" t="str">
        <f t="shared" si="15"/>
        <v/>
      </c>
      <c r="AD84" s="40" t="str">
        <f>+[1]CostRate!CT76</f>
        <v>SEK</v>
      </c>
      <c r="AE84" s="40" t="str">
        <f>+[1]CostRate!CU76</f>
        <v>BRL</v>
      </c>
      <c r="AF84" s="84">
        <f>+IF(SUMIFS(Currency!E:E,Currency!A:A,YEAR('Project Estimations'!$D$4),Currency!B:B,MONTH('Project Estimations'!$D$4),Currency!C:C,AD84,Currency!D:D,AE84)=0,SUMIFS(Currency!E:E,Currency!A:A,YEAR(Currency!$H$2),Currency!B:B,MONTH(Currency!$H$2),Currency!C:C,AD84,Currency!D:D,AE84),SUMIFS(Currency!E:E,Currency!A:A,YEAR('Project Estimations'!$D$4),Currency!B:B,MONTH('Project Estimations'!$D$4),Currency!C:C,AD84,Currency!D:D,AE84))</f>
        <v>0.53543222766578324</v>
      </c>
    </row>
    <row r="85" spans="3:32" ht="13" x14ac:dyDescent="0.25">
      <c r="C85" s="67" t="s">
        <v>171</v>
      </c>
      <c r="D85" s="46" t="str">
        <f>IF('Project Estimations'!D104="","",'Project Estimations'!C104&amp;" "&amp;'Project Estimations'!D104&amp;" "&amp;'Project Estimations'!E104)</f>
        <v/>
      </c>
      <c r="E85" s="38" t="str">
        <f>IF('Project Estimations'!F104="","",'Project Estimations'!F104)</f>
        <v/>
      </c>
      <c r="F85" s="38" t="str">
        <f>IF('Project Estimations'!G104="","",'Project Estimations'!G104)</f>
        <v/>
      </c>
      <c r="G85" s="38" t="str">
        <f>IF((OR('Project Estimations'!H104="",'Project Estimations'!H104=0,C85="N")),"",'Project Estimations'!H104)</f>
        <v/>
      </c>
      <c r="H85" s="155"/>
      <c r="I85" s="39" t="str">
        <f>IFERROR(IF(E85="","",(IF(F85="KT",VLOOKUP(E85,CostRate!$B$5:$BV$23,9+'Project Estimations'!$E$7,FALSE))+IF(F85="PT",VLOOKUP(E85,CostRate!$B$5:$BV$23,2+'Project Estimations'!$E$7,FALSE))+IF(F85="US",VLOOKUP(E85,CostRate!$B$5:$BV$23,3+'Project Estimations'!$E$7,FALSE))+IF(F85="DE",VLOOKUP(E85,CostRate!$B$5:$BV$23,4+'Project Estimations'!$E$7,FALSE))+IF(F85="BR",VLOOKUP(E85,CostRate!$B$5:$BV$23,5+'Project Estimations'!$E$7,FALSE))+IF(F85="MX",VLOOKUP(E85,CostRate!$B$5:$BV$23,6+'Project Estimations'!$E$7,FALSE))+IF(F85="CL",VLOOKUP(E85,CostRate!$B$5:$BV$23,7+'Project Estimations'!$E$7,FALSE))+IF(F85="CN",VLOOKUP(E85,CostRate!$B$5:$BV$23,8+'Project Estimations'!$E$7,FALSE))+IF(F85="EXT",VLOOKUP(E85,CostRate!$B$5:$BV$23,9+'Project Estimations'!$E$7,FALSE)))),"")</f>
        <v/>
      </c>
      <c r="J85" s="39" t="str">
        <f t="shared" si="13"/>
        <v/>
      </c>
      <c r="K85" s="39" t="str">
        <f t="shared" si="14"/>
        <v/>
      </c>
      <c r="L85" s="147" t="str">
        <f t="shared" si="15"/>
        <v/>
      </c>
      <c r="AD85" s="38" t="str">
        <f>+[1]CostRate!CT77</f>
        <v>SEK</v>
      </c>
      <c r="AE85" s="38" t="str">
        <f>+[1]CostRate!CU77</f>
        <v>MXN</v>
      </c>
      <c r="AF85" s="83">
        <f>+IF(SUMIFS(Currency!E:E,Currency!A:A,YEAR('Project Estimations'!$D$4),Currency!B:B,MONTH('Project Estimations'!$D$4),Currency!C:C,AD85,Currency!D:D,AE85)=0,SUMIFS(Currency!E:E,Currency!A:A,YEAR(Currency!$H$2),Currency!B:B,MONTH(Currency!$H$2),Currency!C:C,AD85,Currency!D:D,AE85),SUMIFS(Currency!E:E,Currency!A:A,YEAR('Project Estimations'!$D$4),Currency!B:B,MONTH('Project Estimations'!$D$4),Currency!C:C,AD85,Currency!D:D,AE85))</f>
        <v>1.9454874418785628</v>
      </c>
    </row>
    <row r="86" spans="3:32" ht="13" x14ac:dyDescent="0.25">
      <c r="C86" s="68" t="s">
        <v>171</v>
      </c>
      <c r="D86" s="45" t="str">
        <f>IF('Project Estimations'!D105="","",'Project Estimations'!C105&amp;" "&amp;'Project Estimations'!D105&amp;" "&amp;'Project Estimations'!E105)</f>
        <v/>
      </c>
      <c r="E86" s="40" t="str">
        <f>IF('Project Estimations'!F105="","",'Project Estimations'!F105)</f>
        <v/>
      </c>
      <c r="F86" s="40" t="str">
        <f>IF('Project Estimations'!G105="","",'Project Estimations'!G105)</f>
        <v/>
      </c>
      <c r="G86" s="40" t="str">
        <f>IF((OR('Project Estimations'!H105="",'Project Estimations'!H105=0,C86="N")),"",'Project Estimations'!H105)</f>
        <v/>
      </c>
      <c r="H86" s="292"/>
      <c r="I86" s="41" t="str">
        <f>IFERROR(IF(E86="","",(IF(F86="KT",VLOOKUP(E86,CostRate!$B$5:$BV$23,9+'Project Estimations'!$E$7,FALSE))+IF(F86="PT",VLOOKUP(E86,CostRate!$B$5:$BV$23,2+'Project Estimations'!$E$7,FALSE))+IF(F86="US",VLOOKUP(E86,CostRate!$B$5:$BV$23,3+'Project Estimations'!$E$7,FALSE))+IF(F86="DE",VLOOKUP(E86,CostRate!$B$5:$BV$23,4+'Project Estimations'!$E$7,FALSE))+IF(F86="BR",VLOOKUP(E86,CostRate!$B$5:$BV$23,5+'Project Estimations'!$E$7,FALSE))+IF(F86="MX",VLOOKUP(E86,CostRate!$B$5:$BV$23,6+'Project Estimations'!$E$7,FALSE))+IF(F86="CL",VLOOKUP(E86,CostRate!$B$5:$BV$23,7+'Project Estimations'!$E$7,FALSE))+IF(F86="CN",VLOOKUP(E86,CostRate!$B$5:$BV$23,8+'Project Estimations'!$E$7,FALSE))+IF(F86="EXT",VLOOKUP(E86,CostRate!$B$5:$BV$23,9+'Project Estimations'!$E$7,FALSE)))),"")</f>
        <v/>
      </c>
      <c r="J86" s="41" t="str">
        <f t="shared" si="13"/>
        <v/>
      </c>
      <c r="K86" s="41" t="str">
        <f t="shared" si="14"/>
        <v/>
      </c>
      <c r="L86" s="148" t="str">
        <f t="shared" si="15"/>
        <v/>
      </c>
      <c r="AD86" s="40" t="str">
        <f>+[1]CostRate!CT78</f>
        <v>SEK</v>
      </c>
      <c r="AE86" s="40" t="str">
        <f>+[1]CostRate!CU78</f>
        <v>CLP</v>
      </c>
      <c r="AF86" s="84">
        <f>+IF(SUMIFS(Currency!E:E,Currency!A:A,YEAR('Project Estimations'!$D$4),Currency!B:B,MONTH('Project Estimations'!$D$4),Currency!C:C,AD86,Currency!D:D,AE86)=0,SUMIFS(Currency!E:E,Currency!A:A,YEAR(Currency!$H$2),Currency!B:B,MONTH(Currency!$H$2),Currency!C:C,AD86,Currency!D:D,AE86),SUMIFS(Currency!E:E,Currency!A:A,YEAR('Project Estimations'!$D$4),Currency!B:B,MONTH('Project Estimations'!$D$4),Currency!C:C,AD86,Currency!D:D,AE86))</f>
        <v>89.047195013357083</v>
      </c>
    </row>
    <row r="87" spans="3:32" ht="13" x14ac:dyDescent="0.25">
      <c r="C87" s="67" t="s">
        <v>171</v>
      </c>
      <c r="D87" s="46" t="str">
        <f>IF('Project Estimations'!D106="","",'Project Estimations'!C106&amp;" "&amp;'Project Estimations'!D106&amp;" "&amp;'Project Estimations'!E106)</f>
        <v/>
      </c>
      <c r="E87" s="38" t="str">
        <f>IF('Project Estimations'!F106="","",'Project Estimations'!F106)</f>
        <v/>
      </c>
      <c r="F87" s="38" t="str">
        <f>IF('Project Estimations'!G106="","",'Project Estimations'!G106)</f>
        <v/>
      </c>
      <c r="G87" s="38" t="str">
        <f>IF((OR('Project Estimations'!H106="",'Project Estimations'!H106=0,C87="N")),"",'Project Estimations'!H106)</f>
        <v/>
      </c>
      <c r="H87" s="155"/>
      <c r="I87" s="39" t="str">
        <f>IFERROR(IF(E87="","",(IF(F87="KT",VLOOKUP(E87,CostRate!$B$5:$BV$23,9+'Project Estimations'!$E$7,FALSE))+IF(F87="PT",VLOOKUP(E87,CostRate!$B$5:$BV$23,2+'Project Estimations'!$E$7,FALSE))+IF(F87="US",VLOOKUP(E87,CostRate!$B$5:$BV$23,3+'Project Estimations'!$E$7,FALSE))+IF(F87="DE",VLOOKUP(E87,CostRate!$B$5:$BV$23,4+'Project Estimations'!$E$7,FALSE))+IF(F87="BR",VLOOKUP(E87,CostRate!$B$5:$BV$23,5+'Project Estimations'!$E$7,FALSE))+IF(F87="MX",VLOOKUP(E87,CostRate!$B$5:$BV$23,6+'Project Estimations'!$E$7,FALSE))+IF(F87="CL",VLOOKUP(E87,CostRate!$B$5:$BV$23,7+'Project Estimations'!$E$7,FALSE))+IF(F87="CN",VLOOKUP(E87,CostRate!$B$5:$BV$23,8+'Project Estimations'!$E$7,FALSE))+IF(F87="EXT",VLOOKUP(E87,CostRate!$B$5:$BV$23,9+'Project Estimations'!$E$7,FALSE)))),"")</f>
        <v/>
      </c>
      <c r="J87" s="39" t="str">
        <f t="shared" si="13"/>
        <v/>
      </c>
      <c r="K87" s="39" t="str">
        <f t="shared" si="14"/>
        <v/>
      </c>
      <c r="L87" s="147" t="str">
        <f t="shared" si="15"/>
        <v/>
      </c>
      <c r="AD87" s="38" t="str">
        <f>+[1]CostRate!CT79</f>
        <v>SEK</v>
      </c>
      <c r="AE87" s="38" t="str">
        <f>+[1]CostRate!CU79</f>
        <v>CNY</v>
      </c>
      <c r="AF87" s="83">
        <f>+IF(SUMIFS(Currency!E:E,Currency!A:A,YEAR('Project Estimations'!$D$4),Currency!B:B,MONTH('Project Estimations'!$D$4),Currency!C:C,AD87,Currency!D:D,AE87)=0,SUMIFS(Currency!E:E,Currency!A:A,YEAR(Currency!$H$2),Currency!B:B,MONTH(Currency!$H$2),Currency!C:C,AD87,Currency!D:D,AE87),SUMIFS(Currency!E:E,Currency!A:A,YEAR('Project Estimations'!$D$4),Currency!B:B,MONTH('Project Estimations'!$D$4),Currency!C:C,AD87,Currency!D:D,AE87))</f>
        <v>0.6947870130411522</v>
      </c>
    </row>
    <row r="88" spans="3:32" ht="13" x14ac:dyDescent="0.25">
      <c r="C88" s="68" t="s">
        <v>171</v>
      </c>
      <c r="D88" s="45" t="str">
        <f>IF('Project Estimations'!D107="","",'Project Estimations'!C107&amp;" "&amp;'Project Estimations'!D107&amp;" "&amp;'Project Estimations'!E107)</f>
        <v/>
      </c>
      <c r="E88" s="40" t="str">
        <f>IF('Project Estimations'!F107="","",'Project Estimations'!F107)</f>
        <v/>
      </c>
      <c r="F88" s="40" t="str">
        <f>IF('Project Estimations'!G107="","",'Project Estimations'!G107)</f>
        <v/>
      </c>
      <c r="G88" s="40" t="str">
        <f>IF((OR('Project Estimations'!H107="",'Project Estimations'!H107=0,C88="N")),"",'Project Estimations'!H107)</f>
        <v/>
      </c>
      <c r="H88" s="292"/>
      <c r="I88" s="41" t="str">
        <f>IFERROR(IF(E88="","",(IF(F88="KT",VLOOKUP(E88,CostRate!$B$5:$BV$23,9+'Project Estimations'!$E$7,FALSE))+IF(F88="PT",VLOOKUP(E88,CostRate!$B$5:$BV$23,2+'Project Estimations'!$E$7,FALSE))+IF(F88="US",VLOOKUP(E88,CostRate!$B$5:$BV$23,3+'Project Estimations'!$E$7,FALSE))+IF(F88="DE",VLOOKUP(E88,CostRate!$B$5:$BV$23,4+'Project Estimations'!$E$7,FALSE))+IF(F88="BR",VLOOKUP(E88,CostRate!$B$5:$BV$23,5+'Project Estimations'!$E$7,FALSE))+IF(F88="MX",VLOOKUP(E88,CostRate!$B$5:$BV$23,6+'Project Estimations'!$E$7,FALSE))+IF(F88="CL",VLOOKUP(E88,CostRate!$B$5:$BV$23,7+'Project Estimations'!$E$7,FALSE))+IF(F88="CN",VLOOKUP(E88,CostRate!$B$5:$BV$23,8+'Project Estimations'!$E$7,FALSE))+IF(F88="EXT",VLOOKUP(E88,CostRate!$B$5:$BV$23,9+'Project Estimations'!$E$7,FALSE)))),"")</f>
        <v/>
      </c>
      <c r="J88" s="41" t="str">
        <f t="shared" si="13"/>
        <v/>
      </c>
      <c r="K88" s="41" t="str">
        <f t="shared" si="14"/>
        <v/>
      </c>
      <c r="L88" s="148" t="str">
        <f t="shared" si="15"/>
        <v/>
      </c>
      <c r="AD88" s="40" t="str">
        <f>+[1]CostRate!CT80</f>
        <v>SEK</v>
      </c>
      <c r="AE88" s="40" t="str">
        <f>+[1]CostRate!CU80</f>
        <v>CHF</v>
      </c>
      <c r="AF88" s="84">
        <f>+IF(SUMIFS(Currency!E:E,Currency!A:A,YEAR('Project Estimations'!$D$4),Currency!B:B,MONTH('Project Estimations'!$D$4),Currency!C:C,AD88,Currency!D:D,AE88)=0,SUMIFS(Currency!E:E,Currency!A:A,YEAR(Currency!$H$2),Currency!B:B,MONTH(Currency!$H$2),Currency!C:C,AD88,Currency!D:D,AE88),SUMIFS(Currency!E:E,Currency!A:A,YEAR('Project Estimations'!$D$4),Currency!B:B,MONTH('Project Estimations'!$D$4),Currency!C:C,AD88,Currency!D:D,AE88))</f>
        <v>8.353095364783851E-2</v>
      </c>
    </row>
    <row r="89" spans="3:32" ht="13" x14ac:dyDescent="0.25">
      <c r="C89" s="67" t="s">
        <v>171</v>
      </c>
      <c r="D89" s="46" t="str">
        <f>IF('Project Estimations'!D108="","",'Project Estimations'!C108&amp;" "&amp;'Project Estimations'!D108&amp;" "&amp;'Project Estimations'!E108)</f>
        <v/>
      </c>
      <c r="E89" s="38" t="str">
        <f>IF('Project Estimations'!F108="","",'Project Estimations'!F108)</f>
        <v/>
      </c>
      <c r="F89" s="38" t="str">
        <f>IF('Project Estimations'!G108="","",'Project Estimations'!G108)</f>
        <v/>
      </c>
      <c r="G89" s="38" t="str">
        <f>IF((OR('Project Estimations'!H108="",'Project Estimations'!H108=0,C89="N")),"",'Project Estimations'!H108)</f>
        <v/>
      </c>
      <c r="H89" s="155"/>
      <c r="I89" s="39" t="str">
        <f>IFERROR(IF(E89="","",(IF(F89="KT",VLOOKUP(E89,CostRate!$B$5:$BV$23,9+'Project Estimations'!$E$7,FALSE))+IF(F89="PT",VLOOKUP(E89,CostRate!$B$5:$BV$23,2+'Project Estimations'!$E$7,FALSE))+IF(F89="US",VLOOKUP(E89,CostRate!$B$5:$BV$23,3+'Project Estimations'!$E$7,FALSE))+IF(F89="DE",VLOOKUP(E89,CostRate!$B$5:$BV$23,4+'Project Estimations'!$E$7,FALSE))+IF(F89="BR",VLOOKUP(E89,CostRate!$B$5:$BV$23,5+'Project Estimations'!$E$7,FALSE))+IF(F89="MX",VLOOKUP(E89,CostRate!$B$5:$BV$23,6+'Project Estimations'!$E$7,FALSE))+IF(F89="CL",VLOOKUP(E89,CostRate!$B$5:$BV$23,7+'Project Estimations'!$E$7,FALSE))+IF(F89="CN",VLOOKUP(E89,CostRate!$B$5:$BV$23,8+'Project Estimations'!$E$7,FALSE))+IF(F89="EXT",VLOOKUP(E89,CostRate!$B$5:$BV$23,9+'Project Estimations'!$E$7,FALSE)))),"")</f>
        <v/>
      </c>
      <c r="J89" s="39" t="str">
        <f t="shared" si="13"/>
        <v/>
      </c>
      <c r="K89" s="39" t="str">
        <f t="shared" si="14"/>
        <v/>
      </c>
      <c r="L89" s="147" t="str">
        <f t="shared" si="15"/>
        <v/>
      </c>
      <c r="AD89" s="38" t="str">
        <f>+[1]CostRate!CT81</f>
        <v>SEK</v>
      </c>
      <c r="AE89" s="38" t="str">
        <f>+[1]CostRate!CU81</f>
        <v>SEK</v>
      </c>
      <c r="AF89" s="83">
        <f>+IF(SUMIFS(Currency!E:E,Currency!A:A,YEAR('Project Estimations'!$D$4),Currency!B:B,MONTH('Project Estimations'!$D$4),Currency!C:C,AD89,Currency!D:D,AE89)=0,SUMIFS(Currency!E:E,Currency!A:A,YEAR(Currency!$H$2),Currency!B:B,MONTH(Currency!$H$2),Currency!C:C,AD89,Currency!D:D,AE89),SUMIFS(Currency!E:E,Currency!A:A,YEAR('Project Estimations'!$D$4),Currency!B:B,MONTH('Project Estimations'!$D$4),Currency!C:C,AD89,Currency!D:D,AE89))</f>
        <v>1</v>
      </c>
    </row>
    <row r="90" spans="3:32" ht="13" x14ac:dyDescent="0.25">
      <c r="C90" s="68" t="s">
        <v>171</v>
      </c>
      <c r="D90" s="45" t="str">
        <f>IF('Project Estimations'!D109="","",'Project Estimations'!C109&amp;" "&amp;'Project Estimations'!D109&amp;" "&amp;'Project Estimations'!E109)</f>
        <v/>
      </c>
      <c r="E90" s="40" t="str">
        <f>IF('Project Estimations'!F109="","",'Project Estimations'!F109)</f>
        <v/>
      </c>
      <c r="F90" s="40" t="str">
        <f>IF('Project Estimations'!G109="","",'Project Estimations'!G109)</f>
        <v/>
      </c>
      <c r="G90" s="40" t="str">
        <f>IF((OR('Project Estimations'!H109="",'Project Estimations'!H109=0,C90="N")),"",'Project Estimations'!H109)</f>
        <v/>
      </c>
      <c r="H90" s="292"/>
      <c r="I90" s="41" t="str">
        <f>IFERROR(IF(E90="","",(IF(F90="KT",VLOOKUP(E90,CostRate!$B$5:$BV$23,9+'Project Estimations'!$E$7,FALSE))+IF(F90="PT",VLOOKUP(E90,CostRate!$B$5:$BV$23,2+'Project Estimations'!$E$7,FALSE))+IF(F90="US",VLOOKUP(E90,CostRate!$B$5:$BV$23,3+'Project Estimations'!$E$7,FALSE))+IF(F90="DE",VLOOKUP(E90,CostRate!$B$5:$BV$23,4+'Project Estimations'!$E$7,FALSE))+IF(F90="BR",VLOOKUP(E90,CostRate!$B$5:$BV$23,5+'Project Estimations'!$E$7,FALSE))+IF(F90="MX",VLOOKUP(E90,CostRate!$B$5:$BV$23,6+'Project Estimations'!$E$7,FALSE))+IF(F90="CL",VLOOKUP(E90,CostRate!$B$5:$BV$23,7+'Project Estimations'!$E$7,FALSE))+IF(F90="CN",VLOOKUP(E90,CostRate!$B$5:$BV$23,8+'Project Estimations'!$E$7,FALSE))+IF(F90="EXT",VLOOKUP(E90,CostRate!$B$5:$BV$23,9+'Project Estimations'!$E$7,FALSE)))),"")</f>
        <v/>
      </c>
      <c r="J90" s="41" t="str">
        <f t="shared" si="13"/>
        <v/>
      </c>
      <c r="K90" s="41" t="str">
        <f t="shared" si="14"/>
        <v/>
      </c>
      <c r="L90" s="148" t="str">
        <f t="shared" si="15"/>
        <v/>
      </c>
      <c r="AD90" s="40" t="str">
        <f>+[1]CostRate!CT82</f>
        <v>SEK</v>
      </c>
      <c r="AE90" s="40" t="str">
        <f>+[1]CostRate!CU82</f>
        <v>SAR</v>
      </c>
      <c r="AF90" s="84">
        <f>+IF(SUMIFS(Currency!E:E,Currency!A:A,YEAR('Project Estimations'!$D$4),Currency!B:B,MONTH('Project Estimations'!$D$4),Currency!C:C,AD90,Currency!D:D,AE90)=0,SUMIFS(Currency!E:E,Currency!A:A,YEAR(Currency!$H$2),Currency!B:B,MONTH(Currency!$H$2),Currency!C:C,AD90,Currency!D:D,AE90),SUMIFS(Currency!E:E,Currency!A:A,YEAR('Project Estimations'!$D$4),Currency!B:B,MONTH('Project Estimations'!$D$4),Currency!C:C,AD90,Currency!D:D,AE90))</f>
        <v>0.37168000000000001</v>
      </c>
    </row>
    <row r="91" spans="3:32" ht="13" x14ac:dyDescent="0.25">
      <c r="C91" s="67" t="s">
        <v>171</v>
      </c>
      <c r="D91" s="46" t="str">
        <f>IF('Project Estimations'!D110="","",'Project Estimations'!C110&amp;" "&amp;'Project Estimations'!D110&amp;" "&amp;'Project Estimations'!E110)</f>
        <v/>
      </c>
      <c r="E91" s="38" t="str">
        <f>IF('Project Estimations'!F110="","",'Project Estimations'!F110)</f>
        <v/>
      </c>
      <c r="F91" s="38" t="str">
        <f>IF('Project Estimations'!G110="","",'Project Estimations'!G110)</f>
        <v/>
      </c>
      <c r="G91" s="38" t="str">
        <f>IF((OR('Project Estimations'!H110="",'Project Estimations'!H110=0,C91="N")),"",'Project Estimations'!H110)</f>
        <v/>
      </c>
      <c r="H91" s="155"/>
      <c r="I91" s="39" t="str">
        <f>IFERROR(IF(E91="","",(IF(F91="KT",VLOOKUP(E91,CostRate!$B$5:$BV$23,9+'Project Estimations'!$E$7,FALSE))+IF(F91="PT",VLOOKUP(E91,CostRate!$B$5:$BV$23,2+'Project Estimations'!$E$7,FALSE))+IF(F91="US",VLOOKUP(E91,CostRate!$B$5:$BV$23,3+'Project Estimations'!$E$7,FALSE))+IF(F91="DE",VLOOKUP(E91,CostRate!$B$5:$BV$23,4+'Project Estimations'!$E$7,FALSE))+IF(F91="BR",VLOOKUP(E91,CostRate!$B$5:$BV$23,5+'Project Estimations'!$E$7,FALSE))+IF(F91="MX",VLOOKUP(E91,CostRate!$B$5:$BV$23,6+'Project Estimations'!$E$7,FALSE))+IF(F91="CL",VLOOKUP(E91,CostRate!$B$5:$BV$23,7+'Project Estimations'!$E$7,FALSE))+IF(F91="CN",VLOOKUP(E91,CostRate!$B$5:$BV$23,8+'Project Estimations'!$E$7,FALSE))+IF(F91="EXT",VLOOKUP(E91,CostRate!$B$5:$BV$23,9+'Project Estimations'!$E$7,FALSE)))),"")</f>
        <v/>
      </c>
      <c r="J91" s="39" t="str">
        <f t="shared" si="13"/>
        <v/>
      </c>
      <c r="K91" s="39" t="str">
        <f t="shared" si="14"/>
        <v/>
      </c>
      <c r="L91" s="147" t="str">
        <f t="shared" si="15"/>
        <v/>
      </c>
      <c r="AD91" s="38" t="str">
        <f>+[1]CostRate!CT83</f>
        <v>SAR</v>
      </c>
      <c r="AE91" s="38" t="str">
        <f>+[1]CostRate!CU83</f>
        <v>EUR</v>
      </c>
      <c r="AF91" s="83">
        <f>+IF(SUMIFS(Currency!E:E,Currency!A:A,YEAR('Project Estimations'!$D$4),Currency!B:B,MONTH('Project Estimations'!$D$4),Currency!C:C,AD91,Currency!D:D,AE91)=0,SUMIFS(Currency!E:E,Currency!A:A,YEAR(Currency!$H$2),Currency!B:B,MONTH(Currency!$H$2),Currency!C:C,AD91,Currency!D:D,AE91),SUMIFS(Currency!E:E,Currency!A:A,YEAR('Project Estimations'!$D$4),Currency!B:B,MONTH('Project Estimations'!$D$4),Currency!C:C,AD91,Currency!D:D,AE91))</f>
        <v>0.23809523809523808</v>
      </c>
    </row>
    <row r="92" spans="3:32" ht="13" x14ac:dyDescent="0.25">
      <c r="C92" s="68" t="s">
        <v>171</v>
      </c>
      <c r="D92" s="45" t="str">
        <f>IF('Project Estimations'!D111="","",'Project Estimations'!C111&amp;" "&amp;'Project Estimations'!D111&amp;" "&amp;'Project Estimations'!E111)</f>
        <v/>
      </c>
      <c r="E92" s="40" t="str">
        <f>IF('Project Estimations'!F111="","",'Project Estimations'!F111)</f>
        <v/>
      </c>
      <c r="F92" s="40" t="str">
        <f>IF('Project Estimations'!G111="","",'Project Estimations'!G111)</f>
        <v/>
      </c>
      <c r="G92" s="40" t="str">
        <f>IF((OR('Project Estimations'!H111="",'Project Estimations'!H111=0,C92="N")),"",'Project Estimations'!H111)</f>
        <v/>
      </c>
      <c r="H92" s="292"/>
      <c r="I92" s="41" t="str">
        <f>IFERROR(IF(E92="","",(IF(F92="KT",VLOOKUP(E92,CostRate!$B$5:$BV$23,9+'Project Estimations'!$E$7,FALSE))+IF(F92="PT",VLOOKUP(E92,CostRate!$B$5:$BV$23,2+'Project Estimations'!$E$7,FALSE))+IF(F92="US",VLOOKUP(E92,CostRate!$B$5:$BV$23,3+'Project Estimations'!$E$7,FALSE))+IF(F92="DE",VLOOKUP(E92,CostRate!$B$5:$BV$23,4+'Project Estimations'!$E$7,FALSE))+IF(F92="BR",VLOOKUP(E92,CostRate!$B$5:$BV$23,5+'Project Estimations'!$E$7,FALSE))+IF(F92="MX",VLOOKUP(E92,CostRate!$B$5:$BV$23,6+'Project Estimations'!$E$7,FALSE))+IF(F92="CL",VLOOKUP(E92,CostRate!$B$5:$BV$23,7+'Project Estimations'!$E$7,FALSE))+IF(F92="CN",VLOOKUP(E92,CostRate!$B$5:$BV$23,8+'Project Estimations'!$E$7,FALSE))+IF(F92="EXT",VLOOKUP(E92,CostRate!$B$5:$BV$23,9+'Project Estimations'!$E$7,FALSE)))),"")</f>
        <v/>
      </c>
      <c r="J92" s="41" t="str">
        <f t="shared" si="13"/>
        <v/>
      </c>
      <c r="K92" s="41" t="str">
        <f t="shared" si="14"/>
        <v/>
      </c>
      <c r="L92" s="148" t="str">
        <f t="shared" si="15"/>
        <v/>
      </c>
      <c r="AD92" s="40" t="str">
        <f>+[1]CostRate!CT84</f>
        <v>SAR</v>
      </c>
      <c r="AE92" s="40" t="str">
        <f>+[1]CostRate!CU84</f>
        <v>USD</v>
      </c>
      <c r="AF92" s="84">
        <f>+IF(SUMIFS(Currency!E:E,Currency!A:A,YEAR('Project Estimations'!$D$4),Currency!B:B,MONTH('Project Estimations'!$D$4),Currency!C:C,AD92,Currency!D:D,AE92)=0,SUMIFS(Currency!E:E,Currency!A:A,YEAR(Currency!$H$2),Currency!B:B,MONTH(Currency!$H$2),Currency!C:C,AD92,Currency!D:D,AE92),SUMIFS(Currency!E:E,Currency!A:A,YEAR('Project Estimations'!$D$4),Currency!B:B,MONTH('Project Estimations'!$D$4),Currency!C:C,AD92,Currency!D:D,AE92))</f>
        <v>0.26657141181551125</v>
      </c>
    </row>
    <row r="93" spans="3:32" ht="13" x14ac:dyDescent="0.25">
      <c r="C93" s="67" t="s">
        <v>171</v>
      </c>
      <c r="D93" s="46" t="str">
        <f>IF('Project Estimations'!D112="","",'Project Estimations'!C112&amp;" "&amp;'Project Estimations'!D112&amp;" "&amp;'Project Estimations'!E112)</f>
        <v/>
      </c>
      <c r="E93" s="38" t="str">
        <f>IF('Project Estimations'!F112="","",'Project Estimations'!F112)</f>
        <v/>
      </c>
      <c r="F93" s="38" t="str">
        <f>IF('Project Estimations'!G112="","",'Project Estimations'!G112)</f>
        <v/>
      </c>
      <c r="G93" s="38" t="str">
        <f>IF((OR('Project Estimations'!H112="",'Project Estimations'!H112=0,C93="N")),"",'Project Estimations'!H112)</f>
        <v/>
      </c>
      <c r="H93" s="155"/>
      <c r="I93" s="39" t="str">
        <f>IFERROR(IF(E93="","",(IF(F93="KT",VLOOKUP(E93,CostRate!$B$5:$BV$23,9+'Project Estimations'!$E$7,FALSE))+IF(F93="PT",VLOOKUP(E93,CostRate!$B$5:$BV$23,2+'Project Estimations'!$E$7,FALSE))+IF(F93="US",VLOOKUP(E93,CostRate!$B$5:$BV$23,3+'Project Estimations'!$E$7,FALSE))+IF(F93="DE",VLOOKUP(E93,CostRate!$B$5:$BV$23,4+'Project Estimations'!$E$7,FALSE))+IF(F93="BR",VLOOKUP(E93,CostRate!$B$5:$BV$23,5+'Project Estimations'!$E$7,FALSE))+IF(F93="MX",VLOOKUP(E93,CostRate!$B$5:$BV$23,6+'Project Estimations'!$E$7,FALSE))+IF(F93="CL",VLOOKUP(E93,CostRate!$B$5:$BV$23,7+'Project Estimations'!$E$7,FALSE))+IF(F93="CN",VLOOKUP(E93,CostRate!$B$5:$BV$23,8+'Project Estimations'!$E$7,FALSE))+IF(F93="EXT",VLOOKUP(E93,CostRate!$B$5:$BV$23,9+'Project Estimations'!$E$7,FALSE)))),"")</f>
        <v/>
      </c>
      <c r="J93" s="39" t="str">
        <f t="shared" si="13"/>
        <v/>
      </c>
      <c r="K93" s="39" t="str">
        <f t="shared" si="14"/>
        <v/>
      </c>
      <c r="L93" s="147" t="str">
        <f t="shared" si="15"/>
        <v/>
      </c>
      <c r="AD93" s="38" t="str">
        <f>+[1]CostRate!CT85</f>
        <v>SAR</v>
      </c>
      <c r="AE93" s="38" t="str">
        <f>+[1]CostRate!CU85</f>
        <v>GBP</v>
      </c>
      <c r="AF93" s="83">
        <f>+IF(SUMIFS(Currency!E:E,Currency!A:A,YEAR('Project Estimations'!$D$4),Currency!B:B,MONTH('Project Estimations'!$D$4),Currency!C:C,AD93,Currency!D:D,AE93)=0,SUMIFS(Currency!E:E,Currency!A:A,YEAR(Currency!$H$2),Currency!B:B,MONTH(Currency!$H$2),Currency!C:C,AD93,Currency!D:D,AE93),SUMIFS(Currency!E:E,Currency!A:A,YEAR('Project Estimations'!$D$4),Currency!B:B,MONTH('Project Estimations'!$D$4),Currency!C:C,AD93,Currency!D:D,AE93))</f>
        <v>0.19891195162461336</v>
      </c>
    </row>
    <row r="94" spans="3:32" ht="13" x14ac:dyDescent="0.25">
      <c r="C94" s="68" t="s">
        <v>171</v>
      </c>
      <c r="D94" s="45" t="str">
        <f>IF('Project Estimations'!D113="","",'Project Estimations'!C113&amp;" "&amp;'Project Estimations'!D113&amp;" "&amp;'Project Estimations'!E113)</f>
        <v/>
      </c>
      <c r="E94" s="40" t="str">
        <f>IF('Project Estimations'!F113="","",'Project Estimations'!F113)</f>
        <v/>
      </c>
      <c r="F94" s="40" t="str">
        <f>IF('Project Estimations'!G113="","",'Project Estimations'!G113)</f>
        <v/>
      </c>
      <c r="G94" s="40" t="str">
        <f>IF((OR('Project Estimations'!H113="",'Project Estimations'!H113=0,C94="N")),"",'Project Estimations'!H113)</f>
        <v/>
      </c>
      <c r="H94" s="292"/>
      <c r="I94" s="41" t="str">
        <f>IFERROR(IF(E94="","",(IF(F94="KT",VLOOKUP(E94,CostRate!$B$5:$BV$23,9+'Project Estimations'!$E$7,FALSE))+IF(F94="PT",VLOOKUP(E94,CostRate!$B$5:$BV$23,2+'Project Estimations'!$E$7,FALSE))+IF(F94="US",VLOOKUP(E94,CostRate!$B$5:$BV$23,3+'Project Estimations'!$E$7,FALSE))+IF(F94="DE",VLOOKUP(E94,CostRate!$B$5:$BV$23,4+'Project Estimations'!$E$7,FALSE))+IF(F94="BR",VLOOKUP(E94,CostRate!$B$5:$BV$23,5+'Project Estimations'!$E$7,FALSE))+IF(F94="MX",VLOOKUP(E94,CostRate!$B$5:$BV$23,6+'Project Estimations'!$E$7,FALSE))+IF(F94="CL",VLOOKUP(E94,CostRate!$B$5:$BV$23,7+'Project Estimations'!$E$7,FALSE))+IF(F94="CN",VLOOKUP(E94,CostRate!$B$5:$BV$23,8+'Project Estimations'!$E$7,FALSE))+IF(F94="EXT",VLOOKUP(E94,CostRate!$B$5:$BV$23,9+'Project Estimations'!$E$7,FALSE)))),"")</f>
        <v/>
      </c>
      <c r="J94" s="41" t="str">
        <f t="shared" si="13"/>
        <v/>
      </c>
      <c r="K94" s="41" t="str">
        <f t="shared" si="14"/>
        <v/>
      </c>
      <c r="L94" s="148" t="str">
        <f t="shared" si="15"/>
        <v/>
      </c>
      <c r="AD94" s="40" t="str">
        <f>+[1]CostRate!CT86</f>
        <v>SAR</v>
      </c>
      <c r="AE94" s="40" t="str">
        <f>+[1]CostRate!CU86</f>
        <v>BRL</v>
      </c>
      <c r="AF94" s="84">
        <f>+IF(SUMIFS(Currency!E:E,Currency!A:A,YEAR('Project Estimations'!$D$4),Currency!B:B,MONTH('Project Estimations'!$D$4),Currency!C:C,AD94,Currency!D:D,AE94)=0,SUMIFS(Currency!E:E,Currency!A:A,YEAR(Currency!$H$2),Currency!B:B,MONTH(Currency!$H$2),Currency!C:C,AD94,Currency!D:D,AE94),SUMIFS(Currency!E:E,Currency!A:A,YEAR('Project Estimations'!$D$4),Currency!B:B,MONTH('Project Estimations'!$D$4),Currency!C:C,AD94,Currency!D:D,AE94))</f>
        <v>1.4405693129924948</v>
      </c>
    </row>
    <row r="95" spans="3:32" ht="13" x14ac:dyDescent="0.25">
      <c r="C95" s="67" t="s">
        <v>171</v>
      </c>
      <c r="D95" s="46" t="str">
        <f>IF('Project Estimations'!D114="","",'Project Estimations'!C114&amp;" "&amp;'Project Estimations'!D114&amp;" "&amp;'Project Estimations'!E114)</f>
        <v/>
      </c>
      <c r="E95" s="38" t="str">
        <f>IF('Project Estimations'!F114="","",'Project Estimations'!F114)</f>
        <v/>
      </c>
      <c r="F95" s="38" t="str">
        <f>IF('Project Estimations'!G114="","",'Project Estimations'!G114)</f>
        <v/>
      </c>
      <c r="G95" s="38" t="str">
        <f>IF((OR('Project Estimations'!H114="",'Project Estimations'!H114=0,C95="N")),"",'Project Estimations'!H114)</f>
        <v/>
      </c>
      <c r="H95" s="155"/>
      <c r="I95" s="39" t="str">
        <f>IFERROR(IF(E95="","",(IF(F95="KT",VLOOKUP(E95,CostRate!$B$5:$BV$23,9+'Project Estimations'!$E$7,FALSE))+IF(F95="PT",VLOOKUP(E95,CostRate!$B$5:$BV$23,2+'Project Estimations'!$E$7,FALSE))+IF(F95="US",VLOOKUP(E95,CostRate!$B$5:$BV$23,3+'Project Estimations'!$E$7,FALSE))+IF(F95="DE",VLOOKUP(E95,CostRate!$B$5:$BV$23,4+'Project Estimations'!$E$7,FALSE))+IF(F95="BR",VLOOKUP(E95,CostRate!$B$5:$BV$23,5+'Project Estimations'!$E$7,FALSE))+IF(F95="MX",VLOOKUP(E95,CostRate!$B$5:$BV$23,6+'Project Estimations'!$E$7,FALSE))+IF(F95="CL",VLOOKUP(E95,CostRate!$B$5:$BV$23,7+'Project Estimations'!$E$7,FALSE))+IF(F95="CN",VLOOKUP(E95,CostRate!$B$5:$BV$23,8+'Project Estimations'!$E$7,FALSE))+IF(F95="EXT",VLOOKUP(E95,CostRate!$B$5:$BV$23,9+'Project Estimations'!$E$7,FALSE)))),"")</f>
        <v/>
      </c>
      <c r="J95" s="39" t="str">
        <f t="shared" si="13"/>
        <v/>
      </c>
      <c r="K95" s="39" t="str">
        <f t="shared" si="14"/>
        <v/>
      </c>
      <c r="L95" s="147" t="str">
        <f t="shared" si="15"/>
        <v/>
      </c>
      <c r="AD95" s="38" t="str">
        <f>+[1]CostRate!CT87</f>
        <v>SAR</v>
      </c>
      <c r="AE95" s="38" t="str">
        <f>+[1]CostRate!CU87</f>
        <v>MXN</v>
      </c>
      <c r="AF95" s="83">
        <f>+IF(SUMIFS(Currency!E:E,Currency!A:A,YEAR('Project Estimations'!$D$4),Currency!B:B,MONTH('Project Estimations'!$D$4),Currency!C:C,AD95,Currency!D:D,AE95)=0,SUMIFS(Currency!E:E,Currency!A:A,YEAR(Currency!$H$2),Currency!B:B,MONTH(Currency!$H$2),Currency!C:C,AD95,Currency!D:D,AE95),SUMIFS(Currency!E:E,Currency!A:A,YEAR('Project Estimations'!$D$4),Currency!B:B,MONTH('Project Estimations'!$D$4),Currency!C:C,AD95,Currency!D:D,AE95))</f>
        <v>5.2342318764721281</v>
      </c>
    </row>
    <row r="96" spans="3:32" ht="13" x14ac:dyDescent="0.25">
      <c r="C96" s="68" t="s">
        <v>171</v>
      </c>
      <c r="D96" s="45" t="str">
        <f>IF('Project Estimations'!D115="","",'Project Estimations'!C115&amp;" "&amp;'Project Estimations'!D115&amp;" "&amp;'Project Estimations'!E115)</f>
        <v/>
      </c>
      <c r="E96" s="40" t="str">
        <f>IF('Project Estimations'!F115="","",'Project Estimations'!F115)</f>
        <v/>
      </c>
      <c r="F96" s="40" t="str">
        <f>IF('Project Estimations'!G115="","",'Project Estimations'!G115)</f>
        <v/>
      </c>
      <c r="G96" s="40" t="str">
        <f>IF((OR('Project Estimations'!H115="",'Project Estimations'!H115=0,C96="N")),"",'Project Estimations'!H115)</f>
        <v/>
      </c>
      <c r="H96" s="292"/>
      <c r="I96" s="41" t="str">
        <f>IFERROR(IF(E96="","",(IF(F96="KT",VLOOKUP(E96,CostRate!$B$5:$BV$23,9+'Project Estimations'!$E$7,FALSE))+IF(F96="PT",VLOOKUP(E96,CostRate!$B$5:$BV$23,2+'Project Estimations'!$E$7,FALSE))+IF(F96="US",VLOOKUP(E96,CostRate!$B$5:$BV$23,3+'Project Estimations'!$E$7,FALSE))+IF(F96="DE",VLOOKUP(E96,CostRate!$B$5:$BV$23,4+'Project Estimations'!$E$7,FALSE))+IF(F96="BR",VLOOKUP(E96,CostRate!$B$5:$BV$23,5+'Project Estimations'!$E$7,FALSE))+IF(F96="MX",VLOOKUP(E96,CostRate!$B$5:$BV$23,6+'Project Estimations'!$E$7,FALSE))+IF(F96="CL",VLOOKUP(E96,CostRate!$B$5:$BV$23,7+'Project Estimations'!$E$7,FALSE))+IF(F96="CN",VLOOKUP(E96,CostRate!$B$5:$BV$23,8+'Project Estimations'!$E$7,FALSE))+IF(F96="EXT",VLOOKUP(E96,CostRate!$B$5:$BV$23,9+'Project Estimations'!$E$7,FALSE)))),"")</f>
        <v/>
      </c>
      <c r="J96" s="41" t="str">
        <f t="shared" si="13"/>
        <v/>
      </c>
      <c r="K96" s="41" t="str">
        <f t="shared" si="14"/>
        <v/>
      </c>
      <c r="L96" s="148" t="str">
        <f t="shared" si="15"/>
        <v/>
      </c>
      <c r="AD96" s="40" t="str">
        <f>+[1]CostRate!CT88</f>
        <v>SAR</v>
      </c>
      <c r="AE96" s="40" t="str">
        <f>+[1]CostRate!CU88</f>
        <v>CLP</v>
      </c>
      <c r="AF96" s="84">
        <f>+IF(SUMIFS(Currency!E:E,Currency!A:A,YEAR('Project Estimations'!$D$4),Currency!B:B,MONTH('Project Estimations'!$D$4),Currency!C:C,AD96,Currency!D:D,AE96)=0,SUMIFS(Currency!E:E,Currency!A:A,YEAR(Currency!$H$2),Currency!B:B,MONTH(Currency!$H$2),Currency!C:C,AD96,Currency!D:D,AE96),SUMIFS(Currency!E:E,Currency!A:A,YEAR('Project Estimations'!$D$4),Currency!B:B,MONTH('Project Estimations'!$D$4),Currency!C:C,AD96,Currency!D:D,AE96))</f>
        <v>239.80815347721821</v>
      </c>
    </row>
    <row r="97" spans="3:32" ht="13" x14ac:dyDescent="0.25">
      <c r="C97" s="67" t="s">
        <v>171</v>
      </c>
      <c r="D97" s="46" t="str">
        <f>IF('Project Estimations'!D116="","",'Project Estimations'!C116&amp;" "&amp;'Project Estimations'!D116&amp;" "&amp;'Project Estimations'!E116)</f>
        <v/>
      </c>
      <c r="E97" s="38" t="str">
        <f>IF('Project Estimations'!F116="","",'Project Estimations'!F116)</f>
        <v/>
      </c>
      <c r="F97" s="38" t="str">
        <f>IF('Project Estimations'!G116="","",'Project Estimations'!G116)</f>
        <v/>
      </c>
      <c r="G97" s="38" t="str">
        <f>IF((OR('Project Estimations'!H116="",'Project Estimations'!H116=0,C97="N")),"",'Project Estimations'!H116)</f>
        <v/>
      </c>
      <c r="H97" s="155"/>
      <c r="I97" s="39" t="str">
        <f>IFERROR(IF(E97="","",(IF(F97="KT",VLOOKUP(E97,CostRate!$B$5:$BV$23,9+'Project Estimations'!$E$7,FALSE))+IF(F97="PT",VLOOKUP(E97,CostRate!$B$5:$BV$23,2+'Project Estimations'!$E$7,FALSE))+IF(F97="US",VLOOKUP(E97,CostRate!$B$5:$BV$23,3+'Project Estimations'!$E$7,FALSE))+IF(F97="DE",VLOOKUP(E97,CostRate!$B$5:$BV$23,4+'Project Estimations'!$E$7,FALSE))+IF(F97="BR",VLOOKUP(E97,CostRate!$B$5:$BV$23,5+'Project Estimations'!$E$7,FALSE))+IF(F97="MX",VLOOKUP(E97,CostRate!$B$5:$BV$23,6+'Project Estimations'!$E$7,FALSE))+IF(F97="CL",VLOOKUP(E97,CostRate!$B$5:$BV$23,7+'Project Estimations'!$E$7,FALSE))+IF(F97="CN",VLOOKUP(E97,CostRate!$B$5:$BV$23,8+'Project Estimations'!$E$7,FALSE))+IF(F97="EXT",VLOOKUP(E97,CostRate!$B$5:$BV$23,9+'Project Estimations'!$E$7,FALSE)))),"")</f>
        <v/>
      </c>
      <c r="J97" s="39" t="str">
        <f t="shared" si="13"/>
        <v/>
      </c>
      <c r="K97" s="39" t="str">
        <f t="shared" si="14"/>
        <v/>
      </c>
      <c r="L97" s="147" t="str">
        <f t="shared" si="15"/>
        <v/>
      </c>
      <c r="AD97" s="38" t="str">
        <f>+[1]CostRate!CT89</f>
        <v>SAR</v>
      </c>
      <c r="AE97" s="38" t="str">
        <f>+[1]CostRate!CU89</f>
        <v>CNY</v>
      </c>
      <c r="AF97" s="83">
        <f>+IF(SUMIFS(Currency!E:E,Currency!A:A,YEAR('Project Estimations'!$D$4),Currency!B:B,MONTH('Project Estimations'!$D$4),Currency!C:C,AD97,Currency!D:D,AE97)=0,SUMIFS(Currency!E:E,Currency!A:A,YEAR(Currency!$H$2),Currency!B:B,MONTH(Currency!$H$2),Currency!C:C,AD97,Currency!D:D,AE97),SUMIFS(Currency!E:E,Currency!A:A,YEAR('Project Estimations'!$D$4),Currency!B:B,MONTH('Project Estimations'!$D$4),Currency!C:C,AD97,Currency!D:D,AE97))</f>
        <v>1.8692986391505908</v>
      </c>
    </row>
    <row r="98" spans="3:32" ht="13" x14ac:dyDescent="0.25">
      <c r="C98" s="68" t="s">
        <v>171</v>
      </c>
      <c r="D98" s="45" t="str">
        <f>IF('Project Estimations'!D117="","",'Project Estimations'!C117&amp;" "&amp;'Project Estimations'!D117&amp;" "&amp;'Project Estimations'!E117)</f>
        <v/>
      </c>
      <c r="E98" s="40" t="str">
        <f>IF('Project Estimations'!F117="","",'Project Estimations'!F117)</f>
        <v/>
      </c>
      <c r="F98" s="40" t="str">
        <f>IF('Project Estimations'!G117="","",'Project Estimations'!G117)</f>
        <v/>
      </c>
      <c r="G98" s="40" t="str">
        <f>IF((OR('Project Estimations'!H117="",'Project Estimations'!H117=0,C98="N")),"",'Project Estimations'!H117)</f>
        <v/>
      </c>
      <c r="H98" s="292"/>
      <c r="I98" s="41" t="str">
        <f>IFERROR(IF(E98="","",(IF(F98="KT",VLOOKUP(E98,CostRate!$B$5:$BV$23,9+'Project Estimations'!$E$7,FALSE))+IF(F98="PT",VLOOKUP(E98,CostRate!$B$5:$BV$23,2+'Project Estimations'!$E$7,FALSE))+IF(F98="US",VLOOKUP(E98,CostRate!$B$5:$BV$23,3+'Project Estimations'!$E$7,FALSE))+IF(F98="DE",VLOOKUP(E98,CostRate!$B$5:$BV$23,4+'Project Estimations'!$E$7,FALSE))+IF(F98="BR",VLOOKUP(E98,CostRate!$B$5:$BV$23,5+'Project Estimations'!$E$7,FALSE))+IF(F98="MX",VLOOKUP(E98,CostRate!$B$5:$BV$23,6+'Project Estimations'!$E$7,FALSE))+IF(F98="CL",VLOOKUP(E98,CostRate!$B$5:$BV$23,7+'Project Estimations'!$E$7,FALSE))+IF(F98="CN",VLOOKUP(E98,CostRate!$B$5:$BV$23,8+'Project Estimations'!$E$7,FALSE))+IF(F98="EXT",VLOOKUP(E98,CostRate!$B$5:$BV$23,9+'Project Estimations'!$E$7,FALSE)))),"")</f>
        <v/>
      </c>
      <c r="J98" s="41" t="str">
        <f t="shared" si="13"/>
        <v/>
      </c>
      <c r="K98" s="41" t="str">
        <f t="shared" si="14"/>
        <v/>
      </c>
      <c r="L98" s="148" t="str">
        <f t="shared" si="15"/>
        <v/>
      </c>
      <c r="AD98" s="40" t="str">
        <f>+[1]CostRate!CT90</f>
        <v>SAR</v>
      </c>
      <c r="AE98" s="40" t="str">
        <f>+[1]CostRate!CU90</f>
        <v>CHF</v>
      </c>
      <c r="AF98" s="84">
        <f>+IF(SUMIFS(Currency!E:E,Currency!A:A,YEAR('Project Estimations'!$D$4),Currency!B:B,MONTH('Project Estimations'!$D$4),Currency!C:C,AD98,Currency!D:D,AE98)=0,SUMIFS(Currency!E:E,Currency!A:A,YEAR(Currency!$H$2),Currency!B:B,MONTH(Currency!$H$2),Currency!C:C,AD98,Currency!D:D,AE98),SUMIFS(Currency!E:E,Currency!A:A,YEAR('Project Estimations'!$D$4),Currency!B:B,MONTH('Project Estimations'!$D$4),Currency!C:C,AD98,Currency!D:D,AE98))</f>
        <v>0.22473829225866476</v>
      </c>
    </row>
    <row r="99" spans="3:32" ht="13" x14ac:dyDescent="0.25">
      <c r="C99" s="67" t="s">
        <v>171</v>
      </c>
      <c r="D99" s="46" t="str">
        <f>IF('Project Estimations'!D118="","",'Project Estimations'!C118&amp;" "&amp;'Project Estimations'!D118&amp;" "&amp;'Project Estimations'!E118)</f>
        <v/>
      </c>
      <c r="E99" s="38" t="str">
        <f>IF('Project Estimations'!F118="","",'Project Estimations'!F118)</f>
        <v/>
      </c>
      <c r="F99" s="38" t="str">
        <f>IF('Project Estimations'!G118="","",'Project Estimations'!G118)</f>
        <v/>
      </c>
      <c r="G99" s="38" t="str">
        <f>IF((OR('Project Estimations'!H118="",'Project Estimations'!H118=0,C99="N")),"",'Project Estimations'!H118)</f>
        <v/>
      </c>
      <c r="H99" s="155"/>
      <c r="I99" s="39" t="str">
        <f>IFERROR(IF(E99="","",(IF(F99="KT",VLOOKUP(E99,CostRate!$B$5:$BV$23,9+'Project Estimations'!$E$7,FALSE))+IF(F99="PT",VLOOKUP(E99,CostRate!$B$5:$BV$23,2+'Project Estimations'!$E$7,FALSE))+IF(F99="US",VLOOKUP(E99,CostRate!$B$5:$BV$23,3+'Project Estimations'!$E$7,FALSE))+IF(F99="DE",VLOOKUP(E99,CostRate!$B$5:$BV$23,4+'Project Estimations'!$E$7,FALSE))+IF(F99="BR",VLOOKUP(E99,CostRate!$B$5:$BV$23,5+'Project Estimations'!$E$7,FALSE))+IF(F99="MX",VLOOKUP(E99,CostRate!$B$5:$BV$23,6+'Project Estimations'!$E$7,FALSE))+IF(F99="CL",VLOOKUP(E99,CostRate!$B$5:$BV$23,7+'Project Estimations'!$E$7,FALSE))+IF(F99="CN",VLOOKUP(E99,CostRate!$B$5:$BV$23,8+'Project Estimations'!$E$7,FALSE))+IF(F99="EXT",VLOOKUP(E99,CostRate!$B$5:$BV$23,9+'Project Estimations'!$E$7,FALSE)))),"")</f>
        <v/>
      </c>
      <c r="J99" s="39" t="str">
        <f t="shared" si="13"/>
        <v/>
      </c>
      <c r="K99" s="39" t="str">
        <f t="shared" si="14"/>
        <v/>
      </c>
      <c r="L99" s="147" t="str">
        <f t="shared" si="15"/>
        <v/>
      </c>
      <c r="AD99" s="38" t="str">
        <f>+[1]CostRate!CT91</f>
        <v>SAR</v>
      </c>
      <c r="AE99" s="38" t="str">
        <f>+[1]CostRate!CU91</f>
        <v>SEK</v>
      </c>
      <c r="AF99" s="83">
        <f>+IF(SUMIFS(Currency!E:E,Currency!A:A,YEAR('Project Estimations'!$D$4),Currency!B:B,MONTH('Project Estimations'!$D$4),Currency!C:C,AD99,Currency!D:D,AE99)=0,SUMIFS(Currency!E:E,Currency!A:A,YEAR(Currency!$H$2),Currency!B:B,MONTH(Currency!$H$2),Currency!C:C,AD99,Currency!D:D,AE99),SUMIFS(Currency!E:E,Currency!A:A,YEAR('Project Estimations'!$D$4),Currency!B:B,MONTH('Project Estimations'!$D$4),Currency!C:C,AD99,Currency!D:D,AE99))</f>
        <v>2.6904864399483426</v>
      </c>
    </row>
    <row r="100" spans="3:32" ht="13" x14ac:dyDescent="0.25">
      <c r="C100" s="68" t="s">
        <v>171</v>
      </c>
      <c r="D100" s="45" t="str">
        <f>IF('Project Estimations'!D119="","",'Project Estimations'!C119&amp;" "&amp;'Project Estimations'!D119&amp;" "&amp;'Project Estimations'!E119)</f>
        <v/>
      </c>
      <c r="E100" s="40" t="str">
        <f>IF('Project Estimations'!F119="","",'Project Estimations'!F119)</f>
        <v/>
      </c>
      <c r="F100" s="40" t="str">
        <f>IF('Project Estimations'!G119="","",'Project Estimations'!G119)</f>
        <v/>
      </c>
      <c r="G100" s="40" t="str">
        <f>IF((OR('Project Estimations'!H119="",'Project Estimations'!H119=0,C100="N")),"",'Project Estimations'!H119)</f>
        <v/>
      </c>
      <c r="H100" s="292"/>
      <c r="I100" s="41" t="str">
        <f>IFERROR(IF(E100="","",(IF(F100="KT",VLOOKUP(E100,CostRate!$B$5:$BV$23,9+'Project Estimations'!$E$7,FALSE))+IF(F100="PT",VLOOKUP(E100,CostRate!$B$5:$BV$23,2+'Project Estimations'!$E$7,FALSE))+IF(F100="US",VLOOKUP(E100,CostRate!$B$5:$BV$23,3+'Project Estimations'!$E$7,FALSE))+IF(F100="DE",VLOOKUP(E100,CostRate!$B$5:$BV$23,4+'Project Estimations'!$E$7,FALSE))+IF(F100="BR",VLOOKUP(E100,CostRate!$B$5:$BV$23,5+'Project Estimations'!$E$7,FALSE))+IF(F100="MX",VLOOKUP(E100,CostRate!$B$5:$BV$23,6+'Project Estimations'!$E$7,FALSE))+IF(F100="CL",VLOOKUP(E100,CostRate!$B$5:$BV$23,7+'Project Estimations'!$E$7,FALSE))+IF(F100="CN",VLOOKUP(E100,CostRate!$B$5:$BV$23,8+'Project Estimations'!$E$7,FALSE))+IF(F100="EXT",VLOOKUP(E100,CostRate!$B$5:$BV$23,9+'Project Estimations'!$E$7,FALSE)))),"")</f>
        <v/>
      </c>
      <c r="J100" s="41" t="str">
        <f t="shared" si="13"/>
        <v/>
      </c>
      <c r="K100" s="41" t="str">
        <f t="shared" si="14"/>
        <v/>
      </c>
      <c r="L100" s="148" t="str">
        <f t="shared" si="15"/>
        <v/>
      </c>
      <c r="AD100" s="40" t="str">
        <f>+[1]CostRate!CT92</f>
        <v>SAR</v>
      </c>
      <c r="AE100" s="40" t="str">
        <f>+[1]CostRate!CU92</f>
        <v>SAR</v>
      </c>
      <c r="AF100" s="84">
        <f>+IF(SUMIFS(Currency!E:E,Currency!A:A,YEAR('Project Estimations'!$D$4),Currency!B:B,MONTH('Project Estimations'!$D$4),Currency!C:C,AD100,Currency!D:D,AE100)=0,SUMIFS(Currency!E:E,Currency!A:A,YEAR(Currency!$H$2),Currency!B:B,MONTH(Currency!$H$2),Currency!C:C,AD100,Currency!D:D,AE100),SUMIFS(Currency!E:E,Currency!A:A,YEAR('Project Estimations'!$D$4),Currency!B:B,MONTH('Project Estimations'!$D$4),Currency!C:C,AD100,Currency!D:D,AE100))</f>
        <v>1</v>
      </c>
    </row>
    <row r="101" spans="3:32" ht="13" x14ac:dyDescent="0.25">
      <c r="C101" s="301"/>
      <c r="D101" s="302"/>
      <c r="E101" s="303"/>
      <c r="F101" s="303"/>
      <c r="G101" s="303"/>
      <c r="H101" s="304"/>
      <c r="I101" s="39" t="str">
        <f>IFERROR(IF(E101="","",(IF(F101="PT",VLOOKUP(E101,CostRate!$B$5:$BV$23,2+'Project Estimations'!$E$7,FALSE))+IF(F101="US",VLOOKUP(E101,CostRate!$B$5:$BV$23,3+'Project Estimations'!$E$7,FALSE))+IF(F101="DE",VLOOKUP(E101,CostRate!$B$5:$BV$23,4+'Project Estimations'!$E$7,FALSE))+IF(F101="BR",VLOOKUP(E101,CostRate!$B$5:$BV$23,5+'Project Estimations'!$E$7,FALSE))+IF(F101="MX",VLOOKUP(E101,CostRate!$B$5:$BV$23,6+'Project Estimations'!$E$7,FALSE))+IF(F101="CL",VLOOKUP(E101,CostRate!$B$5:$BV$23,7+'Project Estimations'!$E$7,FALSE))+IF(F101="CN",VLOOKUP(E101,CostRate!$B$5:$BV$23,8+'Project Estimations'!$E$7,FALSE))+IF(F101="EXT",VLOOKUP(E101,CostRate!$B$5:$BV$23,9+'Project Estimations'!$E$7,FALSE)))),"")</f>
        <v/>
      </c>
      <c r="J101" s="305"/>
      <c r="K101" s="305"/>
      <c r="L101" s="306"/>
    </row>
    <row r="102" spans="3:32" ht="13" x14ac:dyDescent="0.25">
      <c r="C102" s="301"/>
      <c r="D102" s="302"/>
      <c r="E102" s="303"/>
      <c r="F102" s="303"/>
      <c r="G102" s="303"/>
      <c r="H102" s="307"/>
      <c r="I102" s="41" t="str">
        <f>IFERROR(IF(E102="","",(IF(F102="PT",VLOOKUP(E102,CostRate!$B$5:$BV$23,2+'Project Estimations'!$E$7,FALSE))+IF(F102="US",VLOOKUP(E102,CostRate!$B$5:$BV$23,3+'Project Estimations'!$E$7,FALSE))+IF(F102="DE",VLOOKUP(E102,CostRate!$B$5:$BV$23,4+'Project Estimations'!$E$7,FALSE))+IF(F102="BR",VLOOKUP(E102,CostRate!$B$5:$BV$23,5+'Project Estimations'!$E$7,FALSE))+IF(F102="MX",VLOOKUP(E102,CostRate!$B$5:$BV$23,6+'Project Estimations'!$E$7,FALSE))+IF(F102="CL",VLOOKUP(E102,CostRate!$B$5:$BV$23,7+'Project Estimations'!$E$7,FALSE))+IF(F102="CN",VLOOKUP(E102,CostRate!$B$5:$BV$23,8+'Project Estimations'!$E$7,FALSE))+IF(F102="EXT",VLOOKUP(E102,CostRate!$B$5:$BV$23,9+'Project Estimations'!$E$7,FALSE)))),"")</f>
        <v/>
      </c>
      <c r="J102" s="305"/>
      <c r="K102" s="305"/>
      <c r="L102" s="308"/>
    </row>
    <row r="103" spans="3:32" ht="17" x14ac:dyDescent="0.4">
      <c r="H103" s="132" t="s">
        <v>167</v>
      </c>
      <c r="I103" s="39" t="str">
        <f>IFERROR(IF(E103="","",(IF(F103="PT",VLOOKUP(E103,CostRate!$B$5:$BV$23,2+'Project Estimations'!$E$7,FALSE))+IF(F103="US",VLOOKUP(E103,CostRate!$B$5:$BV$23,3+'Project Estimations'!$E$7,FALSE))+IF(F103="DE",VLOOKUP(E103,CostRate!$B$5:$BV$23,4+'Project Estimations'!$E$7,FALSE))+IF(F103="BR",VLOOKUP(E103,CostRate!$B$5:$BV$23,5+'Project Estimations'!$E$7,FALSE))+IF(F103="MX",VLOOKUP(E103,CostRate!$B$5:$BV$23,6+'Project Estimations'!$E$7,FALSE))+IF(F103="CL",VLOOKUP(E103,CostRate!$B$5:$BV$23,7+'Project Estimations'!$E$7,FALSE))+IF(F103="CN",VLOOKUP(E103,CostRate!$B$5:$BV$23,8+'Project Estimations'!$E$7,FALSE))+IF(F103="EXT",VLOOKUP(E103,CostRate!$B$5:$BV$23,9+'Project Estimations'!$E$7,FALSE)))),"")</f>
        <v/>
      </c>
      <c r="J103" s="131"/>
      <c r="K103" s="131"/>
    </row>
    <row r="104" spans="3:32" ht="14.5" x14ac:dyDescent="0.25">
      <c r="H104" s="137" t="s">
        <v>6</v>
      </c>
      <c r="I104" s="41" t="str">
        <f>IFERROR(IF(E104="","",(IF(F104="PT",VLOOKUP(E104,CostRate!$B$5:$BV$23,2+'Project Estimations'!$E$7,FALSE))+IF(F104="US",VLOOKUP(E104,CostRate!$B$5:$BV$23,3+'Project Estimations'!$E$7,FALSE))+IF(F104="DE",VLOOKUP(E104,CostRate!$B$5:$BV$23,4+'Project Estimations'!$E$7,FALSE))+IF(F104="BR",VLOOKUP(E104,CostRate!$B$5:$BV$23,5+'Project Estimations'!$E$7,FALSE))+IF(F104="MX",VLOOKUP(E104,CostRate!$B$5:$BV$23,6+'Project Estimations'!$E$7,FALSE))+IF(F104="CL",VLOOKUP(E104,CostRate!$B$5:$BV$23,7+'Project Estimations'!$E$7,FALSE))+IF(F104="CN",VLOOKUP(E104,CostRate!$B$5:$BV$23,8+'Project Estimations'!$E$7,FALSE))+IF(F104="EXT",VLOOKUP(E104,CostRate!$B$5:$BV$23,9+'Project Estimations'!$E$7,FALSE)))),"")</f>
        <v/>
      </c>
      <c r="J104" s="137" t="s">
        <v>6</v>
      </c>
      <c r="K104" s="136" t="s">
        <v>96</v>
      </c>
      <c r="L104" s="137" t="s">
        <v>6</v>
      </c>
      <c r="M104" s="136" t="s">
        <v>96</v>
      </c>
    </row>
    <row r="105" spans="3:32" ht="13" x14ac:dyDescent="0.25">
      <c r="H105" s="138">
        <v>101</v>
      </c>
      <c r="I105" s="39" t="str">
        <f>IFERROR(IF(E105="","",(IF(F105="PT",VLOOKUP(E105,CostRate!$B$5:$BV$23,2+'Project Estimations'!$E$7,FALSE))+IF(F105="US",VLOOKUP(E105,CostRate!$B$5:$BV$23,3+'Project Estimations'!$E$7,FALSE))+IF(F105="DE",VLOOKUP(E105,CostRate!$B$5:$BV$23,4+'Project Estimations'!$E$7,FALSE))+IF(F105="BR",VLOOKUP(E105,CostRate!$B$5:$BV$23,5+'Project Estimations'!$E$7,FALSE))+IF(F105="MX",VLOOKUP(E105,CostRate!$B$5:$BV$23,6+'Project Estimations'!$E$7,FALSE))+IF(F105="CL",VLOOKUP(E105,CostRate!$B$5:$BV$23,7+'Project Estimations'!$E$7,FALSE))+IF(F105="CN",VLOOKUP(E105,CostRate!$B$5:$BV$23,8+'Project Estimations'!$E$7,FALSE))+IF(F105="EXT",VLOOKUP(E105,CostRate!$B$5:$BV$23,9+'Project Estimations'!$E$7,FALSE)))),"")</f>
        <v/>
      </c>
      <c r="J105" s="139">
        <v>203</v>
      </c>
      <c r="K105" s="140"/>
      <c r="L105" s="139">
        <v>304</v>
      </c>
      <c r="M105" s="140"/>
    </row>
    <row r="106" spans="3:32" ht="13" x14ac:dyDescent="0.25">
      <c r="H106" s="40">
        <v>102</v>
      </c>
      <c r="I106" s="41" t="str">
        <f>IFERROR(IF(E106="","",(IF(F106="PT",VLOOKUP(E106,CostRate!$B$5:$BV$23,2+'Project Estimations'!$E$7,FALSE))+IF(F106="US",VLOOKUP(E106,CostRate!$B$5:$BV$23,3+'Project Estimations'!$E$7,FALSE))+IF(F106="DE",VLOOKUP(E106,CostRate!$B$5:$BV$23,4+'Project Estimations'!$E$7,FALSE))+IF(F106="BR",VLOOKUP(E106,CostRate!$B$5:$BV$23,5+'Project Estimations'!$E$7,FALSE))+IF(F106="MX",VLOOKUP(E106,CostRate!$B$5:$BV$23,6+'Project Estimations'!$E$7,FALSE))+IF(F106="CL",VLOOKUP(E106,CostRate!$B$5:$BV$23,7+'Project Estimations'!$E$7,FALSE))+IF(F106="CN",VLOOKUP(E106,CostRate!$B$5:$BV$23,8+'Project Estimations'!$E$7,FALSE))+IF(F106="EXT",VLOOKUP(E106,CostRate!$B$5:$BV$23,9+'Project Estimations'!$E$7,FALSE)))),"")</f>
        <v/>
      </c>
      <c r="J106" s="38">
        <v>300</v>
      </c>
      <c r="K106" s="85"/>
      <c r="L106" s="38">
        <v>400</v>
      </c>
      <c r="M106" s="85"/>
    </row>
    <row r="107" spans="3:32" ht="13" x14ac:dyDescent="0.25">
      <c r="H107" s="38">
        <v>200</v>
      </c>
      <c r="I107" s="39" t="str">
        <f>IFERROR(IF(E107="","",(IF(F107="PT",VLOOKUP(E107,CostRate!$B$5:$BV$23,2+'Project Estimations'!$E$7,FALSE))+IF(F107="US",VLOOKUP(E107,CostRate!$B$5:$BV$23,3+'Project Estimations'!$E$7,FALSE))+IF(F107="DE",VLOOKUP(E107,CostRate!$B$5:$BV$23,4+'Project Estimations'!$E$7,FALSE))+IF(F107="BR",VLOOKUP(E107,CostRate!$B$5:$BV$23,5+'Project Estimations'!$E$7,FALSE))+IF(F107="MX",VLOOKUP(E107,CostRate!$B$5:$BV$23,6+'Project Estimations'!$E$7,FALSE))+IF(F107="CL",VLOOKUP(E107,CostRate!$B$5:$BV$23,7+'Project Estimations'!$E$7,FALSE))+IF(F107="CN",VLOOKUP(E107,CostRate!$B$5:$BV$23,8+'Project Estimations'!$E$7,FALSE))+IF(F107="EXT",VLOOKUP(E107,CostRate!$B$5:$BV$23,9+'Project Estimations'!$E$7,FALSE)))),"")</f>
        <v/>
      </c>
      <c r="J107" s="40">
        <v>301</v>
      </c>
      <c r="K107" s="86"/>
      <c r="L107" s="40">
        <v>401</v>
      </c>
      <c r="M107" s="86"/>
    </row>
    <row r="108" spans="3:32" ht="13" x14ac:dyDescent="0.25">
      <c r="H108" s="40">
        <v>201</v>
      </c>
      <c r="I108" s="41" t="str">
        <f>IFERROR(IF(E108="","",(IF(F108="PT",VLOOKUP(E108,CostRate!$B$5:$BV$23,2+'Project Estimations'!$E$7,FALSE))+IF(F108="US",VLOOKUP(E108,CostRate!$B$5:$BV$23,3+'Project Estimations'!$E$7,FALSE))+IF(F108="DE",VLOOKUP(E108,CostRate!$B$5:$BV$23,4+'Project Estimations'!$E$7,FALSE))+IF(F108="BR",VLOOKUP(E108,CostRate!$B$5:$BV$23,5+'Project Estimations'!$E$7,FALSE))+IF(F108="MX",VLOOKUP(E108,CostRate!$B$5:$BV$23,6+'Project Estimations'!$E$7,FALSE))+IF(F108="CL",VLOOKUP(E108,CostRate!$B$5:$BV$23,7+'Project Estimations'!$E$7,FALSE))+IF(F108="CN",VLOOKUP(E108,CostRate!$B$5:$BV$23,8+'Project Estimations'!$E$7,FALSE))+IF(F108="EXT",VLOOKUP(E108,CostRate!$B$5:$BV$23,9+'Project Estimations'!$E$7,FALSE)))),"")</f>
        <v/>
      </c>
      <c r="J108" s="38">
        <v>302</v>
      </c>
      <c r="K108" s="85"/>
      <c r="L108" s="38">
        <v>402</v>
      </c>
      <c r="M108" s="85"/>
    </row>
    <row r="109" spans="3:32" ht="13.5" thickBot="1" x14ac:dyDescent="0.3">
      <c r="H109" s="134">
        <v>202</v>
      </c>
      <c r="I109" s="39" t="str">
        <f>IFERROR(IF(E109="","",(IF(F109="PT",VLOOKUP(E109,CostRate!$B$5:$BV$23,2+'Project Estimations'!$E$7,FALSE))+IF(F109="US",VLOOKUP(E109,CostRate!$B$5:$BV$23,3+'Project Estimations'!$E$7,FALSE))+IF(F109="DE",VLOOKUP(E109,CostRate!$B$5:$BV$23,4+'Project Estimations'!$E$7,FALSE))+IF(F109="BR",VLOOKUP(E109,CostRate!$B$5:$BV$23,5+'Project Estimations'!$E$7,FALSE))+IF(F109="MX",VLOOKUP(E109,CostRate!$B$5:$BV$23,6+'Project Estimations'!$E$7,FALSE))+IF(F109="CL",VLOOKUP(E109,CostRate!$B$5:$BV$23,7+'Project Estimations'!$E$7,FALSE))+IF(F109="CN",VLOOKUP(E109,CostRate!$B$5:$BV$23,8+'Project Estimations'!$E$7,FALSE))+IF(F109="EXT",VLOOKUP(E109,CostRate!$B$5:$BV$23,9+'Project Estimations'!$E$7,FALSE)))),"")</f>
        <v/>
      </c>
      <c r="J109" s="133">
        <v>303</v>
      </c>
      <c r="K109" s="135"/>
      <c r="L109" s="133">
        <v>403</v>
      </c>
      <c r="M109" s="135"/>
    </row>
    <row r="110" spans="3:32" ht="13" x14ac:dyDescent="0.25">
      <c r="I110" s="41" t="str">
        <f>IFERROR(IF(E110="","",(IF(F110="PT",VLOOKUP(E110,CostRate!$B$5:$BV$23,2+'Project Estimations'!$E$7,FALSE))+IF(F110="US",VLOOKUP(E110,CostRate!$B$5:$BV$23,3+'Project Estimations'!$E$7,FALSE))+IF(F110="DE",VLOOKUP(E110,CostRate!$B$5:$BV$23,4+'Project Estimations'!$E$7,FALSE))+IF(F110="BR",VLOOKUP(E110,CostRate!$B$5:$BV$23,5+'Project Estimations'!$E$7,FALSE))+IF(F110="MX",VLOOKUP(E110,CostRate!$B$5:$BV$23,6+'Project Estimations'!$E$7,FALSE))+IF(F110="CL",VLOOKUP(E110,CostRate!$B$5:$BV$23,7+'Project Estimations'!$E$7,FALSE))+IF(F110="CN",VLOOKUP(E110,CostRate!$B$5:$BV$23,8+'Project Estimations'!$E$7,FALSE))+IF(F110="EXT",VLOOKUP(E110,CostRate!$B$5:$BV$23,9+'Project Estimations'!$E$7,FALSE)))),"")</f>
        <v/>
      </c>
    </row>
    <row r="111" spans="3:32" ht="13" x14ac:dyDescent="0.25">
      <c r="I111" s="39" t="str">
        <f>IFERROR(IF(E111="","",(IF(F111="PT",VLOOKUP(E111,CostRate!$B$5:$BV$23,2+'Project Estimations'!$E$7,FALSE))+IF(F111="US",VLOOKUP(E111,CostRate!$B$5:$BV$23,3+'Project Estimations'!$E$7,FALSE))+IF(F111="DE",VLOOKUP(E111,CostRate!$B$5:$BV$23,4+'Project Estimations'!$E$7,FALSE))+IF(F111="BR",VLOOKUP(E111,CostRate!$B$5:$BV$23,5+'Project Estimations'!$E$7,FALSE))+IF(F111="MX",VLOOKUP(E111,CostRate!$B$5:$BV$23,6+'Project Estimations'!$E$7,FALSE))+IF(F111="CL",VLOOKUP(E111,CostRate!$B$5:$BV$23,7+'Project Estimations'!$E$7,FALSE))+IF(F111="CN",VLOOKUP(E111,CostRate!$B$5:$BV$23,8+'Project Estimations'!$E$7,FALSE))+IF(F111="EXT",VLOOKUP(E111,CostRate!$B$5:$BV$23,9+'Project Estimations'!$E$7,FALSE)))),"")</f>
        <v/>
      </c>
    </row>
  </sheetData>
  <sheetProtection algorithmName="SHA-512" hashValue="Pz0r5nhs4w92rXGG9xmWbGWuvxbhOHZvWQBk9UB7zdquJN8GZxc6ZciWWKbR7psKw5n8debNWMp7RDoSvEWOgQ==" saltValue="TqyBihLZPhyc7++hQTk7vg==" spinCount="100000" sheet="1" objects="1" scenarios="1"/>
  <mergeCells count="3">
    <mergeCell ref="D2:E2"/>
    <mergeCell ref="H3:I3"/>
    <mergeCell ref="H2:J2"/>
  </mergeCells>
  <conditionalFormatting sqref="J11:J54">
    <cfRule type="containsText" dxfId="65" priority="30" operator="containsText" text="MISSING COST">
      <formula>NOT(ISERROR(SEARCH("MISSING COST",J11)))</formula>
    </cfRule>
  </conditionalFormatting>
  <conditionalFormatting sqref="L11:L54">
    <cfRule type="cellIs" dxfId="64" priority="25" operator="greaterThan">
      <formula>0.3</formula>
    </cfRule>
    <cfRule type="cellIs" dxfId="63" priority="26" operator="lessThan">
      <formula>0.2</formula>
    </cfRule>
  </conditionalFormatting>
  <conditionalFormatting sqref="J77">
    <cfRule type="containsText" dxfId="62" priority="18" operator="containsText" text="MISSING COST">
      <formula>NOT(ISERROR(SEARCH("MISSING COST",J77)))</formula>
    </cfRule>
  </conditionalFormatting>
  <conditionalFormatting sqref="L77">
    <cfRule type="cellIs" dxfId="61" priority="16" operator="greaterThan">
      <formula>0.3</formula>
    </cfRule>
    <cfRule type="cellIs" dxfId="60" priority="17" operator="lessThan">
      <formula>0.2</formula>
    </cfRule>
  </conditionalFormatting>
  <conditionalFormatting sqref="J55:J76">
    <cfRule type="containsText" dxfId="59" priority="14" operator="containsText" text="MISSING COST">
      <formula>NOT(ISERROR(SEARCH("MISSING COST",J55)))</formula>
    </cfRule>
  </conditionalFormatting>
  <conditionalFormatting sqref="L55:L76">
    <cfRule type="cellIs" dxfId="58" priority="12" operator="greaterThan">
      <formula>0.3</formula>
    </cfRule>
    <cfRule type="cellIs" dxfId="57" priority="13" operator="lessThan">
      <formula>0.2</formula>
    </cfRule>
  </conditionalFormatting>
  <conditionalFormatting sqref="J79 J81 J83 J85 J87 J89 J91 J93 J95 J97 J99 J101">
    <cfRule type="containsText" dxfId="56" priority="10" operator="containsText" text="MISSING COST">
      <formula>NOT(ISERROR(SEARCH("MISSING COST",J79)))</formula>
    </cfRule>
  </conditionalFormatting>
  <conditionalFormatting sqref="L79 L81 L83 L85 L87 L89 L91 L93 L95 L97 L99 L101">
    <cfRule type="cellIs" dxfId="55" priority="8" operator="greaterThan">
      <formula>0.3</formula>
    </cfRule>
    <cfRule type="cellIs" dxfId="54" priority="9" operator="lessThan">
      <formula>0.2</formula>
    </cfRule>
  </conditionalFormatting>
  <conditionalFormatting sqref="J78 J80 J82 J84 J86 J88 J90 J92 J94 J96 J98 J100 J102">
    <cfRule type="containsText" dxfId="53" priority="6" operator="containsText" text="MISSING COST">
      <formula>NOT(ISERROR(SEARCH("MISSING COST",J78)))</formula>
    </cfRule>
  </conditionalFormatting>
  <conditionalFormatting sqref="L78 L80 L82 L84 L86 L88 L90 L92 L94 L96 L98 L100 L102">
    <cfRule type="cellIs" dxfId="52" priority="4" operator="greaterThan">
      <formula>0.3</formula>
    </cfRule>
    <cfRule type="cellIs" dxfId="51" priority="5" operator="lessThan">
      <formula>0.2</formula>
    </cfRule>
  </conditionalFormatting>
  <conditionalFormatting sqref="I11:I12">
    <cfRule type="containsText" dxfId="50" priority="2" operator="containsText" text="MISSING COST">
      <formula>NOT(ISERROR(SEARCH("MISSING COST",I11)))</formula>
    </cfRule>
  </conditionalFormatting>
  <conditionalFormatting sqref="I13:I111">
    <cfRule type="containsText" dxfId="49" priority="1" operator="containsText" text="MISSING COST">
      <formula>NOT(ISERROR(SEARCH("MISSING COST",I13)))</formula>
    </cfRule>
  </conditionalFormatting>
  <dataValidations count="2">
    <dataValidation type="list" allowBlank="1" showInputMessage="1" showErrorMessage="1" sqref="E3:E7" xr:uid="{00000000-0002-0000-0400-000000000000}">
      <formula1>"x,X,-"</formula1>
    </dataValidation>
    <dataValidation type="list" allowBlank="1" showInputMessage="1" showErrorMessage="1" sqref="C11:C80 AL13:AL21" xr:uid="{00000000-0002-0000-0400-000001000000}">
      <formula1>"Y,N"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R145"/>
  <sheetViews>
    <sheetView showGridLines="0" zoomScale="80" zoomScaleNormal="80" workbookViewId="0">
      <selection activeCell="A18" sqref="A18"/>
    </sheetView>
  </sheetViews>
  <sheetFormatPr defaultColWidth="8.81640625" defaultRowHeight="12.5" x14ac:dyDescent="0.25"/>
  <cols>
    <col min="1" max="1" width="2.08984375" customWidth="1"/>
    <col min="2" max="2" width="1.08984375" customWidth="1"/>
    <col min="3" max="3" width="11.81640625" bestFit="1" customWidth="1"/>
    <col min="4" max="4" width="11.08984375" customWidth="1"/>
    <col min="5" max="5" width="12.36328125" customWidth="1"/>
    <col min="6" max="12" width="12.08984375" customWidth="1"/>
    <col min="13" max="13" width="13.6328125" bestFit="1" customWidth="1"/>
    <col min="14" max="14" width="12.08984375" customWidth="1"/>
    <col min="15" max="15" width="13.6328125" bestFit="1" customWidth="1"/>
    <col min="16" max="17" width="12.08984375" customWidth="1"/>
    <col min="18" max="18" width="11.08984375" customWidth="1"/>
    <col min="19" max="20" width="14" customWidth="1"/>
    <col min="21" max="21" width="12" bestFit="1" customWidth="1"/>
    <col min="22" max="25" width="11.453125" customWidth="1"/>
    <col min="26" max="26" width="8.6328125" bestFit="1" customWidth="1"/>
    <col min="27" max="32" width="11.08984375" customWidth="1"/>
    <col min="33" max="33" width="9.81640625" bestFit="1" customWidth="1"/>
    <col min="34" max="39" width="11.08984375" customWidth="1"/>
    <col min="40" max="41" width="8.6328125" bestFit="1" customWidth="1"/>
    <col min="42" max="42" width="6.08984375" bestFit="1" customWidth="1"/>
    <col min="43" max="43" width="3.6328125" customWidth="1"/>
    <col min="44" max="45" width="9.81640625" bestFit="1" customWidth="1"/>
    <col min="46" max="46" width="11.81640625" bestFit="1" customWidth="1"/>
    <col min="47" max="47" width="11.08984375" bestFit="1" customWidth="1"/>
    <col min="48" max="48" width="12.6328125" bestFit="1" customWidth="1"/>
    <col min="49" max="49" width="8.6328125" bestFit="1" customWidth="1"/>
    <col min="50" max="50" width="7.453125" customWidth="1"/>
    <col min="51" max="51" width="8.08984375" customWidth="1"/>
    <col min="52" max="53" width="5.08984375" bestFit="1" customWidth="1"/>
    <col min="54" max="54" width="9.81640625" bestFit="1" customWidth="1"/>
    <col min="55" max="55" width="5.08984375" bestFit="1" customWidth="1"/>
    <col min="56" max="56" width="9.81640625" bestFit="1" customWidth="1"/>
    <col min="57" max="57" width="5.08984375" bestFit="1" customWidth="1"/>
    <col min="58" max="58" width="9.81640625" bestFit="1" customWidth="1"/>
    <col min="59" max="59" width="5.08984375" bestFit="1" customWidth="1"/>
    <col min="60" max="60" width="9.81640625" bestFit="1" customWidth="1"/>
    <col min="61" max="61" width="5.08984375" bestFit="1" customWidth="1"/>
    <col min="62" max="62" width="9.81640625" bestFit="1" customWidth="1"/>
  </cols>
  <sheetData>
    <row r="1" spans="1:70" ht="76.25" customHeight="1" x14ac:dyDescent="0.25"/>
    <row r="3" spans="1:70" ht="18" hidden="1" x14ac:dyDescent="0.4">
      <c r="W3" s="446" t="s">
        <v>59</v>
      </c>
      <c r="X3" s="446"/>
      <c r="Y3" s="446"/>
      <c r="Z3" s="446"/>
      <c r="AA3" s="446"/>
      <c r="AB3" s="446"/>
      <c r="AC3" s="446"/>
      <c r="AD3" s="446"/>
      <c r="AE3" s="446"/>
      <c r="AF3" s="446"/>
      <c r="AG3" s="446"/>
      <c r="AH3" s="446"/>
      <c r="AI3" s="446"/>
      <c r="AJ3" s="446"/>
      <c r="AK3" s="446"/>
      <c r="AL3" s="446"/>
      <c r="AM3" s="446"/>
      <c r="AN3" s="446"/>
      <c r="AO3" s="446"/>
      <c r="AP3" s="446"/>
      <c r="AQ3" s="446"/>
    </row>
    <row r="4" spans="1:70" ht="13" hidden="1" x14ac:dyDescent="0.25">
      <c r="C4" s="34"/>
      <c r="D4" s="34"/>
      <c r="E4" s="34"/>
      <c r="F4" s="34"/>
      <c r="G4" s="34"/>
      <c r="H4" s="34"/>
      <c r="I4" s="34"/>
      <c r="J4" s="34"/>
      <c r="K4" s="34"/>
      <c r="L4" s="356"/>
      <c r="M4" s="90"/>
      <c r="N4" s="90"/>
      <c r="O4" s="90"/>
      <c r="P4" s="90"/>
      <c r="Q4" s="90"/>
      <c r="R4" s="90"/>
      <c r="S4" s="90"/>
      <c r="T4" s="90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S4" s="34"/>
      <c r="AT4" s="34"/>
      <c r="AU4" s="34"/>
      <c r="AV4" s="34"/>
      <c r="AW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1:70" ht="14.5" hidden="1" x14ac:dyDescent="0.25">
      <c r="C5" s="88" t="s">
        <v>35</v>
      </c>
      <c r="D5" s="89" t="s">
        <v>13</v>
      </c>
      <c r="E5" s="89" t="s">
        <v>20</v>
      </c>
      <c r="F5" s="89" t="s">
        <v>15</v>
      </c>
      <c r="G5" s="89" t="s">
        <v>16</v>
      </c>
      <c r="H5" s="89" t="s">
        <v>21</v>
      </c>
      <c r="I5" s="89" t="s">
        <v>100</v>
      </c>
      <c r="J5" s="89" t="s">
        <v>178</v>
      </c>
      <c r="K5" s="89" t="s">
        <v>354</v>
      </c>
      <c r="L5" s="91" t="s">
        <v>36</v>
      </c>
      <c r="M5" s="92" t="s">
        <v>13</v>
      </c>
      <c r="N5" s="92" t="s">
        <v>20</v>
      </c>
      <c r="O5" s="92" t="s">
        <v>15</v>
      </c>
      <c r="P5" s="92" t="s">
        <v>16</v>
      </c>
      <c r="Q5" s="92" t="s">
        <v>21</v>
      </c>
      <c r="R5" s="92" t="s">
        <v>100</v>
      </c>
      <c r="S5" s="92" t="s">
        <v>178</v>
      </c>
      <c r="T5" s="92" t="s">
        <v>354</v>
      </c>
      <c r="U5" s="92" t="s">
        <v>49</v>
      </c>
      <c r="X5" s="91" t="s">
        <v>35</v>
      </c>
      <c r="Y5" s="92" t="s">
        <v>13</v>
      </c>
      <c r="Z5" s="92" t="s">
        <v>20</v>
      </c>
      <c r="AA5" s="92" t="s">
        <v>15</v>
      </c>
      <c r="AB5" s="92" t="s">
        <v>16</v>
      </c>
      <c r="AC5" s="92" t="s">
        <v>21</v>
      </c>
      <c r="AD5" s="92" t="s">
        <v>100</v>
      </c>
      <c r="AE5" s="92" t="s">
        <v>178</v>
      </c>
      <c r="AF5" s="92" t="s">
        <v>354</v>
      </c>
      <c r="AH5" s="91" t="s">
        <v>36</v>
      </c>
      <c r="AI5" s="92" t="s">
        <v>13</v>
      </c>
      <c r="AJ5" s="92" t="s">
        <v>20</v>
      </c>
      <c r="AK5" s="92" t="s">
        <v>15</v>
      </c>
      <c r="AL5" s="92" t="s">
        <v>16</v>
      </c>
      <c r="AM5" s="92" t="s">
        <v>21</v>
      </c>
      <c r="AN5" s="92" t="s">
        <v>100</v>
      </c>
      <c r="AO5" s="92" t="s">
        <v>178</v>
      </c>
      <c r="AP5" s="92" t="s">
        <v>354</v>
      </c>
      <c r="AQ5" s="92" t="s">
        <v>49</v>
      </c>
      <c r="AT5" s="92" t="s">
        <v>13</v>
      </c>
      <c r="AU5" s="92" t="s">
        <v>20</v>
      </c>
      <c r="AV5" s="92" t="s">
        <v>15</v>
      </c>
      <c r="AW5" s="92" t="s">
        <v>16</v>
      </c>
      <c r="AX5" s="92" t="s">
        <v>21</v>
      </c>
      <c r="AY5" s="92" t="s">
        <v>100</v>
      </c>
      <c r="AZ5" s="92" t="s">
        <v>178</v>
      </c>
      <c r="BA5" s="92" t="s">
        <v>354</v>
      </c>
      <c r="BC5" s="92" t="s">
        <v>13</v>
      </c>
      <c r="BD5" s="92"/>
      <c r="BE5" s="92" t="s">
        <v>20</v>
      </c>
      <c r="BF5" s="92"/>
      <c r="BG5" s="92" t="s">
        <v>15</v>
      </c>
      <c r="BH5" s="92"/>
      <c r="BI5" s="92" t="s">
        <v>16</v>
      </c>
      <c r="BJ5" s="92"/>
      <c r="BK5" s="92" t="s">
        <v>21</v>
      </c>
      <c r="BL5" s="92"/>
      <c r="BM5" s="92" t="s">
        <v>100</v>
      </c>
      <c r="BN5" s="92"/>
      <c r="BO5" s="92" t="s">
        <v>178</v>
      </c>
      <c r="BP5" s="92"/>
      <c r="BQ5" s="92" t="s">
        <v>354</v>
      </c>
      <c r="BR5" s="92"/>
    </row>
    <row r="6" spans="1:70" ht="13" hidden="1" x14ac:dyDescent="0.25">
      <c r="A6">
        <f t="shared" ref="A6:A13" si="0">COUNTIF($L$25:$R$25,C6)</f>
        <v>0</v>
      </c>
      <c r="C6" s="38" t="s">
        <v>12</v>
      </c>
      <c r="D6" s="39">
        <f>'Margin Calculation'!$AB$22-'Margin Calculation'!$AB$24-'Margin Calculation'!$AB$26</f>
        <v>149799.72000000006</v>
      </c>
      <c r="E6" s="39">
        <f>'Margin Calculation'!$AB$22-'Margin Calculation'!$AB$24-'Margin Calculation'!$AB$26</f>
        <v>149799.72000000006</v>
      </c>
      <c r="F6" s="39">
        <f>'Margin Calculation'!$AB$22-'Margin Calculation'!$AB$24-'Margin Calculation'!$AB$26</f>
        <v>149799.72000000006</v>
      </c>
      <c r="G6" s="39">
        <f>'Margin Calculation'!$AB$22-'Margin Calculation'!$AB$24-'Margin Calculation'!$AB$26</f>
        <v>149799.72000000006</v>
      </c>
      <c r="H6" s="39">
        <f>'Margin Calculation'!$AB$22-'Margin Calculation'!$AB$24-'Margin Calculation'!$AB$26</f>
        <v>149799.72000000006</v>
      </c>
      <c r="I6" s="39">
        <f>'Margin Calculation'!$AB$22-'Margin Calculation'!$AB$24-'Margin Calculation'!$AB$26</f>
        <v>149799.72000000006</v>
      </c>
      <c r="J6" s="39">
        <f>'Margin Calculation'!$AB$22-'Margin Calculation'!$AB$24-'Margin Calculation'!$AB$26</f>
        <v>149799.72000000006</v>
      </c>
      <c r="K6" s="39">
        <f>'Margin Calculation'!$AB$22-'Margin Calculation'!$AB$24-'Margin Calculation'!$AB$26</f>
        <v>149799.72000000006</v>
      </c>
      <c r="L6" s="38" t="s">
        <v>12</v>
      </c>
      <c r="M6" s="39">
        <f>M8+SUM($D$8:$K$8)-D8</f>
        <v>92192.784408377847</v>
      </c>
      <c r="N6" s="39">
        <f t="shared" ref="N6:T6" si="1">N8+SUM($D$8:$K$8)-E8</f>
        <v>95821.931729294171</v>
      </c>
      <c r="O6" s="39">
        <f t="shared" si="1"/>
        <v>95821.931729294171</v>
      </c>
      <c r="P6" s="39">
        <f t="shared" si="1"/>
        <v>94888.129920244101</v>
      </c>
      <c r="Q6" s="39">
        <f t="shared" si="1"/>
        <v>95821.931729294171</v>
      </c>
      <c r="R6" s="39">
        <f t="shared" si="1"/>
        <v>95821.931729294171</v>
      </c>
      <c r="S6" s="39">
        <f t="shared" si="1"/>
        <v>95821.931729294171</v>
      </c>
      <c r="T6" s="39">
        <f t="shared" si="1"/>
        <v>95821.931729294171</v>
      </c>
      <c r="U6" s="39"/>
      <c r="V6">
        <f t="shared" ref="V6:V13" si="2">COUNTIF($L$25:$Q$25,X6)</f>
        <v>0</v>
      </c>
      <c r="X6" s="38" t="s">
        <v>12</v>
      </c>
      <c r="Y6" s="39">
        <f>'Margin Calculation'!$AB$24</f>
        <v>0</v>
      </c>
      <c r="Z6" s="39">
        <f>'Margin Calculation'!$AB$24</f>
        <v>0</v>
      </c>
      <c r="AA6" s="39">
        <f>'Margin Calculation'!$AB$24</f>
        <v>0</v>
      </c>
      <c r="AB6" s="39">
        <f>'Margin Calculation'!$AB$24</f>
        <v>0</v>
      </c>
      <c r="AC6" s="39">
        <f>'Margin Calculation'!$AB$24</f>
        <v>0</v>
      </c>
      <c r="AD6" s="39">
        <f>'Margin Calculation'!$AB$24</f>
        <v>0</v>
      </c>
      <c r="AE6" s="39">
        <f>'Margin Calculation'!$AB$24</f>
        <v>0</v>
      </c>
      <c r="AF6" s="39">
        <f>'Margin Calculation'!$AB$24</f>
        <v>0</v>
      </c>
      <c r="AH6" s="38" t="s">
        <v>12</v>
      </c>
      <c r="AI6" s="39">
        <f>'Margin Calculation'!$AB$16</f>
        <v>0</v>
      </c>
      <c r="AJ6" s="39">
        <f>'Margin Calculation'!$AB$16</f>
        <v>0</v>
      </c>
      <c r="AK6" s="39">
        <f>'Margin Calculation'!$AB$16</f>
        <v>0</v>
      </c>
      <c r="AL6" s="39">
        <f>'Margin Calculation'!$AB$16</f>
        <v>0</v>
      </c>
      <c r="AM6" s="39">
        <f>'Margin Calculation'!$AB$16</f>
        <v>0</v>
      </c>
      <c r="AN6" s="39">
        <f>'Margin Calculation'!$AB$16</f>
        <v>0</v>
      </c>
      <c r="AO6" s="39">
        <f>'Margin Calculation'!$AB$16</f>
        <v>0</v>
      </c>
      <c r="AP6" s="39">
        <f>'Margin Calculation'!$AB$16</f>
        <v>0</v>
      </c>
      <c r="AQ6" s="39"/>
      <c r="AT6" s="38" t="b">
        <f t="shared" ref="AT6:BA6" si="3">IF(L21="YES",IF(L22="YES",IF(L23="YES","ALL","P&amp;S")))</f>
        <v>0</v>
      </c>
      <c r="AU6" s="38" t="b">
        <f t="shared" si="3"/>
        <v>0</v>
      </c>
      <c r="AV6" s="38" t="str">
        <f t="shared" si="3"/>
        <v>P&amp;S</v>
      </c>
      <c r="AW6" s="38" t="b">
        <f t="shared" si="3"/>
        <v>0</v>
      </c>
      <c r="AX6" s="38" t="b">
        <f t="shared" si="3"/>
        <v>0</v>
      </c>
      <c r="AY6" s="38" t="b">
        <f t="shared" si="3"/>
        <v>0</v>
      </c>
      <c r="AZ6" s="38" t="b">
        <f t="shared" si="3"/>
        <v>0</v>
      </c>
      <c r="BA6" s="38" t="b">
        <f t="shared" si="3"/>
        <v>0</v>
      </c>
      <c r="BB6" s="38"/>
      <c r="BC6" s="38" t="e">
        <f t="shared" ref="BC6:BC12" si="4">IF(MATCH(BD6,$AT$6:$AT$9,0),1,0)</f>
        <v>#N/A</v>
      </c>
      <c r="BD6" s="38" t="s">
        <v>12</v>
      </c>
      <c r="BE6" s="38" t="e">
        <f t="shared" ref="BE6:BE12" si="5">IF(MATCH(BF6,$AU$6:$AU$9,0),1,0)</f>
        <v>#N/A</v>
      </c>
      <c r="BF6" s="38" t="s">
        <v>12</v>
      </c>
      <c r="BG6" s="38" t="e">
        <f t="shared" ref="BG6:BG12" si="6">IF(MATCH(BH6,$AV$6:$AV$9,0),1,0)</f>
        <v>#N/A</v>
      </c>
      <c r="BH6" s="38" t="s">
        <v>12</v>
      </c>
      <c r="BI6" s="38" t="e">
        <f t="shared" ref="BI6:BI12" si="7">IF(MATCH(BJ6,$AW$6:$AW$9,0),1,0)</f>
        <v>#N/A</v>
      </c>
      <c r="BJ6" s="38" t="s">
        <v>12</v>
      </c>
      <c r="BK6" s="38" t="e">
        <f t="shared" ref="BK6:BK12" si="8">IF(MATCH(BL6,$AX$6:$AX$9,0),1,0)</f>
        <v>#N/A</v>
      </c>
      <c r="BL6" s="38" t="s">
        <v>12</v>
      </c>
      <c r="BM6" s="38" t="e">
        <f t="shared" ref="BM6:BM12" si="9">IF(MATCH(BN6,$AY$6:$AY$9,0),1,0)</f>
        <v>#N/A</v>
      </c>
      <c r="BN6" s="38" t="s">
        <v>12</v>
      </c>
      <c r="BO6" s="38" t="e">
        <f t="shared" ref="BO6:BO12" si="10">IF(MATCH(BP6,$AZ$6:$AZ$9,0),1,0)</f>
        <v>#N/A</v>
      </c>
      <c r="BP6" s="38" t="s">
        <v>12</v>
      </c>
      <c r="BQ6" s="38" t="e">
        <f>IF(MATCH(BR6,$BA$6:$BA$9,0),1,0)</f>
        <v>#N/A</v>
      </c>
      <c r="BR6" s="38" t="s">
        <v>12</v>
      </c>
    </row>
    <row r="7" spans="1:70" ht="13" hidden="1" x14ac:dyDescent="0.25">
      <c r="A7">
        <f t="shared" si="0"/>
        <v>1</v>
      </c>
      <c r="C7" s="38" t="s">
        <v>79</v>
      </c>
      <c r="D7" s="39">
        <f>'Margin Calculation'!$AB$22-'Margin Calculation'!$AB$24-'Margin Calculation'!$AB$26</f>
        <v>149799.72000000006</v>
      </c>
      <c r="E7" s="39">
        <f>'Margin Calculation'!$AB$22-'Margin Calculation'!$AB$24-'Margin Calculation'!$AB$26</f>
        <v>149799.72000000006</v>
      </c>
      <c r="F7" s="39">
        <f>'Margin Calculation'!$AB$22-'Margin Calculation'!$AB$24-'Margin Calculation'!$AB$26</f>
        <v>149799.72000000006</v>
      </c>
      <c r="G7" s="39">
        <f>'Margin Calculation'!$AB$22-'Margin Calculation'!$AB$24-'Margin Calculation'!$AB$26</f>
        <v>149799.72000000006</v>
      </c>
      <c r="H7" s="39">
        <f>'Margin Calculation'!$AB$22-'Margin Calculation'!$AB$24-'Margin Calculation'!$AB$26</f>
        <v>149799.72000000006</v>
      </c>
      <c r="I7" s="39">
        <f>'Margin Calculation'!$AB$22-'Margin Calculation'!$AB$24-'Margin Calculation'!$AB$26</f>
        <v>149799.72000000006</v>
      </c>
      <c r="J7" s="39">
        <f>'Margin Calculation'!$AB$22-'Margin Calculation'!$AB$24-'Margin Calculation'!$AB$26</f>
        <v>149799.72000000006</v>
      </c>
      <c r="K7" s="39">
        <f>'Margin Calculation'!$AB$22-'Margin Calculation'!$AB$24-'Margin Calculation'!$AB$26</f>
        <v>149799.72000000006</v>
      </c>
      <c r="L7" s="38" t="s">
        <v>79</v>
      </c>
      <c r="M7" s="39">
        <f>M8+D10</f>
        <v>207402.69441832643</v>
      </c>
      <c r="N7" s="39">
        <f t="shared" ref="N7:T7" si="11">N8+E10</f>
        <v>134819.74800000005</v>
      </c>
      <c r="O7" s="39">
        <f t="shared" si="11"/>
        <v>134819.74800000005</v>
      </c>
      <c r="P7" s="39">
        <f t="shared" si="11"/>
        <v>153495.78418100148</v>
      </c>
      <c r="Q7" s="39">
        <f t="shared" si="11"/>
        <v>134819.74800000005</v>
      </c>
      <c r="R7" s="39">
        <f t="shared" si="11"/>
        <v>134819.74800000005</v>
      </c>
      <c r="S7" s="39">
        <f t="shared" si="11"/>
        <v>134819.74800000005</v>
      </c>
      <c r="T7" s="39">
        <f t="shared" si="11"/>
        <v>134819.74800000005</v>
      </c>
      <c r="U7" s="39"/>
      <c r="V7">
        <f t="shared" si="2"/>
        <v>1</v>
      </c>
      <c r="X7" s="38" t="s">
        <v>79</v>
      </c>
      <c r="Y7" s="39">
        <f>'Margin Calculation'!$AB$24</f>
        <v>0</v>
      </c>
      <c r="Z7" s="39">
        <f>'Margin Calculation'!$AB$24</f>
        <v>0</v>
      </c>
      <c r="AA7" s="39">
        <f>'Margin Calculation'!$AB$24</f>
        <v>0</v>
      </c>
      <c r="AB7" s="39">
        <f>'Margin Calculation'!$AB$24</f>
        <v>0</v>
      </c>
      <c r="AC7" s="39">
        <f>'Margin Calculation'!$AB$24</f>
        <v>0</v>
      </c>
      <c r="AD7" s="39">
        <f>'Margin Calculation'!$AB$24</f>
        <v>0</v>
      </c>
      <c r="AE7" s="39">
        <f>'Margin Calculation'!$AB$24</f>
        <v>0</v>
      </c>
      <c r="AF7" s="39">
        <f>'Margin Calculation'!$AB$24</f>
        <v>0</v>
      </c>
      <c r="AH7" s="38" t="s">
        <v>79</v>
      </c>
      <c r="AI7" s="39">
        <f>'Margin Calculation'!$AB$16</f>
        <v>0</v>
      </c>
      <c r="AJ7" s="39">
        <f>'Margin Calculation'!$AB$16</f>
        <v>0</v>
      </c>
      <c r="AK7" s="39">
        <f>'Margin Calculation'!$AB$16</f>
        <v>0</v>
      </c>
      <c r="AL7" s="39">
        <f>'Margin Calculation'!$AB$16</f>
        <v>0</v>
      </c>
      <c r="AM7" s="39">
        <f>'Margin Calculation'!$AB$16</f>
        <v>0</v>
      </c>
      <c r="AN7" s="39">
        <f>'Margin Calculation'!$AB$16</f>
        <v>0</v>
      </c>
      <c r="AO7" s="39">
        <f>'Margin Calculation'!$AB$16</f>
        <v>0</v>
      </c>
      <c r="AP7" s="39">
        <f>'Margin Calculation'!$AB$16</f>
        <v>0</v>
      </c>
      <c r="AQ7" s="39"/>
      <c r="AT7" s="38" t="str">
        <f t="shared" ref="AT7:BA7" si="12">IF(L21="YES",IF(L22="NO",IF(L23="YES","B&amp;S","SOURCING")))</f>
        <v>SOURCING</v>
      </c>
      <c r="AU7" s="38" t="str">
        <f t="shared" si="12"/>
        <v>SOURCING</v>
      </c>
      <c r="AV7" s="38" t="b">
        <f t="shared" si="12"/>
        <v>0</v>
      </c>
      <c r="AW7" s="38" t="str">
        <f t="shared" si="12"/>
        <v>SOURCING</v>
      </c>
      <c r="AX7" s="38" t="str">
        <f t="shared" si="12"/>
        <v>B&amp;S</v>
      </c>
      <c r="AY7" s="38" t="str">
        <f t="shared" si="12"/>
        <v>SOURCING</v>
      </c>
      <c r="AZ7" s="38" t="str">
        <f t="shared" si="12"/>
        <v>SOURCING</v>
      </c>
      <c r="BA7" s="38" t="str">
        <f t="shared" si="12"/>
        <v>SOURCING</v>
      </c>
      <c r="BB7" s="38"/>
      <c r="BC7" s="38" t="e">
        <f t="shared" si="4"/>
        <v>#N/A</v>
      </c>
      <c r="BD7" s="38" t="s">
        <v>79</v>
      </c>
      <c r="BE7" s="38" t="e">
        <f t="shared" si="5"/>
        <v>#N/A</v>
      </c>
      <c r="BF7" s="38" t="s">
        <v>79</v>
      </c>
      <c r="BG7" s="38">
        <f t="shared" si="6"/>
        <v>1</v>
      </c>
      <c r="BH7" s="38" t="s">
        <v>79</v>
      </c>
      <c r="BI7" s="38" t="e">
        <f t="shared" si="7"/>
        <v>#N/A</v>
      </c>
      <c r="BJ7" s="38" t="s">
        <v>79</v>
      </c>
      <c r="BK7" s="38" t="e">
        <f t="shared" si="8"/>
        <v>#N/A</v>
      </c>
      <c r="BL7" s="38" t="s">
        <v>79</v>
      </c>
      <c r="BM7" s="38" t="e">
        <f t="shared" si="9"/>
        <v>#N/A</v>
      </c>
      <c r="BN7" s="38" t="s">
        <v>79</v>
      </c>
      <c r="BO7" s="38" t="e">
        <f t="shared" si="10"/>
        <v>#N/A</v>
      </c>
      <c r="BP7" s="38" t="s">
        <v>79</v>
      </c>
      <c r="BQ7" s="38" t="e">
        <f t="shared" ref="BQ7:BQ13" si="13">IF(MATCH(BR7,$BA$6:$BA$9,0),1,0)</f>
        <v>#N/A</v>
      </c>
      <c r="BR7" s="38" t="s">
        <v>79</v>
      </c>
    </row>
    <row r="8" spans="1:70" ht="13" hidden="1" x14ac:dyDescent="0.25">
      <c r="A8">
        <f t="shared" si="0"/>
        <v>5</v>
      </c>
      <c r="C8" s="38" t="s">
        <v>72</v>
      </c>
      <c r="D8" s="39">
        <f>(1+$E$22)*'Margin Calculation'!$V14+IF($E$19=D5,(1+$E$22)*$U$8,0)+('Expenses Estimation'!AB38+'Expenses Estimation'!AB39+'Expenses Estimation'!AB40)*(1+$E$22)</f>
        <v>76212.093739242686</v>
      </c>
      <c r="E8" s="39">
        <f>(1+$E$22)*'Margin Calculation'!$V15+IF($E$19=E5,(1+$E$22)*$U$8,0)+('Expenses Estimation'!AB41+'Expenses Estimation'!AB42+'Expenses Estimation'!AB43)*(1+$E$22)</f>
        <v>0</v>
      </c>
      <c r="F8" s="39">
        <f>(1+$E$22)*'Margin Calculation'!$V16+IF($E$19=F5,(1+$E$22)*$U$8,0)+('Expenses Estimation'!AB44+'Expenses Estimation'!AB45+'Expenses Estimation'!AB46)*(1+$E$22)</f>
        <v>0</v>
      </c>
      <c r="G8" s="39">
        <f>(1+$E$22)*'Margin Calculation'!$V17+IF($E$19=G5,(1+$E$22)*$U$8,0)+('Expenses Estimation'!AB47+'Expenses Estimation'!AB48+'Expenses Estimation'!AB49)*(1+$E$22)</f>
        <v>19609.837990051485</v>
      </c>
      <c r="H8" s="39">
        <f>(1+$E$22)*'Margin Calculation'!$V18+IF($E$19=H5,(1+$E$22)*$U$8,0)+('Expenses Estimation'!AB50+'Expenses Estimation'!AB51+'Expenses Estimation'!AB52)*(1+$E$22)</f>
        <v>0</v>
      </c>
      <c r="I8" s="39">
        <f>(1+$E$22)*'Margin Calculation'!$V19+IF($E$19=I5,(1+$E$22)*$U$8,0)+('Expenses Estimation'!AB53+'Expenses Estimation'!AB54+'Expenses Estimation'!AB55)*(1+$E$22)</f>
        <v>0</v>
      </c>
      <c r="J8" s="39">
        <f>(1+$E$22)*'Margin Calculation'!$V20+IF($E$19=J5,(1+$E$22)*$U$8,0)+('Expenses Estimation'!AB56+'Expenses Estimation'!AB57+'Expenses Estimation'!AB58)*(1+$E$22)</f>
        <v>0</v>
      </c>
      <c r="K8" s="39">
        <f>(1+$E$22)*'Margin Calculation'!$V20+IF($E$19=K5,(1+$E$22)*$U$8,0)+('Expenses Estimation'!AC56+'Expenses Estimation'!AC57+'Expenses Estimation'!AC58)*(1+$E$22)</f>
        <v>0</v>
      </c>
      <c r="L8" s="38" t="s">
        <v>72</v>
      </c>
      <c r="M8" s="39">
        <f>'Margin Calculation'!$V14+IF($E$19=M5,$U$8,0)+'Expenses Estimation'!AB38+'Expenses Estimation'!AB39+'Expenses Estimation'!AB40</f>
        <v>72582.946418326363</v>
      </c>
      <c r="N8" s="39">
        <f>'Margin Calculation'!$V15+IF($E$19=N5,$U$8,0)+('Expenses Estimation'!AB41+'Expenses Estimation'!AB42+'Expenses Estimation'!AB43)</f>
        <v>0</v>
      </c>
      <c r="O8" s="39">
        <f>'Margin Calculation'!$V16+IF($E$19=O5,$U$8,0)+('Expenses Estimation'!AB44+'Expenses Estimation'!AB45+'Expenses Estimation'!AB46)</f>
        <v>0</v>
      </c>
      <c r="P8" s="39">
        <f>'Margin Calculation'!$V17+IF($E$19=P5,$U$8,0)+('Expenses Estimation'!AB47+'Expenses Estimation'!AB48+'Expenses Estimation'!AB49)</f>
        <v>18676.036181001415</v>
      </c>
      <c r="Q8" s="39">
        <f>'Margin Calculation'!$V18+IF($E$19=Q5,$U$8,0)+('Expenses Estimation'!AB50+'Expenses Estimation'!AB51+'Expenses Estimation'!AB52)</f>
        <v>0</v>
      </c>
      <c r="R8" s="39">
        <f>'Margin Calculation'!$V19+IF($E$19=R5,$U$8,0)+('Expenses Estimation'!AB53+'Expenses Estimation'!AB54+'Expenses Estimation'!AB55)</f>
        <v>0</v>
      </c>
      <c r="S8" s="39">
        <f>'Margin Calculation'!$V20+IF($E$19=S5,$U$8,0)+('Expenses Estimation'!AB56+'Expenses Estimation'!AB57+'Expenses Estimation'!AB58)</f>
        <v>0</v>
      </c>
      <c r="T8" s="39">
        <f>'Margin Calculation'!$V20+IF($E$19=T5,$U$8,0)+('Expenses Estimation'!AC56+'Expenses Estimation'!AC57+'Expenses Estimation'!AC58)</f>
        <v>0</v>
      </c>
      <c r="U8" s="39">
        <f>'Margin Calculation'!$V$21+'Margin Calculation'!$AB$15+('Expenses Estimation'!AB59+'Expenses Estimation'!AB60+'Expenses Estimation'!AB61)</f>
        <v>20430</v>
      </c>
      <c r="V8">
        <f t="shared" si="2"/>
        <v>4</v>
      </c>
      <c r="X8" s="38" t="s">
        <v>72</v>
      </c>
      <c r="Y8" s="39">
        <f>'Expenses Estimation'!AD6</f>
        <v>0</v>
      </c>
      <c r="Z8" s="39">
        <f>'Expenses Estimation'!AD7</f>
        <v>0</v>
      </c>
      <c r="AA8" s="39">
        <f>'Expenses Estimation'!AD8</f>
        <v>0</v>
      </c>
      <c r="AB8" s="39">
        <f>'Expenses Estimation'!AD9</f>
        <v>0</v>
      </c>
      <c r="AC8" s="39">
        <f>'Expenses Estimation'!AD10</f>
        <v>0</v>
      </c>
      <c r="AD8" s="39">
        <f>'Expenses Estimation'!AD11</f>
        <v>0</v>
      </c>
      <c r="AE8" s="39">
        <f>'Expenses Estimation'!AD12</f>
        <v>0</v>
      </c>
      <c r="AF8" s="39">
        <f>'Expenses Estimation'!AE12</f>
        <v>0</v>
      </c>
      <c r="AH8" s="38" t="s">
        <v>72</v>
      </c>
      <c r="AI8" s="39">
        <f t="shared" ref="AI8:AP8" si="14">Y8</f>
        <v>0</v>
      </c>
      <c r="AJ8" s="39">
        <f t="shared" si="14"/>
        <v>0</v>
      </c>
      <c r="AK8" s="39">
        <f t="shared" si="14"/>
        <v>0</v>
      </c>
      <c r="AL8" s="39">
        <f t="shared" si="14"/>
        <v>0</v>
      </c>
      <c r="AM8" s="39">
        <f t="shared" si="14"/>
        <v>0</v>
      </c>
      <c r="AN8" s="39">
        <f t="shared" si="14"/>
        <v>0</v>
      </c>
      <c r="AO8" s="39">
        <f t="shared" si="14"/>
        <v>0</v>
      </c>
      <c r="AP8" s="39">
        <f t="shared" si="14"/>
        <v>0</v>
      </c>
      <c r="AQ8" s="39">
        <f>'Expenses Estimation'!AD13</f>
        <v>0</v>
      </c>
      <c r="AT8" s="38" t="b">
        <f t="shared" ref="AT8:BA8" si="15">IF(L21="NO",IF(L22="YES",IF(L23="YES","P&amp;B","PRIME")))</f>
        <v>0</v>
      </c>
      <c r="AU8" s="38" t="b">
        <f t="shared" si="15"/>
        <v>0</v>
      </c>
      <c r="AV8" s="38" t="b">
        <f t="shared" si="15"/>
        <v>0</v>
      </c>
      <c r="AW8" s="38" t="b">
        <f t="shared" si="15"/>
        <v>0</v>
      </c>
      <c r="AX8" s="38" t="b">
        <f t="shared" si="15"/>
        <v>0</v>
      </c>
      <c r="AY8" s="38" t="b">
        <f t="shared" si="15"/>
        <v>0</v>
      </c>
      <c r="AZ8" s="38" t="b">
        <f t="shared" si="15"/>
        <v>0</v>
      </c>
      <c r="BA8" s="38" t="b">
        <f t="shared" si="15"/>
        <v>0</v>
      </c>
      <c r="BB8" s="38"/>
      <c r="BC8" s="38">
        <f t="shared" si="4"/>
        <v>1</v>
      </c>
      <c r="BD8" s="38" t="s">
        <v>72</v>
      </c>
      <c r="BE8" s="38">
        <f t="shared" si="5"/>
        <v>1</v>
      </c>
      <c r="BF8" s="38" t="s">
        <v>72</v>
      </c>
      <c r="BG8" s="38" t="e">
        <f t="shared" si="6"/>
        <v>#N/A</v>
      </c>
      <c r="BH8" s="38" t="s">
        <v>72</v>
      </c>
      <c r="BI8" s="38">
        <f t="shared" si="7"/>
        <v>1</v>
      </c>
      <c r="BJ8" s="38" t="s">
        <v>72</v>
      </c>
      <c r="BK8" s="38" t="e">
        <f t="shared" si="8"/>
        <v>#N/A</v>
      </c>
      <c r="BL8" s="38" t="s">
        <v>72</v>
      </c>
      <c r="BM8" s="38">
        <f t="shared" si="9"/>
        <v>1</v>
      </c>
      <c r="BN8" s="38" t="s">
        <v>72</v>
      </c>
      <c r="BO8" s="38">
        <f t="shared" si="10"/>
        <v>1</v>
      </c>
      <c r="BP8" s="38" t="s">
        <v>72</v>
      </c>
      <c r="BQ8" s="38">
        <f t="shared" si="13"/>
        <v>1</v>
      </c>
      <c r="BR8" s="38" t="s">
        <v>72</v>
      </c>
    </row>
    <row r="9" spans="1:70" ht="13" hidden="1" x14ac:dyDescent="0.25">
      <c r="A9">
        <f t="shared" si="0"/>
        <v>0</v>
      </c>
      <c r="C9" s="38" t="s">
        <v>70</v>
      </c>
      <c r="D9" s="39">
        <f>'Margin Calculation'!$AB$22-'Margin Calculation'!$AB$24-'Margin Calculation'!$AB$26</f>
        <v>149799.72000000006</v>
      </c>
      <c r="E9" s="39">
        <f>'Margin Calculation'!$AB$22-'Margin Calculation'!$AB$24-'Margin Calculation'!$AB$26</f>
        <v>149799.72000000006</v>
      </c>
      <c r="F9" s="39">
        <f>'Margin Calculation'!$AB$22-'Margin Calculation'!$AB$24-'Margin Calculation'!$AB$26</f>
        <v>149799.72000000006</v>
      </c>
      <c r="G9" s="39">
        <f>'Margin Calculation'!$AB$22-'Margin Calculation'!$AB$24-'Margin Calculation'!$AB$26</f>
        <v>149799.72000000006</v>
      </c>
      <c r="H9" s="39">
        <f>'Margin Calculation'!$AB$22-'Margin Calculation'!$AB$24-'Margin Calculation'!$AB$26</f>
        <v>149799.72000000006</v>
      </c>
      <c r="I9" s="39">
        <f>'Margin Calculation'!$AB$22-'Margin Calculation'!$AB$24-'Margin Calculation'!$AB$26</f>
        <v>149799.72000000006</v>
      </c>
      <c r="J9" s="39">
        <f>'Margin Calculation'!$AB$22-'Margin Calculation'!$AB$24-'Margin Calculation'!$AB$26</f>
        <v>149799.72000000006</v>
      </c>
      <c r="K9" s="39">
        <f>'Margin Calculation'!$AB$22-'Margin Calculation'!$AB$24-'Margin Calculation'!$AB$26</f>
        <v>149799.72000000006</v>
      </c>
      <c r="L9" s="38" t="s">
        <v>70</v>
      </c>
      <c r="M9" s="39">
        <f t="shared" ref="M9:T9" si="16">D10</f>
        <v>134819.74800000005</v>
      </c>
      <c r="N9" s="39">
        <f t="shared" si="16"/>
        <v>134819.74800000005</v>
      </c>
      <c r="O9" s="39">
        <f t="shared" si="16"/>
        <v>134819.74800000005</v>
      </c>
      <c r="P9" s="39">
        <f t="shared" si="16"/>
        <v>134819.74800000005</v>
      </c>
      <c r="Q9" s="39">
        <f t="shared" si="16"/>
        <v>134819.74800000005</v>
      </c>
      <c r="R9" s="39">
        <f t="shared" si="16"/>
        <v>134819.74800000005</v>
      </c>
      <c r="S9" s="39">
        <f t="shared" si="16"/>
        <v>134819.74800000005</v>
      </c>
      <c r="T9" s="39">
        <f t="shared" si="16"/>
        <v>134819.74800000005</v>
      </c>
      <c r="U9" s="39"/>
      <c r="V9">
        <f t="shared" si="2"/>
        <v>0</v>
      </c>
      <c r="X9" s="38" t="s">
        <v>70</v>
      </c>
      <c r="Y9" s="39">
        <f>'Margin Calculation'!$AB$24</f>
        <v>0</v>
      </c>
      <c r="Z9" s="39">
        <f>'Margin Calculation'!$AB$24</f>
        <v>0</v>
      </c>
      <c r="AA9" s="39">
        <f>'Margin Calculation'!$AB$24</f>
        <v>0</v>
      </c>
      <c r="AB9" s="39">
        <f>'Margin Calculation'!$AB$24</f>
        <v>0</v>
      </c>
      <c r="AC9" s="39">
        <f>'Margin Calculation'!$AB$24</f>
        <v>0</v>
      </c>
      <c r="AD9" s="39">
        <f>'Margin Calculation'!$AB$24</f>
        <v>0</v>
      </c>
      <c r="AE9" s="39">
        <f>'Margin Calculation'!$AB$24</f>
        <v>0</v>
      </c>
      <c r="AF9" s="39">
        <f>'Margin Calculation'!$AB$24</f>
        <v>0</v>
      </c>
      <c r="AH9" s="38" t="s">
        <v>70</v>
      </c>
      <c r="AI9" s="39">
        <f t="shared" ref="AI9:AP9" si="17">Y10</f>
        <v>0</v>
      </c>
      <c r="AJ9" s="39">
        <f t="shared" si="17"/>
        <v>0</v>
      </c>
      <c r="AK9" s="39">
        <f t="shared" si="17"/>
        <v>0</v>
      </c>
      <c r="AL9" s="39">
        <f t="shared" si="17"/>
        <v>0</v>
      </c>
      <c r="AM9" s="39">
        <f t="shared" si="17"/>
        <v>0</v>
      </c>
      <c r="AN9" s="39">
        <f t="shared" si="17"/>
        <v>0</v>
      </c>
      <c r="AO9" s="39">
        <f t="shared" si="17"/>
        <v>0</v>
      </c>
      <c r="AP9" s="39">
        <f t="shared" si="17"/>
        <v>0</v>
      </c>
      <c r="AQ9" s="39"/>
      <c r="AT9" s="38" t="b">
        <f t="shared" ref="AT9:BA9" si="18">IF(L21="NO",IF(L22="NO",IF(L23="YES","BROKER","ERROR")))</f>
        <v>0</v>
      </c>
      <c r="AU9" s="38" t="b">
        <f t="shared" si="18"/>
        <v>0</v>
      </c>
      <c r="AV9" s="38" t="b">
        <f t="shared" si="18"/>
        <v>0</v>
      </c>
      <c r="AW9" s="38" t="b">
        <f t="shared" si="18"/>
        <v>0</v>
      </c>
      <c r="AX9" s="38" t="b">
        <f t="shared" si="18"/>
        <v>0</v>
      </c>
      <c r="AY9" s="38" t="b">
        <f t="shared" si="18"/>
        <v>0</v>
      </c>
      <c r="AZ9" s="38" t="b">
        <f t="shared" si="18"/>
        <v>0</v>
      </c>
      <c r="BA9" s="38" t="b">
        <f t="shared" si="18"/>
        <v>0</v>
      </c>
      <c r="BB9" s="38"/>
      <c r="BC9" s="38" t="e">
        <f t="shared" si="4"/>
        <v>#N/A</v>
      </c>
      <c r="BD9" s="38" t="s">
        <v>70</v>
      </c>
      <c r="BE9" s="38" t="e">
        <f t="shared" si="5"/>
        <v>#N/A</v>
      </c>
      <c r="BF9" s="38" t="s">
        <v>70</v>
      </c>
      <c r="BG9" s="38" t="e">
        <f t="shared" si="6"/>
        <v>#N/A</v>
      </c>
      <c r="BH9" s="38" t="s">
        <v>70</v>
      </c>
      <c r="BI9" s="38" t="e">
        <f t="shared" si="7"/>
        <v>#N/A</v>
      </c>
      <c r="BJ9" s="38" t="s">
        <v>70</v>
      </c>
      <c r="BK9" s="38" t="e">
        <f t="shared" si="8"/>
        <v>#N/A</v>
      </c>
      <c r="BL9" s="38" t="s">
        <v>70</v>
      </c>
      <c r="BM9" s="38" t="e">
        <f t="shared" si="9"/>
        <v>#N/A</v>
      </c>
      <c r="BN9" s="38" t="s">
        <v>70</v>
      </c>
      <c r="BO9" s="38" t="e">
        <f t="shared" si="10"/>
        <v>#N/A</v>
      </c>
      <c r="BP9" s="38" t="s">
        <v>70</v>
      </c>
      <c r="BQ9" s="38" t="e">
        <f t="shared" si="13"/>
        <v>#N/A</v>
      </c>
      <c r="BR9" s="38" t="s">
        <v>70</v>
      </c>
    </row>
    <row r="10" spans="1:70" ht="13" hidden="1" x14ac:dyDescent="0.25">
      <c r="A10">
        <f t="shared" si="0"/>
        <v>0</v>
      </c>
      <c r="C10" s="38" t="s">
        <v>71</v>
      </c>
      <c r="D10" s="39">
        <f t="shared" ref="D10:K10" si="19">(D9-$C$14)*(1-$E$21)</f>
        <v>134819.74800000005</v>
      </c>
      <c r="E10" s="39">
        <f t="shared" si="19"/>
        <v>134819.74800000005</v>
      </c>
      <c r="F10" s="39">
        <f t="shared" si="19"/>
        <v>134819.74800000005</v>
      </c>
      <c r="G10" s="39">
        <f t="shared" si="19"/>
        <v>134819.74800000005</v>
      </c>
      <c r="H10" s="39">
        <f t="shared" si="19"/>
        <v>134819.74800000005</v>
      </c>
      <c r="I10" s="39">
        <f t="shared" si="19"/>
        <v>134819.74800000005</v>
      </c>
      <c r="J10" s="39">
        <f t="shared" si="19"/>
        <v>134819.74800000005</v>
      </c>
      <c r="K10" s="39">
        <f t="shared" si="19"/>
        <v>134819.74800000005</v>
      </c>
      <c r="L10" s="38" t="s">
        <v>71</v>
      </c>
      <c r="M10" s="39">
        <f t="shared" ref="M10:T10" si="20">SUM($D$8:$J$8)-$M$14+IF($E$19=M5,$U$8,0)-D8</f>
        <v>19609.837990051485</v>
      </c>
      <c r="N10" s="39">
        <f t="shared" si="20"/>
        <v>95821.931729294171</v>
      </c>
      <c r="O10" s="39">
        <f t="shared" si="20"/>
        <v>95821.931729294171</v>
      </c>
      <c r="P10" s="39">
        <f t="shared" si="20"/>
        <v>76212.093739242686</v>
      </c>
      <c r="Q10" s="39">
        <f t="shared" si="20"/>
        <v>95821.931729294171</v>
      </c>
      <c r="R10" s="39">
        <f t="shared" si="20"/>
        <v>95821.931729294171</v>
      </c>
      <c r="S10" s="39">
        <f t="shared" si="20"/>
        <v>95821.931729294171</v>
      </c>
      <c r="T10" s="39">
        <f t="shared" si="20"/>
        <v>95821.931729294171</v>
      </c>
      <c r="U10" s="39"/>
      <c r="V10">
        <f t="shared" si="2"/>
        <v>0</v>
      </c>
      <c r="X10" s="38" t="s">
        <v>71</v>
      </c>
      <c r="Y10" s="39">
        <f>IF($E$20="BROKER",'Margin Calculation'!$AB$24,SUM(Z8:AE8)+'Expenses Estimation'!$AD$13)</f>
        <v>0</v>
      </c>
      <c r="Z10" s="39">
        <f>IF($E$20="BROKER",'Margin Calculation'!$AB$24,SUM(AA8:AE8)+Y8+'Expenses Estimation'!$AD$13)</f>
        <v>0</v>
      </c>
      <c r="AA10" s="39">
        <f>IF($E$20="BROKER",'Margin Calculation'!$AB$24,SUM(AB8:AE8)+Y8+Z8+'Expenses Estimation'!$AD$13)</f>
        <v>0</v>
      </c>
      <c r="AB10" s="39">
        <f>IF($E$20="BROKER",'Margin Calculation'!$AB$24,SUM(Y8:AA8)+AC8+AD8+AE8+'Expenses Estimation'!$AD$13)</f>
        <v>0</v>
      </c>
      <c r="AC10" s="39">
        <f>IF($E$20="BROKER",'Margin Calculation'!$AB$24,SUM(Y8:AB8)+AD8+AE8+'Expenses Estimation'!$AD$13)</f>
        <v>0</v>
      </c>
      <c r="AD10" s="39">
        <f>IF($E$20="BROKER",'Margin Calculation'!$AB$24,SUM(Y8:AC8)+AE8+'Expenses Estimation'!$AD$13)</f>
        <v>0</v>
      </c>
      <c r="AE10" s="39">
        <f>IF($E$20="BROKER",'Margin Calculation'!$AB$24,SUM(Y8:AD8)+'Expenses Estimation'!$AD$13)</f>
        <v>0</v>
      </c>
      <c r="AF10" s="39">
        <f>IF($E$20="BROKER",'Margin Calculation'!$AB$24,SUM(Z8:AE8)+'Expenses Estimation'!$AD$13)</f>
        <v>0</v>
      </c>
      <c r="AH10" s="38" t="s">
        <v>71</v>
      </c>
      <c r="AI10" s="39">
        <f t="shared" ref="AI10:AP10" si="21">SUM($Y$8:$AE$8)+$AQ$8-$AI$14</f>
        <v>0</v>
      </c>
      <c r="AJ10" s="39">
        <f t="shared" si="21"/>
        <v>0</v>
      </c>
      <c r="AK10" s="39">
        <f t="shared" si="21"/>
        <v>0</v>
      </c>
      <c r="AL10" s="39">
        <f t="shared" si="21"/>
        <v>0</v>
      </c>
      <c r="AM10" s="39">
        <f t="shared" si="21"/>
        <v>0</v>
      </c>
      <c r="AN10" s="39">
        <f t="shared" si="21"/>
        <v>0</v>
      </c>
      <c r="AO10" s="39">
        <f t="shared" si="21"/>
        <v>0</v>
      </c>
      <c r="AP10" s="39">
        <f t="shared" si="21"/>
        <v>0</v>
      </c>
      <c r="AQ10" s="39"/>
      <c r="AT10" s="38"/>
      <c r="AU10" s="38"/>
      <c r="AV10" s="38"/>
      <c r="AW10" s="38"/>
      <c r="AX10" s="38"/>
      <c r="AY10" s="38"/>
      <c r="AZ10" s="38"/>
      <c r="BA10" s="38"/>
      <c r="BB10" s="38"/>
      <c r="BC10" s="38" t="e">
        <f t="shared" si="4"/>
        <v>#N/A</v>
      </c>
      <c r="BD10" s="38" t="s">
        <v>71</v>
      </c>
      <c r="BE10" s="38" t="e">
        <f t="shared" si="5"/>
        <v>#N/A</v>
      </c>
      <c r="BF10" s="38" t="s">
        <v>71</v>
      </c>
      <c r="BG10" s="38" t="e">
        <f t="shared" si="6"/>
        <v>#N/A</v>
      </c>
      <c r="BH10" s="38" t="s">
        <v>71</v>
      </c>
      <c r="BI10" s="38" t="e">
        <f t="shared" si="7"/>
        <v>#N/A</v>
      </c>
      <c r="BJ10" s="38" t="s">
        <v>71</v>
      </c>
      <c r="BK10" s="38" t="e">
        <f t="shared" si="8"/>
        <v>#N/A</v>
      </c>
      <c r="BL10" s="38" t="s">
        <v>71</v>
      </c>
      <c r="BM10" s="38" t="e">
        <f t="shared" si="9"/>
        <v>#N/A</v>
      </c>
      <c r="BN10" s="38" t="s">
        <v>71</v>
      </c>
      <c r="BO10" s="38" t="e">
        <f t="shared" si="10"/>
        <v>#N/A</v>
      </c>
      <c r="BP10" s="38" t="s">
        <v>71</v>
      </c>
      <c r="BQ10" s="38" t="e">
        <f t="shared" si="13"/>
        <v>#N/A</v>
      </c>
      <c r="BR10" s="38" t="s">
        <v>71</v>
      </c>
    </row>
    <row r="11" spans="1:70" ht="13" hidden="1" x14ac:dyDescent="0.25">
      <c r="A11">
        <f t="shared" si="0"/>
        <v>0</v>
      </c>
      <c r="C11" s="38" t="s">
        <v>80</v>
      </c>
      <c r="D11" s="39">
        <f>'Margin Calculation'!$AB$22-'Margin Calculation'!$AB$24-'Margin Calculation'!$AB$26</f>
        <v>149799.72000000006</v>
      </c>
      <c r="E11" s="39">
        <f>'Margin Calculation'!$AB$22-'Margin Calculation'!$AB$24-'Margin Calculation'!$AB$26</f>
        <v>149799.72000000006</v>
      </c>
      <c r="F11" s="39">
        <f>'Margin Calculation'!$AB$22-'Margin Calculation'!$AB$24-'Margin Calculation'!$AB$26</f>
        <v>149799.72000000006</v>
      </c>
      <c r="G11" s="39">
        <f>'Margin Calculation'!$AB$22-'Margin Calculation'!$AB$24-'Margin Calculation'!$AB$26</f>
        <v>149799.72000000006</v>
      </c>
      <c r="H11" s="39">
        <f>'Margin Calculation'!$AB$22-'Margin Calculation'!$AB$24-'Margin Calculation'!$AB$26</f>
        <v>149799.72000000006</v>
      </c>
      <c r="I11" s="39">
        <f>'Margin Calculation'!$AB$22-'Margin Calculation'!$AB$24-'Margin Calculation'!$AB$26</f>
        <v>149799.72000000006</v>
      </c>
      <c r="J11" s="39">
        <f>'Margin Calculation'!$AB$22-'Margin Calculation'!$AB$24-'Margin Calculation'!$AB$26</f>
        <v>149799.72000000006</v>
      </c>
      <c r="K11" s="39">
        <f>'Margin Calculation'!$AB$22-'Margin Calculation'!$AB$24-'Margin Calculation'!$AB$26</f>
        <v>149799.72000000006</v>
      </c>
      <c r="L11" s="38" t="s">
        <v>80</v>
      </c>
      <c r="M11" s="39">
        <f t="shared" ref="M11:T11" si="22">SUM($D$8:$J$8)+IF($E$19=M5,$U$8,0)-D8</f>
        <v>19609.837990051485</v>
      </c>
      <c r="N11" s="39">
        <f t="shared" si="22"/>
        <v>95821.931729294171</v>
      </c>
      <c r="O11" s="39">
        <f t="shared" si="22"/>
        <v>95821.931729294171</v>
      </c>
      <c r="P11" s="39">
        <f t="shared" si="22"/>
        <v>76212.093739242686</v>
      </c>
      <c r="Q11" s="39">
        <f t="shared" si="22"/>
        <v>95821.931729294171</v>
      </c>
      <c r="R11" s="39">
        <f t="shared" si="22"/>
        <v>95821.931729294171</v>
      </c>
      <c r="S11" s="39">
        <f t="shared" si="22"/>
        <v>95821.931729294171</v>
      </c>
      <c r="T11" s="39">
        <f t="shared" si="22"/>
        <v>95821.931729294171</v>
      </c>
      <c r="U11" s="39"/>
      <c r="V11">
        <f t="shared" si="2"/>
        <v>0</v>
      </c>
      <c r="X11" s="38" t="s">
        <v>80</v>
      </c>
      <c r="Y11" s="39">
        <f>'Margin Calculation'!$AB$24</f>
        <v>0</v>
      </c>
      <c r="Z11" s="39">
        <f>'Margin Calculation'!$AB$24</f>
        <v>0</v>
      </c>
      <c r="AA11" s="39">
        <f>'Margin Calculation'!$AB$24</f>
        <v>0</v>
      </c>
      <c r="AB11" s="39">
        <f>'Margin Calculation'!$AB$24</f>
        <v>0</v>
      </c>
      <c r="AC11" s="39">
        <f>'Margin Calculation'!$AB$24</f>
        <v>0</v>
      </c>
      <c r="AD11" s="39">
        <f>'Margin Calculation'!$AB$24</f>
        <v>0</v>
      </c>
      <c r="AE11" s="39">
        <f>'Margin Calculation'!$AB$24</f>
        <v>0</v>
      </c>
      <c r="AF11" s="39">
        <f>'Margin Calculation'!$AB$24</f>
        <v>0</v>
      </c>
      <c r="AH11" s="38" t="s">
        <v>80</v>
      </c>
      <c r="AI11" s="39">
        <f t="shared" ref="AI11:AP11" si="23">SUM($Y$8:$AE$8)+$AQ$8</f>
        <v>0</v>
      </c>
      <c r="AJ11" s="39">
        <f t="shared" si="23"/>
        <v>0</v>
      </c>
      <c r="AK11" s="39">
        <f t="shared" si="23"/>
        <v>0</v>
      </c>
      <c r="AL11" s="39">
        <f t="shared" si="23"/>
        <v>0</v>
      </c>
      <c r="AM11" s="39">
        <f t="shared" si="23"/>
        <v>0</v>
      </c>
      <c r="AN11" s="39">
        <f t="shared" si="23"/>
        <v>0</v>
      </c>
      <c r="AO11" s="39">
        <f t="shared" si="23"/>
        <v>0</v>
      </c>
      <c r="AP11" s="39">
        <f t="shared" si="23"/>
        <v>0</v>
      </c>
      <c r="AQ11" s="39"/>
      <c r="AT11" s="38"/>
      <c r="AU11" s="38"/>
      <c r="AV11" s="38"/>
      <c r="AW11" s="38"/>
      <c r="AX11" s="38"/>
      <c r="AY11" s="38"/>
      <c r="AZ11" s="38"/>
      <c r="BA11" s="38"/>
      <c r="BB11" s="38"/>
      <c r="BC11" s="38" t="e">
        <f t="shared" si="4"/>
        <v>#N/A</v>
      </c>
      <c r="BD11" s="38" t="s">
        <v>80</v>
      </c>
      <c r="BE11" s="38" t="e">
        <f t="shared" si="5"/>
        <v>#N/A</v>
      </c>
      <c r="BF11" s="38" t="s">
        <v>80</v>
      </c>
      <c r="BG11" s="38" t="e">
        <f t="shared" si="6"/>
        <v>#N/A</v>
      </c>
      <c r="BH11" s="38" t="s">
        <v>80</v>
      </c>
      <c r="BI11" s="38" t="e">
        <f t="shared" si="7"/>
        <v>#N/A</v>
      </c>
      <c r="BJ11" s="38" t="s">
        <v>80</v>
      </c>
      <c r="BK11" s="38" t="e">
        <f t="shared" si="8"/>
        <v>#N/A</v>
      </c>
      <c r="BL11" s="38" t="s">
        <v>80</v>
      </c>
      <c r="BM11" s="38" t="e">
        <f t="shared" si="9"/>
        <v>#N/A</v>
      </c>
      <c r="BN11" s="38" t="s">
        <v>80</v>
      </c>
      <c r="BO11" s="38" t="e">
        <f t="shared" si="10"/>
        <v>#N/A</v>
      </c>
      <c r="BP11" s="38" t="s">
        <v>80</v>
      </c>
      <c r="BQ11" s="38" t="e">
        <f t="shared" si="13"/>
        <v>#N/A</v>
      </c>
      <c r="BR11" s="38" t="s">
        <v>80</v>
      </c>
    </row>
    <row r="12" spans="1:70" ht="13" hidden="1" x14ac:dyDescent="0.25">
      <c r="A12">
        <f t="shared" si="0"/>
        <v>1</v>
      </c>
      <c r="C12" s="38" t="s">
        <v>239</v>
      </c>
      <c r="D12" s="39">
        <f>+D10</f>
        <v>134819.74800000005</v>
      </c>
      <c r="E12" s="39">
        <f t="shared" ref="E12:K12" si="24">+E10</f>
        <v>134819.74800000005</v>
      </c>
      <c r="F12" s="39">
        <f t="shared" si="24"/>
        <v>134819.74800000005</v>
      </c>
      <c r="G12" s="39">
        <f t="shared" si="24"/>
        <v>134819.74800000005</v>
      </c>
      <c r="H12" s="39">
        <f t="shared" si="24"/>
        <v>134819.74800000005</v>
      </c>
      <c r="I12" s="39">
        <f t="shared" si="24"/>
        <v>134819.74800000005</v>
      </c>
      <c r="J12" s="39">
        <f t="shared" si="24"/>
        <v>134819.74800000005</v>
      </c>
      <c r="K12" s="39">
        <f t="shared" si="24"/>
        <v>134819.74800000005</v>
      </c>
      <c r="L12" s="38" t="s">
        <v>239</v>
      </c>
      <c r="M12" s="39">
        <f t="shared" ref="M12:T12" si="25">+IF($E$19=M5,M10+M8-$U$8,M10+M8)</f>
        <v>92192.784408377847</v>
      </c>
      <c r="N12" s="39">
        <f t="shared" si="25"/>
        <v>95821.931729294171</v>
      </c>
      <c r="O12" s="39">
        <f t="shared" si="25"/>
        <v>95821.931729294171</v>
      </c>
      <c r="P12" s="39">
        <f t="shared" si="25"/>
        <v>94888.129920244101</v>
      </c>
      <c r="Q12" s="39">
        <f t="shared" si="25"/>
        <v>95821.931729294171</v>
      </c>
      <c r="R12" s="39">
        <f t="shared" si="25"/>
        <v>95821.931729294171</v>
      </c>
      <c r="S12" s="39">
        <f t="shared" si="25"/>
        <v>95821.931729294171</v>
      </c>
      <c r="T12" s="39">
        <f t="shared" si="25"/>
        <v>95821.931729294171</v>
      </c>
      <c r="U12" s="39"/>
      <c r="V12">
        <f t="shared" si="2"/>
        <v>1</v>
      </c>
      <c r="X12" s="38" t="s">
        <v>239</v>
      </c>
      <c r="Y12" s="39">
        <f>+Y10+Y8</f>
        <v>0</v>
      </c>
      <c r="Z12" s="39">
        <f t="shared" ref="Z12:AE12" si="26">+Z10+Z8</f>
        <v>0</v>
      </c>
      <c r="AA12" s="39">
        <f t="shared" si="26"/>
        <v>0</v>
      </c>
      <c r="AB12" s="39">
        <f t="shared" si="26"/>
        <v>0</v>
      </c>
      <c r="AC12" s="39">
        <f t="shared" si="26"/>
        <v>0</v>
      </c>
      <c r="AD12" s="39">
        <f t="shared" si="26"/>
        <v>0</v>
      </c>
      <c r="AE12" s="39">
        <f t="shared" si="26"/>
        <v>0</v>
      </c>
      <c r="AF12" s="39">
        <f t="shared" ref="AF12" si="27">+AF10+AF8</f>
        <v>0</v>
      </c>
      <c r="AH12" s="38" t="s">
        <v>239</v>
      </c>
      <c r="AI12" s="39">
        <f>+AI10</f>
        <v>0</v>
      </c>
      <c r="AJ12" s="39">
        <f t="shared" ref="AJ12:AO12" si="28">+AJ10</f>
        <v>0</v>
      </c>
      <c r="AK12" s="39">
        <f t="shared" si="28"/>
        <v>0</v>
      </c>
      <c r="AL12" s="39">
        <f t="shared" si="28"/>
        <v>0</v>
      </c>
      <c r="AM12" s="39">
        <f t="shared" si="28"/>
        <v>0</v>
      </c>
      <c r="AN12" s="39">
        <f t="shared" si="28"/>
        <v>0</v>
      </c>
      <c r="AO12" s="39">
        <f t="shared" si="28"/>
        <v>0</v>
      </c>
      <c r="AP12" s="39">
        <f t="shared" ref="AP12" si="29">+AP10</f>
        <v>0</v>
      </c>
      <c r="AQ12" s="39"/>
      <c r="AT12" s="38"/>
      <c r="AU12" s="38"/>
      <c r="AV12" s="38"/>
      <c r="AW12" s="38"/>
      <c r="AX12" s="38"/>
      <c r="AY12" s="38"/>
      <c r="AZ12" s="38"/>
      <c r="BA12" s="38"/>
      <c r="BB12" s="38"/>
      <c r="BC12" s="38" t="e">
        <f t="shared" si="4"/>
        <v>#N/A</v>
      </c>
      <c r="BD12" s="38" t="s">
        <v>239</v>
      </c>
      <c r="BE12" s="38" t="e">
        <f t="shared" si="5"/>
        <v>#N/A</v>
      </c>
      <c r="BF12" s="38" t="s">
        <v>239</v>
      </c>
      <c r="BG12" s="38" t="e">
        <f t="shared" si="6"/>
        <v>#N/A</v>
      </c>
      <c r="BH12" s="38" t="s">
        <v>239</v>
      </c>
      <c r="BI12" s="38" t="e">
        <f t="shared" si="7"/>
        <v>#N/A</v>
      </c>
      <c r="BJ12" s="38" t="s">
        <v>239</v>
      </c>
      <c r="BK12" s="38">
        <f t="shared" si="8"/>
        <v>1</v>
      </c>
      <c r="BL12" s="38" t="s">
        <v>239</v>
      </c>
      <c r="BM12" s="38" t="e">
        <f t="shared" si="9"/>
        <v>#N/A</v>
      </c>
      <c r="BN12" s="38" t="s">
        <v>239</v>
      </c>
      <c r="BO12" s="38" t="e">
        <f t="shared" si="10"/>
        <v>#N/A</v>
      </c>
      <c r="BP12" s="38" t="s">
        <v>239</v>
      </c>
      <c r="BQ12" s="38" t="e">
        <f t="shared" si="13"/>
        <v>#N/A</v>
      </c>
      <c r="BR12" s="38" t="s">
        <v>239</v>
      </c>
    </row>
    <row r="13" spans="1:70" ht="13" hidden="1" x14ac:dyDescent="0.25">
      <c r="A13">
        <f t="shared" si="0"/>
        <v>0</v>
      </c>
      <c r="C13" s="38" t="s">
        <v>81</v>
      </c>
      <c r="D13" s="39"/>
      <c r="E13" s="39"/>
      <c r="F13" s="39"/>
      <c r="G13" s="39"/>
      <c r="H13" s="39"/>
      <c r="I13" s="39"/>
      <c r="J13" s="39"/>
      <c r="L13" s="38" t="s">
        <v>81</v>
      </c>
      <c r="M13" s="39"/>
      <c r="N13" s="39"/>
      <c r="O13" s="39"/>
      <c r="P13" s="39"/>
      <c r="Q13" s="39"/>
      <c r="R13" s="39"/>
      <c r="S13" s="39"/>
      <c r="T13" s="39"/>
      <c r="U13" s="39"/>
      <c r="V13">
        <f t="shared" si="2"/>
        <v>0</v>
      </c>
      <c r="X13" s="38" t="s">
        <v>81</v>
      </c>
      <c r="Y13" s="39"/>
      <c r="Z13" s="39"/>
      <c r="AA13" s="39"/>
      <c r="AB13" s="39"/>
      <c r="AC13" s="39"/>
      <c r="AD13" s="39"/>
      <c r="AE13" s="39"/>
      <c r="AF13" s="39"/>
      <c r="AH13" s="38" t="s">
        <v>81</v>
      </c>
      <c r="AI13" s="39"/>
      <c r="AJ13" s="39"/>
      <c r="AK13" s="39"/>
      <c r="AL13" s="39"/>
      <c r="AM13" s="39"/>
      <c r="AN13" s="39"/>
      <c r="AO13" s="39"/>
      <c r="AP13" s="39"/>
      <c r="AS13" s="38"/>
      <c r="AT13" s="38"/>
      <c r="AU13" s="38"/>
      <c r="AV13" s="38"/>
      <c r="AW13" s="38"/>
      <c r="AX13" s="38"/>
      <c r="AY13" s="38"/>
      <c r="AZ13" s="38"/>
      <c r="BA13" s="38"/>
      <c r="BB13" s="38" t="e">
        <f>IF(MATCH(BC13,$AT$6:$AT$9,0),1,0)</f>
        <v>#N/A</v>
      </c>
      <c r="BC13" s="38" t="s">
        <v>81</v>
      </c>
      <c r="BD13" s="38" t="e">
        <f>IF(MATCH(BE13,$AU$6:$AU$9,0),1,0)</f>
        <v>#N/A</v>
      </c>
      <c r="BE13" s="38" t="s">
        <v>81</v>
      </c>
      <c r="BF13" s="38" t="e">
        <f>IF(MATCH(BG13,$AV$6:$AV$9,0),1,0)</f>
        <v>#N/A</v>
      </c>
      <c r="BG13" s="38" t="s">
        <v>81</v>
      </c>
      <c r="BH13" s="38" t="e">
        <f>IF(MATCH(BI13,$AW$6:$AW$9,0),1,0)</f>
        <v>#N/A</v>
      </c>
      <c r="BI13" s="38" t="s">
        <v>81</v>
      </c>
      <c r="BJ13" s="38" t="e">
        <f>IF(MATCH(BK13,$AX$6:$AX$9,0),1,0)</f>
        <v>#N/A</v>
      </c>
      <c r="BK13" s="38" t="s">
        <v>81</v>
      </c>
      <c r="BL13" s="38" t="e">
        <f>IF(MATCH(BM13,$AY$6:$AY$9,0),1,0)</f>
        <v>#N/A</v>
      </c>
      <c r="BM13" s="38" t="s">
        <v>81</v>
      </c>
      <c r="BN13" s="38" t="e">
        <f>IF(MATCH(BO13,$AZ$6:$AZ$9,0),1,0)</f>
        <v>#N/A</v>
      </c>
      <c r="BO13" s="38" t="s">
        <v>81</v>
      </c>
      <c r="BP13" s="38" t="s">
        <v>81</v>
      </c>
      <c r="BQ13" s="38" t="e">
        <f t="shared" si="13"/>
        <v>#N/A</v>
      </c>
      <c r="BR13" s="38" t="s">
        <v>81</v>
      </c>
    </row>
    <row r="14" spans="1:70" ht="13" hidden="1" x14ac:dyDescent="0.25">
      <c r="C14" s="39">
        <f>SUM(D14:J14)</f>
        <v>0</v>
      </c>
      <c r="D14" s="39">
        <f t="shared" ref="D14:J14" si="30">IF(L25="P&amp;S",D8,0)</f>
        <v>0</v>
      </c>
      <c r="E14" s="39">
        <f t="shared" si="30"/>
        <v>0</v>
      </c>
      <c r="F14" s="39">
        <f t="shared" si="30"/>
        <v>0</v>
      </c>
      <c r="G14" s="39">
        <f t="shared" si="30"/>
        <v>0</v>
      </c>
      <c r="H14" s="39">
        <f t="shared" si="30"/>
        <v>0</v>
      </c>
      <c r="I14" s="39">
        <f t="shared" si="30"/>
        <v>0</v>
      </c>
      <c r="J14" s="39">
        <f t="shared" si="30"/>
        <v>0</v>
      </c>
      <c r="L14" s="38"/>
      <c r="M14" s="39">
        <f>IFERROR(BC7*D8,0)+IFERROR(BE7*E8,0)+IFERROR(BG7*F8,0)+IFERROR(BI7*G8,0)+IFERROR(BK7*H8,0)+IFERROR(BM7*I8,0)+IFERROR(BO7*J8,0)+IFERROR(BC6*D8,0)+IFERROR(BE6*E8,0)+IFERROR(BG6*F8,0)+IFERROR(BI6*G8,0)+IFERROR(BK6*H8,0)+IFERROR(BM6*I8,0)+IFERROR(BO6*J8,0)</f>
        <v>0</v>
      </c>
      <c r="N14" s="39"/>
      <c r="O14" s="39"/>
      <c r="P14" s="39"/>
      <c r="Q14" s="39"/>
      <c r="R14" s="39"/>
      <c r="S14" s="39"/>
      <c r="T14" s="39"/>
      <c r="U14" s="39"/>
      <c r="X14" s="38"/>
      <c r="Y14" s="39"/>
      <c r="Z14" s="39"/>
      <c r="AA14" s="39"/>
      <c r="AB14" s="39"/>
      <c r="AC14" s="39"/>
      <c r="AD14" s="39"/>
      <c r="AE14" s="39"/>
      <c r="AF14" s="39"/>
      <c r="AH14" s="38"/>
      <c r="AI14" s="39">
        <f>IFERROR(BX7*Y8,0)+IFERROR(BZ7*Z8,0)+IFERROR(CB7*AA8,0)+IFERROR(CD7*AB8,0)+IFERROR(CF7*AC8,0)</f>
        <v>0</v>
      </c>
      <c r="AJ14" s="39"/>
      <c r="AK14" s="39"/>
      <c r="AL14" s="39"/>
      <c r="AM14" s="39"/>
      <c r="AN14" s="39"/>
      <c r="AO14" s="39"/>
      <c r="AP14" s="39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Q14" s="38"/>
    </row>
    <row r="15" spans="1:70" ht="13" hidden="1" x14ac:dyDescent="0.25">
      <c r="C15" s="357" t="s">
        <v>355</v>
      </c>
      <c r="D15" s="39"/>
      <c r="E15" s="39"/>
      <c r="F15" s="39"/>
      <c r="G15" s="39"/>
      <c r="H15" s="39"/>
      <c r="I15" s="39"/>
      <c r="J15" s="39"/>
      <c r="L15" s="38"/>
      <c r="M15" s="39"/>
      <c r="N15" s="39"/>
      <c r="O15" s="39"/>
      <c r="P15" s="39"/>
      <c r="Q15" s="39"/>
      <c r="R15" s="39"/>
      <c r="S15" s="39"/>
      <c r="T15" s="39"/>
      <c r="U15" s="39"/>
      <c r="X15" s="38"/>
      <c r="Y15" s="39"/>
      <c r="Z15" s="39"/>
      <c r="AA15" s="39"/>
      <c r="AB15" s="39"/>
      <c r="AC15" s="39"/>
      <c r="AD15" s="39"/>
      <c r="AE15" s="39"/>
      <c r="AF15" s="39"/>
      <c r="AH15" s="38"/>
      <c r="AI15" s="39"/>
      <c r="AJ15" s="39"/>
      <c r="AK15" s="39"/>
      <c r="AL15" s="39"/>
      <c r="AM15" s="39"/>
      <c r="AN15" s="39"/>
      <c r="AO15" s="39"/>
      <c r="AP15" s="39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Q15" s="38"/>
    </row>
    <row r="16" spans="1:70" ht="13" hidden="1" x14ac:dyDescent="0.25">
      <c r="C16" s="39">
        <f>+IF(LEFT($E$44,1)="P",$G$44,IF(LEFT($E$45,1)="P",$G$45,IF(LEFT($E$46,1)="P",$G$46,IF(LEFT($E$47,1)="P",$G$47,IF(LEFT($E$48,1)="P",$G$48,IF(LEFT($E$49,1)="P",$G$49,IF(LEFT($E$50,1)="P",$G$50)))))))</f>
        <v>0</v>
      </c>
      <c r="D16" s="39">
        <f>+F52</f>
        <v>0</v>
      </c>
      <c r="E16" s="39"/>
      <c r="F16" s="39"/>
      <c r="G16" s="39"/>
      <c r="H16" s="39"/>
      <c r="I16" s="39"/>
      <c r="J16" s="39"/>
      <c r="L16" s="38"/>
      <c r="M16" s="39"/>
      <c r="N16" s="39"/>
      <c r="O16" s="39"/>
      <c r="P16" s="39"/>
      <c r="Q16" s="39"/>
      <c r="R16" s="39"/>
      <c r="S16" s="39"/>
      <c r="T16" s="39"/>
      <c r="U16" s="39"/>
      <c r="X16" s="38"/>
      <c r="Y16" s="39"/>
      <c r="Z16" s="39"/>
      <c r="AA16" s="39"/>
      <c r="AB16" s="39"/>
      <c r="AC16" s="39"/>
      <c r="AD16" s="39"/>
      <c r="AE16" s="39"/>
      <c r="AF16" s="39"/>
      <c r="AH16" s="38"/>
      <c r="AI16" s="39"/>
      <c r="AJ16" s="39"/>
      <c r="AK16" s="39"/>
      <c r="AL16" s="39"/>
      <c r="AM16" s="39"/>
      <c r="AN16" s="39"/>
      <c r="AO16" s="39"/>
      <c r="AP16" s="39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Q16" s="38"/>
    </row>
    <row r="17" spans="3:69" ht="13" hidden="1" x14ac:dyDescent="0.25">
      <c r="C17" s="39">
        <f>+IF(LEFT($E$44,1)="P",SUMIF($K$44:$K$109,D44,$M$44:$M$109),IF(LEFT($E$45,1)="P",SUMIF($K$44:$K$109,D45,$M$44:$M$109),+IF(LEFT($E$46,1)="P",SUMIF($K$44:$K$109,D46,$M$44:$M$109),+IF(LEFT($E$47,1)="P",SUMIF($K$44:$K$109,D47,$M$44:$M$109),+IF(LEFT($E$48,1)="P",SUMIF($K$44:$K$109,D48,$M$44:$M$109),+IF(LEFT($E$49,1)="P",SUMIF($K$44:$K$109,D49,$M$44:$M$109),+IF(LEFT($E$50,1)="P",SUMIF($K$44:$K$109,D50,$M$44:$M$109))))))))</f>
        <v>0</v>
      </c>
      <c r="D17" s="39">
        <f>+IF(LEFT($E$44,1)="P",SUMIF($K$44:$K$109,D44,$L$44:$L$109),IF(LEFT($E$45,1)="P",SUMIF($K$44:$K$109,D45,$L$44:$L$109),+IF(LEFT($E$46,1)="P",SUMIF($K$44:$K$109,D46,$L$44:$L$109),+IF(LEFT($E$47,1)="P",SUMIF($K$44:$K$109,D47,$L$44:$L$109),+IF(LEFT($E$48,1)="P",SUMIF($K$44:$K$109,D48,$L$44:$L$109),+IF(LEFT($E$49,1)="P",SUMIF($K$44:$K$109,D49,$L$44:$L$109),+IF(LEFT($E$50,1)="P",SUMIF($K$44:$K$109,D50,$L$44:$L$109))))))))</f>
        <v>0</v>
      </c>
      <c r="E17" s="39"/>
      <c r="F17" s="39"/>
      <c r="G17" s="39"/>
      <c r="H17" s="39"/>
      <c r="I17" s="39"/>
      <c r="J17" s="39"/>
      <c r="L17" s="38"/>
      <c r="M17" s="39"/>
      <c r="N17" s="39"/>
      <c r="O17" s="39"/>
      <c r="P17" s="39"/>
      <c r="Q17" s="39"/>
      <c r="R17" s="39"/>
      <c r="S17" s="39"/>
      <c r="T17" s="39"/>
      <c r="U17" s="39"/>
      <c r="X17" s="38"/>
      <c r="Y17" s="39"/>
      <c r="Z17" s="39"/>
      <c r="AA17" s="39"/>
      <c r="AB17" s="39"/>
      <c r="AC17" s="39"/>
      <c r="AD17" s="39"/>
      <c r="AE17" s="39"/>
      <c r="AF17" s="39"/>
      <c r="AH17" s="38"/>
      <c r="AI17" s="39"/>
      <c r="AJ17" s="39"/>
      <c r="AK17" s="39"/>
      <c r="AL17" s="39"/>
      <c r="AM17" s="39"/>
      <c r="AN17" s="39"/>
      <c r="AO17" s="39"/>
      <c r="AP17" s="39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Q17" s="38"/>
    </row>
    <row r="18" spans="3:69" ht="15" customHeight="1" x14ac:dyDescent="0.25"/>
    <row r="19" spans="3:69" ht="17" x14ac:dyDescent="0.4">
      <c r="C19" s="438" t="s">
        <v>49</v>
      </c>
      <c r="D19" s="438"/>
      <c r="E19" s="358" t="s">
        <v>417</v>
      </c>
      <c r="F19" s="358"/>
      <c r="J19" s="9" t="s">
        <v>68</v>
      </c>
      <c r="K19" s="31"/>
      <c r="L19" s="98"/>
      <c r="M19" s="99"/>
      <c r="N19" s="102"/>
      <c r="O19" s="102"/>
      <c r="P19" s="102"/>
      <c r="Q19" s="102"/>
      <c r="R19" s="102"/>
      <c r="S19" s="102"/>
    </row>
    <row r="20" spans="3:69" ht="15.5" x14ac:dyDescent="0.35">
      <c r="C20" s="438" t="s">
        <v>59</v>
      </c>
      <c r="D20" s="438"/>
      <c r="E20" s="445" t="s">
        <v>70</v>
      </c>
      <c r="F20" s="445"/>
      <c r="J20" s="95"/>
      <c r="K20" s="89" t="s">
        <v>76</v>
      </c>
      <c r="L20" s="89" t="s">
        <v>13</v>
      </c>
      <c r="M20" s="89" t="s">
        <v>20</v>
      </c>
      <c r="N20" s="89" t="s">
        <v>15</v>
      </c>
      <c r="O20" s="89" t="s">
        <v>16</v>
      </c>
      <c r="P20" s="89" t="s">
        <v>417</v>
      </c>
      <c r="Q20" s="89" t="s">
        <v>100</v>
      </c>
      <c r="R20" s="89" t="s">
        <v>178</v>
      </c>
      <c r="S20" s="89" t="s">
        <v>354</v>
      </c>
    </row>
    <row r="21" spans="3:69" ht="15.5" x14ac:dyDescent="0.35">
      <c r="C21" s="438" t="s">
        <v>177</v>
      </c>
      <c r="D21" s="438"/>
      <c r="E21" s="445">
        <v>0.1</v>
      </c>
      <c r="F21" s="445"/>
      <c r="J21" s="4"/>
      <c r="K21" s="38" t="s">
        <v>72</v>
      </c>
      <c r="L21" s="67" t="s">
        <v>77</v>
      </c>
      <c r="M21" s="67" t="s">
        <v>77</v>
      </c>
      <c r="N21" s="67" t="s">
        <v>77</v>
      </c>
      <c r="O21" s="67" t="s">
        <v>77</v>
      </c>
      <c r="P21" s="67" t="s">
        <v>77</v>
      </c>
      <c r="Q21" s="67" t="s">
        <v>77</v>
      </c>
      <c r="R21" s="67" t="s">
        <v>77</v>
      </c>
      <c r="S21" s="67" t="s">
        <v>77</v>
      </c>
    </row>
    <row r="22" spans="3:69" ht="15.5" x14ac:dyDescent="0.35">
      <c r="C22" s="438" t="s">
        <v>98</v>
      </c>
      <c r="D22" s="438"/>
      <c r="E22" s="445">
        <v>0.05</v>
      </c>
      <c r="F22" s="445"/>
      <c r="J22" s="37"/>
      <c r="K22" s="40" t="s">
        <v>70</v>
      </c>
      <c r="L22" s="68" t="s">
        <v>78</v>
      </c>
      <c r="M22" s="68" t="s">
        <v>78</v>
      </c>
      <c r="N22" s="68" t="s">
        <v>77</v>
      </c>
      <c r="O22" s="68" t="s">
        <v>78</v>
      </c>
      <c r="P22" s="68" t="s">
        <v>78</v>
      </c>
      <c r="Q22" s="68" t="s">
        <v>78</v>
      </c>
      <c r="R22" s="68" t="s">
        <v>78</v>
      </c>
      <c r="S22" s="68" t="s">
        <v>78</v>
      </c>
    </row>
    <row r="23" spans="3:69" ht="13" x14ac:dyDescent="0.25">
      <c r="K23" s="38" t="s">
        <v>71</v>
      </c>
      <c r="L23" s="67" t="s">
        <v>78</v>
      </c>
      <c r="M23" s="67" t="s">
        <v>78</v>
      </c>
      <c r="N23" s="67" t="s">
        <v>78</v>
      </c>
      <c r="O23" s="67" t="s">
        <v>78</v>
      </c>
      <c r="P23" s="67" t="s">
        <v>77</v>
      </c>
      <c r="Q23" s="67" t="s">
        <v>78</v>
      </c>
      <c r="R23" s="67" t="s">
        <v>78</v>
      </c>
      <c r="S23" s="67" t="s">
        <v>78</v>
      </c>
    </row>
    <row r="25" spans="3:69" ht="13" x14ac:dyDescent="0.25">
      <c r="J25" s="55"/>
      <c r="K25" s="56"/>
      <c r="L25" s="57" t="str">
        <f>E31</f>
        <v>SOURCING</v>
      </c>
      <c r="M25" s="58" t="str">
        <f>E32</f>
        <v>SOURCING</v>
      </c>
      <c r="N25" s="58" t="str">
        <f>E33</f>
        <v>P&amp;S</v>
      </c>
      <c r="O25" s="58" t="str">
        <f>E34</f>
        <v>SOURCING</v>
      </c>
      <c r="P25" s="59" t="str">
        <f>E35</f>
        <v>B&amp;S</v>
      </c>
      <c r="Q25" s="59" t="str">
        <f>E36</f>
        <v>SOURCING</v>
      </c>
      <c r="R25" s="59" t="str">
        <f>E37</f>
        <v>SOURCING</v>
      </c>
      <c r="S25" s="59" t="str">
        <f>E38</f>
        <v>SOURCING</v>
      </c>
    </row>
    <row r="26" spans="3:69" ht="17" x14ac:dyDescent="0.25">
      <c r="AE26" s="188"/>
      <c r="AF26" s="188"/>
    </row>
    <row r="27" spans="3:69" ht="14.5" x14ac:dyDescent="0.25">
      <c r="AE27" s="189"/>
      <c r="AF27" s="189"/>
    </row>
    <row r="28" spans="3:69" ht="13" x14ac:dyDescent="0.25">
      <c r="G28" s="87"/>
      <c r="H28" s="87"/>
      <c r="P28" s="38"/>
      <c r="AE28" s="190"/>
      <c r="AF28" s="190"/>
    </row>
    <row r="29" spans="3:69" ht="18.5" x14ac:dyDescent="0.25">
      <c r="D29" s="238" t="s">
        <v>68</v>
      </c>
      <c r="E29" s="238"/>
      <c r="F29" s="238"/>
      <c r="G29" s="237" t="s">
        <v>57</v>
      </c>
      <c r="H29" s="238"/>
      <c r="I29" s="105">
        <f>ROUND(ABS(SUM(I31:I37))-ABS('Margin Calculation'!$AB$22-'Margin Calculation'!AB24-'Margin Calculation'!AB11-'Margin Calculation'!$AB$26),2)</f>
        <v>20430</v>
      </c>
      <c r="J29" s="63" t="str">
        <f>'Project Estimations'!D7</f>
        <v>USD</v>
      </c>
      <c r="K29" s="237" t="s">
        <v>59</v>
      </c>
      <c r="L29" s="238"/>
      <c r="M29" s="105">
        <f>ROUND(ABS(SUM(M31:M37))-ABS('Margin Calculation'!AB16-'Margin Calculation'!AB24),2)</f>
        <v>0</v>
      </c>
      <c r="N29" s="63" t="str">
        <f>'Project Estimations'!$D$7</f>
        <v>USD</v>
      </c>
      <c r="O29" s="237" t="s">
        <v>0</v>
      </c>
      <c r="P29" s="238"/>
      <c r="Q29" s="105">
        <f>ROUND(ABS(SUM(Q31:Q37))-ABS('Margin Calculation'!AB28),2)</f>
        <v>20430</v>
      </c>
      <c r="R29" s="63" t="str">
        <f>'Project Estimations'!$D$7</f>
        <v>USD</v>
      </c>
      <c r="AE29" s="190"/>
      <c r="AF29" s="190"/>
    </row>
    <row r="30" spans="3:69" ht="14.5" x14ac:dyDescent="0.25">
      <c r="D30" s="89" t="s">
        <v>37</v>
      </c>
      <c r="E30" s="89" t="s">
        <v>54</v>
      </c>
      <c r="F30" s="89" t="s">
        <v>4</v>
      </c>
      <c r="G30" s="191" t="s">
        <v>73</v>
      </c>
      <c r="H30" s="89" t="s">
        <v>36</v>
      </c>
      <c r="I30" s="89" t="s">
        <v>74</v>
      </c>
      <c r="J30" s="89" t="s">
        <v>74</v>
      </c>
      <c r="K30" s="191" t="s">
        <v>73</v>
      </c>
      <c r="L30" s="89" t="s">
        <v>36</v>
      </c>
      <c r="M30" s="89" t="s">
        <v>74</v>
      </c>
      <c r="N30" s="89" t="s">
        <v>74</v>
      </c>
      <c r="O30" s="191" t="s">
        <v>73</v>
      </c>
      <c r="P30" s="89" t="s">
        <v>36</v>
      </c>
      <c r="Q30" s="89" t="s">
        <v>74</v>
      </c>
      <c r="R30" s="89" t="s">
        <v>74</v>
      </c>
      <c r="U30" s="235"/>
      <c r="AE30" s="190"/>
      <c r="AF30" s="190"/>
    </row>
    <row r="31" spans="3:69" ht="13" x14ac:dyDescent="0.25">
      <c r="D31" s="38" t="s">
        <v>13</v>
      </c>
      <c r="E31" s="38" t="str">
        <f>VLOOKUP(1,$BC$6:$BD$13,2,FALSE)</f>
        <v>SOURCING</v>
      </c>
      <c r="F31" s="239">
        <f>IF($E$19=D31,VLOOKUP(D31,'Margin Calculation'!$S$14:$T$22,2,FALSE)+VLOOKUP("EXT",'Margin Calculation'!$S$14:$T$22,2,FALSE),VLOOKUP(D31,'Margin Calculation'!$S$14:$T$22,2,FALSE))</f>
        <v>160.249585</v>
      </c>
      <c r="G31" s="359">
        <f>VLOOKUP(E31,$C$6:$K$13,2,FALSE)</f>
        <v>76212.093739242686</v>
      </c>
      <c r="H31" s="39">
        <f>VLOOKUP(E31,$L$6:$T$13,2,FALSE)</f>
        <v>72582.946418326363</v>
      </c>
      <c r="I31" s="39">
        <f t="shared" ref="I31:I38" si="31">G31-H31</f>
        <v>3629.1473209163232</v>
      </c>
      <c r="J31" s="53">
        <f t="shared" ref="J31:J36" si="32">IFERROR((G31-H31)/G31,0)</f>
        <v>4.7619047619047686E-2</v>
      </c>
      <c r="K31" s="359">
        <f>VLOOKUP(E31,$X$6:$AF$13,2,FALSE)</f>
        <v>0</v>
      </c>
      <c r="L31" s="39">
        <f>VLOOKUP(E31,$AH$6:$AO$13,2,FALSE)</f>
        <v>0</v>
      </c>
      <c r="M31" s="39">
        <f t="shared" ref="M31:M38" si="33">K31-L31</f>
        <v>0</v>
      </c>
      <c r="N31" s="53">
        <f t="shared" ref="N31:N36" si="34">IFERROR((K31-L31)/K31,0)</f>
        <v>0</v>
      </c>
      <c r="O31" s="359">
        <f t="shared" ref="O31:P38" si="35">K31+G31</f>
        <v>76212.093739242686</v>
      </c>
      <c r="P31" s="39">
        <f t="shared" si="35"/>
        <v>72582.946418326363</v>
      </c>
      <c r="Q31" s="39">
        <f t="shared" ref="Q31:Q38" si="36">O31-P31</f>
        <v>3629.1473209163232</v>
      </c>
      <c r="R31" s="53">
        <f t="shared" ref="R31:R36" si="37">IFERROR((O31-P31)/O31,0)</f>
        <v>4.7619047619047686E-2</v>
      </c>
      <c r="V31" s="235"/>
      <c r="AE31" s="190"/>
      <c r="AF31" s="190"/>
    </row>
    <row r="32" spans="3:69" ht="13" x14ac:dyDescent="0.25">
      <c r="D32" s="40" t="s">
        <v>20</v>
      </c>
      <c r="E32" s="40" t="str">
        <f>VLOOKUP(1,$BE$6:$BF$13,2,FALSE)</f>
        <v>SOURCING</v>
      </c>
      <c r="F32" s="240">
        <f>IF($E$19=D32,VLOOKUP(D32,'Margin Calculation'!$S$14:$T$22,2,FALSE)+VLOOKUP("EXT",'Margin Calculation'!$S$14:$T$22,2,FALSE),VLOOKUP(D32,'Margin Calculation'!$S$14:$T$22,2,FALSE))</f>
        <v>0</v>
      </c>
      <c r="G32" s="193">
        <f>VLOOKUP(E32,$C$6:$K$13,3,FALSE)</f>
        <v>0</v>
      </c>
      <c r="H32" s="41">
        <f>VLOOKUP(E32,$L$6:$T$13,3,FALSE)</f>
        <v>0</v>
      </c>
      <c r="I32" s="41">
        <f t="shared" si="31"/>
        <v>0</v>
      </c>
      <c r="J32" s="54">
        <f t="shared" si="32"/>
        <v>0</v>
      </c>
      <c r="K32" s="193">
        <f>VLOOKUP(E32,$X$6:$AF$13,3,FALSE)</f>
        <v>0</v>
      </c>
      <c r="L32" s="41">
        <f>VLOOKUP(E32,$AH$6:$AO$13,3,FALSE)</f>
        <v>0</v>
      </c>
      <c r="M32" s="41">
        <f t="shared" si="33"/>
        <v>0</v>
      </c>
      <c r="N32" s="54">
        <f t="shared" si="34"/>
        <v>0</v>
      </c>
      <c r="O32" s="193">
        <f t="shared" si="35"/>
        <v>0</v>
      </c>
      <c r="P32" s="41">
        <f t="shared" si="35"/>
        <v>0</v>
      </c>
      <c r="Q32" s="41">
        <f t="shared" si="36"/>
        <v>0</v>
      </c>
      <c r="R32" s="54">
        <f t="shared" si="37"/>
        <v>0</v>
      </c>
      <c r="T32" s="235"/>
      <c r="U32" s="235"/>
      <c r="V32" s="87"/>
      <c r="AE32" s="190"/>
      <c r="AF32" s="190"/>
    </row>
    <row r="33" spans="4:32" ht="13" x14ac:dyDescent="0.25">
      <c r="D33" s="38" t="s">
        <v>15</v>
      </c>
      <c r="E33" s="38" t="str">
        <f>VLOOKUP(1,$BG$6:$BH$13,2,FALSE)</f>
        <v>P&amp;S</v>
      </c>
      <c r="F33" s="239">
        <f>IF($E$19=D33,VLOOKUP(D33,'Margin Calculation'!$S$14:$T$22,2,FALSE)+VLOOKUP("EXT",'Margin Calculation'!$S$14:$T$22,2,FALSE),VLOOKUP(D33,'Margin Calculation'!$S$14:$T$22,2,FALSE))</f>
        <v>0</v>
      </c>
      <c r="G33" s="192">
        <f>VLOOKUP(E33,$C$6:$K$13,4,FALSE)</f>
        <v>149799.72000000006</v>
      </c>
      <c r="H33" s="39">
        <f>VLOOKUP(E33,$L$6:$T$13,4,FALSE)</f>
        <v>134819.74800000005</v>
      </c>
      <c r="I33" s="39">
        <f t="shared" si="31"/>
        <v>14979.972000000009</v>
      </c>
      <c r="J33" s="53">
        <f t="shared" si="32"/>
        <v>0.10000000000000002</v>
      </c>
      <c r="K33" s="192">
        <f>VLOOKUP(E33,$X$6:$AF$13,4,FALSE)</f>
        <v>0</v>
      </c>
      <c r="L33" s="39">
        <f>VLOOKUP(E33,$AH$6:$AO$13,4,FALSE)</f>
        <v>0</v>
      </c>
      <c r="M33" s="39">
        <f t="shared" si="33"/>
        <v>0</v>
      </c>
      <c r="N33" s="53">
        <f t="shared" si="34"/>
        <v>0</v>
      </c>
      <c r="O33" s="192">
        <f>K33+G33+'Margin Calculation'!AB26</f>
        <v>149799.72000000006</v>
      </c>
      <c r="P33" s="39">
        <f t="shared" si="35"/>
        <v>134819.74800000005</v>
      </c>
      <c r="Q33" s="39">
        <f t="shared" si="36"/>
        <v>14979.972000000009</v>
      </c>
      <c r="R33" s="53">
        <f t="shared" si="37"/>
        <v>0.10000000000000002</v>
      </c>
      <c r="U33" s="235"/>
      <c r="AE33" s="190"/>
      <c r="AF33" s="190"/>
    </row>
    <row r="34" spans="4:32" ht="13" x14ac:dyDescent="0.25">
      <c r="D34" s="40" t="s">
        <v>16</v>
      </c>
      <c r="E34" s="40" t="str">
        <f>VLOOKUP(1,$BI$6:$BJ$13,2,FALSE)</f>
        <v>SOURCING</v>
      </c>
      <c r="F34" s="240">
        <f>IF($E$19=D34,VLOOKUP(D34,'Margin Calculation'!$S$14:$T$22,2,FALSE)+VLOOKUP("EXT",'Margin Calculation'!$S$14:$T$22,2,FALSE),VLOOKUP(D34,'Margin Calculation'!$S$14:$T$22,2,FALSE))</f>
        <v>118.59834500000001</v>
      </c>
      <c r="G34" s="193">
        <f>VLOOKUP(E34,$C$6:$K$13,5,FALSE)</f>
        <v>19609.837990051485</v>
      </c>
      <c r="H34" s="41">
        <f>VLOOKUP(E34,$L$6:$T$13,5,FALSE)</f>
        <v>18676.036181001415</v>
      </c>
      <c r="I34" s="41">
        <f t="shared" si="31"/>
        <v>933.80180905007001</v>
      </c>
      <c r="J34" s="54">
        <f t="shared" si="32"/>
        <v>4.7619047619047582E-2</v>
      </c>
      <c r="K34" s="193">
        <f>VLOOKUP(E34,$X$6:$AF$13,5,FALSE)</f>
        <v>0</v>
      </c>
      <c r="L34" s="41">
        <f>VLOOKUP(E34,$AH$6:$AO$13,5,FALSE)</f>
        <v>0</v>
      </c>
      <c r="M34" s="41">
        <f t="shared" si="33"/>
        <v>0</v>
      </c>
      <c r="N34" s="54">
        <f t="shared" si="34"/>
        <v>0</v>
      </c>
      <c r="O34" s="193">
        <f t="shared" si="35"/>
        <v>19609.837990051485</v>
      </c>
      <c r="P34" s="41">
        <f t="shared" si="35"/>
        <v>18676.036181001415</v>
      </c>
      <c r="Q34" s="41">
        <f t="shared" si="36"/>
        <v>933.80180905007001</v>
      </c>
      <c r="R34" s="54">
        <f t="shared" si="37"/>
        <v>4.7619047619047582E-2</v>
      </c>
      <c r="U34" s="235"/>
      <c r="AE34" s="53"/>
      <c r="AF34" s="53"/>
    </row>
    <row r="35" spans="4:32" ht="13" x14ac:dyDescent="0.25">
      <c r="D35" s="38" t="s">
        <v>417</v>
      </c>
      <c r="E35" s="38" t="str">
        <f>VLOOKUP(1,$BK$6:$BL$13,2,FALSE)</f>
        <v>B&amp;S</v>
      </c>
      <c r="F35" s="239">
        <f>IF($E$19=D35,VLOOKUP(D35,'Margin Calculation'!$S$14:$T$22,2,FALSE)+VLOOKUP("EXT",'Margin Calculation'!$S$14:$T$22,2,FALSE),VLOOKUP(D35,'Margin Calculation'!$S$14:$T$22,2,FALSE))</f>
        <v>0</v>
      </c>
      <c r="G35" s="192">
        <f>VLOOKUP(E35,$C$6:$K$13,6,FALSE)</f>
        <v>134819.74800000005</v>
      </c>
      <c r="H35" s="39">
        <f>VLOOKUP(E35,$L$6:$T$13,6,FALSE)</f>
        <v>95821.931729294171</v>
      </c>
      <c r="I35" s="39">
        <f t="shared" si="31"/>
        <v>38997.81627070588</v>
      </c>
      <c r="J35" s="53">
        <f t="shared" si="32"/>
        <v>0.28925893164186794</v>
      </c>
      <c r="K35" s="192">
        <f>VLOOKUP(E35,$X$6:$AF$13,6,FALSE)</f>
        <v>0</v>
      </c>
      <c r="L35" s="39">
        <f>VLOOKUP(E35,$AH$6:$AO$13,6,FALSE)</f>
        <v>0</v>
      </c>
      <c r="M35" s="39">
        <f t="shared" si="33"/>
        <v>0</v>
      </c>
      <c r="N35" s="53">
        <f t="shared" si="34"/>
        <v>0</v>
      </c>
      <c r="O35" s="192">
        <f t="shared" si="35"/>
        <v>134819.74800000005</v>
      </c>
      <c r="P35" s="39">
        <f t="shared" si="35"/>
        <v>95821.931729294171</v>
      </c>
      <c r="Q35" s="39">
        <f t="shared" si="36"/>
        <v>38997.81627070588</v>
      </c>
      <c r="R35" s="53">
        <f t="shared" si="37"/>
        <v>0.28925893164186794</v>
      </c>
    </row>
    <row r="36" spans="4:32" ht="13" x14ac:dyDescent="0.25">
      <c r="D36" s="40" t="s">
        <v>100</v>
      </c>
      <c r="E36" s="40" t="str">
        <f>VLOOKUP(1,$BM$6:$BN$13,2,FALSE)</f>
        <v>SOURCING</v>
      </c>
      <c r="F36" s="240">
        <f>IF($E$19=D36,VLOOKUP(D36,'Margin Calculation'!$S$14:$T$22,2,FALSE)+VLOOKUP("EXT",'Margin Calculation'!$S$14:$T$22,2,FALSE),VLOOKUP(D36,'Margin Calculation'!$S$14:$T$22,2,FALSE))</f>
        <v>0</v>
      </c>
      <c r="G36" s="193">
        <f>VLOOKUP(E36,$C$6:$K$13,7,FALSE)</f>
        <v>0</v>
      </c>
      <c r="H36" s="41">
        <f>VLOOKUP(E36,$L$6:$T$13,7,FALSE)</f>
        <v>0</v>
      </c>
      <c r="I36" s="41">
        <f t="shared" si="31"/>
        <v>0</v>
      </c>
      <c r="J36" s="54">
        <f t="shared" si="32"/>
        <v>0</v>
      </c>
      <c r="K36" s="193">
        <f>VLOOKUP(E36,$X$6:$AF$13,7,FALSE)</f>
        <v>0</v>
      </c>
      <c r="L36" s="41">
        <f>VLOOKUP(E36,$AH$6:$AO$13,7,FALSE)</f>
        <v>0</v>
      </c>
      <c r="M36" s="41">
        <f t="shared" si="33"/>
        <v>0</v>
      </c>
      <c r="N36" s="54">
        <f t="shared" si="34"/>
        <v>0</v>
      </c>
      <c r="O36" s="193">
        <f t="shared" si="35"/>
        <v>0</v>
      </c>
      <c r="P36" s="41">
        <f t="shared" si="35"/>
        <v>0</v>
      </c>
      <c r="Q36" s="41">
        <f t="shared" si="36"/>
        <v>0</v>
      </c>
      <c r="R36" s="54">
        <f t="shared" si="37"/>
        <v>0</v>
      </c>
    </row>
    <row r="37" spans="4:32" ht="13" x14ac:dyDescent="0.25">
      <c r="D37" s="360" t="s">
        <v>178</v>
      </c>
      <c r="E37" s="360" t="str">
        <f>VLOOKUP(1,$BO$6:$BP$13,2,FALSE)</f>
        <v>SOURCING</v>
      </c>
      <c r="F37" s="361">
        <f>IF($E$19=D37,VLOOKUP(D37,'Margin Calculation'!$S$14:$T$22,2,FALSE)+VLOOKUP("EXT",'Margin Calculation'!$S$14:$T$22,2,FALSE),VLOOKUP(D37,'Margin Calculation'!$S$14:$T$22,2,FALSE))</f>
        <v>0</v>
      </c>
      <c r="G37" s="192">
        <f>VLOOKUP(E37,$C$6:$K$13,8,FALSE)</f>
        <v>0</v>
      </c>
      <c r="H37" s="362">
        <f>VLOOKUP(E37,$L$6:$T$13,8,FALSE)</f>
        <v>0</v>
      </c>
      <c r="I37" s="362">
        <f t="shared" si="31"/>
        <v>0</v>
      </c>
      <c r="J37" s="363">
        <f>IFERROR((G37-H37)/G37,0)</f>
        <v>0</v>
      </c>
      <c r="K37" s="192">
        <f>VLOOKUP(E37,$X$6:$AF$13,8,FALSE)</f>
        <v>0</v>
      </c>
      <c r="L37" s="362">
        <f>VLOOKUP(E37,$AH$6:$AO$13,8,FALSE)</f>
        <v>0</v>
      </c>
      <c r="M37" s="362">
        <f t="shared" si="33"/>
        <v>0</v>
      </c>
      <c r="N37" s="363">
        <f>IFERROR((K37-L37)/K37,0)</f>
        <v>0</v>
      </c>
      <c r="O37" s="192">
        <f t="shared" si="35"/>
        <v>0</v>
      </c>
      <c r="P37" s="362">
        <f t="shared" si="35"/>
        <v>0</v>
      </c>
      <c r="Q37" s="362">
        <f t="shared" si="36"/>
        <v>0</v>
      </c>
      <c r="R37" s="363">
        <f>IFERROR((O37-P37)/O37,0)</f>
        <v>0</v>
      </c>
    </row>
    <row r="38" spans="4:32" ht="13" x14ac:dyDescent="0.25">
      <c r="D38" s="364" t="s">
        <v>354</v>
      </c>
      <c r="E38" s="364" t="str">
        <f>VLOOKUP(1,$BQ$6:$BR$13,2,FALSE)</f>
        <v>SOURCING</v>
      </c>
      <c r="F38" s="240">
        <f>IF($E$19=D38,VLOOKUP(D38,'Margin Calculation'!$S$14:$T$22,2,FALSE)+VLOOKUP("EXT",'Margin Calculation'!$S$14:$T$22,2,FALSE),VLOOKUP(D38,'Margin Calculation'!$S$14:$T$22,2,FALSE))</f>
        <v>0</v>
      </c>
      <c r="G38" s="193">
        <f>VLOOKUP(E38,$C$6:$K$13,9,FALSE)</f>
        <v>0</v>
      </c>
      <c r="H38" s="365">
        <f>VLOOKUP(E38,$L$6:$T$13,9,FALSE)</f>
        <v>0</v>
      </c>
      <c r="I38" s="365">
        <f t="shared" si="31"/>
        <v>0</v>
      </c>
      <c r="J38" s="54">
        <f t="shared" ref="J38" si="38">IFERROR((G38-H38)/G38,0)</f>
        <v>0</v>
      </c>
      <c r="K38" s="193">
        <f>VLOOKUP(E38,$X$6:$AF$13,9,FALSE)</f>
        <v>0</v>
      </c>
      <c r="L38" s="365">
        <f>VLOOKUP(E38,$AH$6:$AO$13,7,FALSE)</f>
        <v>0</v>
      </c>
      <c r="M38" s="365">
        <f t="shared" si="33"/>
        <v>0</v>
      </c>
      <c r="N38" s="54">
        <f t="shared" ref="N38" si="39">IFERROR((K38-L38)/K38,0)</f>
        <v>0</v>
      </c>
      <c r="O38" s="193">
        <f t="shared" si="35"/>
        <v>0</v>
      </c>
      <c r="P38" s="365">
        <f t="shared" si="35"/>
        <v>0</v>
      </c>
      <c r="Q38" s="365">
        <f t="shared" si="36"/>
        <v>0</v>
      </c>
      <c r="R38" s="366">
        <f t="shared" ref="R38" si="40">IFERROR((O38-P38)/O38,0)</f>
        <v>0</v>
      </c>
    </row>
    <row r="41" spans="4:32" ht="17" x14ac:dyDescent="0.4">
      <c r="D41" s="9" t="s">
        <v>356</v>
      </c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4:32" ht="18.5" x14ac:dyDescent="0.35">
      <c r="D42" s="238" t="s">
        <v>253</v>
      </c>
      <c r="E42" s="238"/>
      <c r="F42" s="238"/>
      <c r="G42" s="63" t="str">
        <f>+P42</f>
        <v>USD</v>
      </c>
      <c r="I42" s="238" t="s">
        <v>357</v>
      </c>
      <c r="J42" s="238"/>
      <c r="K42" s="238"/>
      <c r="L42" s="98"/>
      <c r="M42" s="99"/>
      <c r="N42" s="99"/>
      <c r="O42" s="99"/>
      <c r="P42" s="63" t="str">
        <f>+J29</f>
        <v>USD</v>
      </c>
    </row>
    <row r="43" spans="4:32" ht="14.5" x14ac:dyDescent="0.25">
      <c r="D43" s="89" t="s">
        <v>37</v>
      </c>
      <c r="E43" s="89" t="s">
        <v>54</v>
      </c>
      <c r="F43" s="89" t="s">
        <v>4</v>
      </c>
      <c r="G43" s="97" t="s">
        <v>63</v>
      </c>
      <c r="I43" s="96" t="s">
        <v>48</v>
      </c>
      <c r="J43" s="89" t="s">
        <v>38</v>
      </c>
      <c r="K43" s="89" t="s">
        <v>37</v>
      </c>
      <c r="L43" s="89" t="s">
        <v>4</v>
      </c>
      <c r="M43" s="89" t="s">
        <v>52</v>
      </c>
      <c r="N43" s="97" t="s">
        <v>63</v>
      </c>
      <c r="O43" s="97" t="s">
        <v>358</v>
      </c>
      <c r="P43" s="97" t="s">
        <v>359</v>
      </c>
    </row>
    <row r="44" spans="4:32" ht="13" x14ac:dyDescent="0.25">
      <c r="D44" s="39" t="s">
        <v>13</v>
      </c>
      <c r="E44" s="39" t="str">
        <f t="shared" ref="E44:E50" si="41">+VLOOKUP(D44,$D$31:$E$37,2,0)</f>
        <v>SOURCING</v>
      </c>
      <c r="F44" s="239">
        <f t="shared" ref="F44:F51" si="42">+SUMIF($K$44:$K$109,D44,$L$44:$L$109)</f>
        <v>0</v>
      </c>
      <c r="G44" s="239">
        <f t="shared" ref="G44:G51" si="43">IFERROR(+IF(LEFT(E44,1)="B",($C$16/$D$16*$F$52-($C$17)*(1+$E$22))*(1-$E$21),+IF(LEFT(E44,1)="P",SUM($N$44:$N$109),SUMIF($K$44:$K$109,D44,$P$44:$P$109))),0)</f>
        <v>0</v>
      </c>
      <c r="I44" s="46" t="str">
        <f>+'Margin Calculation'!D11</f>
        <v/>
      </c>
      <c r="J44" s="38" t="str">
        <f>+'Margin Calculation'!E11</f>
        <v/>
      </c>
      <c r="K44" s="38" t="str">
        <f>+IF('Margin Calculation'!F11="EXT",'Business Model'!$E$19,'Margin Calculation'!F11)</f>
        <v/>
      </c>
      <c r="L44" s="367"/>
      <c r="M44" s="239" t="str">
        <f>+IFERROR(L44*'Margin Calculation'!I11,"")</f>
        <v/>
      </c>
      <c r="N44" s="239" t="str">
        <f>+IF(M44="","",L44*'Margin Calculation'!H11)</f>
        <v/>
      </c>
      <c r="O44" s="239" t="str">
        <f>IF(K44="","",+IF(VLOOKUP(K44,$D$31:$E$38,2,0)="P&amp;S",'Margin Calculation'!H11,IF(VLOOKUP(K44,$D$31:$E$38,2,0)="BROKER",'Margin Calculation'!H11*(1-$E$21),IF(VLOOKUP(K44,$D$31:$E$38,2,0)="B&amp;S",'Margin Calculation'!H11*(1-$E$21),'Margin Calculation'!I11*(1+$E$22)))))</f>
        <v/>
      </c>
      <c r="P44" s="239" t="str">
        <f t="shared" ref="P44:P107" si="44">+IFERROR(L44*O44,"")</f>
        <v/>
      </c>
      <c r="S44" s="235"/>
    </row>
    <row r="45" spans="4:32" ht="13" x14ac:dyDescent="0.25">
      <c r="D45" s="41" t="s">
        <v>20</v>
      </c>
      <c r="E45" s="41" t="str">
        <f t="shared" si="41"/>
        <v>SOURCING</v>
      </c>
      <c r="F45" s="240">
        <f t="shared" si="42"/>
        <v>0</v>
      </c>
      <c r="G45" s="240">
        <f t="shared" si="43"/>
        <v>0</v>
      </c>
      <c r="I45" s="45" t="str">
        <f>+'Margin Calculation'!D12</f>
        <v xml:space="preserve">Service Manager 300 - Project Manager </v>
      </c>
      <c r="J45" s="40">
        <f>+'Margin Calculation'!E12</f>
        <v>300</v>
      </c>
      <c r="K45" s="40" t="str">
        <f>+IF('Margin Calculation'!F12="EXT",'Business Model'!$E$19,'Margin Calculation'!F12)</f>
        <v>PT</v>
      </c>
      <c r="L45" s="368"/>
      <c r="M45" s="240">
        <f>+IFERROR(L45*'Margin Calculation'!I12,"")</f>
        <v>0</v>
      </c>
      <c r="N45" s="240">
        <f>+IF(M45="","",L45*'Margin Calculation'!H12)</f>
        <v>0</v>
      </c>
      <c r="O45" s="240">
        <f>IF(K45="","",+IF(VLOOKUP(K45,$D$31:$E$38,2,0)="P&amp;S",'Margin Calculation'!H12,IF(VLOOKUP(K45,$D$31:$E$38,2,0)="BROKER",'Margin Calculation'!H12*(1-$E$21),IF(VLOOKUP(K45,$D$31:$E$38,2,0)="B&amp;S",'Margin Calculation'!H12*(1-$E$21),'Margin Calculation'!I12*(1+$E$22)))))</f>
        <v>531.33231279255847</v>
      </c>
      <c r="P45" s="240">
        <f t="shared" si="44"/>
        <v>0</v>
      </c>
      <c r="S45" s="235"/>
    </row>
    <row r="46" spans="4:32" ht="13" x14ac:dyDescent="0.25">
      <c r="D46" s="39" t="s">
        <v>15</v>
      </c>
      <c r="E46" s="39" t="str">
        <f t="shared" si="41"/>
        <v>P&amp;S</v>
      </c>
      <c r="F46" s="239">
        <f t="shared" si="42"/>
        <v>0</v>
      </c>
      <c r="G46" s="239">
        <f t="shared" si="43"/>
        <v>0</v>
      </c>
      <c r="I46" s="46" t="str">
        <f>+'Margin Calculation'!D13</f>
        <v xml:space="preserve">OPS Manager 303 - Senior Project Manager </v>
      </c>
      <c r="J46" s="38">
        <f>+'Margin Calculation'!E13</f>
        <v>303</v>
      </c>
      <c r="K46" s="38" t="str">
        <f>+IF('Margin Calculation'!F13="EXT",'Business Model'!$E$19,'Margin Calculation'!F13)</f>
        <v>BR</v>
      </c>
      <c r="L46" s="369"/>
      <c r="M46" s="239">
        <f>+IFERROR(L46*'Margin Calculation'!I13,"")</f>
        <v>0</v>
      </c>
      <c r="N46" s="239">
        <f>+IF(M46="","",L46*'Margin Calculation'!H13)</f>
        <v>0</v>
      </c>
      <c r="O46" s="239">
        <f>IF(K46="","",+IF(VLOOKUP(K46,$D$31:$E$38,2,0)="P&amp;S",'Margin Calculation'!H13,IF(VLOOKUP(K46,$D$31:$E$38,2,0)="BROKER",'Margin Calculation'!H13*(1-$E$21),IF(VLOOKUP(K46,$D$31:$E$38,2,0)="B&amp;S",'Margin Calculation'!H13*(1-$E$21),'Margin Calculation'!I13*(1+$E$22)))))</f>
        <v>489.63458483274945</v>
      </c>
      <c r="P46" s="239">
        <f t="shared" si="44"/>
        <v>0</v>
      </c>
      <c r="S46" s="235"/>
    </row>
    <row r="47" spans="4:32" ht="13" x14ac:dyDescent="0.25">
      <c r="D47" s="41" t="s">
        <v>16</v>
      </c>
      <c r="E47" s="41" t="str">
        <f t="shared" si="41"/>
        <v>SOURCING</v>
      </c>
      <c r="F47" s="240">
        <f t="shared" si="42"/>
        <v>0</v>
      </c>
      <c r="G47" s="240">
        <f t="shared" si="43"/>
        <v>0</v>
      </c>
      <c r="I47" s="45" t="str">
        <f>+'Margin Calculation'!D14</f>
        <v/>
      </c>
      <c r="J47" s="40" t="str">
        <f>+'Margin Calculation'!E14</f>
        <v/>
      </c>
      <c r="K47" s="40" t="str">
        <f>+IF('Margin Calculation'!F14="EXT",'Business Model'!$E$19,'Margin Calculation'!F14)</f>
        <v/>
      </c>
      <c r="L47" s="368"/>
      <c r="M47" s="240" t="str">
        <f>+IFERROR(L47*'Margin Calculation'!I14,"")</f>
        <v/>
      </c>
      <c r="N47" s="240" t="str">
        <f>+IF(M47="","",L47*'Margin Calculation'!H14)</f>
        <v/>
      </c>
      <c r="O47" s="240" t="str">
        <f>IF(K47="","",+IF(VLOOKUP(K47,$D$31:$E$38,2,0)="P&amp;S",'Margin Calculation'!H14,IF(VLOOKUP(K47,$D$31:$E$38,2,0)="BROKER",'Margin Calculation'!H14*(1-$E$21),IF(VLOOKUP(K47,$D$31:$E$38,2,0)="B&amp;S",'Margin Calculation'!H14*(1-$E$21),'Margin Calculation'!I14*(1+$E$22)))))</f>
        <v/>
      </c>
      <c r="P47" s="240" t="str">
        <f t="shared" si="44"/>
        <v/>
      </c>
      <c r="S47" s="235"/>
    </row>
    <row r="48" spans="4:32" ht="13" x14ac:dyDescent="0.25">
      <c r="D48" s="39" t="s">
        <v>417</v>
      </c>
      <c r="E48" s="39" t="str">
        <f t="shared" si="41"/>
        <v>B&amp;S</v>
      </c>
      <c r="F48" s="239">
        <f t="shared" si="42"/>
        <v>0</v>
      </c>
      <c r="G48" s="239">
        <f t="shared" si="43"/>
        <v>0</v>
      </c>
      <c r="I48" s="46" t="str">
        <f>+'Margin Calculation'!D15</f>
        <v xml:space="preserve">CMS Structure 403 - Non Executive Manager </v>
      </c>
      <c r="J48" s="38">
        <f>+'Margin Calculation'!E15</f>
        <v>403</v>
      </c>
      <c r="K48" s="38" t="str">
        <f>+IF('Margin Calculation'!F15="EXT",'Business Model'!$E$19,'Margin Calculation'!F15)</f>
        <v>PT</v>
      </c>
      <c r="L48" s="369"/>
      <c r="M48" s="239">
        <f>+IFERROR(L48*'Margin Calculation'!I15,"")</f>
        <v>0</v>
      </c>
      <c r="N48" s="239">
        <f>+IF(M48="","",L48*'Margin Calculation'!H15)</f>
        <v>0</v>
      </c>
      <c r="O48" s="239">
        <f>IF(K48="","",+IF(VLOOKUP(K48,$D$31:$E$38,2,0)="P&amp;S",'Margin Calculation'!H15,IF(VLOOKUP(K48,$D$31:$E$38,2,0)="BROKER",'Margin Calculation'!H15*(1-$E$21),IF(VLOOKUP(K48,$D$31:$E$38,2,0)="B&amp;S",'Margin Calculation'!H15*(1-$E$21),'Margin Calculation'!I15*(1+$E$22)))))</f>
        <v>1238.7959917642659</v>
      </c>
      <c r="P48" s="239">
        <f t="shared" si="44"/>
        <v>0</v>
      </c>
      <c r="S48" s="235"/>
    </row>
    <row r="49" spans="4:19" ht="13" x14ac:dyDescent="0.25">
      <c r="D49" s="41" t="s">
        <v>100</v>
      </c>
      <c r="E49" s="41" t="str">
        <f t="shared" si="41"/>
        <v>SOURCING</v>
      </c>
      <c r="F49" s="240">
        <f t="shared" si="42"/>
        <v>0</v>
      </c>
      <c r="G49" s="240">
        <f t="shared" si="43"/>
        <v>0</v>
      </c>
      <c r="I49" s="45" t="str">
        <f>+'Margin Calculation'!D16</f>
        <v xml:space="preserve">CMS Structure 400 - Delivery Manager </v>
      </c>
      <c r="J49" s="40">
        <f>+'Margin Calculation'!E16</f>
        <v>400</v>
      </c>
      <c r="K49" s="40" t="str">
        <f>+IF('Margin Calculation'!F16="EXT",'Business Model'!$E$19,'Margin Calculation'!F16)</f>
        <v>PT</v>
      </c>
      <c r="L49" s="368"/>
      <c r="M49" s="240">
        <f>+IFERROR(L49*'Margin Calculation'!I16,"")</f>
        <v>0</v>
      </c>
      <c r="N49" s="240">
        <f>+IF(M49="","",L49*'Margin Calculation'!H16)</f>
        <v>0</v>
      </c>
      <c r="O49" s="240">
        <f>IF(K49="","",+IF(VLOOKUP(K49,$D$31:$E$38,2,0)="P&amp;S",'Margin Calculation'!H16,IF(VLOOKUP(K49,$D$31:$E$38,2,0)="BROKER",'Margin Calculation'!H16*(1-$E$21),IF(VLOOKUP(K49,$D$31:$E$38,2,0)="B&amp;S",'Margin Calculation'!H16*(1-$E$21),'Margin Calculation'!I16*(1+$E$22)))))</f>
        <v>848.30875670871569</v>
      </c>
      <c r="P49" s="240">
        <f t="shared" si="44"/>
        <v>0</v>
      </c>
      <c r="S49" s="235"/>
    </row>
    <row r="50" spans="4:19" ht="13" x14ac:dyDescent="0.25">
      <c r="D50" s="39" t="s">
        <v>178</v>
      </c>
      <c r="E50" s="39" t="str">
        <f t="shared" si="41"/>
        <v>SOURCING</v>
      </c>
      <c r="F50" s="239">
        <f t="shared" si="42"/>
        <v>0</v>
      </c>
      <c r="G50" s="239">
        <f t="shared" si="43"/>
        <v>0</v>
      </c>
      <c r="I50" s="46" t="str">
        <f>+'Margin Calculation'!D17</f>
        <v xml:space="preserve">CMS Structure 400 - Principal Solutions Architect </v>
      </c>
      <c r="J50" s="38">
        <f>+'Margin Calculation'!E17</f>
        <v>400</v>
      </c>
      <c r="K50" s="38" t="str">
        <f>+IF('Margin Calculation'!F17="EXT",'Business Model'!$E$19,'Margin Calculation'!F17)</f>
        <v>PT</v>
      </c>
      <c r="L50" s="369"/>
      <c r="M50" s="239">
        <f>+IFERROR(L50*'Margin Calculation'!I17,"")</f>
        <v>0</v>
      </c>
      <c r="N50" s="239">
        <f>+IF(M50="","",L50*'Margin Calculation'!H17)</f>
        <v>0</v>
      </c>
      <c r="O50" s="239">
        <f>IF(K50="","",+IF(VLOOKUP(K50,$D$31:$E$38,2,0)="P&amp;S",'Margin Calculation'!H17,IF(VLOOKUP(K50,$D$31:$E$38,2,0)="BROKER",'Margin Calculation'!H17*(1-$E$21),IF(VLOOKUP(K50,$D$31:$E$38,2,0)="B&amp;S",'Margin Calculation'!H17*(1-$E$21),'Margin Calculation'!I17*(1+$E$22)))))</f>
        <v>848.30875670871569</v>
      </c>
      <c r="P50" s="239">
        <f t="shared" si="44"/>
        <v>0</v>
      </c>
      <c r="S50" s="235"/>
    </row>
    <row r="51" spans="4:19" ht="13" x14ac:dyDescent="0.25">
      <c r="D51" s="41" t="s">
        <v>354</v>
      </c>
      <c r="E51" s="41" t="str">
        <f>+VLOOKUP(D51,$D$31:$E$38,2,0)</f>
        <v>SOURCING</v>
      </c>
      <c r="F51" s="240">
        <f t="shared" si="42"/>
        <v>0</v>
      </c>
      <c r="G51" s="240">
        <f t="shared" si="43"/>
        <v>0</v>
      </c>
      <c r="I51" s="45" t="str">
        <f>+'Margin Calculation'!D18</f>
        <v xml:space="preserve">CMS Structure 302 - Senior Project Manager </v>
      </c>
      <c r="J51" s="40">
        <f>+'Margin Calculation'!E18</f>
        <v>302</v>
      </c>
      <c r="K51" s="40" t="str">
        <f>+IF('Margin Calculation'!F18="EXT",'Business Model'!$E$19,'Margin Calculation'!F18)</f>
        <v>PT</v>
      </c>
      <c r="L51" s="368"/>
      <c r="M51" s="240">
        <f>+IFERROR(L51*'Margin Calculation'!I18,"")</f>
        <v>0</v>
      </c>
      <c r="N51" s="240">
        <f>+IF(M51="","",L51*'Margin Calculation'!H18)</f>
        <v>0</v>
      </c>
      <c r="O51" s="240">
        <f>IF(K51="","",+IF(VLOOKUP(K51,$D$31:$E$38,2,0)="P&amp;S",'Margin Calculation'!H18,IF(VLOOKUP(K51,$D$31:$E$38,2,0)="BROKER",'Margin Calculation'!H18*(1-$E$21),IF(VLOOKUP(K51,$D$31:$E$38,2,0)="B&amp;S",'Margin Calculation'!H18*(1-$E$21),'Margin Calculation'!I18*(1+$E$22)))))</f>
        <v>675.52357995059992</v>
      </c>
      <c r="P51" s="240">
        <f t="shared" si="44"/>
        <v>0</v>
      </c>
      <c r="S51" s="235"/>
    </row>
    <row r="52" spans="4:19" ht="13.5" thickBot="1" x14ac:dyDescent="0.3">
      <c r="F52" s="370">
        <f>+SUM(F44:F51)</f>
        <v>0</v>
      </c>
      <c r="I52" s="46" t="str">
        <f>+'Margin Calculation'!D19</f>
        <v/>
      </c>
      <c r="J52" s="38" t="str">
        <f>+'Margin Calculation'!E19</f>
        <v/>
      </c>
      <c r="K52" s="38" t="str">
        <f>+IF('Margin Calculation'!F19="EXT",'Business Model'!$E$19,'Margin Calculation'!F19)</f>
        <v/>
      </c>
      <c r="L52" s="369"/>
      <c r="M52" s="239" t="str">
        <f>+IFERROR(L52*'Margin Calculation'!I19,"")</f>
        <v/>
      </c>
      <c r="N52" s="239" t="str">
        <f>+IF(M52="","",L52*'Margin Calculation'!H19)</f>
        <v/>
      </c>
      <c r="O52" s="239" t="str">
        <f>IF(K52="","",+IF(VLOOKUP(K52,$D$31:$E$38,2,0)="P&amp;S",'Margin Calculation'!H19,IF(VLOOKUP(K52,$D$31:$E$38,2,0)="BROKER",'Margin Calculation'!H19*(1-$E$21),IF(VLOOKUP(K52,$D$31:$E$38,2,0)="B&amp;S",'Margin Calculation'!H19*(1-$E$21),'Margin Calculation'!I19*(1+$E$22)))))</f>
        <v/>
      </c>
      <c r="P52" s="239" t="str">
        <f t="shared" si="44"/>
        <v/>
      </c>
    </row>
    <row r="53" spans="4:19" ht="13.5" thickTop="1" x14ac:dyDescent="0.25">
      <c r="I53" s="45" t="str">
        <f>+'Margin Calculation'!D20</f>
        <v/>
      </c>
      <c r="J53" s="40" t="str">
        <f>+'Margin Calculation'!E20</f>
        <v/>
      </c>
      <c r="K53" s="40" t="str">
        <f>+IF('Margin Calculation'!F20="EXT",'Business Model'!$E$19,'Margin Calculation'!F20)</f>
        <v/>
      </c>
      <c r="L53" s="368"/>
      <c r="M53" s="240" t="str">
        <f>+IFERROR(L53*'Margin Calculation'!I20,"")</f>
        <v/>
      </c>
      <c r="N53" s="240" t="str">
        <f>+IF(M53="","",L53*'Margin Calculation'!H20)</f>
        <v/>
      </c>
      <c r="O53" s="240" t="str">
        <f>IF(K53="","",+IF(VLOOKUP(K53,$D$31:$E$38,2,0)="P&amp;S",'Margin Calculation'!H20,IF(VLOOKUP(K53,$D$31:$E$38,2,0)="BROKER",'Margin Calculation'!H20*(1-$E$21),IF(VLOOKUP(K53,$D$31:$E$38,2,0)="B&amp;S",'Margin Calculation'!H20*(1-$E$21),'Margin Calculation'!I20*(1+$E$22)))))</f>
        <v/>
      </c>
      <c r="P53" s="240" t="str">
        <f t="shared" si="44"/>
        <v/>
      </c>
    </row>
    <row r="54" spans="4:19" ht="13" x14ac:dyDescent="0.25">
      <c r="I54" s="46" t="str">
        <f>+'Margin Calculation'!D21</f>
        <v/>
      </c>
      <c r="J54" s="38" t="str">
        <f>+'Margin Calculation'!E21</f>
        <v/>
      </c>
      <c r="K54" s="38" t="str">
        <f>+IF('Margin Calculation'!F21="EXT",'Business Model'!$E$19,'Margin Calculation'!F21)</f>
        <v/>
      </c>
      <c r="L54" s="369"/>
      <c r="M54" s="239" t="str">
        <f>+IFERROR(L54*'Margin Calculation'!I21,"")</f>
        <v/>
      </c>
      <c r="N54" s="239" t="str">
        <f>+IF(M54="","",L54*'Margin Calculation'!H21)</f>
        <v/>
      </c>
      <c r="O54" s="239" t="str">
        <f>IF(K54="","",+IF(VLOOKUP(K54,$D$31:$E$38,2,0)="P&amp;S",'Margin Calculation'!H21,IF(VLOOKUP(K54,$D$31:$E$38,2,0)="BROKER",'Margin Calculation'!H21*(1-$E$21),IF(VLOOKUP(K54,$D$31:$E$38,2,0)="B&amp;S",'Margin Calculation'!H21*(1-$E$21),'Margin Calculation'!I21*(1+$E$22)))))</f>
        <v/>
      </c>
      <c r="P54" s="239" t="str">
        <f t="shared" si="44"/>
        <v/>
      </c>
    </row>
    <row r="55" spans="4:19" ht="13" x14ac:dyDescent="0.25">
      <c r="I55" s="45" t="str">
        <f>+'Margin Calculation'!D22</f>
        <v/>
      </c>
      <c r="J55" s="40" t="str">
        <f>+'Margin Calculation'!E22</f>
        <v/>
      </c>
      <c r="K55" s="40" t="str">
        <f>+IF('Margin Calculation'!F22="EXT",'Business Model'!$E$19,'Margin Calculation'!F22)</f>
        <v/>
      </c>
      <c r="L55" s="368"/>
      <c r="M55" s="240" t="str">
        <f>+IFERROR(L55*'Margin Calculation'!I22,"")</f>
        <v/>
      </c>
      <c r="N55" s="240" t="str">
        <f>+IF(M55="","",L55*'Margin Calculation'!H22)</f>
        <v/>
      </c>
      <c r="O55" s="240" t="str">
        <f>IF(K55="","",+IF(VLOOKUP(K55,$D$31:$E$38,2,0)="P&amp;S",'Margin Calculation'!H22,IF(VLOOKUP(K55,$D$31:$E$38,2,0)="BROKER",'Margin Calculation'!H22*(1-$E$21),IF(VLOOKUP(K55,$D$31:$E$38,2,0)="B&amp;S",'Margin Calculation'!H22*(1-$E$21),'Margin Calculation'!I22*(1+$E$22)))))</f>
        <v/>
      </c>
      <c r="P55" s="240" t="str">
        <f t="shared" si="44"/>
        <v/>
      </c>
    </row>
    <row r="56" spans="4:19" ht="13" x14ac:dyDescent="0.25">
      <c r="I56" s="46" t="str">
        <f>+'Margin Calculation'!D23</f>
        <v/>
      </c>
      <c r="J56" s="38" t="str">
        <f>+'Margin Calculation'!E23</f>
        <v/>
      </c>
      <c r="K56" s="38" t="str">
        <f>+IF('Margin Calculation'!F23="EXT",'Business Model'!$E$19,'Margin Calculation'!F23)</f>
        <v/>
      </c>
      <c r="L56" s="369"/>
      <c r="M56" s="239" t="str">
        <f>+IFERROR(L56*'Margin Calculation'!I23,"")</f>
        <v/>
      </c>
      <c r="N56" s="239" t="str">
        <f>+IF(M56="","",L56*'Margin Calculation'!H23)</f>
        <v/>
      </c>
      <c r="O56" s="239" t="str">
        <f>IF(K56="","",+IF(VLOOKUP(K56,$D$31:$E$38,2,0)="P&amp;S",'Margin Calculation'!H23,IF(VLOOKUP(K56,$D$31:$E$38,2,0)="BROKER",'Margin Calculation'!H23*(1-$E$21),IF(VLOOKUP(K56,$D$31:$E$38,2,0)="B&amp;S",'Margin Calculation'!H23*(1-$E$21),'Margin Calculation'!I23*(1+$E$22)))))</f>
        <v/>
      </c>
      <c r="P56" s="239" t="str">
        <f t="shared" si="44"/>
        <v/>
      </c>
    </row>
    <row r="57" spans="4:19" ht="13" x14ac:dyDescent="0.25">
      <c r="I57" s="45" t="str">
        <f>+'Margin Calculation'!D24</f>
        <v/>
      </c>
      <c r="J57" s="40" t="str">
        <f>+'Margin Calculation'!E24</f>
        <v/>
      </c>
      <c r="K57" s="40" t="str">
        <f>+IF('Margin Calculation'!F24="EXT",'Business Model'!$E$19,'Margin Calculation'!F24)</f>
        <v/>
      </c>
      <c r="L57" s="368"/>
      <c r="M57" s="240" t="str">
        <f>+IFERROR(L57*'Margin Calculation'!I24,"")</f>
        <v/>
      </c>
      <c r="N57" s="240" t="str">
        <f>+IF(M57="","",L57*'Margin Calculation'!H24)</f>
        <v/>
      </c>
      <c r="O57" s="240" t="str">
        <f>IF(K57="","",+IF(VLOOKUP(K57,$D$31:$E$38,2,0)="P&amp;S",'Margin Calculation'!H24,IF(VLOOKUP(K57,$D$31:$E$38,2,0)="BROKER",'Margin Calculation'!H24*(1-$E$21),IF(VLOOKUP(K57,$D$31:$E$38,2,0)="B&amp;S",'Margin Calculation'!H24*(1-$E$21),'Margin Calculation'!I24*(1+$E$22)))))</f>
        <v/>
      </c>
      <c r="P57" s="240" t="str">
        <f t="shared" si="44"/>
        <v/>
      </c>
    </row>
    <row r="58" spans="4:19" ht="13" x14ac:dyDescent="0.25">
      <c r="I58" s="46" t="str">
        <f>+'Margin Calculation'!D25</f>
        <v/>
      </c>
      <c r="J58" s="38" t="str">
        <f>+'Margin Calculation'!E25</f>
        <v/>
      </c>
      <c r="K58" s="38" t="str">
        <f>+IF('Margin Calculation'!F25="EXT",'Business Model'!$E$19,'Margin Calculation'!F25)</f>
        <v/>
      </c>
      <c r="L58" s="369"/>
      <c r="M58" s="239" t="str">
        <f>+IFERROR(L58*'Margin Calculation'!I25,"")</f>
        <v/>
      </c>
      <c r="N58" s="239" t="str">
        <f>+IF(M58="","",L58*'Margin Calculation'!H25)</f>
        <v/>
      </c>
      <c r="O58" s="239" t="str">
        <f>IF(K58="","",+IF(VLOOKUP(K58,$D$31:$E$38,2,0)="P&amp;S",'Margin Calculation'!H25,IF(VLOOKUP(K58,$D$31:$E$38,2,0)="BROKER",'Margin Calculation'!H25*(1-$E$21),IF(VLOOKUP(K58,$D$31:$E$38,2,0)="B&amp;S",'Margin Calculation'!H25*(1-$E$21),'Margin Calculation'!I25*(1+$E$22)))))</f>
        <v/>
      </c>
      <c r="P58" s="239" t="str">
        <f t="shared" si="44"/>
        <v/>
      </c>
    </row>
    <row r="59" spans="4:19" ht="13" x14ac:dyDescent="0.25">
      <c r="I59" s="45" t="str">
        <f>+'Margin Calculation'!D26</f>
        <v/>
      </c>
      <c r="J59" s="40" t="str">
        <f>+'Margin Calculation'!E26</f>
        <v/>
      </c>
      <c r="K59" s="40" t="str">
        <f>+IF('Margin Calculation'!F26="EXT",'Business Model'!$E$19,'Margin Calculation'!F26)</f>
        <v/>
      </c>
      <c r="L59" s="368"/>
      <c r="M59" s="240" t="str">
        <f>+IFERROR(L59*'Margin Calculation'!I26,"")</f>
        <v/>
      </c>
      <c r="N59" s="240" t="str">
        <f>+IF(M59="","",L59*'Margin Calculation'!H26)</f>
        <v/>
      </c>
      <c r="O59" s="240" t="str">
        <f>IF(K59="","",+IF(VLOOKUP(K59,$D$31:$E$38,2,0)="P&amp;S",'Margin Calculation'!H26,IF(VLOOKUP(K59,$D$31:$E$38,2,0)="BROKER",'Margin Calculation'!H26*(1-$E$21),IF(VLOOKUP(K59,$D$31:$E$38,2,0)="B&amp;S",'Margin Calculation'!H26*(1-$E$21),'Margin Calculation'!I26*(1+$E$22)))))</f>
        <v/>
      </c>
      <c r="P59" s="240" t="str">
        <f t="shared" si="44"/>
        <v/>
      </c>
    </row>
    <row r="60" spans="4:19" ht="13" x14ac:dyDescent="0.25">
      <c r="I60" s="46" t="str">
        <f>+'Margin Calculation'!D27</f>
        <v/>
      </c>
      <c r="J60" s="38" t="str">
        <f>+'Margin Calculation'!E27</f>
        <v/>
      </c>
      <c r="K60" s="38" t="str">
        <f>+IF('Margin Calculation'!F27="EXT",'Business Model'!$E$19,'Margin Calculation'!F27)</f>
        <v/>
      </c>
      <c r="L60" s="369"/>
      <c r="M60" s="239" t="str">
        <f>+IFERROR(L60*'Margin Calculation'!I27,"")</f>
        <v/>
      </c>
      <c r="N60" s="239" t="str">
        <f>+IF(M60="","",L60*'Margin Calculation'!H27)</f>
        <v/>
      </c>
      <c r="O60" s="239" t="str">
        <f>IF(K60="","",+IF(VLOOKUP(K60,$D$31:$E$38,2,0)="P&amp;S",'Margin Calculation'!H27,IF(VLOOKUP(K60,$D$31:$E$38,2,0)="BROKER",'Margin Calculation'!H27*(1-$E$21),IF(VLOOKUP(K60,$D$31:$E$38,2,0)="B&amp;S",'Margin Calculation'!H27*(1-$E$21),'Margin Calculation'!I27*(1+$E$22)))))</f>
        <v/>
      </c>
      <c r="P60" s="239" t="str">
        <f t="shared" si="44"/>
        <v/>
      </c>
    </row>
    <row r="61" spans="4:19" ht="13" x14ac:dyDescent="0.25">
      <c r="I61" s="45" t="str">
        <f>+'Margin Calculation'!D28</f>
        <v/>
      </c>
      <c r="J61" s="40" t="str">
        <f>+'Margin Calculation'!E28</f>
        <v/>
      </c>
      <c r="K61" s="40" t="str">
        <f>+IF('Margin Calculation'!F28="EXT",'Business Model'!$E$19,'Margin Calculation'!F28)</f>
        <v/>
      </c>
      <c r="L61" s="368"/>
      <c r="M61" s="240" t="str">
        <f>+IFERROR(L61*'Margin Calculation'!I28,"")</f>
        <v/>
      </c>
      <c r="N61" s="240" t="str">
        <f>+IF(M61="","",L61*'Margin Calculation'!H28)</f>
        <v/>
      </c>
      <c r="O61" s="240" t="str">
        <f>IF(K61="","",+IF(VLOOKUP(K61,$D$31:$E$38,2,0)="P&amp;S",'Margin Calculation'!H28,IF(VLOOKUP(K61,$D$31:$E$38,2,0)="BROKER",'Margin Calculation'!H28*(1-$E$21),IF(VLOOKUP(K61,$D$31:$E$38,2,0)="B&amp;S",'Margin Calculation'!H28*(1-$E$21),'Margin Calculation'!I28*(1+$E$22)))))</f>
        <v/>
      </c>
      <c r="P61" s="240" t="str">
        <f t="shared" si="44"/>
        <v/>
      </c>
    </row>
    <row r="62" spans="4:19" ht="13" x14ac:dyDescent="0.25">
      <c r="I62" s="46" t="str">
        <f>+'Margin Calculation'!D29</f>
        <v/>
      </c>
      <c r="J62" s="38" t="str">
        <f>+'Margin Calculation'!E29</f>
        <v/>
      </c>
      <c r="K62" s="38" t="str">
        <f>+IF('Margin Calculation'!F29="EXT",'Business Model'!$E$19,'Margin Calculation'!F29)</f>
        <v/>
      </c>
      <c r="L62" s="369"/>
      <c r="M62" s="239" t="str">
        <f>+IFERROR(L62*'Margin Calculation'!I29,"")</f>
        <v/>
      </c>
      <c r="N62" s="239" t="str">
        <f>+IF(M62="","",L62*'Margin Calculation'!H29)</f>
        <v/>
      </c>
      <c r="O62" s="239" t="str">
        <f>IF(K62="","",+IF(VLOOKUP(K62,$D$31:$E$38,2,0)="P&amp;S",'Margin Calculation'!H29,IF(VLOOKUP(K62,$D$31:$E$38,2,0)="BROKER",'Margin Calculation'!H29*(1-$E$21),IF(VLOOKUP(K62,$D$31:$E$38,2,0)="B&amp;S",'Margin Calculation'!H29*(1-$E$21),'Margin Calculation'!I29*(1+$E$22)))))</f>
        <v/>
      </c>
      <c r="P62" s="239" t="str">
        <f t="shared" si="44"/>
        <v/>
      </c>
    </row>
    <row r="63" spans="4:19" ht="13" x14ac:dyDescent="0.25">
      <c r="I63" s="45" t="str">
        <f>+'Margin Calculation'!D30</f>
        <v/>
      </c>
      <c r="J63" s="40" t="str">
        <f>+'Margin Calculation'!E30</f>
        <v/>
      </c>
      <c r="K63" s="40" t="str">
        <f>+IF('Margin Calculation'!F30="EXT",'Business Model'!$E$19,'Margin Calculation'!F30)</f>
        <v/>
      </c>
      <c r="L63" s="368"/>
      <c r="M63" s="240" t="str">
        <f>+IFERROR(L63*'Margin Calculation'!I30,"")</f>
        <v/>
      </c>
      <c r="N63" s="240" t="str">
        <f>+IF(M63="","",L63*'Margin Calculation'!H30)</f>
        <v/>
      </c>
      <c r="O63" s="240" t="str">
        <f>IF(K63="","",+IF(VLOOKUP(K63,$D$31:$E$38,2,0)="P&amp;S",'Margin Calculation'!H30,IF(VLOOKUP(K63,$D$31:$E$38,2,0)="BROKER",'Margin Calculation'!H30*(1-$E$21),IF(VLOOKUP(K63,$D$31:$E$38,2,0)="B&amp;S",'Margin Calculation'!H30*(1-$E$21),'Margin Calculation'!I30*(1+$E$22)))))</f>
        <v/>
      </c>
      <c r="P63" s="240" t="str">
        <f t="shared" si="44"/>
        <v/>
      </c>
    </row>
    <row r="64" spans="4:19" ht="13" x14ac:dyDescent="0.25">
      <c r="I64" s="46" t="str">
        <f>+'Margin Calculation'!D31</f>
        <v/>
      </c>
      <c r="J64" s="38" t="str">
        <f>+'Margin Calculation'!E31</f>
        <v/>
      </c>
      <c r="K64" s="38" t="str">
        <f>+IF('Margin Calculation'!F31="EXT",'Business Model'!$E$19,'Margin Calculation'!F31)</f>
        <v/>
      </c>
      <c r="L64" s="369"/>
      <c r="M64" s="239" t="str">
        <f>+IFERROR(L64*'Margin Calculation'!I31,"")</f>
        <v/>
      </c>
      <c r="N64" s="239" t="str">
        <f>+IF(M64="","",L64*'Margin Calculation'!H31)</f>
        <v/>
      </c>
      <c r="O64" s="239" t="str">
        <f>IF(K64="","",+IF(VLOOKUP(K64,$D$31:$E$38,2,0)="P&amp;S",'Margin Calculation'!H31,IF(VLOOKUP(K64,$D$31:$E$38,2,0)="BROKER",'Margin Calculation'!H31*(1-$E$21),IF(VLOOKUP(K64,$D$31:$E$38,2,0)="B&amp;S",'Margin Calculation'!H31*(1-$E$21),'Margin Calculation'!I31*(1+$E$22)))))</f>
        <v/>
      </c>
      <c r="P64" s="239" t="str">
        <f t="shared" si="44"/>
        <v/>
      </c>
    </row>
    <row r="65" spans="9:16" ht="13" x14ac:dyDescent="0.25">
      <c r="I65" s="45" t="str">
        <f>+'Margin Calculation'!D32</f>
        <v/>
      </c>
      <c r="J65" s="40" t="str">
        <f>+'Margin Calculation'!E32</f>
        <v/>
      </c>
      <c r="K65" s="40" t="str">
        <f>+IF('Margin Calculation'!F32="EXT",'Business Model'!$E$19,'Margin Calculation'!F32)</f>
        <v/>
      </c>
      <c r="L65" s="368"/>
      <c r="M65" s="240" t="str">
        <f>+IFERROR(L65*'Margin Calculation'!I32,"")</f>
        <v/>
      </c>
      <c r="N65" s="240" t="str">
        <f>+IF(M65="","",L65*'Margin Calculation'!H32)</f>
        <v/>
      </c>
      <c r="O65" s="240" t="str">
        <f>IF(K65="","",+IF(VLOOKUP(K65,$D$31:$E$38,2,0)="P&amp;S",'Margin Calculation'!H32,IF(VLOOKUP(K65,$D$31:$E$38,2,0)="BROKER",'Margin Calculation'!H32*(1-$E$21),IF(VLOOKUP(K65,$D$31:$E$38,2,0)="B&amp;S",'Margin Calculation'!H32*(1-$E$21),'Margin Calculation'!I32*(1+$E$22)))))</f>
        <v/>
      </c>
      <c r="P65" s="240" t="str">
        <f t="shared" si="44"/>
        <v/>
      </c>
    </row>
    <row r="66" spans="9:16" ht="13" x14ac:dyDescent="0.25">
      <c r="I66" s="46" t="str">
        <f>+'Margin Calculation'!D33</f>
        <v/>
      </c>
      <c r="J66" s="38" t="str">
        <f>+'Margin Calculation'!E33</f>
        <v/>
      </c>
      <c r="K66" s="38" t="str">
        <f>+IF('Margin Calculation'!F33="EXT",'Business Model'!$E$19,'Margin Calculation'!F33)</f>
        <v/>
      </c>
      <c r="L66" s="369"/>
      <c r="M66" s="239" t="str">
        <f>+IFERROR(L66*'Margin Calculation'!I33,"")</f>
        <v/>
      </c>
      <c r="N66" s="239" t="str">
        <f>+IF(M66="","",L66*'Margin Calculation'!H33)</f>
        <v/>
      </c>
      <c r="O66" s="239" t="str">
        <f>IF(K66="","",+IF(VLOOKUP(K66,$D$31:$E$38,2,0)="P&amp;S",'Margin Calculation'!H33,IF(VLOOKUP(K66,$D$31:$E$38,2,0)="BROKER",'Margin Calculation'!H33*(1-$E$21),IF(VLOOKUP(K66,$D$31:$E$38,2,0)="B&amp;S",'Margin Calculation'!H33*(1-$E$21),'Margin Calculation'!I33*(1+$E$22)))))</f>
        <v/>
      </c>
      <c r="P66" s="239" t="str">
        <f t="shared" si="44"/>
        <v/>
      </c>
    </row>
    <row r="67" spans="9:16" ht="13" x14ac:dyDescent="0.25">
      <c r="I67" s="45" t="str">
        <f>+'Margin Calculation'!D34</f>
        <v/>
      </c>
      <c r="J67" s="40" t="str">
        <f>+'Margin Calculation'!E34</f>
        <v/>
      </c>
      <c r="K67" s="40" t="str">
        <f>+IF('Margin Calculation'!F34="EXT",'Business Model'!$E$19,'Margin Calculation'!F34)</f>
        <v/>
      </c>
      <c r="L67" s="368"/>
      <c r="M67" s="240" t="str">
        <f>+IFERROR(L67*'Margin Calculation'!I34,"")</f>
        <v/>
      </c>
      <c r="N67" s="240" t="str">
        <f>+IF(M67="","",L67*'Margin Calculation'!H34)</f>
        <v/>
      </c>
      <c r="O67" s="240" t="str">
        <f>IF(K67="","",+IF(VLOOKUP(K67,$D$31:$E$38,2,0)="P&amp;S",'Margin Calculation'!H34,IF(VLOOKUP(K67,$D$31:$E$38,2,0)="BROKER",'Margin Calculation'!H34*(1-$E$21),IF(VLOOKUP(K67,$D$31:$E$38,2,0)="B&amp;S",'Margin Calculation'!H34*(1-$E$21),'Margin Calculation'!I34*(1+$E$22)))))</f>
        <v/>
      </c>
      <c r="P67" s="240" t="str">
        <f t="shared" si="44"/>
        <v/>
      </c>
    </row>
    <row r="68" spans="9:16" ht="13" x14ac:dyDescent="0.25">
      <c r="I68" s="46" t="str">
        <f>+'Margin Calculation'!D35</f>
        <v/>
      </c>
      <c r="J68" s="38" t="str">
        <f>+'Margin Calculation'!E35</f>
        <v/>
      </c>
      <c r="K68" s="38" t="str">
        <f>+IF('Margin Calculation'!F35="EXT",'Business Model'!$E$19,'Margin Calculation'!F35)</f>
        <v/>
      </c>
      <c r="L68" s="369"/>
      <c r="M68" s="239" t="str">
        <f>+IFERROR(L68*'Margin Calculation'!I35,"")</f>
        <v/>
      </c>
      <c r="N68" s="239" t="str">
        <f>+IF(M68="","",L68*'Margin Calculation'!H35)</f>
        <v/>
      </c>
      <c r="O68" s="239" t="str">
        <f>IF(K68="","",+IF(VLOOKUP(K68,$D$31:$E$38,2,0)="P&amp;S",'Margin Calculation'!H35,IF(VLOOKUP(K68,$D$31:$E$38,2,0)="BROKER",'Margin Calculation'!H35*(1-$E$21),IF(VLOOKUP(K68,$D$31:$E$38,2,0)="B&amp;S",'Margin Calculation'!H35*(1-$E$21),'Margin Calculation'!I35*(1+$E$22)))))</f>
        <v/>
      </c>
      <c r="P68" s="239" t="str">
        <f t="shared" si="44"/>
        <v/>
      </c>
    </row>
    <row r="69" spans="9:16" ht="13" x14ac:dyDescent="0.25">
      <c r="I69" s="45" t="str">
        <f>+'Margin Calculation'!D36</f>
        <v/>
      </c>
      <c r="J69" s="40" t="str">
        <f>+'Margin Calculation'!E36</f>
        <v/>
      </c>
      <c r="K69" s="40" t="str">
        <f>+IF('Margin Calculation'!F36="EXT",'Business Model'!$E$19,'Margin Calculation'!F36)</f>
        <v/>
      </c>
      <c r="L69" s="368"/>
      <c r="M69" s="240" t="str">
        <f>+IFERROR(L69*'Margin Calculation'!I36,"")</f>
        <v/>
      </c>
      <c r="N69" s="240" t="str">
        <f>+IF(M69="","",L69*'Margin Calculation'!H36)</f>
        <v/>
      </c>
      <c r="O69" s="240" t="str">
        <f>IF(K69="","",+IF(VLOOKUP(K69,$D$31:$E$38,2,0)="P&amp;S",'Margin Calculation'!H36,IF(VLOOKUP(K69,$D$31:$E$38,2,0)="BROKER",'Margin Calculation'!H36*(1-$E$21),IF(VLOOKUP(K69,$D$31:$E$38,2,0)="B&amp;S",'Margin Calculation'!H36*(1-$E$21),'Margin Calculation'!I36*(1+$E$22)))))</f>
        <v/>
      </c>
      <c r="P69" s="240" t="str">
        <f t="shared" si="44"/>
        <v/>
      </c>
    </row>
    <row r="70" spans="9:16" ht="13" x14ac:dyDescent="0.25">
      <c r="I70" s="46" t="str">
        <f>+'Margin Calculation'!D37</f>
        <v/>
      </c>
      <c r="J70" s="38" t="str">
        <f>+'Margin Calculation'!E37</f>
        <v/>
      </c>
      <c r="K70" s="38" t="str">
        <f>+IF('Margin Calculation'!F37="EXT",'Business Model'!$E$19,'Margin Calculation'!F37)</f>
        <v/>
      </c>
      <c r="L70" s="369"/>
      <c r="M70" s="239" t="str">
        <f>+IFERROR(L70*'Margin Calculation'!I37,"")</f>
        <v/>
      </c>
      <c r="N70" s="239" t="str">
        <f>+IF(M70="","",L70*'Margin Calculation'!H37)</f>
        <v/>
      </c>
      <c r="O70" s="239" t="str">
        <f>IF(K70="","",+IF(VLOOKUP(K70,$D$31:$E$38,2,0)="P&amp;S",'Margin Calculation'!H37,IF(VLOOKUP(K70,$D$31:$E$38,2,0)="BROKER",'Margin Calculation'!H37*(1-$E$21),IF(VLOOKUP(K70,$D$31:$E$38,2,0)="B&amp;S",'Margin Calculation'!H37*(1-$E$21),'Margin Calculation'!I37*(1+$E$22)))))</f>
        <v/>
      </c>
      <c r="P70" s="239" t="str">
        <f t="shared" si="44"/>
        <v/>
      </c>
    </row>
    <row r="71" spans="9:16" ht="13" x14ac:dyDescent="0.25">
      <c r="I71" s="45" t="str">
        <f>+'Margin Calculation'!D38</f>
        <v/>
      </c>
      <c r="J71" s="40" t="str">
        <f>+'Margin Calculation'!E38</f>
        <v/>
      </c>
      <c r="K71" s="40" t="str">
        <f>+IF('Margin Calculation'!F38="EXT",'Business Model'!$E$19,'Margin Calculation'!F38)</f>
        <v/>
      </c>
      <c r="L71" s="368"/>
      <c r="M71" s="240" t="str">
        <f>+IFERROR(L71*'Margin Calculation'!I38,"")</f>
        <v/>
      </c>
      <c r="N71" s="240" t="str">
        <f>+IF(M71="","",L71*'Margin Calculation'!H38)</f>
        <v/>
      </c>
      <c r="O71" s="240" t="str">
        <f>IF(K71="","",+IF(VLOOKUP(K71,$D$31:$E$38,2,0)="P&amp;S",'Margin Calculation'!H38,IF(VLOOKUP(K71,$D$31:$E$38,2,0)="BROKER",'Margin Calculation'!H38*(1-$E$21),IF(VLOOKUP(K71,$D$31:$E$38,2,0)="B&amp;S",'Margin Calculation'!H38*(1-$E$21),'Margin Calculation'!I38*(1+$E$22)))))</f>
        <v/>
      </c>
      <c r="P71" s="240" t="str">
        <f t="shared" si="44"/>
        <v/>
      </c>
    </row>
    <row r="72" spans="9:16" ht="13" x14ac:dyDescent="0.25">
      <c r="I72" s="46" t="str">
        <f>+'Margin Calculation'!D39</f>
        <v/>
      </c>
      <c r="J72" s="38" t="str">
        <f>+'Margin Calculation'!E39</f>
        <v/>
      </c>
      <c r="K72" s="38" t="str">
        <f>+IF('Margin Calculation'!F39="EXT",'Business Model'!$E$19,'Margin Calculation'!F39)</f>
        <v/>
      </c>
      <c r="L72" s="369"/>
      <c r="M72" s="239" t="str">
        <f>+IFERROR(L72*'Margin Calculation'!I39,"")</f>
        <v/>
      </c>
      <c r="N72" s="239" t="str">
        <f>+IF(M72="","",L72*'Margin Calculation'!H39)</f>
        <v/>
      </c>
      <c r="O72" s="239" t="str">
        <f>IF(K72="","",+IF(VLOOKUP(K72,$D$31:$E$38,2,0)="P&amp;S",'Margin Calculation'!H39,IF(VLOOKUP(K72,$D$31:$E$38,2,0)="BROKER",'Margin Calculation'!H39*(1-$E$21),IF(VLOOKUP(K72,$D$31:$E$38,2,0)="B&amp;S",'Margin Calculation'!H39*(1-$E$21),'Margin Calculation'!I39*(1+$E$22)))))</f>
        <v/>
      </c>
      <c r="P72" s="239" t="str">
        <f t="shared" si="44"/>
        <v/>
      </c>
    </row>
    <row r="73" spans="9:16" ht="13" x14ac:dyDescent="0.25">
      <c r="I73" s="45" t="str">
        <f>+'Margin Calculation'!D40</f>
        <v/>
      </c>
      <c r="J73" s="40" t="str">
        <f>+'Margin Calculation'!E40</f>
        <v/>
      </c>
      <c r="K73" s="40" t="str">
        <f>+IF('Margin Calculation'!F40="EXT",'Business Model'!$E$19,'Margin Calculation'!F40)</f>
        <v/>
      </c>
      <c r="L73" s="368"/>
      <c r="M73" s="240" t="str">
        <f>+IFERROR(L73*'Margin Calculation'!I40,"")</f>
        <v/>
      </c>
      <c r="N73" s="240" t="str">
        <f>+IF(M73="","",L73*'Margin Calculation'!H40)</f>
        <v/>
      </c>
      <c r="O73" s="240" t="str">
        <f>IF(K73="","",+IF(VLOOKUP(K73,$D$31:$E$38,2,0)="P&amp;S",'Margin Calculation'!H40,IF(VLOOKUP(K73,$D$31:$E$38,2,0)="BROKER",'Margin Calculation'!H40*(1-$E$21),IF(VLOOKUP(K73,$D$31:$E$38,2,0)="B&amp;S",'Margin Calculation'!H40*(1-$E$21),'Margin Calculation'!I40*(1+$E$22)))))</f>
        <v/>
      </c>
      <c r="P73" s="240" t="str">
        <f t="shared" si="44"/>
        <v/>
      </c>
    </row>
    <row r="74" spans="9:16" ht="13" x14ac:dyDescent="0.25">
      <c r="I74" s="46" t="str">
        <f>+'Margin Calculation'!D41</f>
        <v/>
      </c>
      <c r="J74" s="38" t="str">
        <f>+'Margin Calculation'!E41</f>
        <v/>
      </c>
      <c r="K74" s="38" t="str">
        <f>+IF('Margin Calculation'!F41="EXT",'Business Model'!$E$19,'Margin Calculation'!F41)</f>
        <v/>
      </c>
      <c r="L74" s="369"/>
      <c r="M74" s="239" t="str">
        <f>+IFERROR(L74*'Margin Calculation'!I41,"")</f>
        <v/>
      </c>
      <c r="N74" s="239" t="str">
        <f>+IF(M74="","",L74*'Margin Calculation'!H41)</f>
        <v/>
      </c>
      <c r="O74" s="239" t="str">
        <f>IF(K74="","",+IF(VLOOKUP(K74,$D$31:$E$38,2,0)="P&amp;S",'Margin Calculation'!H41,IF(VLOOKUP(K74,$D$31:$E$38,2,0)="BROKER",'Margin Calculation'!H41*(1-$E$21),IF(VLOOKUP(K74,$D$31:$E$38,2,0)="B&amp;S",'Margin Calculation'!H41*(1-$E$21),'Margin Calculation'!I41*(1+$E$22)))))</f>
        <v/>
      </c>
      <c r="P74" s="239" t="str">
        <f t="shared" si="44"/>
        <v/>
      </c>
    </row>
    <row r="75" spans="9:16" ht="13" x14ac:dyDescent="0.25">
      <c r="I75" s="45" t="str">
        <f>+'Margin Calculation'!D42</f>
        <v/>
      </c>
      <c r="J75" s="40" t="str">
        <f>+'Margin Calculation'!E42</f>
        <v/>
      </c>
      <c r="K75" s="40" t="str">
        <f>+IF('Margin Calculation'!F42="EXT",'Business Model'!$E$19,'Margin Calculation'!F42)</f>
        <v/>
      </c>
      <c r="L75" s="368"/>
      <c r="M75" s="240" t="str">
        <f>+IFERROR(L75*'Margin Calculation'!I42,"")</f>
        <v/>
      </c>
      <c r="N75" s="240" t="str">
        <f>+IF(M75="","",L75*'Margin Calculation'!H42)</f>
        <v/>
      </c>
      <c r="O75" s="240" t="str">
        <f>IF(K75="","",+IF(VLOOKUP(K75,$D$31:$E$38,2,0)="P&amp;S",'Margin Calculation'!H42,IF(VLOOKUP(K75,$D$31:$E$38,2,0)="BROKER",'Margin Calculation'!H42*(1-$E$21),IF(VLOOKUP(K75,$D$31:$E$38,2,0)="B&amp;S",'Margin Calculation'!H42*(1-$E$21),'Margin Calculation'!I42*(1+$E$22)))))</f>
        <v/>
      </c>
      <c r="P75" s="240" t="str">
        <f t="shared" si="44"/>
        <v/>
      </c>
    </row>
    <row r="76" spans="9:16" ht="13" x14ac:dyDescent="0.25">
      <c r="I76" s="46" t="str">
        <f>+'Margin Calculation'!D43</f>
        <v/>
      </c>
      <c r="J76" s="38" t="str">
        <f>+'Margin Calculation'!E43</f>
        <v/>
      </c>
      <c r="K76" s="38" t="str">
        <f>+IF('Margin Calculation'!F43="EXT",'Business Model'!$E$19,'Margin Calculation'!F43)</f>
        <v/>
      </c>
      <c r="L76" s="369"/>
      <c r="M76" s="239" t="str">
        <f>+IFERROR(L76*'Margin Calculation'!I43,"")</f>
        <v/>
      </c>
      <c r="N76" s="239" t="str">
        <f>+IF(M76="","",L76*'Margin Calculation'!H43)</f>
        <v/>
      </c>
      <c r="O76" s="239" t="str">
        <f>IF(K76="","",+IF(VLOOKUP(K76,$D$31:$E$38,2,0)="P&amp;S",'Margin Calculation'!H43,IF(VLOOKUP(K76,$D$31:$E$38,2,0)="BROKER",'Margin Calculation'!H43*(1-$E$21),IF(VLOOKUP(K76,$D$31:$E$38,2,0)="B&amp;S",'Margin Calculation'!H43*(1-$E$21),'Margin Calculation'!I43*(1+$E$22)))))</f>
        <v/>
      </c>
      <c r="P76" s="239" t="str">
        <f t="shared" si="44"/>
        <v/>
      </c>
    </row>
    <row r="77" spans="9:16" ht="13" x14ac:dyDescent="0.25">
      <c r="I77" s="45" t="str">
        <f>+'Margin Calculation'!D44</f>
        <v/>
      </c>
      <c r="J77" s="40">
        <f>+'Margin Calculation'!E44</f>
        <v>100</v>
      </c>
      <c r="K77" s="40" t="str">
        <f>+IF('Margin Calculation'!F44="EXT",'Business Model'!$E$19,'Margin Calculation'!F44)</f>
        <v/>
      </c>
      <c r="L77" s="368"/>
      <c r="M77" s="240">
        <f>+IFERROR(L77*'Margin Calculation'!I44,"")</f>
        <v>0</v>
      </c>
      <c r="N77" s="240">
        <f>+IF(M77="","",L77*'Margin Calculation'!H44)</f>
        <v>0</v>
      </c>
      <c r="O77" s="240" t="str">
        <f>IF(K77="","",+IF(VLOOKUP(K77,$D$31:$E$38,2,0)="P&amp;S",'Margin Calculation'!H44,IF(VLOOKUP(K77,$D$31:$E$38,2,0)="BROKER",'Margin Calculation'!H44*(1-$E$21),IF(VLOOKUP(K77,$D$31:$E$38,2,0)="B&amp;S",'Margin Calculation'!H44*(1-$E$21),'Margin Calculation'!I44*(1+$E$22)))))</f>
        <v/>
      </c>
      <c r="P77" s="240" t="str">
        <f t="shared" si="44"/>
        <v/>
      </c>
    </row>
    <row r="78" spans="9:16" ht="13" x14ac:dyDescent="0.25">
      <c r="I78" s="46" t="str">
        <f>+'Margin Calculation'!D45</f>
        <v/>
      </c>
      <c r="J78" s="38">
        <f>+'Margin Calculation'!E45</f>
        <v>101</v>
      </c>
      <c r="K78" s="38" t="str">
        <f>+IF('Margin Calculation'!F45="EXT",'Business Model'!$E$19,'Margin Calculation'!F45)</f>
        <v>BR</v>
      </c>
      <c r="L78" s="369"/>
      <c r="M78" s="239">
        <f>+IFERROR(L78*'Margin Calculation'!I45,"")</f>
        <v>0</v>
      </c>
      <c r="N78" s="239">
        <f>+IF(M78="","",L78*'Margin Calculation'!H45)</f>
        <v>0</v>
      </c>
      <c r="O78" s="239">
        <f>IF(K78="","",+IF(VLOOKUP(K78,$D$31:$E$38,2,0)="P&amp;S",'Margin Calculation'!H45,IF(VLOOKUP(K78,$D$31:$E$38,2,0)="BROKER",'Margin Calculation'!H45*(1-$E$21),IF(VLOOKUP(K78,$D$31:$E$38,2,0)="B&amp;S",'Margin Calculation'!H45*(1-$E$21),'Margin Calculation'!I45*(1+$E$22)))))</f>
        <v>129.48024769556969</v>
      </c>
      <c r="P78" s="239">
        <f t="shared" si="44"/>
        <v>0</v>
      </c>
    </row>
    <row r="79" spans="9:16" ht="13" x14ac:dyDescent="0.25">
      <c r="I79" s="45" t="str">
        <f>+'Margin Calculation'!D46</f>
        <v/>
      </c>
      <c r="J79" s="40">
        <f>+'Margin Calculation'!E46</f>
        <v>102</v>
      </c>
      <c r="K79" s="40" t="str">
        <f>+IF('Margin Calculation'!F46="EXT",'Business Model'!$E$19,'Margin Calculation'!F46)</f>
        <v>BR</v>
      </c>
      <c r="L79" s="368"/>
      <c r="M79" s="240">
        <f>+IFERROR(L79*'Margin Calculation'!I46,"")</f>
        <v>0</v>
      </c>
      <c r="N79" s="240">
        <f>+IF(M79="","",L79*'Margin Calculation'!H46)</f>
        <v>0</v>
      </c>
      <c r="O79" s="240">
        <f>IF(K79="","",+IF(VLOOKUP(K79,$D$31:$E$38,2,0)="P&amp;S",'Margin Calculation'!H46,IF(VLOOKUP(K79,$D$31:$E$38,2,0)="BROKER",'Margin Calculation'!H46*(1-$E$21),IF(VLOOKUP(K79,$D$31:$E$38,2,0)="B&amp;S",'Margin Calculation'!H46*(1-$E$21),'Margin Calculation'!I46*(1+$E$22)))))</f>
        <v>153.82178265376609</v>
      </c>
      <c r="P79" s="240">
        <f t="shared" si="44"/>
        <v>0</v>
      </c>
    </row>
    <row r="80" spans="9:16" ht="13" x14ac:dyDescent="0.25">
      <c r="I80" s="46" t="str">
        <f>+'Margin Calculation'!D47</f>
        <v/>
      </c>
      <c r="J80" s="38">
        <f>+'Margin Calculation'!E47</f>
        <v>200</v>
      </c>
      <c r="K80" s="38" t="str">
        <f>+IF('Margin Calculation'!F47="EXT",'Business Model'!$E$19,'Margin Calculation'!F47)</f>
        <v>PT</v>
      </c>
      <c r="L80" s="369"/>
      <c r="M80" s="239">
        <f>+IFERROR(L80*'Margin Calculation'!I47,"")</f>
        <v>0</v>
      </c>
      <c r="N80" s="239">
        <f>+IF(M80="","",L80*'Margin Calculation'!H47)</f>
        <v>0</v>
      </c>
      <c r="O80" s="239">
        <f>IF(K80="","",+IF(VLOOKUP(K80,$D$31:$E$38,2,0)="P&amp;S",'Margin Calculation'!H47,IF(VLOOKUP(K80,$D$31:$E$38,2,0)="BROKER",'Margin Calculation'!H47*(1-$E$21),IF(VLOOKUP(K80,$D$31:$E$38,2,0)="B&amp;S",'Margin Calculation'!H47*(1-$E$21),'Margin Calculation'!I47*(1+$E$22)))))</f>
        <v>351.15164255645402</v>
      </c>
      <c r="P80" s="239">
        <f t="shared" si="44"/>
        <v>0</v>
      </c>
    </row>
    <row r="81" spans="9:16" ht="13" x14ac:dyDescent="0.25">
      <c r="I81" s="45" t="str">
        <f>+'Margin Calculation'!D48</f>
        <v/>
      </c>
      <c r="J81" s="40">
        <f>+'Margin Calculation'!E48</f>
        <v>201</v>
      </c>
      <c r="K81" s="40" t="str">
        <f>+IF('Margin Calculation'!F48="EXT",'Business Model'!$E$19,'Margin Calculation'!F48)</f>
        <v>PT</v>
      </c>
      <c r="L81" s="368"/>
      <c r="M81" s="240">
        <f>+IFERROR(L81*'Margin Calculation'!I48,"")</f>
        <v>0</v>
      </c>
      <c r="N81" s="240">
        <f>+IF(M81="","",L81*'Margin Calculation'!H48)</f>
        <v>0</v>
      </c>
      <c r="O81" s="240">
        <f>IF(K81="","",+IF(VLOOKUP(K81,$D$31:$E$38,2,0)="P&amp;S",'Margin Calculation'!H48,IF(VLOOKUP(K81,$D$31:$E$38,2,0)="BROKER",'Margin Calculation'!H48*(1-$E$21),IF(VLOOKUP(K81,$D$31:$E$38,2,0)="B&amp;S",'Margin Calculation'!H48*(1-$E$21),'Margin Calculation'!I48*(1+$E$22)))))</f>
        <v>381.69068413539679</v>
      </c>
      <c r="P81" s="240">
        <f t="shared" si="44"/>
        <v>0</v>
      </c>
    </row>
    <row r="82" spans="9:16" ht="13" x14ac:dyDescent="0.25">
      <c r="I82" s="46" t="str">
        <f>+'Margin Calculation'!D49</f>
        <v/>
      </c>
      <c r="J82" s="38">
        <f>+'Margin Calculation'!E49</f>
        <v>202</v>
      </c>
      <c r="K82" s="38" t="str">
        <f>+IF('Margin Calculation'!F49="EXT",'Business Model'!$E$19,'Margin Calculation'!F49)</f>
        <v>PT</v>
      </c>
      <c r="L82" s="369"/>
      <c r="M82" s="239">
        <f>+IFERROR(L82*'Margin Calculation'!I49,"")</f>
        <v>0</v>
      </c>
      <c r="N82" s="239">
        <f>+IF(M82="","",L82*'Margin Calculation'!H49)</f>
        <v>0</v>
      </c>
      <c r="O82" s="239">
        <f>IF(K82="","",+IF(VLOOKUP(K82,$D$31:$E$38,2,0)="P&amp;S",'Margin Calculation'!H49,IF(VLOOKUP(K82,$D$31:$E$38,2,0)="BROKER",'Margin Calculation'!H49*(1-$E$21),IF(VLOOKUP(K82,$D$31:$E$38,2,0)="B&amp;S",'Margin Calculation'!H49*(1-$E$21),'Margin Calculation'!I49*(1+$E$22)))))</f>
        <v>426.34715983760702</v>
      </c>
      <c r="P82" s="239">
        <f t="shared" si="44"/>
        <v>0</v>
      </c>
    </row>
    <row r="83" spans="9:16" ht="13" x14ac:dyDescent="0.25">
      <c r="I83" s="45" t="str">
        <f>+'Margin Calculation'!D50</f>
        <v/>
      </c>
      <c r="J83" s="40">
        <f>+'Margin Calculation'!E50</f>
        <v>203</v>
      </c>
      <c r="K83" s="40" t="str">
        <f>+IF('Margin Calculation'!F50="EXT",'Business Model'!$E$19,'Margin Calculation'!F50)</f>
        <v>PT</v>
      </c>
      <c r="L83" s="368"/>
      <c r="M83" s="240">
        <f>+IFERROR(L83*'Margin Calculation'!I50,"")</f>
        <v>0</v>
      </c>
      <c r="N83" s="240">
        <f>+IF(M83="","",L83*'Margin Calculation'!H50)</f>
        <v>0</v>
      </c>
      <c r="O83" s="240">
        <f>IF(K83="","",+IF(VLOOKUP(K83,$D$31:$E$38,2,0)="P&amp;S",'Margin Calculation'!H50,IF(VLOOKUP(K83,$D$31:$E$38,2,0)="BROKER",'Margin Calculation'!H50*(1-$E$21),IF(VLOOKUP(K83,$D$31:$E$38,2,0)="B&amp;S",'Margin Calculation'!H50*(1-$E$21),'Margin Calculation'!I50*(1+$E$22)))))</f>
        <v>470.49477564886513</v>
      </c>
      <c r="P83" s="240">
        <f t="shared" si="44"/>
        <v>0</v>
      </c>
    </row>
    <row r="84" spans="9:16" ht="13" x14ac:dyDescent="0.25">
      <c r="I84" s="46" t="str">
        <f>+'Margin Calculation'!D51</f>
        <v/>
      </c>
      <c r="J84" s="38">
        <f>+'Margin Calculation'!E51</f>
        <v>300</v>
      </c>
      <c r="K84" s="38" t="str">
        <f>+IF('Margin Calculation'!F51="EXT",'Business Model'!$E$19,'Margin Calculation'!F51)</f>
        <v>PT</v>
      </c>
      <c r="L84" s="369"/>
      <c r="M84" s="239">
        <f>+IFERROR(L84*'Margin Calculation'!I51,"")</f>
        <v>0</v>
      </c>
      <c r="N84" s="239">
        <f>+IF(M84="","",L84*'Margin Calculation'!H51)</f>
        <v>0</v>
      </c>
      <c r="O84" s="239">
        <f>IF(K84="","",+IF(VLOOKUP(K84,$D$31:$E$38,2,0)="P&amp;S",'Margin Calculation'!H51,IF(VLOOKUP(K84,$D$31:$E$38,2,0)="BROKER",'Margin Calculation'!H51*(1-$E$21),IF(VLOOKUP(K84,$D$31:$E$38,2,0)="B&amp;S",'Margin Calculation'!H51*(1-$E$21),'Margin Calculation'!I51*(1+$E$22)))))</f>
        <v>531.33231279255847</v>
      </c>
      <c r="P84" s="239">
        <f t="shared" si="44"/>
        <v>0</v>
      </c>
    </row>
    <row r="85" spans="9:16" ht="13" x14ac:dyDescent="0.25">
      <c r="I85" s="45" t="str">
        <f>+'Margin Calculation'!D52</f>
        <v/>
      </c>
      <c r="J85" s="40">
        <f>+'Margin Calculation'!E52</f>
        <v>301</v>
      </c>
      <c r="K85" s="40" t="str">
        <f>+IF('Margin Calculation'!F52="EXT",'Business Model'!$E$19,'Margin Calculation'!F52)</f>
        <v/>
      </c>
      <c r="L85" s="368"/>
      <c r="M85" s="240">
        <f>+IFERROR(L85*'Margin Calculation'!I52,"")</f>
        <v>0</v>
      </c>
      <c r="N85" s="240">
        <f>+IF(M85="","",L85*'Margin Calculation'!H52)</f>
        <v>0</v>
      </c>
      <c r="O85" s="240" t="str">
        <f>IF(K85="","",+IF(VLOOKUP(K85,$D$31:$E$38,2,0)="P&amp;S",'Margin Calculation'!H52,IF(VLOOKUP(K85,$D$31:$E$38,2,0)="BROKER",'Margin Calculation'!H52*(1-$E$21),IF(VLOOKUP(K85,$D$31:$E$38,2,0)="B&amp;S",'Margin Calculation'!H52*(1-$E$21),'Margin Calculation'!I52*(1+$E$22)))))</f>
        <v/>
      </c>
      <c r="P85" s="240" t="str">
        <f t="shared" si="44"/>
        <v/>
      </c>
    </row>
    <row r="86" spans="9:16" ht="13" x14ac:dyDescent="0.25">
      <c r="I86" s="46" t="str">
        <f>+'Margin Calculation'!D53</f>
        <v/>
      </c>
      <c r="J86" s="38">
        <f>+'Margin Calculation'!E53</f>
        <v>302</v>
      </c>
      <c r="K86" s="38" t="str">
        <f>+IF('Margin Calculation'!F53="EXT",'Business Model'!$E$19,'Margin Calculation'!F53)</f>
        <v/>
      </c>
      <c r="L86" s="369"/>
      <c r="M86" s="239">
        <f>+IFERROR(L86*'Margin Calculation'!I53,"")</f>
        <v>0</v>
      </c>
      <c r="N86" s="239">
        <f>+IF(M86="","",L86*'Margin Calculation'!H53)</f>
        <v>0</v>
      </c>
      <c r="O86" s="239" t="str">
        <f>IF(K86="","",+IF(VLOOKUP(K86,$D$31:$E$38,2,0)="P&amp;S",'Margin Calculation'!H53,IF(VLOOKUP(K86,$D$31:$E$38,2,0)="BROKER",'Margin Calculation'!H53*(1-$E$21),IF(VLOOKUP(K86,$D$31:$E$38,2,0)="B&amp;S",'Margin Calculation'!H53*(1-$E$21),'Margin Calculation'!I53*(1+$E$22)))))</f>
        <v/>
      </c>
      <c r="P86" s="239" t="str">
        <f t="shared" si="44"/>
        <v/>
      </c>
    </row>
    <row r="87" spans="9:16" ht="13" x14ac:dyDescent="0.25">
      <c r="I87" s="45" t="str">
        <f>+'Margin Calculation'!D54</f>
        <v/>
      </c>
      <c r="J87" s="40">
        <f>+'Margin Calculation'!E54</f>
        <v>303</v>
      </c>
      <c r="K87" s="40" t="str">
        <f>+IF('Margin Calculation'!F54="EXT",'Business Model'!$E$19,'Margin Calculation'!F54)</f>
        <v/>
      </c>
      <c r="L87" s="368"/>
      <c r="M87" s="240">
        <f>+IFERROR(L87*'Margin Calculation'!I54,"")</f>
        <v>0</v>
      </c>
      <c r="N87" s="240">
        <f>+IF(M87="","",L87*'Margin Calculation'!H54)</f>
        <v>0</v>
      </c>
      <c r="O87" s="240" t="str">
        <f>IF(K87="","",+IF(VLOOKUP(K87,$D$31:$E$38,2,0)="P&amp;S",'Margin Calculation'!H54,IF(VLOOKUP(K87,$D$31:$E$38,2,0)="BROKER",'Margin Calculation'!H54*(1-$E$21),IF(VLOOKUP(K87,$D$31:$E$38,2,0)="B&amp;S",'Margin Calculation'!H54*(1-$E$21),'Margin Calculation'!I54*(1+$E$22)))))</f>
        <v/>
      </c>
      <c r="P87" s="240" t="str">
        <f t="shared" si="44"/>
        <v/>
      </c>
    </row>
    <row r="88" spans="9:16" ht="13" x14ac:dyDescent="0.25">
      <c r="I88" s="46" t="str">
        <f>+'Margin Calculation'!D55</f>
        <v/>
      </c>
      <c r="J88" s="38">
        <f>+'Margin Calculation'!E55</f>
        <v>304</v>
      </c>
      <c r="K88" s="38" t="str">
        <f>+IF('Margin Calculation'!F55="EXT",'Business Model'!$E$19,'Margin Calculation'!F55)</f>
        <v/>
      </c>
      <c r="L88" s="369"/>
      <c r="M88" s="239">
        <f>+IFERROR(L88*'Margin Calculation'!I55,"")</f>
        <v>0</v>
      </c>
      <c r="N88" s="239">
        <f>+IF(M88="","",L88*'Margin Calculation'!H55)</f>
        <v>0</v>
      </c>
      <c r="O88" s="239" t="str">
        <f>IF(K88="","",+IF(VLOOKUP(K88,$D$31:$E$38,2,0)="P&amp;S",'Margin Calculation'!H55,IF(VLOOKUP(K88,$D$31:$E$38,2,0)="BROKER",'Margin Calculation'!H55*(1-$E$21),IF(VLOOKUP(K88,$D$31:$E$38,2,0)="B&amp;S",'Margin Calculation'!H55*(1-$E$21),'Margin Calculation'!I55*(1+$E$22)))))</f>
        <v/>
      </c>
      <c r="P88" s="239" t="str">
        <f t="shared" si="44"/>
        <v/>
      </c>
    </row>
    <row r="89" spans="9:16" ht="13" x14ac:dyDescent="0.25">
      <c r="I89" s="45" t="str">
        <f>+'Margin Calculation'!D56</f>
        <v/>
      </c>
      <c r="J89" s="40">
        <f>+'Margin Calculation'!E56</f>
        <v>400</v>
      </c>
      <c r="K89" s="40" t="str">
        <f>+IF('Margin Calculation'!F56="EXT",'Business Model'!$E$19,'Margin Calculation'!F56)</f>
        <v/>
      </c>
      <c r="L89" s="368"/>
      <c r="M89" s="240">
        <f>+IFERROR(L89*'Margin Calculation'!I56,"")</f>
        <v>0</v>
      </c>
      <c r="N89" s="240">
        <f>+IF(M89="","",L89*'Margin Calculation'!H56)</f>
        <v>0</v>
      </c>
      <c r="O89" s="240" t="str">
        <f>IF(K89="","",+IF(VLOOKUP(K89,$D$31:$E$38,2,0)="P&amp;S",'Margin Calculation'!H56,IF(VLOOKUP(K89,$D$31:$E$38,2,0)="BROKER",'Margin Calculation'!H56*(1-$E$21),IF(VLOOKUP(K89,$D$31:$E$38,2,0)="B&amp;S",'Margin Calculation'!H56*(1-$E$21),'Margin Calculation'!I56*(1+$E$22)))))</f>
        <v/>
      </c>
      <c r="P89" s="240" t="str">
        <f t="shared" si="44"/>
        <v/>
      </c>
    </row>
    <row r="90" spans="9:16" ht="13" x14ac:dyDescent="0.25">
      <c r="I90" s="46" t="str">
        <f>+'Margin Calculation'!D57</f>
        <v/>
      </c>
      <c r="J90" s="38" t="str">
        <f>+'Margin Calculation'!E57</f>
        <v/>
      </c>
      <c r="K90" s="38" t="str">
        <f>+IF('Margin Calculation'!F57="EXT",'Business Model'!$E$19,'Margin Calculation'!F57)</f>
        <v/>
      </c>
      <c r="L90" s="369"/>
      <c r="M90" s="239" t="str">
        <f>+IFERROR(L90*'Margin Calculation'!I57,"")</f>
        <v/>
      </c>
      <c r="N90" s="239" t="str">
        <f>+IF(M90="","",L90*'Margin Calculation'!H57)</f>
        <v/>
      </c>
      <c r="O90" s="239" t="str">
        <f>IF(K90="","",+IF(VLOOKUP(K90,$D$31:$E$38,2,0)="P&amp;S",'Margin Calculation'!H57,IF(VLOOKUP(K90,$D$31:$E$38,2,0)="BROKER",'Margin Calculation'!H57*(1-$E$21),IF(VLOOKUP(K90,$D$31:$E$38,2,0)="B&amp;S",'Margin Calculation'!H57*(1-$E$21),'Margin Calculation'!I57*(1+$E$22)))))</f>
        <v/>
      </c>
      <c r="P90" s="239" t="str">
        <f t="shared" si="44"/>
        <v/>
      </c>
    </row>
    <row r="91" spans="9:16" ht="13" x14ac:dyDescent="0.25">
      <c r="I91" s="45" t="str">
        <f>+'Margin Calculation'!D58</f>
        <v/>
      </c>
      <c r="J91" s="40" t="str">
        <f>+'Margin Calculation'!E58</f>
        <v/>
      </c>
      <c r="K91" s="40" t="str">
        <f>+IF('Margin Calculation'!F58="EXT",'Business Model'!$E$19,'Margin Calculation'!F58)</f>
        <v/>
      </c>
      <c r="L91" s="368"/>
      <c r="M91" s="240" t="str">
        <f>+IFERROR(L91*'Margin Calculation'!I58,"")</f>
        <v/>
      </c>
      <c r="N91" s="240" t="str">
        <f>+IF(M91="","",L91*'Margin Calculation'!H58)</f>
        <v/>
      </c>
      <c r="O91" s="240" t="str">
        <f>IF(K91="","",+IF(VLOOKUP(K91,$D$31:$E$38,2,0)="P&amp;S",'Margin Calculation'!H58,IF(VLOOKUP(K91,$D$31:$E$38,2,0)="BROKER",'Margin Calculation'!H58*(1-$E$21),IF(VLOOKUP(K91,$D$31:$E$38,2,0)="B&amp;S",'Margin Calculation'!H58*(1-$E$21),'Margin Calculation'!I58*(1+$E$22)))))</f>
        <v/>
      </c>
      <c r="P91" s="240" t="str">
        <f t="shared" si="44"/>
        <v/>
      </c>
    </row>
    <row r="92" spans="9:16" ht="13" x14ac:dyDescent="0.25">
      <c r="I92" s="46" t="str">
        <f>+'Margin Calculation'!D59</f>
        <v/>
      </c>
      <c r="J92" s="38" t="str">
        <f>+'Margin Calculation'!E59</f>
        <v/>
      </c>
      <c r="K92" s="38" t="str">
        <f>+IF('Margin Calculation'!F59="EXT",'Business Model'!$E$19,'Margin Calculation'!F59)</f>
        <v/>
      </c>
      <c r="L92" s="369"/>
      <c r="M92" s="239" t="str">
        <f>+IFERROR(L92*'Margin Calculation'!I59,"")</f>
        <v/>
      </c>
      <c r="N92" s="239" t="str">
        <f>+IF(M92="","",L92*'Margin Calculation'!H59)</f>
        <v/>
      </c>
      <c r="O92" s="239" t="str">
        <f>IF(K92="","",+IF(VLOOKUP(K92,$D$31:$E$38,2,0)="P&amp;S",'Margin Calculation'!H59,IF(VLOOKUP(K92,$D$31:$E$38,2,0)="BROKER",'Margin Calculation'!H59*(1-$E$21),IF(VLOOKUP(K92,$D$31:$E$38,2,0)="B&amp;S",'Margin Calculation'!H59*(1-$E$21),'Margin Calculation'!I59*(1+$E$22)))))</f>
        <v/>
      </c>
      <c r="P92" s="239" t="str">
        <f t="shared" si="44"/>
        <v/>
      </c>
    </row>
    <row r="93" spans="9:16" ht="13" x14ac:dyDescent="0.25">
      <c r="I93" s="45" t="str">
        <f>+'Margin Calculation'!D60</f>
        <v/>
      </c>
      <c r="J93" s="40" t="str">
        <f>+'Margin Calculation'!E60</f>
        <v/>
      </c>
      <c r="K93" s="40" t="str">
        <f>+IF('Margin Calculation'!F60="EXT",'Business Model'!$E$19,'Margin Calculation'!F60)</f>
        <v/>
      </c>
      <c r="L93" s="368"/>
      <c r="M93" s="240" t="str">
        <f>+IFERROR(L93*'Margin Calculation'!I60,"")</f>
        <v/>
      </c>
      <c r="N93" s="240" t="str">
        <f>+IF(M93="","",L93*'Margin Calculation'!H60)</f>
        <v/>
      </c>
      <c r="O93" s="240" t="str">
        <f>IF(K93="","",+IF(VLOOKUP(K93,$D$31:$E$38,2,0)="P&amp;S",'Margin Calculation'!H60,IF(VLOOKUP(K93,$D$31:$E$38,2,0)="BROKER",'Margin Calculation'!H60*(1-$E$21),IF(VLOOKUP(K93,$D$31:$E$38,2,0)="B&amp;S",'Margin Calculation'!H60*(1-$E$21),'Margin Calculation'!I60*(1+$E$22)))))</f>
        <v/>
      </c>
      <c r="P93" s="240" t="str">
        <f t="shared" si="44"/>
        <v/>
      </c>
    </row>
    <row r="94" spans="9:16" ht="13" x14ac:dyDescent="0.25">
      <c r="I94" s="46" t="str">
        <f>+'Margin Calculation'!D61</f>
        <v/>
      </c>
      <c r="J94" s="38" t="str">
        <f>+'Margin Calculation'!E61</f>
        <v/>
      </c>
      <c r="K94" s="38" t="str">
        <f>+IF('Margin Calculation'!F61="EXT",'Business Model'!$E$19,'Margin Calculation'!F61)</f>
        <v/>
      </c>
      <c r="L94" s="369"/>
      <c r="M94" s="239" t="str">
        <f>+IFERROR(L94*'Margin Calculation'!I61,"")</f>
        <v/>
      </c>
      <c r="N94" s="239" t="str">
        <f>+IF(M94="","",L94*'Margin Calculation'!H61)</f>
        <v/>
      </c>
      <c r="O94" s="239" t="str">
        <f>IF(K94="","",+IF(VLOOKUP(K94,$D$31:$E$38,2,0)="P&amp;S",'Margin Calculation'!H61,IF(VLOOKUP(K94,$D$31:$E$38,2,0)="BROKER",'Margin Calculation'!H61*(1-$E$21),IF(VLOOKUP(K94,$D$31:$E$38,2,0)="B&amp;S",'Margin Calculation'!H61*(1-$E$21),'Margin Calculation'!I61*(1+$E$22)))))</f>
        <v/>
      </c>
      <c r="P94" s="239" t="str">
        <f t="shared" si="44"/>
        <v/>
      </c>
    </row>
    <row r="95" spans="9:16" ht="13" x14ac:dyDescent="0.25">
      <c r="I95" s="45" t="str">
        <f>+'Margin Calculation'!D62</f>
        <v/>
      </c>
      <c r="J95" s="40" t="str">
        <f>+'Margin Calculation'!E62</f>
        <v/>
      </c>
      <c r="K95" s="40" t="str">
        <f>+IF('Margin Calculation'!F62="EXT",'Business Model'!$E$19,'Margin Calculation'!F62)</f>
        <v/>
      </c>
      <c r="L95" s="368"/>
      <c r="M95" s="240" t="str">
        <f>+IFERROR(L95*'Margin Calculation'!I62,"")</f>
        <v/>
      </c>
      <c r="N95" s="240" t="str">
        <f>+IF(M95="","",L95*'Margin Calculation'!H62)</f>
        <v/>
      </c>
      <c r="O95" s="240" t="str">
        <f>IF(K95="","",+IF(VLOOKUP(K95,$D$31:$E$38,2,0)="P&amp;S",'Margin Calculation'!H62,IF(VLOOKUP(K95,$D$31:$E$38,2,0)="BROKER",'Margin Calculation'!H62*(1-$E$21),IF(VLOOKUP(K95,$D$31:$E$38,2,0)="B&amp;S",'Margin Calculation'!H62*(1-$E$21),'Margin Calculation'!I62*(1+$E$22)))))</f>
        <v/>
      </c>
      <c r="P95" s="240" t="str">
        <f t="shared" si="44"/>
        <v/>
      </c>
    </row>
    <row r="96" spans="9:16" ht="13" x14ac:dyDescent="0.25">
      <c r="I96" s="46" t="str">
        <f>+'Margin Calculation'!D63</f>
        <v/>
      </c>
      <c r="J96" s="38" t="str">
        <f>+'Margin Calculation'!E63</f>
        <v/>
      </c>
      <c r="K96" s="38" t="str">
        <f>+IF('Margin Calculation'!F63="EXT",'Business Model'!$E$19,'Margin Calculation'!F63)</f>
        <v/>
      </c>
      <c r="L96" s="369"/>
      <c r="M96" s="239" t="str">
        <f>+IFERROR(L96*'Margin Calculation'!I63,"")</f>
        <v/>
      </c>
      <c r="N96" s="239" t="str">
        <f>+IF(M96="","",L96*'Margin Calculation'!H63)</f>
        <v/>
      </c>
      <c r="O96" s="239" t="str">
        <f>IF(K96="","",+IF(VLOOKUP(K96,$D$31:$E$38,2,0)="P&amp;S",'Margin Calculation'!H63,IF(VLOOKUP(K96,$D$31:$E$38,2,0)="BROKER",'Margin Calculation'!H63*(1-$E$21),IF(VLOOKUP(K96,$D$31:$E$38,2,0)="B&amp;S",'Margin Calculation'!H63*(1-$E$21),'Margin Calculation'!I63*(1+$E$22)))))</f>
        <v/>
      </c>
      <c r="P96" s="239" t="str">
        <f t="shared" si="44"/>
        <v/>
      </c>
    </row>
    <row r="97" spans="9:16" ht="13" x14ac:dyDescent="0.25">
      <c r="I97" s="45" t="str">
        <f>+'Margin Calculation'!D64</f>
        <v/>
      </c>
      <c r="J97" s="40" t="str">
        <f>+'Margin Calculation'!E64</f>
        <v/>
      </c>
      <c r="K97" s="40" t="str">
        <f>+IF('Margin Calculation'!F64="EXT",'Business Model'!$E$19,'Margin Calculation'!F64)</f>
        <v/>
      </c>
      <c r="L97" s="368"/>
      <c r="M97" s="240" t="str">
        <f>+IFERROR(L97*'Margin Calculation'!I64,"")</f>
        <v/>
      </c>
      <c r="N97" s="240" t="str">
        <f>+IF(M97="","",L97*'Margin Calculation'!H64)</f>
        <v/>
      </c>
      <c r="O97" s="240" t="str">
        <f>IF(K97="","",+IF(VLOOKUP(K97,$D$31:$E$38,2,0)="P&amp;S",'Margin Calculation'!H64,IF(VLOOKUP(K97,$D$31:$E$38,2,0)="BROKER",'Margin Calculation'!H64*(1-$E$21),IF(VLOOKUP(K97,$D$31:$E$38,2,0)="B&amp;S",'Margin Calculation'!H64*(1-$E$21),'Margin Calculation'!I64*(1+$E$22)))))</f>
        <v/>
      </c>
      <c r="P97" s="240" t="str">
        <f t="shared" si="44"/>
        <v/>
      </c>
    </row>
    <row r="98" spans="9:16" ht="13" x14ac:dyDescent="0.25">
      <c r="I98" s="46" t="str">
        <f>+'Margin Calculation'!D65</f>
        <v/>
      </c>
      <c r="J98" s="38" t="str">
        <f>+'Margin Calculation'!E65</f>
        <v/>
      </c>
      <c r="K98" s="38" t="str">
        <f>+IF('Margin Calculation'!F65="EXT",'Business Model'!$E$19,'Margin Calculation'!F65)</f>
        <v/>
      </c>
      <c r="L98" s="369"/>
      <c r="M98" s="239" t="str">
        <f>+IFERROR(L98*'Margin Calculation'!I65,"")</f>
        <v/>
      </c>
      <c r="N98" s="239" t="str">
        <f>+IF(M98="","",L98*'Margin Calculation'!H65)</f>
        <v/>
      </c>
      <c r="O98" s="239" t="str">
        <f>IF(K98="","",+IF(VLOOKUP(K98,$D$31:$E$38,2,0)="P&amp;S",'Margin Calculation'!H65,IF(VLOOKUP(K98,$D$31:$E$38,2,0)="BROKER",'Margin Calculation'!H65*(1-$E$21),IF(VLOOKUP(K98,$D$31:$E$38,2,0)="B&amp;S",'Margin Calculation'!H65*(1-$E$21),'Margin Calculation'!I65*(1+$E$22)))))</f>
        <v/>
      </c>
      <c r="P98" s="239" t="str">
        <f t="shared" si="44"/>
        <v/>
      </c>
    </row>
    <row r="99" spans="9:16" ht="13" x14ac:dyDescent="0.25">
      <c r="I99" s="45" t="str">
        <f>+'Margin Calculation'!D66</f>
        <v/>
      </c>
      <c r="J99" s="40" t="str">
        <f>+'Margin Calculation'!E66</f>
        <v/>
      </c>
      <c r="K99" s="40" t="str">
        <f>+IF('Margin Calculation'!F66="EXT",'Business Model'!$E$19,'Margin Calculation'!F66)</f>
        <v/>
      </c>
      <c r="L99" s="368"/>
      <c r="M99" s="240" t="str">
        <f>+IFERROR(L99*'Margin Calculation'!I66,"")</f>
        <v/>
      </c>
      <c r="N99" s="240" t="str">
        <f>+IF(M99="","",L99*'Margin Calculation'!H66)</f>
        <v/>
      </c>
      <c r="O99" s="240" t="str">
        <f>IF(K99="","",+IF(VLOOKUP(K99,$D$31:$E$38,2,0)="P&amp;S",'Margin Calculation'!H66,IF(VLOOKUP(K99,$D$31:$E$38,2,0)="BROKER",'Margin Calculation'!H66*(1-$E$21),IF(VLOOKUP(K99,$D$31:$E$38,2,0)="B&amp;S",'Margin Calculation'!H66*(1-$E$21),'Margin Calculation'!I66*(1+$E$22)))))</f>
        <v/>
      </c>
      <c r="P99" s="240" t="str">
        <f t="shared" si="44"/>
        <v/>
      </c>
    </row>
    <row r="100" spans="9:16" ht="13" x14ac:dyDescent="0.25">
      <c r="I100" s="46" t="str">
        <f>+'Margin Calculation'!D67</f>
        <v/>
      </c>
      <c r="J100" s="38" t="str">
        <f>+'Margin Calculation'!E67</f>
        <v/>
      </c>
      <c r="K100" s="38" t="str">
        <f>+IF('Margin Calculation'!F67="EXT",'Business Model'!$E$19,'Margin Calculation'!F67)</f>
        <v/>
      </c>
      <c r="L100" s="369"/>
      <c r="M100" s="239" t="str">
        <f>+IFERROR(L100*'Margin Calculation'!I67,"")</f>
        <v/>
      </c>
      <c r="N100" s="239" t="str">
        <f>+IF(M100="","",L100*'Margin Calculation'!H67)</f>
        <v/>
      </c>
      <c r="O100" s="239" t="str">
        <f>IF(K100="","",+IF(VLOOKUP(K100,$D$31:$E$38,2,0)="P&amp;S",'Margin Calculation'!H67,IF(VLOOKUP(K100,$D$31:$E$38,2,0)="BROKER",'Margin Calculation'!H67*(1-$E$21),IF(VLOOKUP(K100,$D$31:$E$38,2,0)="B&amp;S",'Margin Calculation'!H67*(1-$E$21),'Margin Calculation'!I67*(1+$E$22)))))</f>
        <v/>
      </c>
      <c r="P100" s="239" t="str">
        <f t="shared" si="44"/>
        <v/>
      </c>
    </row>
    <row r="101" spans="9:16" ht="13" x14ac:dyDescent="0.25">
      <c r="I101" s="45" t="str">
        <f>+'Margin Calculation'!D68</f>
        <v/>
      </c>
      <c r="J101" s="40" t="str">
        <f>+'Margin Calculation'!E68</f>
        <v/>
      </c>
      <c r="K101" s="40" t="str">
        <f>+IF('Margin Calculation'!F68="EXT",'Business Model'!$E$19,'Margin Calculation'!F68)</f>
        <v/>
      </c>
      <c r="L101" s="368"/>
      <c r="M101" s="240" t="str">
        <f>+IFERROR(L101*'Margin Calculation'!I68,"")</f>
        <v/>
      </c>
      <c r="N101" s="240" t="str">
        <f>+IF(M101="","",L101*'Margin Calculation'!H68)</f>
        <v/>
      </c>
      <c r="O101" s="240" t="str">
        <f>IF(K101="","",+IF(VLOOKUP(K101,$D$31:$E$38,2,0)="P&amp;S",'Margin Calculation'!H68,IF(VLOOKUP(K101,$D$31:$E$38,2,0)="BROKER",'Margin Calculation'!H68*(1-$E$21),IF(VLOOKUP(K101,$D$31:$E$38,2,0)="B&amp;S",'Margin Calculation'!H68*(1-$E$21),'Margin Calculation'!I68*(1+$E$22)))))</f>
        <v/>
      </c>
      <c r="P101" s="240" t="str">
        <f t="shared" si="44"/>
        <v/>
      </c>
    </row>
    <row r="102" spans="9:16" ht="13" x14ac:dyDescent="0.25">
      <c r="I102" s="46" t="str">
        <f>+'Margin Calculation'!D69</f>
        <v/>
      </c>
      <c r="J102" s="38" t="str">
        <f>+'Margin Calculation'!E69</f>
        <v/>
      </c>
      <c r="K102" s="38" t="str">
        <f>+IF('Margin Calculation'!F69="EXT",'Business Model'!$E$19,'Margin Calculation'!F69)</f>
        <v/>
      </c>
      <c r="L102" s="369"/>
      <c r="M102" s="239" t="str">
        <f>+IFERROR(L102*'Margin Calculation'!I69,"")</f>
        <v/>
      </c>
      <c r="N102" s="239" t="str">
        <f>+IF(M102="","",L102*'Margin Calculation'!H69)</f>
        <v/>
      </c>
      <c r="O102" s="239" t="str">
        <f>IF(K102="","",+IF(VLOOKUP(K102,$D$31:$E$38,2,0)="P&amp;S",'Margin Calculation'!H69,IF(VLOOKUP(K102,$D$31:$E$38,2,0)="BROKER",'Margin Calculation'!H69*(1-$E$21),IF(VLOOKUP(K102,$D$31:$E$38,2,0)="B&amp;S",'Margin Calculation'!H69*(1-$E$21),'Margin Calculation'!I69*(1+$E$22)))))</f>
        <v/>
      </c>
      <c r="P102" s="239" t="str">
        <f t="shared" si="44"/>
        <v/>
      </c>
    </row>
    <row r="103" spans="9:16" ht="13" x14ac:dyDescent="0.25">
      <c r="I103" s="45" t="str">
        <f>+'Margin Calculation'!D70</f>
        <v/>
      </c>
      <c r="J103" s="40" t="str">
        <f>+'Margin Calculation'!E70</f>
        <v/>
      </c>
      <c r="K103" s="40" t="str">
        <f>+IF('Margin Calculation'!F70="EXT",'Business Model'!$E$19,'Margin Calculation'!F70)</f>
        <v/>
      </c>
      <c r="L103" s="368"/>
      <c r="M103" s="240" t="str">
        <f>+IFERROR(L103*'Margin Calculation'!I70,"")</f>
        <v/>
      </c>
      <c r="N103" s="240" t="str">
        <f>+IF(M103="","",L103*'Margin Calculation'!H70)</f>
        <v/>
      </c>
      <c r="O103" s="240" t="str">
        <f>IF(K103="","",+IF(VLOOKUP(K103,$D$31:$E$38,2,0)="P&amp;S",'Margin Calculation'!H70,IF(VLOOKUP(K103,$D$31:$E$38,2,0)="BROKER",'Margin Calculation'!H70*(1-$E$21),IF(VLOOKUP(K103,$D$31:$E$38,2,0)="B&amp;S",'Margin Calculation'!H70*(1-$E$21),'Margin Calculation'!I70*(1+$E$22)))))</f>
        <v/>
      </c>
      <c r="P103" s="240" t="str">
        <f t="shared" si="44"/>
        <v/>
      </c>
    </row>
    <row r="104" spans="9:16" ht="13" x14ac:dyDescent="0.25">
      <c r="I104" s="46" t="str">
        <f>+'Margin Calculation'!D71</f>
        <v/>
      </c>
      <c r="J104" s="38" t="str">
        <f>+'Margin Calculation'!E71</f>
        <v/>
      </c>
      <c r="K104" s="38" t="str">
        <f>+IF('Margin Calculation'!F71="EXT",'Business Model'!$E$19,'Margin Calculation'!F71)</f>
        <v/>
      </c>
      <c r="L104" s="369"/>
      <c r="M104" s="239" t="str">
        <f>+IFERROR(L104*'Margin Calculation'!I71,"")</f>
        <v/>
      </c>
      <c r="N104" s="239" t="str">
        <f>+IF(M104="","",L104*'Margin Calculation'!H71)</f>
        <v/>
      </c>
      <c r="O104" s="239" t="str">
        <f>IF(K104="","",+IF(VLOOKUP(K104,$D$31:$E$38,2,0)="P&amp;S",'Margin Calculation'!H71,IF(VLOOKUP(K104,$D$31:$E$38,2,0)="BROKER",'Margin Calculation'!H71*(1-$E$21),IF(VLOOKUP(K104,$D$31:$E$38,2,0)="B&amp;S",'Margin Calculation'!H71*(1-$E$21),'Margin Calculation'!I71*(1+$E$22)))))</f>
        <v/>
      </c>
      <c r="P104" s="239" t="str">
        <f t="shared" si="44"/>
        <v/>
      </c>
    </row>
    <row r="105" spans="9:16" ht="13" x14ac:dyDescent="0.25">
      <c r="I105" s="45" t="str">
        <f>+'Margin Calculation'!D72</f>
        <v/>
      </c>
      <c r="J105" s="40" t="str">
        <f>+'Margin Calculation'!E72</f>
        <v/>
      </c>
      <c r="K105" s="40" t="str">
        <f>+IF('Margin Calculation'!F72="EXT",'Business Model'!$E$19,'Margin Calculation'!F72)</f>
        <v/>
      </c>
      <c r="L105" s="368"/>
      <c r="M105" s="240" t="str">
        <f>+IFERROR(L105*'Margin Calculation'!I72,"")</f>
        <v/>
      </c>
      <c r="N105" s="240" t="str">
        <f>+IF(M105="","",L105*'Margin Calculation'!H72)</f>
        <v/>
      </c>
      <c r="O105" s="240" t="str">
        <f>IF(K105="","",+IF(VLOOKUP(K105,$D$31:$E$38,2,0)="P&amp;S",'Margin Calculation'!H72,IF(VLOOKUP(K105,$D$31:$E$38,2,0)="BROKER",'Margin Calculation'!H72*(1-$E$21),IF(VLOOKUP(K105,$D$31:$E$38,2,0)="B&amp;S",'Margin Calculation'!H72*(1-$E$21),'Margin Calculation'!I72*(1+$E$22)))))</f>
        <v/>
      </c>
      <c r="P105" s="240" t="str">
        <f t="shared" si="44"/>
        <v/>
      </c>
    </row>
    <row r="106" spans="9:16" ht="13" x14ac:dyDescent="0.25">
      <c r="I106" s="46" t="str">
        <f>+'Margin Calculation'!D73</f>
        <v/>
      </c>
      <c r="J106" s="38" t="str">
        <f>+'Margin Calculation'!E73</f>
        <v/>
      </c>
      <c r="K106" s="38" t="str">
        <f>+IF('Margin Calculation'!F73="EXT",'Business Model'!$E$19,'Margin Calculation'!F73)</f>
        <v/>
      </c>
      <c r="L106" s="369"/>
      <c r="M106" s="239" t="str">
        <f>+IFERROR(L106*'Margin Calculation'!I73,"")</f>
        <v/>
      </c>
      <c r="N106" s="239" t="str">
        <f>+IF(M106="","",L106*'Margin Calculation'!H73)</f>
        <v/>
      </c>
      <c r="O106" s="239" t="str">
        <f>IF(K106="","",+IF(VLOOKUP(K106,$D$31:$E$38,2,0)="P&amp;S",'Margin Calculation'!H73,IF(VLOOKUP(K106,$D$31:$E$38,2,0)="BROKER",'Margin Calculation'!H73*(1-$E$21),IF(VLOOKUP(K106,$D$31:$E$38,2,0)="B&amp;S",'Margin Calculation'!H73*(1-$E$21),'Margin Calculation'!I73*(1+$E$22)))))</f>
        <v/>
      </c>
      <c r="P106" s="239" t="str">
        <f t="shared" si="44"/>
        <v/>
      </c>
    </row>
    <row r="107" spans="9:16" ht="13" x14ac:dyDescent="0.25">
      <c r="I107" s="45" t="str">
        <f>+'Margin Calculation'!D74</f>
        <v/>
      </c>
      <c r="J107" s="40" t="str">
        <f>+'Margin Calculation'!E74</f>
        <v/>
      </c>
      <c r="K107" s="40" t="str">
        <f>+IF('Margin Calculation'!F74="EXT",'Business Model'!$E$19,'Margin Calculation'!F74)</f>
        <v/>
      </c>
      <c r="L107" s="368"/>
      <c r="M107" s="240" t="str">
        <f>+IFERROR(L107*'Margin Calculation'!I74,"")</f>
        <v/>
      </c>
      <c r="N107" s="240" t="str">
        <f>+IF(M107="","",L107*'Margin Calculation'!H74)</f>
        <v/>
      </c>
      <c r="O107" s="240" t="str">
        <f>IF(K107="","",+IF(VLOOKUP(K107,$D$31:$E$38,2,0)="P&amp;S",'Margin Calculation'!H74,IF(VLOOKUP(K107,$D$31:$E$38,2,0)="BROKER",'Margin Calculation'!H74*(1-$E$21),IF(VLOOKUP(K107,$D$31:$E$38,2,0)="B&amp;S",'Margin Calculation'!H74*(1-$E$21),'Margin Calculation'!I74*(1+$E$22)))))</f>
        <v/>
      </c>
      <c r="P107" s="240" t="str">
        <f t="shared" si="44"/>
        <v/>
      </c>
    </row>
    <row r="108" spans="9:16" ht="13" x14ac:dyDescent="0.25">
      <c r="I108" s="46" t="str">
        <f>+'Margin Calculation'!D75</f>
        <v/>
      </c>
      <c r="J108" s="38" t="str">
        <f>+'Margin Calculation'!E75</f>
        <v/>
      </c>
      <c r="K108" s="38" t="str">
        <f>+IF('Margin Calculation'!F75="EXT",'Business Model'!$E$19,'Margin Calculation'!F75)</f>
        <v/>
      </c>
      <c r="L108" s="369"/>
      <c r="M108" s="239" t="str">
        <f>+IFERROR(L108*'Margin Calculation'!I75,"")</f>
        <v/>
      </c>
      <c r="N108" s="239" t="str">
        <f>+IF(M108="","",L108*'Margin Calculation'!H75)</f>
        <v/>
      </c>
      <c r="O108" s="239" t="str">
        <f>IF(K108="","",+IF(VLOOKUP(K108,$D$31:$E$38,2,0)="P&amp;S",'Margin Calculation'!H75,IF(VLOOKUP(K108,$D$31:$E$38,2,0)="BROKER",'Margin Calculation'!H75*(1-$E$21),IF(VLOOKUP(K108,$D$31:$E$38,2,0)="B&amp;S",'Margin Calculation'!H75*(1-$E$21),'Margin Calculation'!I75*(1+$E$22)))))</f>
        <v/>
      </c>
      <c r="P108" s="239" t="str">
        <f>+IFERROR(L108*O108,"")</f>
        <v/>
      </c>
    </row>
    <row r="109" spans="9:16" ht="13" x14ac:dyDescent="0.25">
      <c r="I109" s="45" t="str">
        <f>+'Margin Calculation'!D76</f>
        <v/>
      </c>
      <c r="J109" s="40" t="str">
        <f>+'Margin Calculation'!E76</f>
        <v/>
      </c>
      <c r="K109" s="40" t="str">
        <f>+IF('Margin Calculation'!F76="EXT",'Business Model'!$E$19,'Margin Calculation'!F76)</f>
        <v/>
      </c>
      <c r="L109" s="368"/>
      <c r="M109" s="240" t="str">
        <f>+IFERROR(L109*'Margin Calculation'!I76,"")</f>
        <v/>
      </c>
      <c r="N109" s="240" t="str">
        <f>+IF(M109="","",L109*'Margin Calculation'!H76)</f>
        <v/>
      </c>
      <c r="O109" s="240" t="str">
        <f>IF(K109="","",+IF(VLOOKUP(K109,$D$31:$E$38,2,0)="P&amp;S",'Margin Calculation'!H76,IF(VLOOKUP(K109,$D$31:$E$38,2,0)="BROKER",'Margin Calculation'!H76*(1-$E$21),IF(VLOOKUP(K109,$D$31:$E$38,2,0)="B&amp;S",'Margin Calculation'!H76*(1-$E$21),'Margin Calculation'!I76*(1+$E$22)))))</f>
        <v/>
      </c>
      <c r="P109" s="240" t="str">
        <f>+IFERROR(L109*O109,"")</f>
        <v/>
      </c>
    </row>
    <row r="125" spans="4:20" x14ac:dyDescent="0.25">
      <c r="D125" s="235">
        <v>1682000</v>
      </c>
      <c r="E125" s="235">
        <v>1682000</v>
      </c>
      <c r="F125" s="235">
        <v>1682000</v>
      </c>
      <c r="G125" s="235">
        <v>1682000</v>
      </c>
      <c r="H125" s="235">
        <v>1682000</v>
      </c>
      <c r="I125" s="235">
        <v>1682000</v>
      </c>
      <c r="J125" s="235">
        <v>1682000</v>
      </c>
      <c r="M125" s="235">
        <v>1306982.6289571328</v>
      </c>
      <c r="N125" s="235">
        <v>1336830.3020915301</v>
      </c>
      <c r="O125" s="235">
        <v>1336830.3020915301</v>
      </c>
      <c r="P125" s="235">
        <v>1308519.389412045</v>
      </c>
      <c r="Q125" s="235">
        <v>1331330.3020915301</v>
      </c>
      <c r="R125" s="235">
        <v>1336830.3020915301</v>
      </c>
      <c r="S125" s="235">
        <v>1336830.3020915301</v>
      </c>
      <c r="T125" s="235"/>
    </row>
    <row r="126" spans="4:20" x14ac:dyDescent="0.25">
      <c r="D126" s="235">
        <v>1682000</v>
      </c>
      <c r="E126" s="235">
        <v>1682000</v>
      </c>
      <c r="F126" s="235">
        <v>1682000</v>
      </c>
      <c r="G126" s="235">
        <v>1682000</v>
      </c>
      <c r="H126" s="235">
        <v>1682000</v>
      </c>
      <c r="I126" s="235">
        <v>1682000</v>
      </c>
      <c r="J126" s="235">
        <v>1682000</v>
      </c>
      <c r="M126" s="235">
        <v>1575677.2130456762</v>
      </c>
      <c r="N126" s="235">
        <v>978723.75035773101</v>
      </c>
      <c r="O126" s="235">
        <v>978723.75035773101</v>
      </c>
      <c r="P126" s="235">
        <v>1544942.0039474335</v>
      </c>
      <c r="Q126" s="235">
        <v>1088723.750357731</v>
      </c>
      <c r="R126" s="235">
        <v>978723.75035773101</v>
      </c>
      <c r="S126" s="235">
        <v>978723.75035773101</v>
      </c>
      <c r="T126" s="235"/>
    </row>
    <row r="127" spans="4:20" x14ac:dyDescent="0.25">
      <c r="D127" s="235">
        <v>626801.13582234236</v>
      </c>
      <c r="E127" s="235">
        <v>0</v>
      </c>
      <c r="F127" s="235">
        <v>0</v>
      </c>
      <c r="G127" s="235">
        <v>594529.16626918782</v>
      </c>
      <c r="H127" s="235">
        <v>115500</v>
      </c>
      <c r="I127" s="235">
        <v>0</v>
      </c>
      <c r="J127" s="235">
        <v>0</v>
      </c>
      <c r="M127" s="235">
        <v>596953.46268794511</v>
      </c>
      <c r="N127" s="235">
        <v>0</v>
      </c>
      <c r="O127" s="235">
        <v>0</v>
      </c>
      <c r="P127" s="235">
        <v>566218.25358970265</v>
      </c>
      <c r="Q127" s="235">
        <v>110000</v>
      </c>
      <c r="R127" s="235">
        <v>0</v>
      </c>
      <c r="S127" s="235">
        <v>0</v>
      </c>
      <c r="T127" s="235">
        <v>110000</v>
      </c>
    </row>
    <row r="128" spans="4:20" x14ac:dyDescent="0.25">
      <c r="D128" s="235">
        <v>1682000</v>
      </c>
      <c r="E128" s="235">
        <v>1682000</v>
      </c>
      <c r="F128" s="235">
        <v>1682000</v>
      </c>
      <c r="G128" s="235">
        <v>1682000</v>
      </c>
      <c r="H128" s="235">
        <v>1682000</v>
      </c>
      <c r="I128" s="235">
        <v>1682000</v>
      </c>
      <c r="J128" s="235">
        <v>1682000</v>
      </c>
      <c r="M128" s="235">
        <v>978723.75035773101</v>
      </c>
      <c r="N128" s="235">
        <v>978723.75035773101</v>
      </c>
      <c r="O128" s="235">
        <v>978723.75035773101</v>
      </c>
      <c r="P128" s="235">
        <v>978723.75035773101</v>
      </c>
      <c r="Q128" s="235">
        <v>978723.75035773101</v>
      </c>
      <c r="R128" s="235">
        <v>978723.75035773101</v>
      </c>
      <c r="S128" s="235">
        <v>978723.75035773101</v>
      </c>
      <c r="T128" s="235"/>
    </row>
    <row r="129" spans="4:20" x14ac:dyDescent="0.25">
      <c r="D129" s="235">
        <v>978723.75035773101</v>
      </c>
      <c r="E129" s="235">
        <v>978723.75035773101</v>
      </c>
      <c r="F129" s="235">
        <v>978723.75035773101</v>
      </c>
      <c r="G129" s="235">
        <v>978723.75035773101</v>
      </c>
      <c r="H129" s="235">
        <v>978723.75035773101</v>
      </c>
      <c r="I129" s="235">
        <v>978723.75035773101</v>
      </c>
      <c r="J129" s="235">
        <v>978723.75035773101</v>
      </c>
      <c r="M129" s="235">
        <v>115499.99999999988</v>
      </c>
      <c r="N129" s="235">
        <v>742301.13582234224</v>
      </c>
      <c r="O129" s="235">
        <v>742301.13582234224</v>
      </c>
      <c r="P129" s="235">
        <v>147771.96955315443</v>
      </c>
      <c r="Q129" s="235">
        <v>736801.13582234224</v>
      </c>
      <c r="R129" s="235">
        <v>742301.13582234224</v>
      </c>
      <c r="S129" s="235">
        <v>742301.13582234224</v>
      </c>
      <c r="T129" s="235"/>
    </row>
    <row r="130" spans="4:20" x14ac:dyDescent="0.25">
      <c r="D130" s="235">
        <v>1682000</v>
      </c>
      <c r="E130" s="235">
        <v>1682000</v>
      </c>
      <c r="F130" s="235">
        <v>1682000</v>
      </c>
      <c r="G130" s="235">
        <v>1682000</v>
      </c>
      <c r="H130" s="235">
        <v>1682000</v>
      </c>
      <c r="I130" s="235">
        <v>1682000</v>
      </c>
      <c r="J130" s="235">
        <v>1682000</v>
      </c>
      <c r="M130" s="235">
        <v>710029.1662691877</v>
      </c>
      <c r="N130" s="235">
        <v>1336830.3020915301</v>
      </c>
      <c r="O130" s="235">
        <v>1336830.3020915301</v>
      </c>
      <c r="P130" s="235">
        <v>742301.13582234224</v>
      </c>
      <c r="Q130" s="235">
        <v>1331330.3020915301</v>
      </c>
      <c r="R130" s="235">
        <v>1336830.3020915301</v>
      </c>
      <c r="S130" s="235">
        <v>1336830.3020915301</v>
      </c>
      <c r="T130" s="235"/>
    </row>
    <row r="131" spans="4:20" x14ac:dyDescent="0.25">
      <c r="D131" s="235">
        <v>978723.75035773101</v>
      </c>
      <c r="E131" s="235">
        <v>978723.75035773101</v>
      </c>
      <c r="F131" s="235">
        <v>978723.75035773101</v>
      </c>
      <c r="G131" s="235">
        <v>978723.75035773101</v>
      </c>
      <c r="H131" s="235">
        <v>978723.75035773101</v>
      </c>
      <c r="I131" s="235">
        <v>978723.75035773101</v>
      </c>
      <c r="J131" s="235">
        <v>978723.75035773101</v>
      </c>
      <c r="M131" s="235">
        <v>712453.46268794499</v>
      </c>
      <c r="N131" s="235">
        <v>742301.13582234224</v>
      </c>
      <c r="O131" s="235">
        <v>742301.13582234224</v>
      </c>
      <c r="P131" s="235">
        <v>713990.22314285708</v>
      </c>
      <c r="Q131" s="235">
        <v>736801.13582234224</v>
      </c>
      <c r="R131" s="235">
        <v>742301.13582234224</v>
      </c>
      <c r="S131" s="235">
        <v>742301.13582234224</v>
      </c>
      <c r="T131" s="235"/>
    </row>
    <row r="132" spans="4:20" x14ac:dyDescent="0.25">
      <c r="D132" s="235"/>
      <c r="E132" s="235"/>
      <c r="F132" s="235"/>
      <c r="G132" s="235"/>
      <c r="H132" s="235"/>
      <c r="I132" s="235"/>
      <c r="J132" s="235"/>
    </row>
    <row r="133" spans="4:20" x14ac:dyDescent="0.25">
      <c r="D133" s="235">
        <v>0</v>
      </c>
      <c r="E133" s="235">
        <v>0</v>
      </c>
      <c r="F133" s="235">
        <v>0</v>
      </c>
      <c r="G133" s="235">
        <v>594529.16626918782</v>
      </c>
      <c r="H133" s="235">
        <v>0</v>
      </c>
      <c r="I133" s="235">
        <v>0</v>
      </c>
      <c r="J133" s="235">
        <v>0</v>
      </c>
      <c r="M133">
        <v>594529.16626918782</v>
      </c>
    </row>
    <row r="137" spans="4:20" x14ac:dyDescent="0.25">
      <c r="D137" s="235">
        <f>+D6-D125</f>
        <v>-1532200.28</v>
      </c>
      <c r="E137" s="235">
        <f t="shared" ref="E137:J137" si="45">+E6-E125</f>
        <v>-1532200.28</v>
      </c>
      <c r="F137" s="235">
        <f t="shared" si="45"/>
        <v>-1532200.28</v>
      </c>
      <c r="G137" s="235">
        <f t="shared" si="45"/>
        <v>-1532200.28</v>
      </c>
      <c r="H137" s="235">
        <f t="shared" si="45"/>
        <v>-1532200.28</v>
      </c>
      <c r="I137" s="235">
        <f t="shared" si="45"/>
        <v>-1532200.28</v>
      </c>
      <c r="J137" s="235">
        <f t="shared" si="45"/>
        <v>-1532200.28</v>
      </c>
      <c r="M137" s="235">
        <f>+M6-M125</f>
        <v>-1214789.8445487549</v>
      </c>
      <c r="N137" s="235">
        <f t="shared" ref="N137:S137" si="46">+N6-N125</f>
        <v>-1241008.3703622359</v>
      </c>
      <c r="O137" s="235">
        <f t="shared" si="46"/>
        <v>-1241008.3703622359</v>
      </c>
      <c r="P137" s="235">
        <f t="shared" si="46"/>
        <v>-1213631.2594918008</v>
      </c>
      <c r="Q137" s="235">
        <f t="shared" si="46"/>
        <v>-1235508.3703622359</v>
      </c>
      <c r="R137" s="235">
        <f t="shared" si="46"/>
        <v>-1241008.3703622359</v>
      </c>
      <c r="S137" s="235">
        <f t="shared" si="46"/>
        <v>-1241008.3703622359</v>
      </c>
    </row>
    <row r="138" spans="4:20" x14ac:dyDescent="0.25">
      <c r="D138" s="235">
        <f t="shared" ref="D138:J145" si="47">+D7-D126</f>
        <v>-1532200.28</v>
      </c>
      <c r="E138" s="235">
        <f t="shared" si="47"/>
        <v>-1532200.28</v>
      </c>
      <c r="F138" s="235">
        <f t="shared" si="47"/>
        <v>-1532200.28</v>
      </c>
      <c r="G138" s="235">
        <f t="shared" si="47"/>
        <v>-1532200.28</v>
      </c>
      <c r="H138" s="235">
        <f t="shared" si="47"/>
        <v>-1532200.28</v>
      </c>
      <c r="I138" s="235">
        <f t="shared" si="47"/>
        <v>-1532200.28</v>
      </c>
      <c r="J138" s="235">
        <f t="shared" si="47"/>
        <v>-1532200.28</v>
      </c>
      <c r="M138" s="235">
        <f t="shared" ref="M138:S145" si="48">+M7-M126</f>
        <v>-1368274.5186273498</v>
      </c>
      <c r="N138" s="235">
        <f t="shared" si="48"/>
        <v>-843904.00235773099</v>
      </c>
      <c r="O138" s="235">
        <f t="shared" si="48"/>
        <v>-843904.00235773099</v>
      </c>
      <c r="P138" s="235">
        <f t="shared" si="48"/>
        <v>-1391446.219766432</v>
      </c>
      <c r="Q138" s="235">
        <f t="shared" si="48"/>
        <v>-953904.00235773099</v>
      </c>
      <c r="R138" s="235">
        <f t="shared" si="48"/>
        <v>-843904.00235773099</v>
      </c>
      <c r="S138" s="235">
        <f t="shared" si="48"/>
        <v>-843904.00235773099</v>
      </c>
    </row>
    <row r="139" spans="4:20" x14ac:dyDescent="0.25">
      <c r="D139" s="235">
        <f t="shared" si="47"/>
        <v>-550589.04208309972</v>
      </c>
      <c r="E139" s="235">
        <f t="shared" si="47"/>
        <v>0</v>
      </c>
      <c r="F139" s="235">
        <f t="shared" si="47"/>
        <v>0</v>
      </c>
      <c r="G139" s="235">
        <f t="shared" si="47"/>
        <v>-574919.32827913633</v>
      </c>
      <c r="H139" s="235">
        <f t="shared" si="47"/>
        <v>-115500</v>
      </c>
      <c r="I139" s="235">
        <f t="shared" si="47"/>
        <v>0</v>
      </c>
      <c r="J139" s="235">
        <f t="shared" si="47"/>
        <v>0</v>
      </c>
      <c r="M139" s="235">
        <f t="shared" si="48"/>
        <v>-524370.51626961876</v>
      </c>
      <c r="N139" s="235">
        <f t="shared" si="48"/>
        <v>0</v>
      </c>
      <c r="O139" s="235">
        <f t="shared" si="48"/>
        <v>0</v>
      </c>
      <c r="P139" s="235">
        <f t="shared" si="48"/>
        <v>-547542.2174087012</v>
      </c>
      <c r="Q139" s="235">
        <f t="shared" si="48"/>
        <v>-110000</v>
      </c>
      <c r="R139" s="235">
        <f t="shared" si="48"/>
        <v>0</v>
      </c>
      <c r="S139" s="235">
        <f t="shared" si="48"/>
        <v>0</v>
      </c>
    </row>
    <row r="140" spans="4:20" x14ac:dyDescent="0.25">
      <c r="D140" s="235">
        <f t="shared" si="47"/>
        <v>-1532200.28</v>
      </c>
      <c r="E140" s="235">
        <f t="shared" si="47"/>
        <v>-1532200.28</v>
      </c>
      <c r="F140" s="235">
        <f t="shared" si="47"/>
        <v>-1532200.28</v>
      </c>
      <c r="G140" s="235">
        <f t="shared" si="47"/>
        <v>-1532200.28</v>
      </c>
      <c r="H140" s="235">
        <f t="shared" si="47"/>
        <v>-1532200.28</v>
      </c>
      <c r="I140" s="235">
        <f t="shared" si="47"/>
        <v>-1532200.28</v>
      </c>
      <c r="J140" s="235">
        <f t="shared" si="47"/>
        <v>-1532200.28</v>
      </c>
      <c r="M140" s="235">
        <f t="shared" si="48"/>
        <v>-843904.00235773099</v>
      </c>
      <c r="N140" s="235">
        <f t="shared" si="48"/>
        <v>-843904.00235773099</v>
      </c>
      <c r="O140" s="235">
        <f t="shared" si="48"/>
        <v>-843904.00235773099</v>
      </c>
      <c r="P140" s="235">
        <f t="shared" si="48"/>
        <v>-843904.00235773099</v>
      </c>
      <c r="Q140" s="235">
        <f t="shared" si="48"/>
        <v>-843904.00235773099</v>
      </c>
      <c r="R140" s="235">
        <f t="shared" si="48"/>
        <v>-843904.00235773099</v>
      </c>
      <c r="S140" s="235">
        <f t="shared" si="48"/>
        <v>-843904.00235773099</v>
      </c>
    </row>
    <row r="141" spans="4:20" x14ac:dyDescent="0.25">
      <c r="D141" s="235">
        <f t="shared" si="47"/>
        <v>-843904.00235773099</v>
      </c>
      <c r="E141" s="235">
        <f t="shared" si="47"/>
        <v>-843904.00235773099</v>
      </c>
      <c r="F141" s="235">
        <f t="shared" si="47"/>
        <v>-843904.00235773099</v>
      </c>
      <c r="G141" s="235">
        <f t="shared" si="47"/>
        <v>-843904.00235773099</v>
      </c>
      <c r="H141" s="235">
        <f t="shared" si="47"/>
        <v>-843904.00235773099</v>
      </c>
      <c r="I141" s="235">
        <f t="shared" si="47"/>
        <v>-843904.00235773099</v>
      </c>
      <c r="J141" s="235">
        <f t="shared" si="47"/>
        <v>-843904.00235773099</v>
      </c>
      <c r="M141" s="235">
        <f t="shared" si="48"/>
        <v>-95890.162009948399</v>
      </c>
      <c r="N141" s="235">
        <f t="shared" si="48"/>
        <v>-646479.20409304812</v>
      </c>
      <c r="O141" s="235">
        <f t="shared" si="48"/>
        <v>-646479.20409304812</v>
      </c>
      <c r="P141" s="235">
        <f t="shared" si="48"/>
        <v>-71559.875813911742</v>
      </c>
      <c r="Q141" s="235">
        <f t="shared" si="48"/>
        <v>-640979.20409304812</v>
      </c>
      <c r="R141" s="235">
        <f t="shared" si="48"/>
        <v>-646479.20409304812</v>
      </c>
      <c r="S141" s="235">
        <f t="shared" si="48"/>
        <v>-646479.20409304812</v>
      </c>
    </row>
    <row r="142" spans="4:20" x14ac:dyDescent="0.25">
      <c r="D142" s="235">
        <f t="shared" si="47"/>
        <v>-1532200.28</v>
      </c>
      <c r="E142" s="235">
        <f t="shared" si="47"/>
        <v>-1532200.28</v>
      </c>
      <c r="F142" s="235">
        <f t="shared" si="47"/>
        <v>-1532200.28</v>
      </c>
      <c r="G142" s="235">
        <f t="shared" si="47"/>
        <v>-1532200.28</v>
      </c>
      <c r="H142" s="235">
        <f t="shared" si="47"/>
        <v>-1532200.28</v>
      </c>
      <c r="I142" s="235">
        <f t="shared" si="47"/>
        <v>-1532200.28</v>
      </c>
      <c r="J142" s="235">
        <f t="shared" si="47"/>
        <v>-1532200.28</v>
      </c>
      <c r="M142" s="235">
        <f t="shared" si="48"/>
        <v>-690419.32827913621</v>
      </c>
      <c r="N142" s="235">
        <f t="shared" si="48"/>
        <v>-1241008.3703622359</v>
      </c>
      <c r="O142" s="235">
        <f t="shared" si="48"/>
        <v>-1241008.3703622359</v>
      </c>
      <c r="P142" s="235">
        <f t="shared" si="48"/>
        <v>-666089.0420830996</v>
      </c>
      <c r="Q142" s="235">
        <f t="shared" si="48"/>
        <v>-1235508.3703622359</v>
      </c>
      <c r="R142" s="235">
        <f t="shared" si="48"/>
        <v>-1241008.3703622359</v>
      </c>
      <c r="S142" s="235">
        <f t="shared" si="48"/>
        <v>-1241008.3703622359</v>
      </c>
    </row>
    <row r="143" spans="4:20" x14ac:dyDescent="0.25">
      <c r="D143" s="235">
        <f t="shared" si="47"/>
        <v>-843904.00235773099</v>
      </c>
      <c r="E143" s="235">
        <f t="shared" si="47"/>
        <v>-843904.00235773099</v>
      </c>
      <c r="F143" s="235">
        <f t="shared" si="47"/>
        <v>-843904.00235773099</v>
      </c>
      <c r="G143" s="235">
        <f t="shared" si="47"/>
        <v>-843904.00235773099</v>
      </c>
      <c r="H143" s="235">
        <f t="shared" si="47"/>
        <v>-843904.00235773099</v>
      </c>
      <c r="I143" s="235">
        <f t="shared" si="47"/>
        <v>-843904.00235773099</v>
      </c>
      <c r="J143" s="235">
        <f t="shared" si="47"/>
        <v>-843904.00235773099</v>
      </c>
      <c r="M143" s="235">
        <f t="shared" si="48"/>
        <v>-620260.67827956716</v>
      </c>
      <c r="N143" s="235">
        <f t="shared" si="48"/>
        <v>-646479.20409304812</v>
      </c>
      <c r="O143" s="235">
        <f t="shared" si="48"/>
        <v>-646479.20409304812</v>
      </c>
      <c r="P143" s="235">
        <f t="shared" si="48"/>
        <v>-619102.09322261298</v>
      </c>
      <c r="Q143" s="235">
        <f t="shared" si="48"/>
        <v>-640979.20409304812</v>
      </c>
      <c r="R143" s="235">
        <f t="shared" si="48"/>
        <v>-646479.20409304812</v>
      </c>
      <c r="S143" s="235">
        <f t="shared" si="48"/>
        <v>-646479.20409304812</v>
      </c>
    </row>
    <row r="144" spans="4:20" x14ac:dyDescent="0.25">
      <c r="D144" s="235">
        <f t="shared" si="47"/>
        <v>0</v>
      </c>
      <c r="E144" s="235">
        <f t="shared" si="47"/>
        <v>0</v>
      </c>
      <c r="F144" s="235">
        <f t="shared" si="47"/>
        <v>0</v>
      </c>
      <c r="G144" s="235">
        <f t="shared" si="47"/>
        <v>0</v>
      </c>
      <c r="H144" s="235">
        <f t="shared" si="47"/>
        <v>0</v>
      </c>
      <c r="I144" s="235">
        <f t="shared" si="47"/>
        <v>0</v>
      </c>
      <c r="J144" s="235">
        <f t="shared" si="47"/>
        <v>0</v>
      </c>
      <c r="M144" s="235">
        <f t="shared" si="48"/>
        <v>0</v>
      </c>
      <c r="N144" s="235">
        <f t="shared" si="48"/>
        <v>0</v>
      </c>
      <c r="O144" s="235">
        <f t="shared" si="48"/>
        <v>0</v>
      </c>
      <c r="P144" s="235">
        <f t="shared" si="48"/>
        <v>0</v>
      </c>
      <c r="Q144" s="235">
        <f t="shared" si="48"/>
        <v>0</v>
      </c>
      <c r="R144" s="235">
        <f t="shared" si="48"/>
        <v>0</v>
      </c>
      <c r="S144" s="235">
        <f t="shared" si="48"/>
        <v>0</v>
      </c>
    </row>
    <row r="145" spans="4:19" x14ac:dyDescent="0.25">
      <c r="D145" s="235">
        <f t="shared" si="47"/>
        <v>0</v>
      </c>
      <c r="E145" s="235">
        <f t="shared" si="47"/>
        <v>0</v>
      </c>
      <c r="F145" s="235">
        <f t="shared" si="47"/>
        <v>0</v>
      </c>
      <c r="G145" s="235">
        <f t="shared" si="47"/>
        <v>-594529.16626918782</v>
      </c>
      <c r="H145" s="235">
        <f t="shared" si="47"/>
        <v>0</v>
      </c>
      <c r="I145" s="235">
        <f t="shared" si="47"/>
        <v>0</v>
      </c>
      <c r="J145" s="235">
        <f t="shared" si="47"/>
        <v>0</v>
      </c>
      <c r="M145" s="235">
        <f t="shared" si="48"/>
        <v>-594529.16626918782</v>
      </c>
      <c r="N145" s="235">
        <f t="shared" si="48"/>
        <v>0</v>
      </c>
      <c r="O145" s="235">
        <f t="shared" si="48"/>
        <v>0</v>
      </c>
      <c r="P145" s="235">
        <f t="shared" si="48"/>
        <v>0</v>
      </c>
      <c r="Q145" s="235">
        <f t="shared" si="48"/>
        <v>0</v>
      </c>
      <c r="R145" s="235">
        <f t="shared" si="48"/>
        <v>0</v>
      </c>
      <c r="S145" s="235">
        <f t="shared" si="48"/>
        <v>0</v>
      </c>
    </row>
  </sheetData>
  <sheetProtection algorithmName="SHA-512" hashValue="l+UmEDkP83eGLU/DXpT5D/++mYzbw7x4ypGftJxNVI2h49pPlyYVospnAH2JLmUPhOzCfvO7Ew7MQ5AOpG5NxQ==" saltValue="qiUdVe+ec0eD3LWgc9T5Ug==" spinCount="100000" sheet="1" objects="1" scenarios="1"/>
  <dataConsolidate/>
  <mergeCells count="8">
    <mergeCell ref="C22:D22"/>
    <mergeCell ref="E22:F22"/>
    <mergeCell ref="C21:D21"/>
    <mergeCell ref="E21:F21"/>
    <mergeCell ref="W3:AQ3"/>
    <mergeCell ref="C19:D19"/>
    <mergeCell ref="C20:D20"/>
    <mergeCell ref="E20:F20"/>
  </mergeCells>
  <conditionalFormatting sqref="J25:O25 Q25">
    <cfRule type="expression" dxfId="48" priority="47">
      <formula>($A$6+$A$10+$A$11)&gt;1</formula>
    </cfRule>
    <cfRule type="expression" dxfId="47" priority="48">
      <formula>($A$6+$A$7+$A$9+$A$11)&gt;1</formula>
    </cfRule>
    <cfRule type="expression" dxfId="46" priority="49">
      <formula>($A$10+$A$11)&gt;1</formula>
    </cfRule>
    <cfRule type="expression" dxfId="45" priority="50">
      <formula>($A$7+$A$9+$A$11)&gt;1</formula>
    </cfRule>
  </conditionalFormatting>
  <conditionalFormatting sqref="L25">
    <cfRule type="expression" dxfId="44" priority="46" stopIfTrue="1">
      <formula>$L$25="ERROR"</formula>
    </cfRule>
  </conditionalFormatting>
  <conditionalFormatting sqref="M25">
    <cfRule type="expression" dxfId="43" priority="45" stopIfTrue="1">
      <formula>$M$25="ERROR"</formula>
    </cfRule>
  </conditionalFormatting>
  <conditionalFormatting sqref="N25">
    <cfRule type="expression" dxfId="42" priority="44" stopIfTrue="1">
      <formula>$N$25="ERROR"</formula>
    </cfRule>
  </conditionalFormatting>
  <conditionalFormatting sqref="O25">
    <cfRule type="expression" dxfId="41" priority="43" stopIfTrue="1">
      <formula>$O$25="ERROR"</formula>
    </cfRule>
  </conditionalFormatting>
  <conditionalFormatting sqref="Q25">
    <cfRule type="expression" dxfId="40" priority="42" stopIfTrue="1">
      <formula>$Q$25="ERROR"</formula>
    </cfRule>
  </conditionalFormatting>
  <conditionalFormatting sqref="I29">
    <cfRule type="cellIs" dxfId="39" priority="40" operator="notEqual">
      <formula>0</formula>
    </cfRule>
    <cfRule type="cellIs" dxfId="38" priority="41" operator="equal">
      <formula>0</formula>
    </cfRule>
  </conditionalFormatting>
  <conditionalFormatting sqref="P25">
    <cfRule type="expression" dxfId="37" priority="36">
      <formula>($A$6+$A$10+$A$11)&gt;1</formula>
    </cfRule>
    <cfRule type="expression" dxfId="36" priority="37">
      <formula>($A$6+$A$7+$A$9+$A$11)&gt;1</formula>
    </cfRule>
    <cfRule type="expression" dxfId="35" priority="38">
      <formula>($A$10+$A$11)&gt;1</formula>
    </cfRule>
    <cfRule type="expression" dxfId="34" priority="39">
      <formula>($A$7+$A$9+$A$11)&gt;1</formula>
    </cfRule>
  </conditionalFormatting>
  <conditionalFormatting sqref="P25">
    <cfRule type="expression" dxfId="33" priority="35" stopIfTrue="1">
      <formula>$Q$25="ERROR"</formula>
    </cfRule>
  </conditionalFormatting>
  <conditionalFormatting sqref="M29">
    <cfRule type="cellIs" dxfId="32" priority="33" operator="notEqual">
      <formula>0</formula>
    </cfRule>
    <cfRule type="cellIs" dxfId="31" priority="34" operator="equal">
      <formula>0</formula>
    </cfRule>
  </conditionalFormatting>
  <conditionalFormatting sqref="Q29">
    <cfRule type="cellIs" dxfId="30" priority="31" operator="notEqual">
      <formula>0</formula>
    </cfRule>
    <cfRule type="cellIs" dxfId="29" priority="32" operator="equal">
      <formula>0</formula>
    </cfRule>
  </conditionalFormatting>
  <conditionalFormatting sqref="R25">
    <cfRule type="expression" dxfId="28" priority="27">
      <formula>($A$6+$A$10+$A$11)&gt;1</formula>
    </cfRule>
    <cfRule type="expression" dxfId="27" priority="28">
      <formula>($A$6+$A$7+$A$9+$A$11)&gt;1</formula>
    </cfRule>
    <cfRule type="expression" dxfId="26" priority="29">
      <formula>($A$10+$A$11)&gt;1</formula>
    </cfRule>
    <cfRule type="expression" dxfId="25" priority="30">
      <formula>($A$7+$A$9+$A$11)&gt;1</formula>
    </cfRule>
  </conditionalFormatting>
  <conditionalFormatting sqref="R25">
    <cfRule type="expression" dxfId="24" priority="26" stopIfTrue="1">
      <formula>$Q$25="ERROR"</formula>
    </cfRule>
  </conditionalFormatting>
  <conditionalFormatting sqref="D50">
    <cfRule type="containsText" dxfId="23" priority="23" operator="containsText" text="MISSING COST">
      <formula>NOT(ISERROR(SEARCH("MISSING COST",D50)))</formula>
    </cfRule>
  </conditionalFormatting>
  <conditionalFormatting sqref="D44:D46">
    <cfRule type="containsText" dxfId="22" priority="22" operator="containsText" text="MISSING COST">
      <formula>NOT(ISERROR(SEARCH("MISSING COST",D44)))</formula>
    </cfRule>
  </conditionalFormatting>
  <conditionalFormatting sqref="E50">
    <cfRule type="containsText" dxfId="21" priority="21" operator="containsText" text="MISSING COST">
      <formula>NOT(ISERROR(SEARCH("MISSING COST",E50)))</formula>
    </cfRule>
  </conditionalFormatting>
  <conditionalFormatting sqref="E44:E46">
    <cfRule type="containsText" dxfId="20" priority="20" operator="containsText" text="MISSING COST">
      <formula>NOT(ISERROR(SEARCH("MISSING COST",E44)))</formula>
    </cfRule>
  </conditionalFormatting>
  <conditionalFormatting sqref="E47">
    <cfRule type="containsText" dxfId="19" priority="18" operator="containsText" text="MISSING COST">
      <formula>NOT(ISERROR(SEARCH("MISSING COST",E47)))</formula>
    </cfRule>
  </conditionalFormatting>
  <conditionalFormatting sqref="D47">
    <cfRule type="containsText" dxfId="18" priority="19" operator="containsText" text="MISSING COST">
      <formula>NOT(ISERROR(SEARCH("MISSING COST",D47)))</formula>
    </cfRule>
  </conditionalFormatting>
  <conditionalFormatting sqref="D48">
    <cfRule type="containsText" dxfId="17" priority="17" operator="containsText" text="MISSING COST">
      <formula>NOT(ISERROR(SEARCH("MISSING COST",D48)))</formula>
    </cfRule>
  </conditionalFormatting>
  <conditionalFormatting sqref="E48">
    <cfRule type="containsText" dxfId="16" priority="16" operator="containsText" text="MISSING COST">
      <formula>NOT(ISERROR(SEARCH("MISSING COST",E48)))</formula>
    </cfRule>
  </conditionalFormatting>
  <conditionalFormatting sqref="D49">
    <cfRule type="containsText" dxfId="15" priority="15" operator="containsText" text="MISSING COST">
      <formula>NOT(ISERROR(SEARCH("MISSING COST",D49)))</formula>
    </cfRule>
  </conditionalFormatting>
  <conditionalFormatting sqref="E49">
    <cfRule type="containsText" dxfId="14" priority="14" operator="containsText" text="MISSING COST">
      <formula>NOT(ISERROR(SEARCH("MISSING COST",E49)))</formula>
    </cfRule>
  </conditionalFormatting>
  <conditionalFormatting sqref="S25">
    <cfRule type="expression" dxfId="13" priority="10">
      <formula>($A$6+$A$10+$A$11)&gt;1</formula>
    </cfRule>
    <cfRule type="expression" dxfId="12" priority="11">
      <formula>($A$6+$A$7+$A$9+$A$11)&gt;1</formula>
    </cfRule>
    <cfRule type="expression" dxfId="11" priority="12">
      <formula>($A$10+$A$11)&gt;1</formula>
    </cfRule>
    <cfRule type="expression" dxfId="10" priority="13">
      <formula>($A$7+$A$9+$A$11)&gt;1</formula>
    </cfRule>
  </conditionalFormatting>
  <conditionalFormatting sqref="S25">
    <cfRule type="expression" dxfId="9" priority="9" stopIfTrue="1">
      <formula>$Q$25="ERROR"</formula>
    </cfRule>
  </conditionalFormatting>
  <conditionalFormatting sqref="D51">
    <cfRule type="containsText" dxfId="8" priority="6" operator="containsText" text="MISSING COST">
      <formula>NOT(ISERROR(SEARCH("MISSING COST",D51)))</formula>
    </cfRule>
  </conditionalFormatting>
  <conditionalFormatting sqref="E51">
    <cfRule type="containsText" dxfId="7" priority="5" operator="containsText" text="MISSING COST">
      <formula>NOT(ISERROR(SEARCH("MISSING COST",E51)))</formula>
    </cfRule>
  </conditionalFormatting>
  <conditionalFormatting sqref="I31:I37">
    <cfRule type="cellIs" dxfId="6" priority="4" operator="lessThan">
      <formula>0</formula>
    </cfRule>
  </conditionalFormatting>
  <conditionalFormatting sqref="I38">
    <cfRule type="cellIs" dxfId="5" priority="3" operator="lessThan">
      <formula>0</formula>
    </cfRule>
  </conditionalFormatting>
  <conditionalFormatting sqref="M31:M37">
    <cfRule type="cellIs" dxfId="4" priority="2" operator="lessThan">
      <formula>0</formula>
    </cfRule>
  </conditionalFormatting>
  <conditionalFormatting sqref="M38">
    <cfRule type="cellIs" dxfId="3" priority="1" operator="lessThan">
      <formula>0</formula>
    </cfRule>
  </conditionalFormatting>
  <dataValidations count="3">
    <dataValidation type="list" allowBlank="1" showInputMessage="1" showErrorMessage="1" sqref="E20" xr:uid="{19D2FC6C-9F8D-4249-B871-B614D846A672}">
      <formula1>"PRIME,BROKER"</formula1>
    </dataValidation>
    <dataValidation type="list" allowBlank="1" showInputMessage="1" showErrorMessage="1" sqref="F19" xr:uid="{AC0B6E00-35C6-4169-82EB-F2B093C40236}">
      <formula1>"PT,US,DE,BR,MT,MX,CL"</formula1>
    </dataValidation>
    <dataValidation type="list" allowBlank="1" showInputMessage="1" showErrorMessage="1" sqref="E19" xr:uid="{5DB7EB14-18F5-477B-B001-0F237607E986}">
      <formula1>"PT,US,DE,BR,KT,MX,CL"</formula1>
    </dataValidation>
  </dataValidations>
  <pageMargins left="0.70866141732283472" right="0.70866141732283472" top="0.74803149606299213" bottom="0.74803149606299213" header="0.31496062992125984" footer="0.31496062992125984"/>
  <pageSetup scale="50" orientation="landscape" horizontalDpi="4294967294" verticalDpi="4294967294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2:AH61"/>
  <sheetViews>
    <sheetView showGridLines="0" workbookViewId="0">
      <selection activeCell="I26" sqref="I26"/>
    </sheetView>
  </sheetViews>
  <sheetFormatPr defaultColWidth="8.81640625" defaultRowHeight="12.5" x14ac:dyDescent="0.25"/>
  <cols>
    <col min="2" max="2" width="6" bestFit="1" customWidth="1"/>
    <col min="3" max="3" width="4.81640625" bestFit="1" customWidth="1"/>
    <col min="4" max="4" width="12" bestFit="1" customWidth="1"/>
    <col min="5" max="5" width="8.08984375" customWidth="1"/>
    <col min="6" max="6" width="9.08984375" customWidth="1"/>
    <col min="7" max="7" width="5.08984375" customWidth="1"/>
    <col min="8" max="8" width="1.08984375" customWidth="1"/>
    <col min="9" max="20" width="10.08984375" bestFit="1" customWidth="1"/>
    <col min="21" max="29" width="9.08984375" bestFit="1" customWidth="1"/>
    <col min="30" max="30" width="6.08984375" customWidth="1"/>
    <col min="31" max="33" width="9.08984375" bestFit="1" customWidth="1"/>
  </cols>
  <sheetData>
    <row r="2" spans="2:34" ht="15.5" x14ac:dyDescent="0.25">
      <c r="D2" s="439" t="s">
        <v>166</v>
      </c>
      <c r="E2" s="439"/>
      <c r="F2" s="447">
        <v>4</v>
      </c>
      <c r="G2" s="447"/>
    </row>
    <row r="3" spans="2:34" ht="15.5" hidden="1" x14ac:dyDescent="0.25">
      <c r="D3" s="439" t="s">
        <v>134</v>
      </c>
      <c r="E3" s="439"/>
      <c r="F3" s="447">
        <v>11</v>
      </c>
      <c r="G3" s="447"/>
    </row>
    <row r="4" spans="2:34" ht="15.5" hidden="1" x14ac:dyDescent="0.25">
      <c r="D4" s="439" t="s">
        <v>135</v>
      </c>
      <c r="E4" s="439"/>
      <c r="F4" s="447">
        <v>30</v>
      </c>
      <c r="G4" s="447"/>
    </row>
    <row r="5" spans="2:34" ht="15.5" x14ac:dyDescent="0.25">
      <c r="D5" s="439" t="s">
        <v>132</v>
      </c>
      <c r="E5" s="439"/>
      <c r="F5" s="448" t="e">
        <f ca="1">SUM(I14:AH14)</f>
        <v>#VALUE!</v>
      </c>
      <c r="G5" s="447"/>
    </row>
    <row r="6" spans="2:34" ht="15.5" x14ac:dyDescent="0.25">
      <c r="D6" s="439" t="s">
        <v>133</v>
      </c>
      <c r="E6" s="439"/>
      <c r="F6" s="449">
        <f>SUM(G15:G33)</f>
        <v>203.84792999999999</v>
      </c>
      <c r="G6" s="449"/>
    </row>
    <row r="7" spans="2:34" ht="15.5" x14ac:dyDescent="0.25">
      <c r="D7" s="439" t="s">
        <v>22</v>
      </c>
      <c r="E7" s="439"/>
      <c r="F7" s="450" t="s">
        <v>77</v>
      </c>
      <c r="G7" s="450"/>
    </row>
    <row r="9" spans="2:34" hidden="1" x14ac:dyDescent="0.25">
      <c r="D9" t="s">
        <v>131</v>
      </c>
      <c r="H9" s="36">
        <f>F3</f>
        <v>11</v>
      </c>
      <c r="I9" s="36">
        <f>H9+$F$2</f>
        <v>15</v>
      </c>
      <c r="J9" s="36">
        <f t="shared" ref="J9:O9" si="0">I9+$F$2</f>
        <v>19</v>
      </c>
      <c r="K9" s="36">
        <f t="shared" si="0"/>
        <v>23</v>
      </c>
      <c r="L9" s="36">
        <f t="shared" si="0"/>
        <v>27</v>
      </c>
      <c r="M9" s="36">
        <f t="shared" si="0"/>
        <v>31</v>
      </c>
      <c r="N9" s="36">
        <f t="shared" si="0"/>
        <v>35</v>
      </c>
      <c r="O9" s="36">
        <f t="shared" si="0"/>
        <v>39</v>
      </c>
      <c r="P9" s="36">
        <f t="shared" ref="P9:AG9" si="1">O9+$F$2</f>
        <v>43</v>
      </c>
      <c r="Q9" s="36">
        <f t="shared" si="1"/>
        <v>47</v>
      </c>
      <c r="R9" s="36">
        <f t="shared" si="1"/>
        <v>51</v>
      </c>
      <c r="S9" s="36">
        <f t="shared" si="1"/>
        <v>55</v>
      </c>
      <c r="T9" s="36">
        <f t="shared" si="1"/>
        <v>59</v>
      </c>
      <c r="U9" s="36">
        <f t="shared" si="1"/>
        <v>63</v>
      </c>
      <c r="V9" s="36">
        <f t="shared" si="1"/>
        <v>67</v>
      </c>
      <c r="W9" s="36">
        <f t="shared" si="1"/>
        <v>71</v>
      </c>
      <c r="X9" s="36">
        <f t="shared" si="1"/>
        <v>75</v>
      </c>
      <c r="Y9" s="36">
        <f t="shared" si="1"/>
        <v>79</v>
      </c>
      <c r="Z9" s="36">
        <f t="shared" si="1"/>
        <v>83</v>
      </c>
      <c r="AA9" s="36">
        <f t="shared" si="1"/>
        <v>87</v>
      </c>
      <c r="AB9" s="36">
        <f t="shared" si="1"/>
        <v>91</v>
      </c>
      <c r="AC9" s="36">
        <f t="shared" si="1"/>
        <v>95</v>
      </c>
      <c r="AD9" s="36">
        <f t="shared" si="1"/>
        <v>99</v>
      </c>
      <c r="AE9" s="36">
        <f t="shared" si="1"/>
        <v>103</v>
      </c>
      <c r="AF9" s="36">
        <f t="shared" si="1"/>
        <v>107</v>
      </c>
      <c r="AG9" s="36">
        <f t="shared" si="1"/>
        <v>111</v>
      </c>
    </row>
    <row r="10" spans="2:34" hidden="1" x14ac:dyDescent="0.25">
      <c r="H10" s="36" t="str">
        <f>VLOOKUP(H9,Sheet7!$A$1:$B$6000,2,FALSE)</f>
        <v>K</v>
      </c>
      <c r="I10" s="36" t="str">
        <f>VLOOKUP(I9,Sheet7!$A$1:$B$6000,2,FALSE)</f>
        <v>O</v>
      </c>
      <c r="J10" s="36" t="str">
        <f>VLOOKUP(J9,Sheet7!$A$1:$B$6000,2,FALSE)</f>
        <v>S</v>
      </c>
      <c r="K10" s="36" t="str">
        <f>VLOOKUP(K9,Sheet7!$A$1:$B$6000,2,FALSE)</f>
        <v>W</v>
      </c>
      <c r="L10" s="36" t="str">
        <f>VLOOKUP(L9,Sheet7!$A$1:$B$6000,2,FALSE)</f>
        <v>AA</v>
      </c>
      <c r="M10" s="36" t="str">
        <f>VLOOKUP(M9,Sheet7!$A$1:$B$6000,2,FALSE)</f>
        <v>AE</v>
      </c>
      <c r="N10" s="36" t="str">
        <f>VLOOKUP(N9,Sheet7!$A$1:$B$6000,2,FALSE)</f>
        <v>AI</v>
      </c>
      <c r="O10" s="36" t="str">
        <f>VLOOKUP(O9,Sheet7!$A$1:$B$6000,2,FALSE)</f>
        <v>AM</v>
      </c>
      <c r="P10" s="36" t="str">
        <f>VLOOKUP(P9,Sheet7!$A$1:$B$6000,2,FALSE)</f>
        <v>AQ</v>
      </c>
      <c r="Q10" s="36" t="str">
        <f>VLOOKUP(Q9,Sheet7!$A$1:$B$6000,2,FALSE)</f>
        <v>AU</v>
      </c>
      <c r="R10" s="36" t="str">
        <f>VLOOKUP(R9,Sheet7!$A$1:$B$6000,2,FALSE)</f>
        <v>AY</v>
      </c>
      <c r="S10" s="36" t="str">
        <f>VLOOKUP(S9,Sheet7!$A$1:$B$6000,2,FALSE)</f>
        <v>BC</v>
      </c>
      <c r="T10" s="36" t="str">
        <f>VLOOKUP(T9,Sheet7!$A$1:$B$6000,2,FALSE)</f>
        <v>BG</v>
      </c>
      <c r="U10" s="36" t="str">
        <f>VLOOKUP(U9,Sheet7!$A$1:$B$6000,2,FALSE)</f>
        <v>BK</v>
      </c>
      <c r="V10" s="36" t="str">
        <f>VLOOKUP(V9,Sheet7!$A$1:$B$6000,2,FALSE)</f>
        <v>BO</v>
      </c>
      <c r="W10" s="36" t="str">
        <f>VLOOKUP(W9,Sheet7!$A$1:$B$6000,2,FALSE)</f>
        <v>BS</v>
      </c>
      <c r="X10" s="36" t="str">
        <f>VLOOKUP(X9,Sheet7!$A$1:$B$6000,2,FALSE)</f>
        <v>BW</v>
      </c>
      <c r="Y10" s="36" t="str">
        <f>VLOOKUP(Y9,Sheet7!$A$1:$B$6000,2,FALSE)</f>
        <v>CA</v>
      </c>
      <c r="Z10" s="36" t="str">
        <f>VLOOKUP(Z9,Sheet7!$A$1:$B$6000,2,FALSE)</f>
        <v>CE</v>
      </c>
      <c r="AA10" s="36" t="str">
        <f>VLOOKUP(AA9,Sheet7!$A$1:$B$6000,2,FALSE)</f>
        <v>CI</v>
      </c>
      <c r="AB10" s="36" t="str">
        <f>VLOOKUP(AB9,Sheet7!$A$1:$B$6000,2,FALSE)</f>
        <v>CM</v>
      </c>
      <c r="AC10" s="36" t="str">
        <f>VLOOKUP(AC9,Sheet7!$A$1:$B$6000,2,FALSE)</f>
        <v>CQ</v>
      </c>
      <c r="AD10" s="36" t="str">
        <f>VLOOKUP(AD9,Sheet7!$A$1:$B$6000,2,FALSE)</f>
        <v>CU</v>
      </c>
      <c r="AE10" s="36" t="str">
        <f>VLOOKUP(AE9,Sheet7!$A$1:$B$6000,2,FALSE)</f>
        <v>CY</v>
      </c>
      <c r="AF10" s="36" t="str">
        <f>VLOOKUP(AF9,Sheet7!$A$1:$B$6000,2,FALSE)</f>
        <v>DC</v>
      </c>
      <c r="AG10" s="36" t="str">
        <f>VLOOKUP(AG9,Sheet7!$A$1:$B$6000,2,FALSE)</f>
        <v>DG</v>
      </c>
    </row>
    <row r="11" spans="2:34" hidden="1" x14ac:dyDescent="0.25">
      <c r="H11" s="36" t="str">
        <f>VLOOKUP(H9+$F$2-1,Sheet7!$A$1:$B$6000,2,FALSE)</f>
        <v>N</v>
      </c>
      <c r="I11" s="36" t="str">
        <f>VLOOKUP(I9+$F$2-1,Sheet7!$A$1:$B$6000,2,FALSE)</f>
        <v>R</v>
      </c>
      <c r="J11" s="36" t="str">
        <f>VLOOKUP(J9+$F$2-1,Sheet7!$A$1:$B$6000,2,FALSE)</f>
        <v>V</v>
      </c>
      <c r="K11" s="36" t="str">
        <f>VLOOKUP(K9+$F$2-1,Sheet7!$A$1:$B$6000,2,FALSE)</f>
        <v>Z</v>
      </c>
      <c r="L11" s="36" t="str">
        <f>VLOOKUP(L9+$F$2-1,Sheet7!$A$1:$B$6000,2,FALSE)</f>
        <v>AD</v>
      </c>
      <c r="M11" s="36" t="str">
        <f>VLOOKUP(M9+$F$2-1,Sheet7!$A$1:$B$6000,2,FALSE)</f>
        <v>AH</v>
      </c>
      <c r="N11" s="36" t="str">
        <f>VLOOKUP(N9+$F$2-1,Sheet7!$A$1:$B$6000,2,FALSE)</f>
        <v>AL</v>
      </c>
      <c r="O11" s="36" t="str">
        <f>VLOOKUP(O9+$F$2-1,Sheet7!$A$1:$B$6000,2,FALSE)</f>
        <v>AP</v>
      </c>
      <c r="P11" s="36" t="str">
        <f>VLOOKUP(P9+$F$2-1,Sheet7!$A$1:$B$6000,2,FALSE)</f>
        <v>AT</v>
      </c>
      <c r="Q11" s="36" t="str">
        <f>VLOOKUP(Q9+$F$2-1,Sheet7!$A$1:$B$6000,2,FALSE)</f>
        <v>AX</v>
      </c>
      <c r="R11" s="36" t="str">
        <f>VLOOKUP(R9+$F$2-1,Sheet7!$A$1:$B$6000,2,FALSE)</f>
        <v>BB</v>
      </c>
      <c r="S11" s="36" t="str">
        <f>VLOOKUP(S9+$F$2-1,Sheet7!$A$1:$B$6000,2,FALSE)</f>
        <v>BF</v>
      </c>
      <c r="T11" s="36" t="str">
        <f>VLOOKUP(T9+$F$2-1,Sheet7!$A$1:$B$6000,2,FALSE)</f>
        <v>BJ</v>
      </c>
      <c r="U11" s="36" t="str">
        <f>VLOOKUP(U9+$F$2-1,Sheet7!$A$1:$B$6000,2,FALSE)</f>
        <v>BN</v>
      </c>
      <c r="V11" s="36" t="str">
        <f>VLOOKUP(V9+$F$2-1,Sheet7!$A$1:$B$6000,2,FALSE)</f>
        <v>BR</v>
      </c>
      <c r="W11" s="36" t="str">
        <f>VLOOKUP(W9+$F$2-1,Sheet7!$A$1:$B$6000,2,FALSE)</f>
        <v>BV</v>
      </c>
      <c r="X11" s="36" t="str">
        <f>VLOOKUP(X9+$F$2-1,Sheet7!$A$1:$B$6000,2,FALSE)</f>
        <v>BZ</v>
      </c>
      <c r="Y11" s="36" t="str">
        <f>VLOOKUP(Y9+$F$2-1,Sheet7!$A$1:$B$6000,2,FALSE)</f>
        <v>CD</v>
      </c>
      <c r="Z11" s="36" t="str">
        <f>VLOOKUP(Z9+$F$2-1,Sheet7!$A$1:$B$6000,2,FALSE)</f>
        <v>CH</v>
      </c>
      <c r="AA11" s="36" t="str">
        <f>VLOOKUP(AA9+$F$2-1,Sheet7!$A$1:$B$6000,2,FALSE)</f>
        <v>CL</v>
      </c>
      <c r="AB11" s="36" t="str">
        <f>VLOOKUP(AB9+$F$2-1,Sheet7!$A$1:$B$6000,2,FALSE)</f>
        <v>CP</v>
      </c>
      <c r="AC11" s="36" t="str">
        <f>VLOOKUP(AC9+$F$2-1,Sheet7!$A$1:$B$6000,2,FALSE)</f>
        <v>CT</v>
      </c>
      <c r="AD11" s="36" t="str">
        <f>VLOOKUP(AD9+$F$2-1,Sheet7!$A$1:$B$6000,2,FALSE)</f>
        <v>CX</v>
      </c>
      <c r="AE11" s="36" t="str">
        <f>VLOOKUP(AE9+$F$2-1,Sheet7!$A$1:$B$6000,2,FALSE)</f>
        <v>DB</v>
      </c>
      <c r="AF11" s="36" t="str">
        <f>VLOOKUP(AF9+$F$2-1,Sheet7!$A$1:$B$6000,2,FALSE)</f>
        <v>DF</v>
      </c>
      <c r="AG11" s="36" t="str">
        <f>VLOOKUP(AG9+$F$2-1,Sheet7!$A$1:$B$6000,2,FALSE)</f>
        <v>DJ</v>
      </c>
    </row>
    <row r="12" spans="2:34" x14ac:dyDescent="0.25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</row>
    <row r="13" spans="2:34" ht="15.75" customHeight="1" x14ac:dyDescent="0.25">
      <c r="B13" s="123" t="s">
        <v>38</v>
      </c>
      <c r="C13" s="123" t="s">
        <v>37</v>
      </c>
      <c r="D13" s="123" t="s">
        <v>36</v>
      </c>
      <c r="E13" s="123" t="s">
        <v>35</v>
      </c>
      <c r="F13" s="123" t="s">
        <v>35</v>
      </c>
      <c r="G13" s="123" t="s">
        <v>4</v>
      </c>
      <c r="H13" s="123"/>
      <c r="I13" s="121" t="s">
        <v>136</v>
      </c>
      <c r="J13" s="121" t="s">
        <v>137</v>
      </c>
      <c r="K13" s="121" t="s">
        <v>138</v>
      </c>
      <c r="L13" s="121" t="s">
        <v>139</v>
      </c>
      <c r="M13" s="121" t="s">
        <v>140</v>
      </c>
      <c r="N13" s="121" t="s">
        <v>141</v>
      </c>
      <c r="O13" s="121" t="s">
        <v>142</v>
      </c>
      <c r="P13" s="121" t="s">
        <v>143</v>
      </c>
      <c r="Q13" s="121" t="s">
        <v>144</v>
      </c>
      <c r="R13" s="121" t="s">
        <v>145</v>
      </c>
      <c r="S13" s="121" t="s">
        <v>146</v>
      </c>
      <c r="T13" s="121" t="s">
        <v>147</v>
      </c>
      <c r="U13" s="121" t="s">
        <v>148</v>
      </c>
      <c r="V13" s="121" t="s">
        <v>149</v>
      </c>
      <c r="W13" s="121" t="s">
        <v>150</v>
      </c>
      <c r="X13" s="121" t="s">
        <v>151</v>
      </c>
      <c r="Y13" s="121" t="s">
        <v>152</v>
      </c>
      <c r="Z13" s="121" t="s">
        <v>153</v>
      </c>
      <c r="AA13" s="121" t="s">
        <v>154</v>
      </c>
      <c r="AB13" s="121" t="s">
        <v>155</v>
      </c>
      <c r="AC13" s="121" t="s">
        <v>156</v>
      </c>
      <c r="AD13" s="121" t="s">
        <v>157</v>
      </c>
      <c r="AE13" s="121" t="s">
        <v>158</v>
      </c>
      <c r="AF13" s="121" t="s">
        <v>159</v>
      </c>
      <c r="AG13" s="121" t="s">
        <v>160</v>
      </c>
      <c r="AH13" s="121" t="s">
        <v>161</v>
      </c>
    </row>
    <row r="14" spans="2:34" s="120" customFormat="1" ht="15.75" customHeight="1" x14ac:dyDescent="0.35">
      <c r="B14" s="127"/>
      <c r="C14" s="127"/>
      <c r="D14" s="128"/>
      <c r="E14" s="127"/>
      <c r="F14" s="129" t="s">
        <v>162</v>
      </c>
      <c r="G14" s="127"/>
      <c r="H14" s="124"/>
      <c r="I14" s="122" t="e">
        <f t="shared" ref="I14:AH14" ca="1" si="2">SUBTOTAL(9,I15:I45)</f>
        <v>#VALUE!</v>
      </c>
      <c r="J14" s="122" t="e">
        <f t="shared" ca="1" si="2"/>
        <v>#VALUE!</v>
      </c>
      <c r="K14" s="122" t="e">
        <f t="shared" ca="1" si="2"/>
        <v>#VALUE!</v>
      </c>
      <c r="L14" s="122" t="e">
        <f t="shared" ca="1" si="2"/>
        <v>#VALUE!</v>
      </c>
      <c r="M14" s="122" t="e">
        <f t="shared" ca="1" si="2"/>
        <v>#VALUE!</v>
      </c>
      <c r="N14" s="122" t="e">
        <f t="shared" ca="1" si="2"/>
        <v>#VALUE!</v>
      </c>
      <c r="O14" s="122" t="e">
        <f t="shared" ca="1" si="2"/>
        <v>#VALUE!</v>
      </c>
      <c r="P14" s="122" t="e">
        <f t="shared" ca="1" si="2"/>
        <v>#VALUE!</v>
      </c>
      <c r="Q14" s="122" t="e">
        <f t="shared" ca="1" si="2"/>
        <v>#VALUE!</v>
      </c>
      <c r="R14" s="122" t="e">
        <f t="shared" ca="1" si="2"/>
        <v>#VALUE!</v>
      </c>
      <c r="S14" s="122" t="e">
        <f t="shared" ca="1" si="2"/>
        <v>#VALUE!</v>
      </c>
      <c r="T14" s="122" t="e">
        <f t="shared" ca="1" si="2"/>
        <v>#VALUE!</v>
      </c>
      <c r="U14" s="122" t="e">
        <f t="shared" ca="1" si="2"/>
        <v>#VALUE!</v>
      </c>
      <c r="V14" s="122" t="e">
        <f t="shared" ca="1" si="2"/>
        <v>#VALUE!</v>
      </c>
      <c r="W14" s="122" t="e">
        <f t="shared" ca="1" si="2"/>
        <v>#VALUE!</v>
      </c>
      <c r="X14" s="122" t="e">
        <f t="shared" ca="1" si="2"/>
        <v>#VALUE!</v>
      </c>
      <c r="Y14" s="122" t="e">
        <f t="shared" ca="1" si="2"/>
        <v>#VALUE!</v>
      </c>
      <c r="Z14" s="122" t="e">
        <f t="shared" ca="1" si="2"/>
        <v>#VALUE!</v>
      </c>
      <c r="AA14" s="122" t="e">
        <f t="shared" ca="1" si="2"/>
        <v>#VALUE!</v>
      </c>
      <c r="AB14" s="122" t="e">
        <f t="shared" ca="1" si="2"/>
        <v>#VALUE!</v>
      </c>
      <c r="AC14" s="122" t="e">
        <f t="shared" ca="1" si="2"/>
        <v>#VALUE!</v>
      </c>
      <c r="AD14" s="122" t="e">
        <f t="shared" ca="1" si="2"/>
        <v>#VALUE!</v>
      </c>
      <c r="AE14" s="122" t="e">
        <f t="shared" ca="1" si="2"/>
        <v>#VALUE!</v>
      </c>
      <c r="AF14" s="122" t="e">
        <f t="shared" ca="1" si="2"/>
        <v>#VALUE!</v>
      </c>
      <c r="AG14" s="122" t="e">
        <f t="shared" ca="1" si="2"/>
        <v>#VALUE!</v>
      </c>
      <c r="AH14" s="122" t="e">
        <f t="shared" ca="1" si="2"/>
        <v>#VALUE!</v>
      </c>
    </row>
    <row r="15" spans="2:34" ht="13" x14ac:dyDescent="0.25">
      <c r="B15" s="125" t="str">
        <f>IF('Project Estimations'!F30="","",'Project Estimations'!F30)</f>
        <v/>
      </c>
      <c r="C15" s="126" t="str">
        <f>IF('Project Estimations'!G30="","",'Project Estimations'!G30)</f>
        <v/>
      </c>
      <c r="D15" s="126" t="str">
        <f>IF('Margin Calculation'!I11="","",'Margin Calculation'!I11)</f>
        <v/>
      </c>
      <c r="E15" s="126" t="str">
        <f>IF('Margin Calculation'!H11="","",'Margin Calculation'!H11)</f>
        <v/>
      </c>
      <c r="F15" s="126" t="str">
        <f>IF('Margin Calculation'!I11="","",'Margin Calculation'!I11/(1-VLOOKUP(C15,'Business Model'!$M$28:$T$33,6,FALSE)))</f>
        <v/>
      </c>
      <c r="G15" s="125" t="str">
        <f>IF('Project Estimations'!H30="","",'Project Estimations'!H30)</f>
        <v/>
      </c>
      <c r="H15" s="125">
        <f>F4</f>
        <v>30</v>
      </c>
      <c r="I15" s="119" t="str">
        <f ca="1">IF($B15="","",IF($F$7="YES",SUM(INDIRECT($D$9&amp;H$11&amp;$H15&amp;":"&amp;H$10&amp;$H15))*$E15,SUM(INDIRECT($D$9&amp;H$11&amp;$H15&amp;":"&amp;H$10&amp;$H15))*$F15))</f>
        <v/>
      </c>
      <c r="J15" s="119" t="str">
        <f t="shared" ref="J15:AH15" ca="1" si="3">IF($B15="","",IF($F$7="YES",SUM(INDIRECT($D$9&amp;I$11&amp;$H15&amp;":"&amp;I$10&amp;$H15))*$E15,SUM(INDIRECT($D$9&amp;I$11&amp;$H15&amp;":"&amp;I$10&amp;$H15))*$F15))</f>
        <v/>
      </c>
      <c r="K15" s="119" t="str">
        <f t="shared" ca="1" si="3"/>
        <v/>
      </c>
      <c r="L15" s="119" t="str">
        <f t="shared" ca="1" si="3"/>
        <v/>
      </c>
      <c r="M15" s="119" t="str">
        <f t="shared" ca="1" si="3"/>
        <v/>
      </c>
      <c r="N15" s="119" t="str">
        <f t="shared" ca="1" si="3"/>
        <v/>
      </c>
      <c r="O15" s="119" t="str">
        <f t="shared" ca="1" si="3"/>
        <v/>
      </c>
      <c r="P15" s="119" t="str">
        <f t="shared" ca="1" si="3"/>
        <v/>
      </c>
      <c r="Q15" s="119" t="str">
        <f t="shared" ca="1" si="3"/>
        <v/>
      </c>
      <c r="R15" s="119" t="str">
        <f t="shared" ca="1" si="3"/>
        <v/>
      </c>
      <c r="S15" s="119" t="str">
        <f t="shared" ca="1" si="3"/>
        <v/>
      </c>
      <c r="T15" s="119" t="str">
        <f t="shared" ca="1" si="3"/>
        <v/>
      </c>
      <c r="U15" s="119" t="str">
        <f t="shared" ca="1" si="3"/>
        <v/>
      </c>
      <c r="V15" s="119" t="str">
        <f t="shared" ca="1" si="3"/>
        <v/>
      </c>
      <c r="W15" s="119" t="str">
        <f t="shared" ca="1" si="3"/>
        <v/>
      </c>
      <c r="X15" s="119" t="str">
        <f t="shared" ca="1" si="3"/>
        <v/>
      </c>
      <c r="Y15" s="119" t="str">
        <f t="shared" ca="1" si="3"/>
        <v/>
      </c>
      <c r="Z15" s="119" t="str">
        <f t="shared" ca="1" si="3"/>
        <v/>
      </c>
      <c r="AA15" s="119" t="str">
        <f t="shared" ca="1" si="3"/>
        <v/>
      </c>
      <c r="AB15" s="119" t="str">
        <f t="shared" ca="1" si="3"/>
        <v/>
      </c>
      <c r="AC15" s="119" t="str">
        <f t="shared" ca="1" si="3"/>
        <v/>
      </c>
      <c r="AD15" s="119" t="str">
        <f t="shared" ca="1" si="3"/>
        <v/>
      </c>
      <c r="AE15" s="119" t="str">
        <f t="shared" ca="1" si="3"/>
        <v/>
      </c>
      <c r="AF15" s="119" t="str">
        <f t="shared" ca="1" si="3"/>
        <v/>
      </c>
      <c r="AG15" s="119" t="str">
        <f t="shared" ca="1" si="3"/>
        <v/>
      </c>
      <c r="AH15" s="119" t="str">
        <f t="shared" ca="1" si="3"/>
        <v/>
      </c>
    </row>
    <row r="16" spans="2:34" ht="13" x14ac:dyDescent="0.25">
      <c r="B16" s="125" t="str">
        <f>IF('Project Estimations'!F53="","",'Project Estimations'!F53)</f>
        <v/>
      </c>
      <c r="C16" s="126" t="str">
        <f>IF('Project Estimations'!G53="","",'Project Estimations'!G53)</f>
        <v/>
      </c>
      <c r="D16" s="126">
        <f>IF('Margin Calculation'!I12="","",'Margin Calculation'!I12)</f>
        <v>506.03077408815091</v>
      </c>
      <c r="E16" s="126">
        <f>IF('Margin Calculation'!H12="","",'Margin Calculation'!H12)</f>
        <v>537.20936712709329</v>
      </c>
      <c r="F16" s="126" t="e">
        <f>IF('Margin Calculation'!I12="","",'Margin Calculation'!I12/(1-VLOOKUP(C16,'Business Model'!$M$28:$T$33,6,FALSE)))</f>
        <v>#N/A</v>
      </c>
      <c r="G16" s="125" t="str">
        <f>IF('Project Estimations'!H53="","",'Project Estimations'!H53)</f>
        <v/>
      </c>
      <c r="H16" s="125">
        <f>H15+1</f>
        <v>31</v>
      </c>
      <c r="I16" s="119" t="str">
        <f t="shared" ref="I16:AH16" ca="1" si="4">IF($B16="","",IF($F$7="YES",SUM(INDIRECT($D$9&amp;H$11&amp;$H16&amp;":"&amp;H$10&amp;$H16))*$E16,SUM(INDIRECT($D$9&amp;H$11&amp;$H16&amp;":"&amp;H$10&amp;$H16))*$F16))</f>
        <v/>
      </c>
      <c r="J16" s="119" t="str">
        <f t="shared" ca="1" si="4"/>
        <v/>
      </c>
      <c r="K16" s="119" t="str">
        <f t="shared" ca="1" si="4"/>
        <v/>
      </c>
      <c r="L16" s="119" t="str">
        <f t="shared" ca="1" si="4"/>
        <v/>
      </c>
      <c r="M16" s="119" t="str">
        <f t="shared" ca="1" si="4"/>
        <v/>
      </c>
      <c r="N16" s="119" t="str">
        <f t="shared" ca="1" si="4"/>
        <v/>
      </c>
      <c r="O16" s="119" t="str">
        <f t="shared" ca="1" si="4"/>
        <v/>
      </c>
      <c r="P16" s="119" t="str">
        <f t="shared" ca="1" si="4"/>
        <v/>
      </c>
      <c r="Q16" s="119" t="str">
        <f t="shared" ca="1" si="4"/>
        <v/>
      </c>
      <c r="R16" s="119" t="str">
        <f t="shared" ca="1" si="4"/>
        <v/>
      </c>
      <c r="S16" s="119" t="str">
        <f t="shared" ca="1" si="4"/>
        <v/>
      </c>
      <c r="T16" s="119" t="str">
        <f t="shared" ca="1" si="4"/>
        <v/>
      </c>
      <c r="U16" s="119" t="str">
        <f t="shared" ca="1" si="4"/>
        <v/>
      </c>
      <c r="V16" s="119" t="str">
        <f t="shared" ca="1" si="4"/>
        <v/>
      </c>
      <c r="W16" s="119" t="str">
        <f t="shared" ca="1" si="4"/>
        <v/>
      </c>
      <c r="X16" s="119" t="str">
        <f t="shared" ca="1" si="4"/>
        <v/>
      </c>
      <c r="Y16" s="119" t="str">
        <f t="shared" ca="1" si="4"/>
        <v/>
      </c>
      <c r="Z16" s="119" t="str">
        <f t="shared" ca="1" si="4"/>
        <v/>
      </c>
      <c r="AA16" s="119" t="str">
        <f t="shared" ca="1" si="4"/>
        <v/>
      </c>
      <c r="AB16" s="119" t="str">
        <f t="shared" ca="1" si="4"/>
        <v/>
      </c>
      <c r="AC16" s="119" t="str">
        <f t="shared" ca="1" si="4"/>
        <v/>
      </c>
      <c r="AD16" s="119" t="str">
        <f t="shared" ca="1" si="4"/>
        <v/>
      </c>
      <c r="AE16" s="119" t="str">
        <f t="shared" ca="1" si="4"/>
        <v/>
      </c>
      <c r="AF16" s="119" t="str">
        <f t="shared" ca="1" si="4"/>
        <v/>
      </c>
      <c r="AG16" s="119" t="str">
        <f t="shared" ca="1" si="4"/>
        <v/>
      </c>
      <c r="AH16" s="119" t="str">
        <f t="shared" ca="1" si="4"/>
        <v/>
      </c>
    </row>
    <row r="17" spans="2:34" ht="13" x14ac:dyDescent="0.25">
      <c r="B17" s="125" t="str">
        <f>IF('Project Estimations'!F54="","",'Project Estimations'!F54)</f>
        <v/>
      </c>
      <c r="C17" s="126" t="str">
        <f>IF('Project Estimations'!G54="","",'Project Estimations'!G54)</f>
        <v/>
      </c>
      <c r="D17" s="126">
        <f>IF('Margin Calculation'!I13="","",'Margin Calculation'!I13)</f>
        <v>466.31865222166613</v>
      </c>
      <c r="E17" s="126">
        <f>IF('Margin Calculation'!H13="","",'Margin Calculation'!H13)</f>
        <v>537.20936712709329</v>
      </c>
      <c r="F17" s="126" t="e">
        <f>IF('Margin Calculation'!I13="","",'Margin Calculation'!I13/(1-VLOOKUP(C17,'Business Model'!$M$28:$T$33,6,FALSE)))</f>
        <v>#N/A</v>
      </c>
      <c r="G17" s="125" t="str">
        <f>IF('Project Estimations'!H54="","",'Project Estimations'!H54)</f>
        <v/>
      </c>
      <c r="H17" s="125">
        <f t="shared" ref="H17:H61" si="5">H16+1</f>
        <v>32</v>
      </c>
      <c r="I17" s="119" t="str">
        <f t="shared" ref="I17:AH17" ca="1" si="6">IF($B17="","",IF($F$7="YES",SUM(INDIRECT($D$9&amp;H$11&amp;$H17&amp;":"&amp;H$10&amp;$H17))*$E17,SUM(INDIRECT($D$9&amp;H$11&amp;$H17&amp;":"&amp;H$10&amp;$H17))*$F17))</f>
        <v/>
      </c>
      <c r="J17" s="119" t="str">
        <f t="shared" ca="1" si="6"/>
        <v/>
      </c>
      <c r="K17" s="119" t="str">
        <f t="shared" ca="1" si="6"/>
        <v/>
      </c>
      <c r="L17" s="119" t="str">
        <f t="shared" ca="1" si="6"/>
        <v/>
      </c>
      <c r="M17" s="119" t="str">
        <f t="shared" ca="1" si="6"/>
        <v/>
      </c>
      <c r="N17" s="119" t="str">
        <f t="shared" ca="1" si="6"/>
        <v/>
      </c>
      <c r="O17" s="119" t="str">
        <f t="shared" ca="1" si="6"/>
        <v/>
      </c>
      <c r="P17" s="119" t="str">
        <f t="shared" ca="1" si="6"/>
        <v/>
      </c>
      <c r="Q17" s="119" t="str">
        <f t="shared" ca="1" si="6"/>
        <v/>
      </c>
      <c r="R17" s="119" t="str">
        <f t="shared" ca="1" si="6"/>
        <v/>
      </c>
      <c r="S17" s="119" t="str">
        <f t="shared" ca="1" si="6"/>
        <v/>
      </c>
      <c r="T17" s="119" t="str">
        <f t="shared" ca="1" si="6"/>
        <v/>
      </c>
      <c r="U17" s="119" t="str">
        <f t="shared" ca="1" si="6"/>
        <v/>
      </c>
      <c r="V17" s="119" t="str">
        <f t="shared" ca="1" si="6"/>
        <v/>
      </c>
      <c r="W17" s="119" t="str">
        <f t="shared" ca="1" si="6"/>
        <v/>
      </c>
      <c r="X17" s="119" t="str">
        <f t="shared" ca="1" si="6"/>
        <v/>
      </c>
      <c r="Y17" s="119" t="str">
        <f t="shared" ca="1" si="6"/>
        <v/>
      </c>
      <c r="Z17" s="119" t="str">
        <f t="shared" ca="1" si="6"/>
        <v/>
      </c>
      <c r="AA17" s="119" t="str">
        <f t="shared" ca="1" si="6"/>
        <v/>
      </c>
      <c r="AB17" s="119" t="str">
        <f t="shared" ca="1" si="6"/>
        <v/>
      </c>
      <c r="AC17" s="119" t="str">
        <f t="shared" ca="1" si="6"/>
        <v/>
      </c>
      <c r="AD17" s="119" t="str">
        <f t="shared" ca="1" si="6"/>
        <v/>
      </c>
      <c r="AE17" s="119" t="str">
        <f t="shared" ca="1" si="6"/>
        <v/>
      </c>
      <c r="AF17" s="119" t="str">
        <f t="shared" ca="1" si="6"/>
        <v/>
      </c>
      <c r="AG17" s="119" t="str">
        <f t="shared" ca="1" si="6"/>
        <v/>
      </c>
      <c r="AH17" s="119" t="str">
        <f t="shared" ca="1" si="6"/>
        <v/>
      </c>
    </row>
    <row r="18" spans="2:34" ht="13" x14ac:dyDescent="0.25">
      <c r="B18" s="125" t="str">
        <f>IF('Project Estimations'!F55="","",'Project Estimations'!F55)</f>
        <v/>
      </c>
      <c r="C18" s="126" t="str">
        <f>IF('Project Estimations'!G55="","",'Project Estimations'!G55)</f>
        <v/>
      </c>
      <c r="D18" s="126" t="str">
        <f>IF('Margin Calculation'!I14="","",'Margin Calculation'!I14)</f>
        <v/>
      </c>
      <c r="E18" s="126" t="str">
        <f>IF('Margin Calculation'!H14="","",'Margin Calculation'!H14)</f>
        <v/>
      </c>
      <c r="F18" s="126" t="str">
        <f>IF('Margin Calculation'!I14="","",'Margin Calculation'!I14/(1-VLOOKUP(C18,'Business Model'!$M$28:$T$33,6,FALSE)))</f>
        <v/>
      </c>
      <c r="G18" s="125" t="str">
        <f>IF('Project Estimations'!H55="","",'Project Estimations'!H55)</f>
        <v/>
      </c>
      <c r="H18" s="125">
        <f t="shared" si="5"/>
        <v>33</v>
      </c>
      <c r="I18" s="119" t="str">
        <f t="shared" ref="I18:AH18" ca="1" si="7">IF($B18="","",IF($F$7="YES",SUM(INDIRECT($D$9&amp;H$11&amp;$H18&amp;":"&amp;H$10&amp;$H18))*$E18,SUM(INDIRECT($D$9&amp;H$11&amp;$H18&amp;":"&amp;H$10&amp;$H18))*$F18))</f>
        <v/>
      </c>
      <c r="J18" s="119" t="str">
        <f t="shared" ca="1" si="7"/>
        <v/>
      </c>
      <c r="K18" s="119" t="str">
        <f t="shared" ca="1" si="7"/>
        <v/>
      </c>
      <c r="L18" s="119" t="str">
        <f t="shared" ca="1" si="7"/>
        <v/>
      </c>
      <c r="M18" s="119" t="str">
        <f t="shared" ca="1" si="7"/>
        <v/>
      </c>
      <c r="N18" s="119" t="str">
        <f t="shared" ca="1" si="7"/>
        <v/>
      </c>
      <c r="O18" s="119" t="str">
        <f t="shared" ca="1" si="7"/>
        <v/>
      </c>
      <c r="P18" s="119" t="str">
        <f t="shared" ca="1" si="7"/>
        <v/>
      </c>
      <c r="Q18" s="119" t="str">
        <f t="shared" ca="1" si="7"/>
        <v/>
      </c>
      <c r="R18" s="119" t="str">
        <f t="shared" ca="1" si="7"/>
        <v/>
      </c>
      <c r="S18" s="119" t="str">
        <f t="shared" ca="1" si="7"/>
        <v/>
      </c>
      <c r="T18" s="119" t="str">
        <f t="shared" ca="1" si="7"/>
        <v/>
      </c>
      <c r="U18" s="119" t="str">
        <f t="shared" ca="1" si="7"/>
        <v/>
      </c>
      <c r="V18" s="119" t="str">
        <f t="shared" ca="1" si="7"/>
        <v/>
      </c>
      <c r="W18" s="119" t="str">
        <f t="shared" ca="1" si="7"/>
        <v/>
      </c>
      <c r="X18" s="119" t="str">
        <f t="shared" ca="1" si="7"/>
        <v/>
      </c>
      <c r="Y18" s="119" t="str">
        <f t="shared" ca="1" si="7"/>
        <v/>
      </c>
      <c r="Z18" s="119" t="str">
        <f t="shared" ca="1" si="7"/>
        <v/>
      </c>
      <c r="AA18" s="119" t="str">
        <f t="shared" ca="1" si="7"/>
        <v/>
      </c>
      <c r="AB18" s="119" t="str">
        <f t="shared" ca="1" si="7"/>
        <v/>
      </c>
      <c r="AC18" s="119" t="str">
        <f t="shared" ca="1" si="7"/>
        <v/>
      </c>
      <c r="AD18" s="119" t="str">
        <f t="shared" ca="1" si="7"/>
        <v/>
      </c>
      <c r="AE18" s="119" t="str">
        <f t="shared" ca="1" si="7"/>
        <v/>
      </c>
      <c r="AF18" s="119" t="str">
        <f t="shared" ca="1" si="7"/>
        <v/>
      </c>
      <c r="AG18" s="119" t="str">
        <f t="shared" ca="1" si="7"/>
        <v/>
      </c>
      <c r="AH18" s="119" t="str">
        <f t="shared" ca="1" si="7"/>
        <v/>
      </c>
    </row>
    <row r="19" spans="2:34" ht="13" x14ac:dyDescent="0.25">
      <c r="B19" s="125" t="str">
        <f>IF('Project Estimations'!F56="","",'Project Estimations'!F56)</f>
        <v/>
      </c>
      <c r="C19" s="126" t="str">
        <f>IF('Project Estimations'!G56="","",'Project Estimations'!G56)</f>
        <v/>
      </c>
      <c r="D19" s="126">
        <f>IF('Margin Calculation'!I15="","",'Margin Calculation'!I15)</f>
        <v>1179.805706442158</v>
      </c>
      <c r="E19" s="126">
        <f>IF('Margin Calculation'!H15="","",'Margin Calculation'!H15)</f>
        <v>537.20936712709329</v>
      </c>
      <c r="F19" s="126" t="e">
        <f>IF('Margin Calculation'!I15="","",'Margin Calculation'!I15/(1-VLOOKUP(C19,'Business Model'!$M$28:$T$33,6,FALSE)))</f>
        <v>#N/A</v>
      </c>
      <c r="G19" s="125" t="str">
        <f>IF('Project Estimations'!H56="","",'Project Estimations'!H56)</f>
        <v/>
      </c>
      <c r="H19" s="125">
        <f t="shared" si="5"/>
        <v>34</v>
      </c>
      <c r="I19" s="119" t="str">
        <f t="shared" ref="I19:AH19" ca="1" si="8">IF($B19="","",IF($F$7="YES",SUM(INDIRECT($D$9&amp;H$11&amp;$H19&amp;":"&amp;H$10&amp;$H19))*$E19,SUM(INDIRECT($D$9&amp;H$11&amp;$H19&amp;":"&amp;H$10&amp;$H19))*$F19))</f>
        <v/>
      </c>
      <c r="J19" s="119" t="str">
        <f t="shared" ca="1" si="8"/>
        <v/>
      </c>
      <c r="K19" s="119" t="str">
        <f t="shared" ca="1" si="8"/>
        <v/>
      </c>
      <c r="L19" s="119" t="str">
        <f t="shared" ca="1" si="8"/>
        <v/>
      </c>
      <c r="M19" s="119" t="str">
        <f t="shared" ca="1" si="8"/>
        <v/>
      </c>
      <c r="N19" s="119" t="str">
        <f t="shared" ca="1" si="8"/>
        <v/>
      </c>
      <c r="O19" s="119" t="str">
        <f t="shared" ca="1" si="8"/>
        <v/>
      </c>
      <c r="P19" s="119" t="str">
        <f t="shared" ca="1" si="8"/>
        <v/>
      </c>
      <c r="Q19" s="119" t="str">
        <f t="shared" ca="1" si="8"/>
        <v/>
      </c>
      <c r="R19" s="119" t="str">
        <f t="shared" ca="1" si="8"/>
        <v/>
      </c>
      <c r="S19" s="119" t="str">
        <f t="shared" ca="1" si="8"/>
        <v/>
      </c>
      <c r="T19" s="119" t="str">
        <f t="shared" ca="1" si="8"/>
        <v/>
      </c>
      <c r="U19" s="119" t="str">
        <f t="shared" ca="1" si="8"/>
        <v/>
      </c>
      <c r="V19" s="119" t="str">
        <f t="shared" ca="1" si="8"/>
        <v/>
      </c>
      <c r="W19" s="119" t="str">
        <f t="shared" ca="1" si="8"/>
        <v/>
      </c>
      <c r="X19" s="119" t="str">
        <f t="shared" ca="1" si="8"/>
        <v/>
      </c>
      <c r="Y19" s="119" t="str">
        <f t="shared" ca="1" si="8"/>
        <v/>
      </c>
      <c r="Z19" s="119" t="str">
        <f t="shared" ca="1" si="8"/>
        <v/>
      </c>
      <c r="AA19" s="119" t="str">
        <f t="shared" ca="1" si="8"/>
        <v/>
      </c>
      <c r="AB19" s="119" t="str">
        <f t="shared" ca="1" si="8"/>
        <v/>
      </c>
      <c r="AC19" s="119" t="str">
        <f t="shared" ca="1" si="8"/>
        <v/>
      </c>
      <c r="AD19" s="119" t="str">
        <f t="shared" ca="1" si="8"/>
        <v/>
      </c>
      <c r="AE19" s="119" t="str">
        <f t="shared" ca="1" si="8"/>
        <v/>
      </c>
      <c r="AF19" s="119" t="str">
        <f t="shared" ca="1" si="8"/>
        <v/>
      </c>
      <c r="AG19" s="119" t="str">
        <f t="shared" ca="1" si="8"/>
        <v/>
      </c>
      <c r="AH19" s="119" t="str">
        <f t="shared" ca="1" si="8"/>
        <v/>
      </c>
    </row>
    <row r="20" spans="2:34" ht="13" x14ac:dyDescent="0.25">
      <c r="B20" s="125" t="str">
        <f>IF('Project Estimations'!F57="","",'Project Estimations'!F57)</f>
        <v/>
      </c>
      <c r="C20" s="126" t="str">
        <f>IF('Project Estimations'!G57="","",'Project Estimations'!G57)</f>
        <v/>
      </c>
      <c r="D20" s="126">
        <f>IF('Margin Calculation'!I16="","",'Margin Calculation'!I16)</f>
        <v>807.91310162734828</v>
      </c>
      <c r="E20" s="126">
        <f>IF('Margin Calculation'!H16="","",'Margin Calculation'!H16)</f>
        <v>537.20936712709329</v>
      </c>
      <c r="F20" s="126" t="e">
        <f>IF('Margin Calculation'!I16="","",'Margin Calculation'!I16/(1-VLOOKUP(C20,'Business Model'!$M$28:$T$33,6,FALSE)))</f>
        <v>#N/A</v>
      </c>
      <c r="G20" s="125" t="str">
        <f>IF('Project Estimations'!H57="","",'Project Estimations'!H57)</f>
        <v/>
      </c>
      <c r="H20" s="125">
        <f t="shared" si="5"/>
        <v>35</v>
      </c>
      <c r="I20" s="119" t="str">
        <f t="shared" ref="I20:AH20" ca="1" si="9">IF($B20="","",IF($F$7="YES",SUM(INDIRECT($D$9&amp;H$11&amp;$H20&amp;":"&amp;H$10&amp;$H20))*$E20,SUM(INDIRECT($D$9&amp;H$11&amp;$H20&amp;":"&amp;H$10&amp;$H20))*$F20))</f>
        <v/>
      </c>
      <c r="J20" s="119" t="str">
        <f t="shared" ca="1" si="9"/>
        <v/>
      </c>
      <c r="K20" s="119" t="str">
        <f t="shared" ca="1" si="9"/>
        <v/>
      </c>
      <c r="L20" s="119" t="str">
        <f t="shared" ca="1" si="9"/>
        <v/>
      </c>
      <c r="M20" s="119" t="str">
        <f t="shared" ca="1" si="9"/>
        <v/>
      </c>
      <c r="N20" s="119" t="str">
        <f t="shared" ca="1" si="9"/>
        <v/>
      </c>
      <c r="O20" s="119" t="str">
        <f t="shared" ca="1" si="9"/>
        <v/>
      </c>
      <c r="P20" s="119" t="str">
        <f t="shared" ca="1" si="9"/>
        <v/>
      </c>
      <c r="Q20" s="119" t="str">
        <f t="shared" ca="1" si="9"/>
        <v/>
      </c>
      <c r="R20" s="119" t="str">
        <f t="shared" ca="1" si="9"/>
        <v/>
      </c>
      <c r="S20" s="119" t="str">
        <f t="shared" ca="1" si="9"/>
        <v/>
      </c>
      <c r="T20" s="119" t="str">
        <f t="shared" ca="1" si="9"/>
        <v/>
      </c>
      <c r="U20" s="119" t="str">
        <f t="shared" ca="1" si="9"/>
        <v/>
      </c>
      <c r="V20" s="119" t="str">
        <f t="shared" ca="1" si="9"/>
        <v/>
      </c>
      <c r="W20" s="119" t="str">
        <f t="shared" ca="1" si="9"/>
        <v/>
      </c>
      <c r="X20" s="119" t="str">
        <f t="shared" ca="1" si="9"/>
        <v/>
      </c>
      <c r="Y20" s="119" t="str">
        <f t="shared" ca="1" si="9"/>
        <v/>
      </c>
      <c r="Z20" s="119" t="str">
        <f t="shared" ca="1" si="9"/>
        <v/>
      </c>
      <c r="AA20" s="119" t="str">
        <f t="shared" ca="1" si="9"/>
        <v/>
      </c>
      <c r="AB20" s="119" t="str">
        <f t="shared" ca="1" si="9"/>
        <v/>
      </c>
      <c r="AC20" s="119" t="str">
        <f t="shared" ca="1" si="9"/>
        <v/>
      </c>
      <c r="AD20" s="119" t="str">
        <f t="shared" ca="1" si="9"/>
        <v/>
      </c>
      <c r="AE20" s="119" t="str">
        <f t="shared" ca="1" si="9"/>
        <v/>
      </c>
      <c r="AF20" s="119" t="str">
        <f t="shared" ca="1" si="9"/>
        <v/>
      </c>
      <c r="AG20" s="119" t="str">
        <f t="shared" ca="1" si="9"/>
        <v/>
      </c>
      <c r="AH20" s="119" t="str">
        <f t="shared" ca="1" si="9"/>
        <v/>
      </c>
    </row>
    <row r="21" spans="2:34" ht="13" x14ac:dyDescent="0.25">
      <c r="B21" s="125" t="str">
        <f>IF('Project Estimations'!F58="","",'Project Estimations'!F58)</f>
        <v/>
      </c>
      <c r="C21" s="126" t="str">
        <f>IF('Project Estimations'!G58="","",'Project Estimations'!G58)</f>
        <v/>
      </c>
      <c r="D21" s="126">
        <f>IF('Margin Calculation'!I17="","",'Margin Calculation'!I17)</f>
        <v>807.91310162734828</v>
      </c>
      <c r="E21" s="126">
        <f>IF('Margin Calculation'!H17="","",'Margin Calculation'!H17)</f>
        <v>537.20936712709329</v>
      </c>
      <c r="F21" s="126" t="e">
        <f>IF('Margin Calculation'!I17="","",'Margin Calculation'!I17/(1-VLOOKUP(C21,'Business Model'!$M$28:$T$33,6,FALSE)))</f>
        <v>#N/A</v>
      </c>
      <c r="G21" s="125" t="str">
        <f>IF('Project Estimations'!H58="","",'Project Estimations'!H58)</f>
        <v/>
      </c>
      <c r="H21" s="125">
        <f t="shared" si="5"/>
        <v>36</v>
      </c>
      <c r="I21" s="119" t="str">
        <f t="shared" ref="I21:AH21" ca="1" si="10">IF($B21="","",IF($F$7="YES",SUM(INDIRECT($D$9&amp;H$11&amp;$H21&amp;":"&amp;H$10&amp;$H21))*$E21,SUM(INDIRECT($D$9&amp;H$11&amp;$H21&amp;":"&amp;H$10&amp;$H21))*$F21))</f>
        <v/>
      </c>
      <c r="J21" s="119" t="str">
        <f t="shared" ca="1" si="10"/>
        <v/>
      </c>
      <c r="K21" s="119" t="str">
        <f t="shared" ca="1" si="10"/>
        <v/>
      </c>
      <c r="L21" s="119" t="str">
        <f t="shared" ca="1" si="10"/>
        <v/>
      </c>
      <c r="M21" s="119" t="str">
        <f t="shared" ca="1" si="10"/>
        <v/>
      </c>
      <c r="N21" s="119" t="str">
        <f t="shared" ca="1" si="10"/>
        <v/>
      </c>
      <c r="O21" s="119" t="str">
        <f t="shared" ca="1" si="10"/>
        <v/>
      </c>
      <c r="P21" s="119" t="str">
        <f t="shared" ca="1" si="10"/>
        <v/>
      </c>
      <c r="Q21" s="119" t="str">
        <f t="shared" ca="1" si="10"/>
        <v/>
      </c>
      <c r="R21" s="119" t="str">
        <f t="shared" ca="1" si="10"/>
        <v/>
      </c>
      <c r="S21" s="119" t="str">
        <f t="shared" ca="1" si="10"/>
        <v/>
      </c>
      <c r="T21" s="119" t="str">
        <f t="shared" ca="1" si="10"/>
        <v/>
      </c>
      <c r="U21" s="119" t="str">
        <f t="shared" ca="1" si="10"/>
        <v/>
      </c>
      <c r="V21" s="119" t="str">
        <f t="shared" ca="1" si="10"/>
        <v/>
      </c>
      <c r="W21" s="119" t="str">
        <f t="shared" ca="1" si="10"/>
        <v/>
      </c>
      <c r="X21" s="119" t="str">
        <f t="shared" ca="1" si="10"/>
        <v/>
      </c>
      <c r="Y21" s="119" t="str">
        <f t="shared" ca="1" si="10"/>
        <v/>
      </c>
      <c r="Z21" s="119" t="str">
        <f t="shared" ca="1" si="10"/>
        <v/>
      </c>
      <c r="AA21" s="119" t="str">
        <f t="shared" ca="1" si="10"/>
        <v/>
      </c>
      <c r="AB21" s="119" t="str">
        <f t="shared" ca="1" si="10"/>
        <v/>
      </c>
      <c r="AC21" s="119" t="str">
        <f t="shared" ca="1" si="10"/>
        <v/>
      </c>
      <c r="AD21" s="119" t="str">
        <f t="shared" ca="1" si="10"/>
        <v/>
      </c>
      <c r="AE21" s="119" t="str">
        <f t="shared" ca="1" si="10"/>
        <v/>
      </c>
      <c r="AF21" s="119" t="str">
        <f t="shared" ca="1" si="10"/>
        <v/>
      </c>
      <c r="AG21" s="119" t="str">
        <f t="shared" ca="1" si="10"/>
        <v/>
      </c>
      <c r="AH21" s="119" t="str">
        <f t="shared" ca="1" si="10"/>
        <v/>
      </c>
    </row>
    <row r="22" spans="2:34" ht="13" x14ac:dyDescent="0.25">
      <c r="B22" s="125" t="str">
        <f>IF('Project Estimations'!F61="","",'Project Estimations'!F61)</f>
        <v/>
      </c>
      <c r="C22" s="126" t="str">
        <f>IF('Project Estimations'!G61="","",'Project Estimations'!G61)</f>
        <v/>
      </c>
      <c r="D22" s="126">
        <f>IF('Margin Calculation'!I18="","",'Margin Calculation'!I18)</f>
        <v>643.35579042914276</v>
      </c>
      <c r="E22" s="126">
        <f>IF('Margin Calculation'!H18="","",'Margin Calculation'!H18)</f>
        <v>537.20936712709329</v>
      </c>
      <c r="F22" s="126" t="e">
        <f>IF('Margin Calculation'!I18="","",'Margin Calculation'!I18/(1-VLOOKUP(C22,'Business Model'!$M$28:$T$33,6,FALSE)))</f>
        <v>#N/A</v>
      </c>
      <c r="G22" s="125" t="str">
        <f>IF('Project Estimations'!H61="","",'Project Estimations'!H61)</f>
        <v/>
      </c>
      <c r="H22" s="125">
        <f t="shared" si="5"/>
        <v>37</v>
      </c>
      <c r="I22" s="119" t="str">
        <f t="shared" ref="I22:AH22" ca="1" si="11">IF($B22="","",IF($F$7="YES",SUM(INDIRECT($D$9&amp;H$11&amp;$H22&amp;":"&amp;H$10&amp;$H22))*$E22,SUM(INDIRECT($D$9&amp;H$11&amp;$H22&amp;":"&amp;H$10&amp;$H22))*$F22))</f>
        <v/>
      </c>
      <c r="J22" s="119" t="str">
        <f t="shared" ca="1" si="11"/>
        <v/>
      </c>
      <c r="K22" s="119" t="str">
        <f t="shared" ca="1" si="11"/>
        <v/>
      </c>
      <c r="L22" s="119" t="str">
        <f t="shared" ca="1" si="11"/>
        <v/>
      </c>
      <c r="M22" s="119" t="str">
        <f t="shared" ca="1" si="11"/>
        <v/>
      </c>
      <c r="N22" s="119" t="str">
        <f t="shared" ca="1" si="11"/>
        <v/>
      </c>
      <c r="O22" s="119" t="str">
        <f t="shared" ca="1" si="11"/>
        <v/>
      </c>
      <c r="P22" s="119" t="str">
        <f t="shared" ca="1" si="11"/>
        <v/>
      </c>
      <c r="Q22" s="119" t="str">
        <f t="shared" ca="1" si="11"/>
        <v/>
      </c>
      <c r="R22" s="119" t="str">
        <f t="shared" ca="1" si="11"/>
        <v/>
      </c>
      <c r="S22" s="119" t="str">
        <f t="shared" ca="1" si="11"/>
        <v/>
      </c>
      <c r="T22" s="119" t="str">
        <f t="shared" ca="1" si="11"/>
        <v/>
      </c>
      <c r="U22" s="119" t="str">
        <f t="shared" ca="1" si="11"/>
        <v/>
      </c>
      <c r="V22" s="119" t="str">
        <f t="shared" ca="1" si="11"/>
        <v/>
      </c>
      <c r="W22" s="119" t="str">
        <f t="shared" ca="1" si="11"/>
        <v/>
      </c>
      <c r="X22" s="119" t="str">
        <f t="shared" ca="1" si="11"/>
        <v/>
      </c>
      <c r="Y22" s="119" t="str">
        <f t="shared" ca="1" si="11"/>
        <v/>
      </c>
      <c r="Z22" s="119" t="str">
        <f t="shared" ca="1" si="11"/>
        <v/>
      </c>
      <c r="AA22" s="119" t="str">
        <f t="shared" ca="1" si="11"/>
        <v/>
      </c>
      <c r="AB22" s="119" t="str">
        <f t="shared" ca="1" si="11"/>
        <v/>
      </c>
      <c r="AC22" s="119" t="str">
        <f t="shared" ca="1" si="11"/>
        <v/>
      </c>
      <c r="AD22" s="119" t="str">
        <f t="shared" ca="1" si="11"/>
        <v/>
      </c>
      <c r="AE22" s="119" t="str">
        <f t="shared" ca="1" si="11"/>
        <v/>
      </c>
      <c r="AF22" s="119" t="str">
        <f t="shared" ca="1" si="11"/>
        <v/>
      </c>
      <c r="AG22" s="119" t="str">
        <f t="shared" ca="1" si="11"/>
        <v/>
      </c>
      <c r="AH22" s="119" t="str">
        <f t="shared" ca="1" si="11"/>
        <v/>
      </c>
    </row>
    <row r="23" spans="2:34" ht="13" x14ac:dyDescent="0.25">
      <c r="B23" s="125" t="str">
        <f>IF('Project Estimations'!F62="","",'Project Estimations'!F62)</f>
        <v/>
      </c>
      <c r="C23" s="126" t="str">
        <f>IF('Project Estimations'!G62="","",'Project Estimations'!G62)</f>
        <v/>
      </c>
      <c r="D23" s="126" t="str">
        <f>IF('Margin Calculation'!I19="","",'Margin Calculation'!I19)</f>
        <v/>
      </c>
      <c r="E23" s="126" t="str">
        <f>IF('Margin Calculation'!H19="","",'Margin Calculation'!H19)</f>
        <v/>
      </c>
      <c r="F23" s="126" t="str">
        <f>IF('Margin Calculation'!I19="","",'Margin Calculation'!I19/(1-VLOOKUP(C23,'Business Model'!$M$28:$T$33,6,FALSE)))</f>
        <v/>
      </c>
      <c r="G23" s="125" t="str">
        <f>IF('Project Estimations'!H62="","",'Project Estimations'!H62)</f>
        <v/>
      </c>
      <c r="H23" s="125">
        <f t="shared" si="5"/>
        <v>38</v>
      </c>
      <c r="I23" s="119" t="str">
        <f t="shared" ref="I23:AH23" ca="1" si="12">IF($B23="","",IF($F$7="YES",SUM(INDIRECT($D$9&amp;H$11&amp;$H23&amp;":"&amp;H$10&amp;$H23))*$E23,SUM(INDIRECT($D$9&amp;H$11&amp;$H23&amp;":"&amp;H$10&amp;$H23))*$F23))</f>
        <v/>
      </c>
      <c r="J23" s="119" t="str">
        <f t="shared" ca="1" si="12"/>
        <v/>
      </c>
      <c r="K23" s="119" t="str">
        <f t="shared" ca="1" si="12"/>
        <v/>
      </c>
      <c r="L23" s="119" t="str">
        <f t="shared" ca="1" si="12"/>
        <v/>
      </c>
      <c r="M23" s="119" t="str">
        <f t="shared" ca="1" si="12"/>
        <v/>
      </c>
      <c r="N23" s="119" t="str">
        <f t="shared" ca="1" si="12"/>
        <v/>
      </c>
      <c r="O23" s="119" t="str">
        <f t="shared" ca="1" si="12"/>
        <v/>
      </c>
      <c r="P23" s="119" t="str">
        <f t="shared" ca="1" si="12"/>
        <v/>
      </c>
      <c r="Q23" s="119" t="str">
        <f t="shared" ca="1" si="12"/>
        <v/>
      </c>
      <c r="R23" s="119" t="str">
        <f t="shared" ca="1" si="12"/>
        <v/>
      </c>
      <c r="S23" s="119" t="str">
        <f t="shared" ca="1" si="12"/>
        <v/>
      </c>
      <c r="T23" s="119" t="str">
        <f t="shared" ca="1" si="12"/>
        <v/>
      </c>
      <c r="U23" s="119" t="str">
        <f t="shared" ca="1" si="12"/>
        <v/>
      </c>
      <c r="V23" s="119" t="str">
        <f t="shared" ca="1" si="12"/>
        <v/>
      </c>
      <c r="W23" s="119" t="str">
        <f t="shared" ca="1" si="12"/>
        <v/>
      </c>
      <c r="X23" s="119" t="str">
        <f t="shared" ca="1" si="12"/>
        <v/>
      </c>
      <c r="Y23" s="119" t="str">
        <f t="shared" ca="1" si="12"/>
        <v/>
      </c>
      <c r="Z23" s="119" t="str">
        <f t="shared" ca="1" si="12"/>
        <v/>
      </c>
      <c r="AA23" s="119" t="str">
        <f t="shared" ca="1" si="12"/>
        <v/>
      </c>
      <c r="AB23" s="119" t="str">
        <f t="shared" ca="1" si="12"/>
        <v/>
      </c>
      <c r="AC23" s="119" t="str">
        <f t="shared" ca="1" si="12"/>
        <v/>
      </c>
      <c r="AD23" s="119" t="str">
        <f t="shared" ca="1" si="12"/>
        <v/>
      </c>
      <c r="AE23" s="119" t="str">
        <f t="shared" ca="1" si="12"/>
        <v/>
      </c>
      <c r="AF23" s="119" t="str">
        <f t="shared" ca="1" si="12"/>
        <v/>
      </c>
      <c r="AG23" s="119" t="str">
        <f t="shared" ca="1" si="12"/>
        <v/>
      </c>
      <c r="AH23" s="119" t="str">
        <f t="shared" ca="1" si="12"/>
        <v/>
      </c>
    </row>
    <row r="24" spans="2:34" ht="13" x14ac:dyDescent="0.25">
      <c r="B24" s="125">
        <f>IF('Project Estimations'!F63="","",'Project Estimations'!F63)</f>
        <v>100</v>
      </c>
      <c r="C24" s="126" t="str">
        <f>IF('Project Estimations'!G63="","",'Project Estimations'!G63)</f>
        <v/>
      </c>
      <c r="D24" s="126" t="str">
        <f>IF('Margin Calculation'!I20="","",'Margin Calculation'!I20)</f>
        <v/>
      </c>
      <c r="E24" s="126" t="str">
        <f>IF('Margin Calculation'!H20="","",'Margin Calculation'!H20)</f>
        <v/>
      </c>
      <c r="F24" s="126" t="str">
        <f>IF('Margin Calculation'!I20="","",'Margin Calculation'!I20/(1-VLOOKUP(C24,'Business Model'!$M$28:$T$33,6,FALSE)))</f>
        <v/>
      </c>
      <c r="G24" s="125" t="str">
        <f>IF('Project Estimations'!H63="","",'Project Estimations'!H63)</f>
        <v/>
      </c>
      <c r="H24" s="125">
        <f t="shared" si="5"/>
        <v>39</v>
      </c>
      <c r="I24" s="119" t="e">
        <f t="shared" ref="I24:AH24" ca="1" si="13">IF($B24="","",IF($F$7="YES",SUM(INDIRECT($D$9&amp;H$11&amp;$H24&amp;":"&amp;H$10&amp;$H24))*$E24,SUM(INDIRECT($D$9&amp;H$11&amp;$H24&amp;":"&amp;H$10&amp;$H24))*$F24))</f>
        <v>#VALUE!</v>
      </c>
      <c r="J24" s="119" t="e">
        <f t="shared" ca="1" si="13"/>
        <v>#VALUE!</v>
      </c>
      <c r="K24" s="119" t="e">
        <f t="shared" ca="1" si="13"/>
        <v>#VALUE!</v>
      </c>
      <c r="L24" s="119" t="e">
        <f t="shared" ca="1" si="13"/>
        <v>#VALUE!</v>
      </c>
      <c r="M24" s="119" t="e">
        <f t="shared" ca="1" si="13"/>
        <v>#VALUE!</v>
      </c>
      <c r="N24" s="119" t="e">
        <f t="shared" ca="1" si="13"/>
        <v>#VALUE!</v>
      </c>
      <c r="O24" s="119" t="e">
        <f t="shared" ca="1" si="13"/>
        <v>#VALUE!</v>
      </c>
      <c r="P24" s="119" t="e">
        <f t="shared" ca="1" si="13"/>
        <v>#VALUE!</v>
      </c>
      <c r="Q24" s="119" t="e">
        <f t="shared" ca="1" si="13"/>
        <v>#VALUE!</v>
      </c>
      <c r="R24" s="119" t="e">
        <f t="shared" ca="1" si="13"/>
        <v>#VALUE!</v>
      </c>
      <c r="S24" s="119" t="e">
        <f t="shared" ca="1" si="13"/>
        <v>#VALUE!</v>
      </c>
      <c r="T24" s="119" t="e">
        <f t="shared" ca="1" si="13"/>
        <v>#VALUE!</v>
      </c>
      <c r="U24" s="119" t="e">
        <f t="shared" ca="1" si="13"/>
        <v>#VALUE!</v>
      </c>
      <c r="V24" s="119" t="e">
        <f t="shared" ca="1" si="13"/>
        <v>#VALUE!</v>
      </c>
      <c r="W24" s="119" t="e">
        <f t="shared" ca="1" si="13"/>
        <v>#VALUE!</v>
      </c>
      <c r="X24" s="119" t="e">
        <f t="shared" ca="1" si="13"/>
        <v>#VALUE!</v>
      </c>
      <c r="Y24" s="119" t="e">
        <f t="shared" ca="1" si="13"/>
        <v>#VALUE!</v>
      </c>
      <c r="Z24" s="119" t="e">
        <f t="shared" ca="1" si="13"/>
        <v>#VALUE!</v>
      </c>
      <c r="AA24" s="119" t="e">
        <f t="shared" ca="1" si="13"/>
        <v>#VALUE!</v>
      </c>
      <c r="AB24" s="119" t="e">
        <f t="shared" ca="1" si="13"/>
        <v>#VALUE!</v>
      </c>
      <c r="AC24" s="119" t="e">
        <f t="shared" ca="1" si="13"/>
        <v>#VALUE!</v>
      </c>
      <c r="AD24" s="119" t="e">
        <f t="shared" ca="1" si="13"/>
        <v>#VALUE!</v>
      </c>
      <c r="AE24" s="119" t="e">
        <f t="shared" ca="1" si="13"/>
        <v>#VALUE!</v>
      </c>
      <c r="AF24" s="119" t="e">
        <f t="shared" ca="1" si="13"/>
        <v>#VALUE!</v>
      </c>
      <c r="AG24" s="119" t="e">
        <f t="shared" ca="1" si="13"/>
        <v>#VALUE!</v>
      </c>
      <c r="AH24" s="119" t="e">
        <f t="shared" ca="1" si="13"/>
        <v>#VALUE!</v>
      </c>
    </row>
    <row r="25" spans="2:34" ht="13" x14ac:dyDescent="0.25">
      <c r="B25" s="125">
        <f>IF('Project Estimations'!F64="","",'Project Estimations'!F64)</f>
        <v>101</v>
      </c>
      <c r="C25" s="126" t="str">
        <f>IF('Project Estimations'!G64="","",'Project Estimations'!G64)</f>
        <v>BR</v>
      </c>
      <c r="D25" s="126" t="str">
        <f>IF('Margin Calculation'!I21="","",'Margin Calculation'!I21)</f>
        <v/>
      </c>
      <c r="E25" s="126" t="str">
        <f>IF('Margin Calculation'!H21="","",'Margin Calculation'!H21)</f>
        <v/>
      </c>
      <c r="F25" s="126" t="str">
        <f>IF('Margin Calculation'!I21="","",'Margin Calculation'!I21/(1-VLOOKUP(C25,'Business Model'!$M$28:$T$33,6,FALSE)))</f>
        <v/>
      </c>
      <c r="G25" s="125">
        <f>IF('Project Estimations'!H64="","",'Project Estimations'!H64)</f>
        <v>54.214875000000006</v>
      </c>
      <c r="H25" s="125">
        <f t="shared" si="5"/>
        <v>40</v>
      </c>
      <c r="I25" s="119" t="e">
        <f t="shared" ref="I25:AH25" ca="1" si="14">IF($B25="","",IF($F$7="YES",SUM(INDIRECT($D$9&amp;H$11&amp;$H25&amp;":"&amp;H$10&amp;$H25))*$E25,SUM(INDIRECT($D$9&amp;H$11&amp;$H25&amp;":"&amp;H$10&amp;$H25))*$F25))</f>
        <v>#VALUE!</v>
      </c>
      <c r="J25" s="119" t="e">
        <f t="shared" ca="1" si="14"/>
        <v>#VALUE!</v>
      </c>
      <c r="K25" s="119" t="e">
        <f t="shared" ca="1" si="14"/>
        <v>#VALUE!</v>
      </c>
      <c r="L25" s="119" t="e">
        <f t="shared" ca="1" si="14"/>
        <v>#VALUE!</v>
      </c>
      <c r="M25" s="119" t="e">
        <f t="shared" ca="1" si="14"/>
        <v>#VALUE!</v>
      </c>
      <c r="N25" s="119" t="e">
        <f t="shared" ca="1" si="14"/>
        <v>#VALUE!</v>
      </c>
      <c r="O25" s="119" t="e">
        <f t="shared" ca="1" si="14"/>
        <v>#VALUE!</v>
      </c>
      <c r="P25" s="119" t="e">
        <f t="shared" ca="1" si="14"/>
        <v>#VALUE!</v>
      </c>
      <c r="Q25" s="119" t="e">
        <f t="shared" ca="1" si="14"/>
        <v>#VALUE!</v>
      </c>
      <c r="R25" s="119" t="e">
        <f t="shared" ca="1" si="14"/>
        <v>#VALUE!</v>
      </c>
      <c r="S25" s="119" t="e">
        <f t="shared" ca="1" si="14"/>
        <v>#VALUE!</v>
      </c>
      <c r="T25" s="119" t="e">
        <f t="shared" ca="1" si="14"/>
        <v>#VALUE!</v>
      </c>
      <c r="U25" s="119" t="e">
        <f t="shared" ca="1" si="14"/>
        <v>#VALUE!</v>
      </c>
      <c r="V25" s="119" t="e">
        <f t="shared" ca="1" si="14"/>
        <v>#VALUE!</v>
      </c>
      <c r="W25" s="119" t="e">
        <f t="shared" ca="1" si="14"/>
        <v>#VALUE!</v>
      </c>
      <c r="X25" s="119" t="e">
        <f t="shared" ca="1" si="14"/>
        <v>#VALUE!</v>
      </c>
      <c r="Y25" s="119" t="e">
        <f t="shared" ca="1" si="14"/>
        <v>#VALUE!</v>
      </c>
      <c r="Z25" s="119" t="e">
        <f t="shared" ca="1" si="14"/>
        <v>#VALUE!</v>
      </c>
      <c r="AA25" s="119" t="e">
        <f t="shared" ca="1" si="14"/>
        <v>#VALUE!</v>
      </c>
      <c r="AB25" s="119" t="e">
        <f t="shared" ca="1" si="14"/>
        <v>#VALUE!</v>
      </c>
      <c r="AC25" s="119" t="e">
        <f t="shared" ca="1" si="14"/>
        <v>#VALUE!</v>
      </c>
      <c r="AD25" s="119" t="e">
        <f t="shared" ca="1" si="14"/>
        <v>#VALUE!</v>
      </c>
      <c r="AE25" s="119" t="e">
        <f t="shared" ca="1" si="14"/>
        <v>#VALUE!</v>
      </c>
      <c r="AF25" s="119" t="e">
        <f t="shared" ca="1" si="14"/>
        <v>#VALUE!</v>
      </c>
      <c r="AG25" s="119" t="e">
        <f t="shared" ca="1" si="14"/>
        <v>#VALUE!</v>
      </c>
      <c r="AH25" s="119" t="e">
        <f t="shared" ca="1" si="14"/>
        <v>#VALUE!</v>
      </c>
    </row>
    <row r="26" spans="2:34" ht="13" x14ac:dyDescent="0.25">
      <c r="B26" s="125">
        <f>IF('Project Estimations'!F65="","",'Project Estimations'!F65)</f>
        <v>102</v>
      </c>
      <c r="C26" s="126" t="str">
        <f>IF('Project Estimations'!G65="","",'Project Estimations'!G65)</f>
        <v>BR</v>
      </c>
      <c r="D26" s="126" t="str">
        <f>IF('Margin Calculation'!I22="","",'Margin Calculation'!I22)</f>
        <v/>
      </c>
      <c r="E26" s="126" t="str">
        <f>IF('Margin Calculation'!H22="","",'Margin Calculation'!H22)</f>
        <v/>
      </c>
      <c r="F26" s="126" t="str">
        <f>IF('Margin Calculation'!I22="","",'Margin Calculation'!I22/(1-VLOOKUP(C26,'Business Model'!$M$28:$T$33,6,FALSE)))</f>
        <v/>
      </c>
      <c r="G26" s="125">
        <f>IF('Project Estimations'!H65="","",'Project Estimations'!H65)</f>
        <v>56.383470000000003</v>
      </c>
      <c r="H26" s="125">
        <f t="shared" si="5"/>
        <v>41</v>
      </c>
      <c r="I26" s="119" t="e">
        <f t="shared" ref="I26:AH26" ca="1" si="15">IF($B26="","",IF($F$7="YES",SUM(INDIRECT($D$9&amp;H$11&amp;$H26&amp;":"&amp;H$10&amp;$H26))*$E26,SUM(INDIRECT($D$9&amp;H$11&amp;$H26&amp;":"&amp;H$10&amp;$H26))*$F26))</f>
        <v>#VALUE!</v>
      </c>
      <c r="J26" s="119" t="e">
        <f t="shared" ca="1" si="15"/>
        <v>#VALUE!</v>
      </c>
      <c r="K26" s="119" t="e">
        <f t="shared" ca="1" si="15"/>
        <v>#VALUE!</v>
      </c>
      <c r="L26" s="119" t="e">
        <f t="shared" ca="1" si="15"/>
        <v>#VALUE!</v>
      </c>
      <c r="M26" s="119" t="e">
        <f t="shared" ca="1" si="15"/>
        <v>#VALUE!</v>
      </c>
      <c r="N26" s="119" t="e">
        <f t="shared" ca="1" si="15"/>
        <v>#VALUE!</v>
      </c>
      <c r="O26" s="119" t="e">
        <f t="shared" ca="1" si="15"/>
        <v>#VALUE!</v>
      </c>
      <c r="P26" s="119" t="e">
        <f t="shared" ca="1" si="15"/>
        <v>#VALUE!</v>
      </c>
      <c r="Q26" s="119" t="e">
        <f t="shared" ca="1" si="15"/>
        <v>#VALUE!</v>
      </c>
      <c r="R26" s="119" t="e">
        <f t="shared" ca="1" si="15"/>
        <v>#VALUE!</v>
      </c>
      <c r="S26" s="119" t="e">
        <f t="shared" ca="1" si="15"/>
        <v>#VALUE!</v>
      </c>
      <c r="T26" s="119" t="e">
        <f t="shared" ca="1" si="15"/>
        <v>#VALUE!</v>
      </c>
      <c r="U26" s="119" t="e">
        <f t="shared" ca="1" si="15"/>
        <v>#VALUE!</v>
      </c>
      <c r="V26" s="119" t="e">
        <f t="shared" ca="1" si="15"/>
        <v>#VALUE!</v>
      </c>
      <c r="W26" s="119" t="e">
        <f t="shared" ca="1" si="15"/>
        <v>#VALUE!</v>
      </c>
      <c r="X26" s="119" t="e">
        <f t="shared" ca="1" si="15"/>
        <v>#VALUE!</v>
      </c>
      <c r="Y26" s="119" t="e">
        <f t="shared" ca="1" si="15"/>
        <v>#VALUE!</v>
      </c>
      <c r="Z26" s="119" t="e">
        <f t="shared" ca="1" si="15"/>
        <v>#VALUE!</v>
      </c>
      <c r="AA26" s="119" t="e">
        <f t="shared" ca="1" si="15"/>
        <v>#VALUE!</v>
      </c>
      <c r="AB26" s="119" t="e">
        <f t="shared" ca="1" si="15"/>
        <v>#VALUE!</v>
      </c>
      <c r="AC26" s="119" t="e">
        <f t="shared" ca="1" si="15"/>
        <v>#VALUE!</v>
      </c>
      <c r="AD26" s="119" t="e">
        <f t="shared" ca="1" si="15"/>
        <v>#VALUE!</v>
      </c>
      <c r="AE26" s="119" t="e">
        <f t="shared" ca="1" si="15"/>
        <v>#VALUE!</v>
      </c>
      <c r="AF26" s="119" t="e">
        <f t="shared" ca="1" si="15"/>
        <v>#VALUE!</v>
      </c>
      <c r="AG26" s="119" t="e">
        <f t="shared" ca="1" si="15"/>
        <v>#VALUE!</v>
      </c>
      <c r="AH26" s="119" t="e">
        <f t="shared" ca="1" si="15"/>
        <v>#VALUE!</v>
      </c>
    </row>
    <row r="27" spans="2:34" ht="13" x14ac:dyDescent="0.25">
      <c r="B27" s="125">
        <f>IF('Project Estimations'!F66="","",'Project Estimations'!F66)</f>
        <v>200</v>
      </c>
      <c r="C27" s="126" t="str">
        <f>IF('Project Estimations'!G66="","",'Project Estimations'!G66)</f>
        <v>PT</v>
      </c>
      <c r="D27" s="126" t="str">
        <f>IF('Margin Calculation'!I23="","",'Margin Calculation'!I23)</f>
        <v/>
      </c>
      <c r="E27" s="126" t="str">
        <f>IF('Margin Calculation'!H23="","",'Margin Calculation'!H23)</f>
        <v/>
      </c>
      <c r="F27" s="126" t="str">
        <f>IF('Margin Calculation'!I23="","",'Margin Calculation'!I23/(1-VLOOKUP(C27,'Business Model'!$M$28:$T$33,6,FALSE)))</f>
        <v/>
      </c>
      <c r="G27" s="125">
        <f>IF('Project Estimations'!H66="","",'Project Estimations'!H66)</f>
        <v>21.685950000000002</v>
      </c>
      <c r="H27" s="125">
        <f t="shared" si="5"/>
        <v>42</v>
      </c>
      <c r="I27" s="119" t="e">
        <f t="shared" ref="I27:AH27" ca="1" si="16">IF($B27="","",IF($F$7="YES",SUM(INDIRECT($D$9&amp;H$11&amp;$H27&amp;":"&amp;H$10&amp;$H27))*$E27,SUM(INDIRECT($D$9&amp;H$11&amp;$H27&amp;":"&amp;H$10&amp;$H27))*$F27))</f>
        <v>#VALUE!</v>
      </c>
      <c r="J27" s="119" t="e">
        <f t="shared" ca="1" si="16"/>
        <v>#VALUE!</v>
      </c>
      <c r="K27" s="119" t="e">
        <f t="shared" ca="1" si="16"/>
        <v>#VALUE!</v>
      </c>
      <c r="L27" s="119" t="e">
        <f t="shared" ca="1" si="16"/>
        <v>#VALUE!</v>
      </c>
      <c r="M27" s="119" t="e">
        <f t="shared" ca="1" si="16"/>
        <v>#VALUE!</v>
      </c>
      <c r="N27" s="119" t="e">
        <f t="shared" ca="1" si="16"/>
        <v>#VALUE!</v>
      </c>
      <c r="O27" s="119" t="e">
        <f t="shared" ca="1" si="16"/>
        <v>#VALUE!</v>
      </c>
      <c r="P27" s="119" t="e">
        <f t="shared" ca="1" si="16"/>
        <v>#VALUE!</v>
      </c>
      <c r="Q27" s="119" t="e">
        <f t="shared" ca="1" si="16"/>
        <v>#VALUE!</v>
      </c>
      <c r="R27" s="119" t="e">
        <f t="shared" ca="1" si="16"/>
        <v>#VALUE!</v>
      </c>
      <c r="S27" s="119" t="e">
        <f t="shared" ca="1" si="16"/>
        <v>#VALUE!</v>
      </c>
      <c r="T27" s="119" t="e">
        <f t="shared" ca="1" si="16"/>
        <v>#VALUE!</v>
      </c>
      <c r="U27" s="119" t="e">
        <f t="shared" ca="1" si="16"/>
        <v>#VALUE!</v>
      </c>
      <c r="V27" s="119" t="e">
        <f t="shared" ca="1" si="16"/>
        <v>#VALUE!</v>
      </c>
      <c r="W27" s="119" t="e">
        <f t="shared" ca="1" si="16"/>
        <v>#VALUE!</v>
      </c>
      <c r="X27" s="119" t="e">
        <f t="shared" ca="1" si="16"/>
        <v>#VALUE!</v>
      </c>
      <c r="Y27" s="119" t="e">
        <f t="shared" ca="1" si="16"/>
        <v>#VALUE!</v>
      </c>
      <c r="Z27" s="119" t="e">
        <f t="shared" ca="1" si="16"/>
        <v>#VALUE!</v>
      </c>
      <c r="AA27" s="119" t="e">
        <f t="shared" ca="1" si="16"/>
        <v>#VALUE!</v>
      </c>
      <c r="AB27" s="119" t="e">
        <f t="shared" ca="1" si="16"/>
        <v>#VALUE!</v>
      </c>
      <c r="AC27" s="119" t="e">
        <f t="shared" ca="1" si="16"/>
        <v>#VALUE!</v>
      </c>
      <c r="AD27" s="119" t="e">
        <f t="shared" ca="1" si="16"/>
        <v>#VALUE!</v>
      </c>
      <c r="AE27" s="119" t="e">
        <f t="shared" ca="1" si="16"/>
        <v>#VALUE!</v>
      </c>
      <c r="AF27" s="119" t="e">
        <f t="shared" ca="1" si="16"/>
        <v>#VALUE!</v>
      </c>
      <c r="AG27" s="119" t="e">
        <f t="shared" ca="1" si="16"/>
        <v>#VALUE!</v>
      </c>
      <c r="AH27" s="119" t="e">
        <f t="shared" ca="1" si="16"/>
        <v>#VALUE!</v>
      </c>
    </row>
    <row r="28" spans="2:34" ht="13" x14ac:dyDescent="0.25">
      <c r="B28" s="125">
        <f>IF('Project Estimations'!F67="","",'Project Estimations'!F67)</f>
        <v>201</v>
      </c>
      <c r="C28" s="126" t="str">
        <f>IF('Project Estimations'!G67="","",'Project Estimations'!G67)</f>
        <v>PT</v>
      </c>
      <c r="D28" s="126" t="str">
        <f>IF('Margin Calculation'!I24="","",'Margin Calculation'!I24)</f>
        <v/>
      </c>
      <c r="E28" s="126" t="str">
        <f>IF('Margin Calculation'!H24="","",'Margin Calculation'!H24)</f>
        <v/>
      </c>
      <c r="F28" s="126" t="str">
        <f>IF('Margin Calculation'!I24="","",'Margin Calculation'!I24/(1-VLOOKUP(C28,'Business Model'!$M$28:$T$33,6,FALSE)))</f>
        <v/>
      </c>
      <c r="G28" s="125">
        <f>IF('Project Estimations'!H67="","",'Project Estimations'!H67)</f>
        <v>21.685950000000002</v>
      </c>
      <c r="H28" s="125">
        <f t="shared" si="5"/>
        <v>43</v>
      </c>
      <c r="I28" s="119" t="e">
        <f t="shared" ref="I28:AH28" ca="1" si="17">IF($B28="","",IF($F$7="YES",SUM(INDIRECT($D$9&amp;H$11&amp;$H28&amp;":"&amp;H$10&amp;$H28))*$E28,SUM(INDIRECT($D$9&amp;H$11&amp;$H28&amp;":"&amp;H$10&amp;$H28))*$F28))</f>
        <v>#VALUE!</v>
      </c>
      <c r="J28" s="119" t="e">
        <f t="shared" ca="1" si="17"/>
        <v>#VALUE!</v>
      </c>
      <c r="K28" s="119" t="e">
        <f t="shared" ca="1" si="17"/>
        <v>#VALUE!</v>
      </c>
      <c r="L28" s="119" t="e">
        <f t="shared" ca="1" si="17"/>
        <v>#VALUE!</v>
      </c>
      <c r="M28" s="119" t="e">
        <f t="shared" ca="1" si="17"/>
        <v>#VALUE!</v>
      </c>
      <c r="N28" s="119" t="e">
        <f t="shared" ca="1" si="17"/>
        <v>#VALUE!</v>
      </c>
      <c r="O28" s="119" t="e">
        <f t="shared" ca="1" si="17"/>
        <v>#VALUE!</v>
      </c>
      <c r="P28" s="119" t="e">
        <f t="shared" ca="1" si="17"/>
        <v>#VALUE!</v>
      </c>
      <c r="Q28" s="119" t="e">
        <f t="shared" ca="1" si="17"/>
        <v>#VALUE!</v>
      </c>
      <c r="R28" s="119" t="e">
        <f t="shared" ca="1" si="17"/>
        <v>#VALUE!</v>
      </c>
      <c r="S28" s="119" t="e">
        <f t="shared" ca="1" si="17"/>
        <v>#VALUE!</v>
      </c>
      <c r="T28" s="119" t="e">
        <f t="shared" ca="1" si="17"/>
        <v>#VALUE!</v>
      </c>
      <c r="U28" s="119" t="e">
        <f t="shared" ca="1" si="17"/>
        <v>#VALUE!</v>
      </c>
      <c r="V28" s="119" t="e">
        <f t="shared" ca="1" si="17"/>
        <v>#VALUE!</v>
      </c>
      <c r="W28" s="119" t="e">
        <f t="shared" ca="1" si="17"/>
        <v>#VALUE!</v>
      </c>
      <c r="X28" s="119" t="e">
        <f t="shared" ca="1" si="17"/>
        <v>#VALUE!</v>
      </c>
      <c r="Y28" s="119" t="e">
        <f t="shared" ca="1" si="17"/>
        <v>#VALUE!</v>
      </c>
      <c r="Z28" s="119" t="e">
        <f t="shared" ca="1" si="17"/>
        <v>#VALUE!</v>
      </c>
      <c r="AA28" s="119" t="e">
        <f t="shared" ca="1" si="17"/>
        <v>#VALUE!</v>
      </c>
      <c r="AB28" s="119" t="e">
        <f t="shared" ca="1" si="17"/>
        <v>#VALUE!</v>
      </c>
      <c r="AC28" s="119" t="e">
        <f t="shared" ca="1" si="17"/>
        <v>#VALUE!</v>
      </c>
      <c r="AD28" s="119" t="e">
        <f t="shared" ca="1" si="17"/>
        <v>#VALUE!</v>
      </c>
      <c r="AE28" s="119" t="e">
        <f t="shared" ca="1" si="17"/>
        <v>#VALUE!</v>
      </c>
      <c r="AF28" s="119" t="e">
        <f t="shared" ca="1" si="17"/>
        <v>#VALUE!</v>
      </c>
      <c r="AG28" s="119" t="e">
        <f t="shared" ca="1" si="17"/>
        <v>#VALUE!</v>
      </c>
      <c r="AH28" s="119" t="e">
        <f t="shared" ca="1" si="17"/>
        <v>#VALUE!</v>
      </c>
    </row>
    <row r="29" spans="2:34" ht="13" x14ac:dyDescent="0.25">
      <c r="B29" s="125">
        <f>IF('Project Estimations'!F68="","",'Project Estimations'!F68)</f>
        <v>202</v>
      </c>
      <c r="C29" s="126" t="str">
        <f>IF('Project Estimations'!G68="","",'Project Estimations'!G68)</f>
        <v>PT</v>
      </c>
      <c r="D29" s="126" t="str">
        <f>IF('Margin Calculation'!I25="","",'Margin Calculation'!I25)</f>
        <v/>
      </c>
      <c r="E29" s="126" t="str">
        <f>IF('Margin Calculation'!H25="","",'Margin Calculation'!H25)</f>
        <v/>
      </c>
      <c r="F29" s="126" t="str">
        <f>IF('Margin Calculation'!I25="","",'Margin Calculation'!I25/(1-VLOOKUP(C29,'Business Model'!$M$28:$T$33,6,FALSE)))</f>
        <v/>
      </c>
      <c r="G29" s="125">
        <f>IF('Project Estimations'!H68="","",'Project Estimations'!H68)</f>
        <v>21.685950000000002</v>
      </c>
      <c r="H29" s="125">
        <f t="shared" si="5"/>
        <v>44</v>
      </c>
      <c r="I29" s="119" t="e">
        <f t="shared" ref="I29:AH29" ca="1" si="18">IF($B29="","",IF($F$7="YES",SUM(INDIRECT($D$9&amp;H$11&amp;$H29&amp;":"&amp;H$10&amp;$H29))*$E29,SUM(INDIRECT($D$9&amp;H$11&amp;$H29&amp;":"&amp;H$10&amp;$H29))*$F29))</f>
        <v>#VALUE!</v>
      </c>
      <c r="J29" s="119" t="e">
        <f t="shared" ca="1" si="18"/>
        <v>#VALUE!</v>
      </c>
      <c r="K29" s="119" t="e">
        <f t="shared" ca="1" si="18"/>
        <v>#VALUE!</v>
      </c>
      <c r="L29" s="119" t="e">
        <f t="shared" ca="1" si="18"/>
        <v>#VALUE!</v>
      </c>
      <c r="M29" s="119" t="e">
        <f t="shared" ca="1" si="18"/>
        <v>#VALUE!</v>
      </c>
      <c r="N29" s="119" t="e">
        <f t="shared" ca="1" si="18"/>
        <v>#VALUE!</v>
      </c>
      <c r="O29" s="119" t="e">
        <f t="shared" ca="1" si="18"/>
        <v>#VALUE!</v>
      </c>
      <c r="P29" s="119" t="e">
        <f t="shared" ca="1" si="18"/>
        <v>#VALUE!</v>
      </c>
      <c r="Q29" s="119" t="e">
        <f t="shared" ca="1" si="18"/>
        <v>#VALUE!</v>
      </c>
      <c r="R29" s="119" t="e">
        <f t="shared" ca="1" si="18"/>
        <v>#VALUE!</v>
      </c>
      <c r="S29" s="119" t="e">
        <f t="shared" ca="1" si="18"/>
        <v>#VALUE!</v>
      </c>
      <c r="T29" s="119" t="e">
        <f t="shared" ca="1" si="18"/>
        <v>#VALUE!</v>
      </c>
      <c r="U29" s="119" t="e">
        <f t="shared" ca="1" si="18"/>
        <v>#VALUE!</v>
      </c>
      <c r="V29" s="119" t="e">
        <f t="shared" ca="1" si="18"/>
        <v>#VALUE!</v>
      </c>
      <c r="W29" s="119" t="e">
        <f t="shared" ca="1" si="18"/>
        <v>#VALUE!</v>
      </c>
      <c r="X29" s="119" t="e">
        <f t="shared" ca="1" si="18"/>
        <v>#VALUE!</v>
      </c>
      <c r="Y29" s="119" t="e">
        <f t="shared" ca="1" si="18"/>
        <v>#VALUE!</v>
      </c>
      <c r="Z29" s="119" t="e">
        <f t="shared" ca="1" si="18"/>
        <v>#VALUE!</v>
      </c>
      <c r="AA29" s="119" t="e">
        <f t="shared" ca="1" si="18"/>
        <v>#VALUE!</v>
      </c>
      <c r="AB29" s="119" t="e">
        <f t="shared" ca="1" si="18"/>
        <v>#VALUE!</v>
      </c>
      <c r="AC29" s="119" t="e">
        <f t="shared" ca="1" si="18"/>
        <v>#VALUE!</v>
      </c>
      <c r="AD29" s="119" t="e">
        <f t="shared" ca="1" si="18"/>
        <v>#VALUE!</v>
      </c>
      <c r="AE29" s="119" t="e">
        <f t="shared" ca="1" si="18"/>
        <v>#VALUE!</v>
      </c>
      <c r="AF29" s="119" t="e">
        <f t="shared" ca="1" si="18"/>
        <v>#VALUE!</v>
      </c>
      <c r="AG29" s="119" t="e">
        <f t="shared" ca="1" si="18"/>
        <v>#VALUE!</v>
      </c>
      <c r="AH29" s="119" t="e">
        <f t="shared" ca="1" si="18"/>
        <v>#VALUE!</v>
      </c>
    </row>
    <row r="30" spans="2:34" ht="13" x14ac:dyDescent="0.25">
      <c r="B30" s="125">
        <f>IF('Project Estimations'!F69="","",'Project Estimations'!F69)</f>
        <v>203</v>
      </c>
      <c r="C30" s="126" t="str">
        <f>IF('Project Estimations'!G69="","",'Project Estimations'!G69)</f>
        <v>PT</v>
      </c>
      <c r="D30" s="126" t="str">
        <f>IF('Margin Calculation'!I26="","",'Margin Calculation'!I26)</f>
        <v/>
      </c>
      <c r="E30" s="126" t="str">
        <f>IF('Margin Calculation'!H26="","",'Margin Calculation'!H26)</f>
        <v/>
      </c>
      <c r="F30" s="126" t="str">
        <f>IF('Margin Calculation'!I26="","",'Margin Calculation'!I26/(1-VLOOKUP(C30,'Business Model'!$M$28:$T$33,6,FALSE)))</f>
        <v/>
      </c>
      <c r="G30" s="125">
        <f>IF('Project Estimations'!H69="","",'Project Estimations'!H69)</f>
        <v>23.854545000000002</v>
      </c>
      <c r="H30" s="125">
        <f t="shared" si="5"/>
        <v>45</v>
      </c>
      <c r="I30" s="119" t="e">
        <f t="shared" ref="I30:AH30" ca="1" si="19">IF($B30="","",IF($F$7="YES",SUM(INDIRECT($D$9&amp;H$11&amp;$H30&amp;":"&amp;H$10&amp;$H30))*$E30,SUM(INDIRECT($D$9&amp;H$11&amp;$H30&amp;":"&amp;H$10&amp;$H30))*$F30))</f>
        <v>#VALUE!</v>
      </c>
      <c r="J30" s="119" t="e">
        <f t="shared" ca="1" si="19"/>
        <v>#VALUE!</v>
      </c>
      <c r="K30" s="119" t="e">
        <f t="shared" ca="1" si="19"/>
        <v>#VALUE!</v>
      </c>
      <c r="L30" s="119" t="e">
        <f t="shared" ca="1" si="19"/>
        <v>#VALUE!</v>
      </c>
      <c r="M30" s="119" t="e">
        <f t="shared" ca="1" si="19"/>
        <v>#VALUE!</v>
      </c>
      <c r="N30" s="119" t="e">
        <f t="shared" ca="1" si="19"/>
        <v>#VALUE!</v>
      </c>
      <c r="O30" s="119" t="e">
        <f t="shared" ca="1" si="19"/>
        <v>#VALUE!</v>
      </c>
      <c r="P30" s="119" t="e">
        <f t="shared" ca="1" si="19"/>
        <v>#VALUE!</v>
      </c>
      <c r="Q30" s="119" t="e">
        <f t="shared" ca="1" si="19"/>
        <v>#VALUE!</v>
      </c>
      <c r="R30" s="119" t="e">
        <f t="shared" ca="1" si="19"/>
        <v>#VALUE!</v>
      </c>
      <c r="S30" s="119" t="e">
        <f t="shared" ca="1" si="19"/>
        <v>#VALUE!</v>
      </c>
      <c r="T30" s="119" t="e">
        <f t="shared" ca="1" si="19"/>
        <v>#VALUE!</v>
      </c>
      <c r="U30" s="119" t="e">
        <f t="shared" ca="1" si="19"/>
        <v>#VALUE!</v>
      </c>
      <c r="V30" s="119" t="e">
        <f t="shared" ca="1" si="19"/>
        <v>#VALUE!</v>
      </c>
      <c r="W30" s="119" t="e">
        <f t="shared" ca="1" si="19"/>
        <v>#VALUE!</v>
      </c>
      <c r="X30" s="119" t="e">
        <f t="shared" ca="1" si="19"/>
        <v>#VALUE!</v>
      </c>
      <c r="Y30" s="119" t="e">
        <f t="shared" ca="1" si="19"/>
        <v>#VALUE!</v>
      </c>
      <c r="Z30" s="119" t="e">
        <f t="shared" ca="1" si="19"/>
        <v>#VALUE!</v>
      </c>
      <c r="AA30" s="119" t="e">
        <f t="shared" ca="1" si="19"/>
        <v>#VALUE!</v>
      </c>
      <c r="AB30" s="119" t="e">
        <f t="shared" ca="1" si="19"/>
        <v>#VALUE!</v>
      </c>
      <c r="AC30" s="119" t="e">
        <f t="shared" ca="1" si="19"/>
        <v>#VALUE!</v>
      </c>
      <c r="AD30" s="119" t="e">
        <f t="shared" ca="1" si="19"/>
        <v>#VALUE!</v>
      </c>
      <c r="AE30" s="119" t="e">
        <f t="shared" ca="1" si="19"/>
        <v>#VALUE!</v>
      </c>
      <c r="AF30" s="119" t="e">
        <f t="shared" ca="1" si="19"/>
        <v>#VALUE!</v>
      </c>
      <c r="AG30" s="119" t="e">
        <f t="shared" ca="1" si="19"/>
        <v>#VALUE!</v>
      </c>
      <c r="AH30" s="119" t="e">
        <f t="shared" ca="1" si="19"/>
        <v>#VALUE!</v>
      </c>
    </row>
    <row r="31" spans="2:34" ht="13" x14ac:dyDescent="0.25">
      <c r="B31" s="125">
        <f>IF('Project Estimations'!F70="","",'Project Estimations'!F70)</f>
        <v>300</v>
      </c>
      <c r="C31" s="126" t="str">
        <f>IF('Project Estimations'!G70="","",'Project Estimations'!G70)</f>
        <v>PT</v>
      </c>
      <c r="D31" s="126" t="str">
        <f>IF('Margin Calculation'!I27="","",'Margin Calculation'!I27)</f>
        <v/>
      </c>
      <c r="E31" s="126" t="str">
        <f>IF('Margin Calculation'!H27="","",'Margin Calculation'!H27)</f>
        <v/>
      </c>
      <c r="F31" s="126" t="str">
        <f>IF('Margin Calculation'!I27="","",'Margin Calculation'!I27/(1-VLOOKUP(C31,'Business Model'!$M$28:$T$33,6,FALSE)))</f>
        <v/>
      </c>
      <c r="G31" s="125">
        <f>IF('Project Estimations'!H70="","",'Project Estimations'!H70)</f>
        <v>4.3371899999999997</v>
      </c>
      <c r="H31" s="125">
        <f t="shared" si="5"/>
        <v>46</v>
      </c>
      <c r="I31" s="119" t="e">
        <f t="shared" ref="I31:AH31" ca="1" si="20">IF($B31="","",IF($F$7="YES",SUM(INDIRECT($D$9&amp;H$11&amp;$H31&amp;":"&amp;H$10&amp;$H31))*$E31,SUM(INDIRECT($D$9&amp;H$11&amp;$H31&amp;":"&amp;H$10&amp;$H31))*$F31))</f>
        <v>#VALUE!</v>
      </c>
      <c r="J31" s="119" t="e">
        <f t="shared" ca="1" si="20"/>
        <v>#VALUE!</v>
      </c>
      <c r="K31" s="119" t="e">
        <f t="shared" ca="1" si="20"/>
        <v>#VALUE!</v>
      </c>
      <c r="L31" s="119" t="e">
        <f t="shared" ca="1" si="20"/>
        <v>#VALUE!</v>
      </c>
      <c r="M31" s="119" t="e">
        <f t="shared" ca="1" si="20"/>
        <v>#VALUE!</v>
      </c>
      <c r="N31" s="119" t="e">
        <f t="shared" ca="1" si="20"/>
        <v>#VALUE!</v>
      </c>
      <c r="O31" s="119" t="e">
        <f t="shared" ca="1" si="20"/>
        <v>#VALUE!</v>
      </c>
      <c r="P31" s="119" t="e">
        <f t="shared" ca="1" si="20"/>
        <v>#VALUE!</v>
      </c>
      <c r="Q31" s="119" t="e">
        <f t="shared" ca="1" si="20"/>
        <v>#VALUE!</v>
      </c>
      <c r="R31" s="119" t="e">
        <f t="shared" ca="1" si="20"/>
        <v>#VALUE!</v>
      </c>
      <c r="S31" s="119" t="e">
        <f t="shared" ca="1" si="20"/>
        <v>#VALUE!</v>
      </c>
      <c r="T31" s="119" t="e">
        <f t="shared" ca="1" si="20"/>
        <v>#VALUE!</v>
      </c>
      <c r="U31" s="119" t="e">
        <f t="shared" ca="1" si="20"/>
        <v>#VALUE!</v>
      </c>
      <c r="V31" s="119" t="e">
        <f t="shared" ca="1" si="20"/>
        <v>#VALUE!</v>
      </c>
      <c r="W31" s="119" t="e">
        <f t="shared" ca="1" si="20"/>
        <v>#VALUE!</v>
      </c>
      <c r="X31" s="119" t="e">
        <f t="shared" ca="1" si="20"/>
        <v>#VALUE!</v>
      </c>
      <c r="Y31" s="119" t="e">
        <f t="shared" ca="1" si="20"/>
        <v>#VALUE!</v>
      </c>
      <c r="Z31" s="119" t="e">
        <f t="shared" ca="1" si="20"/>
        <v>#VALUE!</v>
      </c>
      <c r="AA31" s="119" t="e">
        <f t="shared" ca="1" si="20"/>
        <v>#VALUE!</v>
      </c>
      <c r="AB31" s="119" t="e">
        <f t="shared" ca="1" si="20"/>
        <v>#VALUE!</v>
      </c>
      <c r="AC31" s="119" t="e">
        <f t="shared" ca="1" si="20"/>
        <v>#VALUE!</v>
      </c>
      <c r="AD31" s="119" t="e">
        <f t="shared" ca="1" si="20"/>
        <v>#VALUE!</v>
      </c>
      <c r="AE31" s="119" t="e">
        <f t="shared" ca="1" si="20"/>
        <v>#VALUE!</v>
      </c>
      <c r="AF31" s="119" t="e">
        <f t="shared" ca="1" si="20"/>
        <v>#VALUE!</v>
      </c>
      <c r="AG31" s="119" t="e">
        <f t="shared" ca="1" si="20"/>
        <v>#VALUE!</v>
      </c>
      <c r="AH31" s="119" t="e">
        <f t="shared" ca="1" si="20"/>
        <v>#VALUE!</v>
      </c>
    </row>
    <row r="32" spans="2:34" ht="13" x14ac:dyDescent="0.25">
      <c r="B32" s="125">
        <f>IF('Project Estimations'!F71="","",'Project Estimations'!F71)</f>
        <v>301</v>
      </c>
      <c r="C32" s="126" t="str">
        <f>IF('Project Estimations'!G71="","",'Project Estimations'!G71)</f>
        <v/>
      </c>
      <c r="D32" s="126" t="str">
        <f>IF('Margin Calculation'!I28="","",'Margin Calculation'!I28)</f>
        <v/>
      </c>
      <c r="E32" s="126" t="str">
        <f>IF('Margin Calculation'!H28="","",'Margin Calculation'!H28)</f>
        <v/>
      </c>
      <c r="F32" s="126" t="str">
        <f>IF('Margin Calculation'!I28="","",'Margin Calculation'!I28/(1-VLOOKUP(C32,'Business Model'!$M$28:$T$33,6,FALSE)))</f>
        <v/>
      </c>
      <c r="G32" s="125" t="str">
        <f>IF('Project Estimations'!H71="","",'Project Estimations'!H71)</f>
        <v/>
      </c>
      <c r="H32" s="125">
        <f t="shared" si="5"/>
        <v>47</v>
      </c>
      <c r="I32" s="119" t="e">
        <f t="shared" ref="I32:AH32" ca="1" si="21">IF($B32="","",IF($F$7="YES",SUM(INDIRECT($D$9&amp;H$11&amp;$H32&amp;":"&amp;H$10&amp;$H32))*$E32,SUM(INDIRECT($D$9&amp;H$11&amp;$H32&amp;":"&amp;H$10&amp;$H32))*$F32))</f>
        <v>#VALUE!</v>
      </c>
      <c r="J32" s="119" t="e">
        <f t="shared" ca="1" si="21"/>
        <v>#VALUE!</v>
      </c>
      <c r="K32" s="119" t="e">
        <f t="shared" ca="1" si="21"/>
        <v>#VALUE!</v>
      </c>
      <c r="L32" s="119" t="e">
        <f t="shared" ca="1" si="21"/>
        <v>#VALUE!</v>
      </c>
      <c r="M32" s="119" t="e">
        <f t="shared" ca="1" si="21"/>
        <v>#VALUE!</v>
      </c>
      <c r="N32" s="119" t="e">
        <f t="shared" ca="1" si="21"/>
        <v>#VALUE!</v>
      </c>
      <c r="O32" s="119" t="e">
        <f t="shared" ca="1" si="21"/>
        <v>#VALUE!</v>
      </c>
      <c r="P32" s="119" t="e">
        <f t="shared" ca="1" si="21"/>
        <v>#VALUE!</v>
      </c>
      <c r="Q32" s="119" t="e">
        <f t="shared" ca="1" si="21"/>
        <v>#VALUE!</v>
      </c>
      <c r="R32" s="119" t="e">
        <f t="shared" ca="1" si="21"/>
        <v>#VALUE!</v>
      </c>
      <c r="S32" s="119" t="e">
        <f t="shared" ca="1" si="21"/>
        <v>#VALUE!</v>
      </c>
      <c r="T32" s="119" t="e">
        <f t="shared" ca="1" si="21"/>
        <v>#VALUE!</v>
      </c>
      <c r="U32" s="119" t="e">
        <f t="shared" ca="1" si="21"/>
        <v>#VALUE!</v>
      </c>
      <c r="V32" s="119" t="e">
        <f t="shared" ca="1" si="21"/>
        <v>#VALUE!</v>
      </c>
      <c r="W32" s="119" t="e">
        <f t="shared" ca="1" si="21"/>
        <v>#VALUE!</v>
      </c>
      <c r="X32" s="119" t="e">
        <f t="shared" ca="1" si="21"/>
        <v>#VALUE!</v>
      </c>
      <c r="Y32" s="119" t="e">
        <f t="shared" ca="1" si="21"/>
        <v>#VALUE!</v>
      </c>
      <c r="Z32" s="119" t="e">
        <f t="shared" ca="1" si="21"/>
        <v>#VALUE!</v>
      </c>
      <c r="AA32" s="119" t="e">
        <f t="shared" ca="1" si="21"/>
        <v>#VALUE!</v>
      </c>
      <c r="AB32" s="119" t="e">
        <f t="shared" ca="1" si="21"/>
        <v>#VALUE!</v>
      </c>
      <c r="AC32" s="119" t="e">
        <f t="shared" ca="1" si="21"/>
        <v>#VALUE!</v>
      </c>
      <c r="AD32" s="119" t="e">
        <f t="shared" ca="1" si="21"/>
        <v>#VALUE!</v>
      </c>
      <c r="AE32" s="119" t="e">
        <f t="shared" ca="1" si="21"/>
        <v>#VALUE!</v>
      </c>
      <c r="AF32" s="119" t="e">
        <f t="shared" ca="1" si="21"/>
        <v>#VALUE!</v>
      </c>
      <c r="AG32" s="119" t="e">
        <f t="shared" ca="1" si="21"/>
        <v>#VALUE!</v>
      </c>
      <c r="AH32" s="119" t="e">
        <f t="shared" ca="1" si="21"/>
        <v>#VALUE!</v>
      </c>
    </row>
    <row r="33" spans="2:34" ht="13" x14ac:dyDescent="0.25">
      <c r="B33" s="125">
        <f>IF('Project Estimations'!F72="","",'Project Estimations'!F72)</f>
        <v>302</v>
      </c>
      <c r="C33" s="126" t="str">
        <f>IF('Project Estimations'!G72="","",'Project Estimations'!G72)</f>
        <v/>
      </c>
      <c r="D33" s="126" t="str">
        <f>IF('Margin Calculation'!I29="","",'Margin Calculation'!I29)</f>
        <v/>
      </c>
      <c r="E33" s="126" t="str">
        <f>IF('Margin Calculation'!H29="","",'Margin Calculation'!H29)</f>
        <v/>
      </c>
      <c r="F33" s="126" t="str">
        <f>IF('Margin Calculation'!I29="","",'Margin Calculation'!I29/(1-VLOOKUP(C33,'Business Model'!$M$28:$T$33,6,FALSE)))</f>
        <v/>
      </c>
      <c r="G33" s="125" t="str">
        <f>IF('Project Estimations'!H72="","",'Project Estimations'!H72)</f>
        <v/>
      </c>
      <c r="H33" s="125">
        <f t="shared" si="5"/>
        <v>48</v>
      </c>
      <c r="I33" s="119" t="e">
        <f t="shared" ref="I33:AH33" ca="1" si="22">IF($B33="","",IF($F$7="YES",SUM(INDIRECT($D$9&amp;H$11&amp;$H33&amp;":"&amp;H$10&amp;$H33))*$E33,SUM(INDIRECT($D$9&amp;H$11&amp;$H33&amp;":"&amp;H$10&amp;$H33))*$F33))</f>
        <v>#VALUE!</v>
      </c>
      <c r="J33" s="119" t="e">
        <f t="shared" ca="1" si="22"/>
        <v>#VALUE!</v>
      </c>
      <c r="K33" s="119" t="e">
        <f t="shared" ca="1" si="22"/>
        <v>#VALUE!</v>
      </c>
      <c r="L33" s="119" t="e">
        <f t="shared" ca="1" si="22"/>
        <v>#VALUE!</v>
      </c>
      <c r="M33" s="119" t="e">
        <f t="shared" ca="1" si="22"/>
        <v>#VALUE!</v>
      </c>
      <c r="N33" s="119" t="e">
        <f t="shared" ca="1" si="22"/>
        <v>#VALUE!</v>
      </c>
      <c r="O33" s="119" t="e">
        <f t="shared" ca="1" si="22"/>
        <v>#VALUE!</v>
      </c>
      <c r="P33" s="119" t="e">
        <f t="shared" ca="1" si="22"/>
        <v>#VALUE!</v>
      </c>
      <c r="Q33" s="119" t="e">
        <f t="shared" ca="1" si="22"/>
        <v>#VALUE!</v>
      </c>
      <c r="R33" s="119" t="e">
        <f t="shared" ca="1" si="22"/>
        <v>#VALUE!</v>
      </c>
      <c r="S33" s="119" t="e">
        <f t="shared" ca="1" si="22"/>
        <v>#VALUE!</v>
      </c>
      <c r="T33" s="119" t="e">
        <f t="shared" ca="1" si="22"/>
        <v>#VALUE!</v>
      </c>
      <c r="U33" s="119" t="e">
        <f t="shared" ca="1" si="22"/>
        <v>#VALUE!</v>
      </c>
      <c r="V33" s="119" t="e">
        <f t="shared" ca="1" si="22"/>
        <v>#VALUE!</v>
      </c>
      <c r="W33" s="119" t="e">
        <f t="shared" ca="1" si="22"/>
        <v>#VALUE!</v>
      </c>
      <c r="X33" s="119" t="e">
        <f t="shared" ca="1" si="22"/>
        <v>#VALUE!</v>
      </c>
      <c r="Y33" s="119" t="e">
        <f t="shared" ca="1" si="22"/>
        <v>#VALUE!</v>
      </c>
      <c r="Z33" s="119" t="e">
        <f t="shared" ca="1" si="22"/>
        <v>#VALUE!</v>
      </c>
      <c r="AA33" s="119" t="e">
        <f t="shared" ca="1" si="22"/>
        <v>#VALUE!</v>
      </c>
      <c r="AB33" s="119" t="e">
        <f t="shared" ca="1" si="22"/>
        <v>#VALUE!</v>
      </c>
      <c r="AC33" s="119" t="e">
        <f t="shared" ca="1" si="22"/>
        <v>#VALUE!</v>
      </c>
      <c r="AD33" s="119" t="e">
        <f t="shared" ca="1" si="22"/>
        <v>#VALUE!</v>
      </c>
      <c r="AE33" s="119" t="e">
        <f t="shared" ca="1" si="22"/>
        <v>#VALUE!</v>
      </c>
      <c r="AF33" s="119" t="e">
        <f t="shared" ca="1" si="22"/>
        <v>#VALUE!</v>
      </c>
      <c r="AG33" s="119" t="e">
        <f t="shared" ca="1" si="22"/>
        <v>#VALUE!</v>
      </c>
      <c r="AH33" s="119" t="e">
        <f t="shared" ca="1" si="22"/>
        <v>#VALUE!</v>
      </c>
    </row>
    <row r="34" spans="2:34" ht="13" x14ac:dyDescent="0.25">
      <c r="B34" s="125">
        <f>IF('Project Estimations'!F73="","",'Project Estimations'!F73)</f>
        <v>303</v>
      </c>
      <c r="C34" s="126" t="str">
        <f>IF('Project Estimations'!G73="","",'Project Estimations'!G73)</f>
        <v/>
      </c>
      <c r="D34" s="126" t="str">
        <f>IF('Margin Calculation'!I30="","",'Margin Calculation'!I30)</f>
        <v/>
      </c>
      <c r="E34" s="126" t="str">
        <f>IF('Margin Calculation'!H30="","",'Margin Calculation'!H30)</f>
        <v/>
      </c>
      <c r="F34" s="126" t="str">
        <f>IF('Margin Calculation'!I30="","",'Margin Calculation'!I30/(1-VLOOKUP(C34,'Business Model'!$M$28:$T$33,6,FALSE)))</f>
        <v/>
      </c>
      <c r="G34" s="125" t="str">
        <f>IF('Project Estimations'!H73="","",'Project Estimations'!H73)</f>
        <v/>
      </c>
      <c r="H34" s="125">
        <f t="shared" si="5"/>
        <v>49</v>
      </c>
      <c r="I34" s="119" t="e">
        <f t="shared" ref="I34:AH34" ca="1" si="23">IF($B34="","",IF($F$7="YES",SUM(INDIRECT($D$9&amp;H$11&amp;$H34&amp;":"&amp;H$10&amp;$H34))*$E34,SUM(INDIRECT($D$9&amp;H$11&amp;$H34&amp;":"&amp;H$10&amp;$H34))*$F34))</f>
        <v>#VALUE!</v>
      </c>
      <c r="J34" s="119" t="e">
        <f t="shared" ca="1" si="23"/>
        <v>#VALUE!</v>
      </c>
      <c r="K34" s="119" t="e">
        <f t="shared" ca="1" si="23"/>
        <v>#VALUE!</v>
      </c>
      <c r="L34" s="119" t="e">
        <f t="shared" ca="1" si="23"/>
        <v>#VALUE!</v>
      </c>
      <c r="M34" s="119" t="e">
        <f t="shared" ca="1" si="23"/>
        <v>#VALUE!</v>
      </c>
      <c r="N34" s="119" t="e">
        <f t="shared" ca="1" si="23"/>
        <v>#VALUE!</v>
      </c>
      <c r="O34" s="119" t="e">
        <f t="shared" ca="1" si="23"/>
        <v>#VALUE!</v>
      </c>
      <c r="P34" s="119" t="e">
        <f t="shared" ca="1" si="23"/>
        <v>#VALUE!</v>
      </c>
      <c r="Q34" s="119" t="e">
        <f t="shared" ca="1" si="23"/>
        <v>#VALUE!</v>
      </c>
      <c r="R34" s="119" t="e">
        <f t="shared" ca="1" si="23"/>
        <v>#VALUE!</v>
      </c>
      <c r="S34" s="119" t="e">
        <f t="shared" ca="1" si="23"/>
        <v>#VALUE!</v>
      </c>
      <c r="T34" s="119" t="e">
        <f t="shared" ca="1" si="23"/>
        <v>#VALUE!</v>
      </c>
      <c r="U34" s="119" t="e">
        <f t="shared" ca="1" si="23"/>
        <v>#VALUE!</v>
      </c>
      <c r="V34" s="119" t="e">
        <f t="shared" ca="1" si="23"/>
        <v>#VALUE!</v>
      </c>
      <c r="W34" s="119" t="e">
        <f t="shared" ca="1" si="23"/>
        <v>#VALUE!</v>
      </c>
      <c r="X34" s="119" t="e">
        <f t="shared" ca="1" si="23"/>
        <v>#VALUE!</v>
      </c>
      <c r="Y34" s="119" t="e">
        <f t="shared" ca="1" si="23"/>
        <v>#VALUE!</v>
      </c>
      <c r="Z34" s="119" t="e">
        <f t="shared" ca="1" si="23"/>
        <v>#VALUE!</v>
      </c>
      <c r="AA34" s="119" t="e">
        <f t="shared" ca="1" si="23"/>
        <v>#VALUE!</v>
      </c>
      <c r="AB34" s="119" t="e">
        <f t="shared" ca="1" si="23"/>
        <v>#VALUE!</v>
      </c>
      <c r="AC34" s="119" t="e">
        <f t="shared" ca="1" si="23"/>
        <v>#VALUE!</v>
      </c>
      <c r="AD34" s="119" t="e">
        <f t="shared" ca="1" si="23"/>
        <v>#VALUE!</v>
      </c>
      <c r="AE34" s="119" t="e">
        <f t="shared" ca="1" si="23"/>
        <v>#VALUE!</v>
      </c>
      <c r="AF34" s="119" t="e">
        <f t="shared" ca="1" si="23"/>
        <v>#VALUE!</v>
      </c>
      <c r="AG34" s="119" t="e">
        <f t="shared" ca="1" si="23"/>
        <v>#VALUE!</v>
      </c>
      <c r="AH34" s="119" t="e">
        <f t="shared" ca="1" si="23"/>
        <v>#VALUE!</v>
      </c>
    </row>
    <row r="35" spans="2:34" ht="13" x14ac:dyDescent="0.25">
      <c r="B35" s="125">
        <f>IF('Project Estimations'!F74="","",'Project Estimations'!F74)</f>
        <v>304</v>
      </c>
      <c r="C35" s="126" t="str">
        <f>IF('Project Estimations'!G74="","",'Project Estimations'!G74)</f>
        <v/>
      </c>
      <c r="D35" s="126" t="str">
        <f>IF('Margin Calculation'!I31="","",'Margin Calculation'!I31)</f>
        <v/>
      </c>
      <c r="E35" s="126" t="str">
        <f>IF('Margin Calculation'!H31="","",'Margin Calculation'!H31)</f>
        <v/>
      </c>
      <c r="F35" s="126" t="str">
        <f>IF('Margin Calculation'!I31="","",'Margin Calculation'!I31/(1-VLOOKUP(C35,'Business Model'!$M$28:$T$33,6,FALSE)))</f>
        <v/>
      </c>
      <c r="G35" s="125" t="str">
        <f>IF('Project Estimations'!H74="","",'Project Estimations'!H74)</f>
        <v/>
      </c>
      <c r="H35" s="125">
        <f t="shared" si="5"/>
        <v>50</v>
      </c>
      <c r="I35" s="119" t="e">
        <f t="shared" ref="I35:AH35" ca="1" si="24">IF($B35="","",IF($F$7="YES",SUM(INDIRECT($D$9&amp;H$11&amp;$H35&amp;":"&amp;H$10&amp;$H35))*$E35,SUM(INDIRECT($D$9&amp;H$11&amp;$H35&amp;":"&amp;H$10&amp;$H35))*$F35))</f>
        <v>#VALUE!</v>
      </c>
      <c r="J35" s="119" t="e">
        <f t="shared" ca="1" si="24"/>
        <v>#VALUE!</v>
      </c>
      <c r="K35" s="119" t="e">
        <f t="shared" ca="1" si="24"/>
        <v>#VALUE!</v>
      </c>
      <c r="L35" s="119" t="e">
        <f t="shared" ca="1" si="24"/>
        <v>#VALUE!</v>
      </c>
      <c r="M35" s="119" t="e">
        <f t="shared" ca="1" si="24"/>
        <v>#VALUE!</v>
      </c>
      <c r="N35" s="119" t="e">
        <f t="shared" ca="1" si="24"/>
        <v>#VALUE!</v>
      </c>
      <c r="O35" s="119" t="e">
        <f t="shared" ca="1" si="24"/>
        <v>#VALUE!</v>
      </c>
      <c r="P35" s="119" t="e">
        <f t="shared" ca="1" si="24"/>
        <v>#VALUE!</v>
      </c>
      <c r="Q35" s="119" t="e">
        <f t="shared" ca="1" si="24"/>
        <v>#VALUE!</v>
      </c>
      <c r="R35" s="119" t="e">
        <f t="shared" ca="1" si="24"/>
        <v>#VALUE!</v>
      </c>
      <c r="S35" s="119" t="e">
        <f t="shared" ca="1" si="24"/>
        <v>#VALUE!</v>
      </c>
      <c r="T35" s="119" t="e">
        <f t="shared" ca="1" si="24"/>
        <v>#VALUE!</v>
      </c>
      <c r="U35" s="119" t="e">
        <f t="shared" ca="1" si="24"/>
        <v>#VALUE!</v>
      </c>
      <c r="V35" s="119" t="e">
        <f t="shared" ca="1" si="24"/>
        <v>#VALUE!</v>
      </c>
      <c r="W35" s="119" t="e">
        <f t="shared" ca="1" si="24"/>
        <v>#VALUE!</v>
      </c>
      <c r="X35" s="119" t="e">
        <f t="shared" ca="1" si="24"/>
        <v>#VALUE!</v>
      </c>
      <c r="Y35" s="119" t="e">
        <f t="shared" ca="1" si="24"/>
        <v>#VALUE!</v>
      </c>
      <c r="Z35" s="119" t="e">
        <f t="shared" ca="1" si="24"/>
        <v>#VALUE!</v>
      </c>
      <c r="AA35" s="119" t="e">
        <f t="shared" ca="1" si="24"/>
        <v>#VALUE!</v>
      </c>
      <c r="AB35" s="119" t="e">
        <f t="shared" ca="1" si="24"/>
        <v>#VALUE!</v>
      </c>
      <c r="AC35" s="119" t="e">
        <f t="shared" ca="1" si="24"/>
        <v>#VALUE!</v>
      </c>
      <c r="AD35" s="119" t="e">
        <f t="shared" ca="1" si="24"/>
        <v>#VALUE!</v>
      </c>
      <c r="AE35" s="119" t="e">
        <f t="shared" ca="1" si="24"/>
        <v>#VALUE!</v>
      </c>
      <c r="AF35" s="119" t="e">
        <f t="shared" ca="1" si="24"/>
        <v>#VALUE!</v>
      </c>
      <c r="AG35" s="119" t="e">
        <f t="shared" ca="1" si="24"/>
        <v>#VALUE!</v>
      </c>
      <c r="AH35" s="119" t="e">
        <f t="shared" ca="1" si="24"/>
        <v>#VALUE!</v>
      </c>
    </row>
    <row r="36" spans="2:34" ht="13" x14ac:dyDescent="0.25">
      <c r="B36" s="125">
        <f>IF('Project Estimations'!F75="","",'Project Estimations'!F75)</f>
        <v>400</v>
      </c>
      <c r="C36" s="126" t="str">
        <f>IF('Project Estimations'!G75="","",'Project Estimations'!G75)</f>
        <v/>
      </c>
      <c r="D36" s="126" t="str">
        <f>IF('Margin Calculation'!I32="","",'Margin Calculation'!I32)</f>
        <v/>
      </c>
      <c r="E36" s="126" t="str">
        <f>IF('Margin Calculation'!H32="","",'Margin Calculation'!H32)</f>
        <v/>
      </c>
      <c r="F36" s="126" t="str">
        <f>IF('Margin Calculation'!I32="","",'Margin Calculation'!I32/(1-VLOOKUP(C36,'Business Model'!$M$28:$T$33,6,FALSE)))</f>
        <v/>
      </c>
      <c r="G36" s="125" t="str">
        <f>IF('Project Estimations'!H75="","",'Project Estimations'!H75)</f>
        <v/>
      </c>
      <c r="H36" s="125">
        <f t="shared" si="5"/>
        <v>51</v>
      </c>
      <c r="I36" s="119" t="e">
        <f t="shared" ref="I36:AH36" ca="1" si="25">IF($B36="","",IF($F$7="YES",SUM(INDIRECT($D$9&amp;H$11&amp;$H36&amp;":"&amp;H$10&amp;$H36))*$E36,SUM(INDIRECT($D$9&amp;H$11&amp;$H36&amp;":"&amp;H$10&amp;$H36))*$F36))</f>
        <v>#VALUE!</v>
      </c>
      <c r="J36" s="119" t="e">
        <f t="shared" ca="1" si="25"/>
        <v>#VALUE!</v>
      </c>
      <c r="K36" s="119" t="e">
        <f t="shared" ca="1" si="25"/>
        <v>#VALUE!</v>
      </c>
      <c r="L36" s="119" t="e">
        <f t="shared" ca="1" si="25"/>
        <v>#VALUE!</v>
      </c>
      <c r="M36" s="119" t="e">
        <f t="shared" ca="1" si="25"/>
        <v>#VALUE!</v>
      </c>
      <c r="N36" s="119" t="e">
        <f t="shared" ca="1" si="25"/>
        <v>#VALUE!</v>
      </c>
      <c r="O36" s="119" t="e">
        <f t="shared" ca="1" si="25"/>
        <v>#VALUE!</v>
      </c>
      <c r="P36" s="119" t="e">
        <f t="shared" ca="1" si="25"/>
        <v>#VALUE!</v>
      </c>
      <c r="Q36" s="119" t="e">
        <f t="shared" ca="1" si="25"/>
        <v>#VALUE!</v>
      </c>
      <c r="R36" s="119" t="e">
        <f t="shared" ca="1" si="25"/>
        <v>#VALUE!</v>
      </c>
      <c r="S36" s="119" t="e">
        <f t="shared" ca="1" si="25"/>
        <v>#VALUE!</v>
      </c>
      <c r="T36" s="119" t="e">
        <f t="shared" ca="1" si="25"/>
        <v>#VALUE!</v>
      </c>
      <c r="U36" s="119" t="e">
        <f t="shared" ca="1" si="25"/>
        <v>#VALUE!</v>
      </c>
      <c r="V36" s="119" t="e">
        <f t="shared" ca="1" si="25"/>
        <v>#VALUE!</v>
      </c>
      <c r="W36" s="119" t="e">
        <f t="shared" ca="1" si="25"/>
        <v>#VALUE!</v>
      </c>
      <c r="X36" s="119" t="e">
        <f t="shared" ca="1" si="25"/>
        <v>#VALUE!</v>
      </c>
      <c r="Y36" s="119" t="e">
        <f t="shared" ca="1" si="25"/>
        <v>#VALUE!</v>
      </c>
      <c r="Z36" s="119" t="e">
        <f t="shared" ca="1" si="25"/>
        <v>#VALUE!</v>
      </c>
      <c r="AA36" s="119" t="e">
        <f t="shared" ca="1" si="25"/>
        <v>#VALUE!</v>
      </c>
      <c r="AB36" s="119" t="e">
        <f t="shared" ca="1" si="25"/>
        <v>#VALUE!</v>
      </c>
      <c r="AC36" s="119" t="e">
        <f t="shared" ca="1" si="25"/>
        <v>#VALUE!</v>
      </c>
      <c r="AD36" s="119" t="e">
        <f t="shared" ca="1" si="25"/>
        <v>#VALUE!</v>
      </c>
      <c r="AE36" s="119" t="e">
        <f t="shared" ca="1" si="25"/>
        <v>#VALUE!</v>
      </c>
      <c r="AF36" s="119" t="e">
        <f t="shared" ca="1" si="25"/>
        <v>#VALUE!</v>
      </c>
      <c r="AG36" s="119" t="e">
        <f t="shared" ca="1" si="25"/>
        <v>#VALUE!</v>
      </c>
      <c r="AH36" s="119" t="e">
        <f t="shared" ca="1" si="25"/>
        <v>#VALUE!</v>
      </c>
    </row>
    <row r="37" spans="2:34" ht="13" x14ac:dyDescent="0.25">
      <c r="B37" s="125" t="str">
        <f>IF('Project Estimations'!F76="","",'Project Estimations'!F76)</f>
        <v/>
      </c>
      <c r="C37" s="126" t="str">
        <f>IF('Project Estimations'!G76="","",'Project Estimations'!G76)</f>
        <v/>
      </c>
      <c r="D37" s="126" t="str">
        <f>IF('Margin Calculation'!I33="","",'Margin Calculation'!I33)</f>
        <v/>
      </c>
      <c r="E37" s="126" t="str">
        <f>IF('Margin Calculation'!H33="","",'Margin Calculation'!H33)</f>
        <v/>
      </c>
      <c r="F37" s="126" t="str">
        <f>IF('Margin Calculation'!I33="","",'Margin Calculation'!I33/(1-VLOOKUP(C37,'Business Model'!$M$28:$T$33,6,FALSE)))</f>
        <v/>
      </c>
      <c r="G37" s="125" t="str">
        <f>IF('Project Estimations'!H76="","",'Project Estimations'!H76)</f>
        <v/>
      </c>
      <c r="H37" s="125">
        <f t="shared" si="5"/>
        <v>52</v>
      </c>
      <c r="I37" s="119" t="str">
        <f t="shared" ref="I37:AH37" ca="1" si="26">IF($B37="","",IF($F$7="YES",SUM(INDIRECT($D$9&amp;H$11&amp;$H37&amp;":"&amp;H$10&amp;$H37))*$E37,SUM(INDIRECT($D$9&amp;H$11&amp;$H37&amp;":"&amp;H$10&amp;$H37))*$F37))</f>
        <v/>
      </c>
      <c r="J37" s="119" t="str">
        <f t="shared" ca="1" si="26"/>
        <v/>
      </c>
      <c r="K37" s="119" t="str">
        <f t="shared" ca="1" si="26"/>
        <v/>
      </c>
      <c r="L37" s="119" t="str">
        <f t="shared" ca="1" si="26"/>
        <v/>
      </c>
      <c r="M37" s="119" t="str">
        <f t="shared" ca="1" si="26"/>
        <v/>
      </c>
      <c r="N37" s="119" t="str">
        <f t="shared" ca="1" si="26"/>
        <v/>
      </c>
      <c r="O37" s="119" t="str">
        <f t="shared" ca="1" si="26"/>
        <v/>
      </c>
      <c r="P37" s="119" t="str">
        <f t="shared" ca="1" si="26"/>
        <v/>
      </c>
      <c r="Q37" s="119" t="str">
        <f t="shared" ca="1" si="26"/>
        <v/>
      </c>
      <c r="R37" s="119" t="str">
        <f t="shared" ca="1" si="26"/>
        <v/>
      </c>
      <c r="S37" s="119" t="str">
        <f t="shared" ca="1" si="26"/>
        <v/>
      </c>
      <c r="T37" s="119" t="str">
        <f t="shared" ca="1" si="26"/>
        <v/>
      </c>
      <c r="U37" s="119" t="str">
        <f t="shared" ca="1" si="26"/>
        <v/>
      </c>
      <c r="V37" s="119" t="str">
        <f t="shared" ca="1" si="26"/>
        <v/>
      </c>
      <c r="W37" s="119" t="str">
        <f t="shared" ca="1" si="26"/>
        <v/>
      </c>
      <c r="X37" s="119" t="str">
        <f t="shared" ca="1" si="26"/>
        <v/>
      </c>
      <c r="Y37" s="119" t="str">
        <f t="shared" ca="1" si="26"/>
        <v/>
      </c>
      <c r="Z37" s="119" t="str">
        <f t="shared" ca="1" si="26"/>
        <v/>
      </c>
      <c r="AA37" s="119" t="str">
        <f t="shared" ca="1" si="26"/>
        <v/>
      </c>
      <c r="AB37" s="119" t="str">
        <f t="shared" ca="1" si="26"/>
        <v/>
      </c>
      <c r="AC37" s="119" t="str">
        <f t="shared" ca="1" si="26"/>
        <v/>
      </c>
      <c r="AD37" s="119" t="str">
        <f t="shared" ca="1" si="26"/>
        <v/>
      </c>
      <c r="AE37" s="119" t="str">
        <f t="shared" ca="1" si="26"/>
        <v/>
      </c>
      <c r="AF37" s="119" t="str">
        <f t="shared" ca="1" si="26"/>
        <v/>
      </c>
      <c r="AG37" s="119" t="str">
        <f t="shared" ca="1" si="26"/>
        <v/>
      </c>
      <c r="AH37" s="119" t="str">
        <f t="shared" ca="1" si="26"/>
        <v/>
      </c>
    </row>
    <row r="38" spans="2:34" ht="13" x14ac:dyDescent="0.25">
      <c r="B38" s="125" t="str">
        <f>IF('Project Estimations'!F77="","",'Project Estimations'!F77)</f>
        <v/>
      </c>
      <c r="C38" s="126" t="str">
        <f>IF('Project Estimations'!G77="","",'Project Estimations'!G77)</f>
        <v/>
      </c>
      <c r="D38" s="126" t="str">
        <f>IF('Margin Calculation'!I34="","",'Margin Calculation'!I34)</f>
        <v/>
      </c>
      <c r="E38" s="126" t="str">
        <f>IF('Margin Calculation'!H34="","",'Margin Calculation'!H34)</f>
        <v/>
      </c>
      <c r="F38" s="126" t="str">
        <f>IF('Margin Calculation'!I34="","",'Margin Calculation'!I34/(1-VLOOKUP(C38,'Business Model'!$M$28:$T$33,6,FALSE)))</f>
        <v/>
      </c>
      <c r="G38" s="125" t="str">
        <f>IF('Project Estimations'!H77="","",'Project Estimations'!H77)</f>
        <v/>
      </c>
      <c r="H38" s="125">
        <f t="shared" si="5"/>
        <v>53</v>
      </c>
      <c r="I38" s="119" t="str">
        <f t="shared" ref="I38:AH38" ca="1" si="27">IF($B38="","",IF($F$7="YES",SUM(INDIRECT($D$9&amp;H$11&amp;$H38&amp;":"&amp;H$10&amp;$H38))*$E38,SUM(INDIRECT($D$9&amp;H$11&amp;$H38&amp;":"&amp;H$10&amp;$H38))*$F38))</f>
        <v/>
      </c>
      <c r="J38" s="119" t="str">
        <f t="shared" ca="1" si="27"/>
        <v/>
      </c>
      <c r="K38" s="119" t="str">
        <f t="shared" ca="1" si="27"/>
        <v/>
      </c>
      <c r="L38" s="119" t="str">
        <f t="shared" ca="1" si="27"/>
        <v/>
      </c>
      <c r="M38" s="119" t="str">
        <f t="shared" ca="1" si="27"/>
        <v/>
      </c>
      <c r="N38" s="119" t="str">
        <f t="shared" ca="1" si="27"/>
        <v/>
      </c>
      <c r="O38" s="119" t="str">
        <f t="shared" ca="1" si="27"/>
        <v/>
      </c>
      <c r="P38" s="119" t="str">
        <f t="shared" ca="1" si="27"/>
        <v/>
      </c>
      <c r="Q38" s="119" t="str">
        <f t="shared" ca="1" si="27"/>
        <v/>
      </c>
      <c r="R38" s="119" t="str">
        <f t="shared" ca="1" si="27"/>
        <v/>
      </c>
      <c r="S38" s="119" t="str">
        <f t="shared" ca="1" si="27"/>
        <v/>
      </c>
      <c r="T38" s="119" t="str">
        <f t="shared" ca="1" si="27"/>
        <v/>
      </c>
      <c r="U38" s="119" t="str">
        <f t="shared" ca="1" si="27"/>
        <v/>
      </c>
      <c r="V38" s="119" t="str">
        <f t="shared" ca="1" si="27"/>
        <v/>
      </c>
      <c r="W38" s="119" t="str">
        <f t="shared" ca="1" si="27"/>
        <v/>
      </c>
      <c r="X38" s="119" t="str">
        <f t="shared" ca="1" si="27"/>
        <v/>
      </c>
      <c r="Y38" s="119" t="str">
        <f t="shared" ca="1" si="27"/>
        <v/>
      </c>
      <c r="Z38" s="119" t="str">
        <f t="shared" ca="1" si="27"/>
        <v/>
      </c>
      <c r="AA38" s="119" t="str">
        <f t="shared" ca="1" si="27"/>
        <v/>
      </c>
      <c r="AB38" s="119" t="str">
        <f t="shared" ca="1" si="27"/>
        <v/>
      </c>
      <c r="AC38" s="119" t="str">
        <f t="shared" ca="1" si="27"/>
        <v/>
      </c>
      <c r="AD38" s="119" t="str">
        <f t="shared" ca="1" si="27"/>
        <v/>
      </c>
      <c r="AE38" s="119" t="str">
        <f t="shared" ca="1" si="27"/>
        <v/>
      </c>
      <c r="AF38" s="119" t="str">
        <f t="shared" ca="1" si="27"/>
        <v/>
      </c>
      <c r="AG38" s="119" t="str">
        <f t="shared" ca="1" si="27"/>
        <v/>
      </c>
      <c r="AH38" s="119" t="str">
        <f t="shared" ca="1" si="27"/>
        <v/>
      </c>
    </row>
    <row r="39" spans="2:34" ht="13" x14ac:dyDescent="0.25">
      <c r="B39" s="125" t="str">
        <f>IF('Project Estimations'!F78="","",'Project Estimations'!F78)</f>
        <v/>
      </c>
      <c r="C39" s="126" t="str">
        <f>IF('Project Estimations'!G78="","",'Project Estimations'!G78)</f>
        <v/>
      </c>
      <c r="D39" s="126" t="str">
        <f>IF('Margin Calculation'!I35="","",'Margin Calculation'!I35)</f>
        <v/>
      </c>
      <c r="E39" s="126" t="str">
        <f>IF('Margin Calculation'!H35="","",'Margin Calculation'!H35)</f>
        <v/>
      </c>
      <c r="F39" s="126" t="str">
        <f>IF('Margin Calculation'!I35="","",'Margin Calculation'!I35/(1-VLOOKUP(C39,'Business Model'!$M$28:$T$33,6,FALSE)))</f>
        <v/>
      </c>
      <c r="G39" s="125" t="str">
        <f>IF('Project Estimations'!H78="","",'Project Estimations'!H78)</f>
        <v/>
      </c>
      <c r="H39" s="125">
        <f t="shared" si="5"/>
        <v>54</v>
      </c>
      <c r="I39" s="119" t="str">
        <f t="shared" ref="I39:AH39" ca="1" si="28">IF($B39="","",IF($F$7="YES",SUM(INDIRECT($D$9&amp;H$11&amp;$H39&amp;":"&amp;H$10&amp;$H39))*$E39,SUM(INDIRECT($D$9&amp;H$11&amp;$H39&amp;":"&amp;H$10&amp;$H39))*$F39))</f>
        <v/>
      </c>
      <c r="J39" s="119" t="str">
        <f t="shared" ca="1" si="28"/>
        <v/>
      </c>
      <c r="K39" s="119" t="str">
        <f t="shared" ca="1" si="28"/>
        <v/>
      </c>
      <c r="L39" s="119" t="str">
        <f t="shared" ca="1" si="28"/>
        <v/>
      </c>
      <c r="M39" s="119" t="str">
        <f t="shared" ca="1" si="28"/>
        <v/>
      </c>
      <c r="N39" s="119" t="str">
        <f t="shared" ca="1" si="28"/>
        <v/>
      </c>
      <c r="O39" s="119" t="str">
        <f t="shared" ca="1" si="28"/>
        <v/>
      </c>
      <c r="P39" s="119" t="str">
        <f t="shared" ca="1" si="28"/>
        <v/>
      </c>
      <c r="Q39" s="119" t="str">
        <f t="shared" ca="1" si="28"/>
        <v/>
      </c>
      <c r="R39" s="119" t="str">
        <f t="shared" ca="1" si="28"/>
        <v/>
      </c>
      <c r="S39" s="119" t="str">
        <f t="shared" ca="1" si="28"/>
        <v/>
      </c>
      <c r="T39" s="119" t="str">
        <f t="shared" ca="1" si="28"/>
        <v/>
      </c>
      <c r="U39" s="119" t="str">
        <f t="shared" ca="1" si="28"/>
        <v/>
      </c>
      <c r="V39" s="119" t="str">
        <f t="shared" ca="1" si="28"/>
        <v/>
      </c>
      <c r="W39" s="119" t="str">
        <f t="shared" ca="1" si="28"/>
        <v/>
      </c>
      <c r="X39" s="119" t="str">
        <f t="shared" ca="1" si="28"/>
        <v/>
      </c>
      <c r="Y39" s="119" t="str">
        <f t="shared" ca="1" si="28"/>
        <v/>
      </c>
      <c r="Z39" s="119" t="str">
        <f t="shared" ca="1" si="28"/>
        <v/>
      </c>
      <c r="AA39" s="119" t="str">
        <f t="shared" ca="1" si="28"/>
        <v/>
      </c>
      <c r="AB39" s="119" t="str">
        <f t="shared" ca="1" si="28"/>
        <v/>
      </c>
      <c r="AC39" s="119" t="str">
        <f t="shared" ca="1" si="28"/>
        <v/>
      </c>
      <c r="AD39" s="119" t="str">
        <f t="shared" ca="1" si="28"/>
        <v/>
      </c>
      <c r="AE39" s="119" t="str">
        <f t="shared" ca="1" si="28"/>
        <v/>
      </c>
      <c r="AF39" s="119" t="str">
        <f t="shared" ca="1" si="28"/>
        <v/>
      </c>
      <c r="AG39" s="119" t="str">
        <f t="shared" ca="1" si="28"/>
        <v/>
      </c>
      <c r="AH39" s="119" t="str">
        <f t="shared" ca="1" si="28"/>
        <v/>
      </c>
    </row>
    <row r="40" spans="2:34" ht="13" x14ac:dyDescent="0.25">
      <c r="B40" s="125" t="str">
        <f>IF('Project Estimations'!F79="","",'Project Estimations'!F79)</f>
        <v/>
      </c>
      <c r="C40" s="126" t="str">
        <f>IF('Project Estimations'!G79="","",'Project Estimations'!G79)</f>
        <v/>
      </c>
      <c r="D40" s="126" t="str">
        <f>IF('Margin Calculation'!I36="","",'Margin Calculation'!I36)</f>
        <v/>
      </c>
      <c r="E40" s="126" t="str">
        <f>IF('Margin Calculation'!H36="","",'Margin Calculation'!H36)</f>
        <v/>
      </c>
      <c r="F40" s="126" t="str">
        <f>IF('Margin Calculation'!I36="","",'Margin Calculation'!I36/(1-VLOOKUP(C40,'Business Model'!$M$28:$T$33,6,FALSE)))</f>
        <v/>
      </c>
      <c r="G40" s="125" t="str">
        <f>IF('Project Estimations'!H79="","",'Project Estimations'!H79)</f>
        <v/>
      </c>
      <c r="H40" s="125">
        <f t="shared" si="5"/>
        <v>55</v>
      </c>
      <c r="I40" s="119" t="str">
        <f t="shared" ref="I40:AH40" ca="1" si="29">IF($B40="","",IF($F$7="YES",SUM(INDIRECT($D$9&amp;H$11&amp;$H40&amp;":"&amp;H$10&amp;$H40))*$E40,SUM(INDIRECT($D$9&amp;H$11&amp;$H40&amp;":"&amp;H$10&amp;$H40))*$F40))</f>
        <v/>
      </c>
      <c r="J40" s="119" t="str">
        <f t="shared" ca="1" si="29"/>
        <v/>
      </c>
      <c r="K40" s="119" t="str">
        <f t="shared" ca="1" si="29"/>
        <v/>
      </c>
      <c r="L40" s="119" t="str">
        <f t="shared" ca="1" si="29"/>
        <v/>
      </c>
      <c r="M40" s="119" t="str">
        <f t="shared" ca="1" si="29"/>
        <v/>
      </c>
      <c r="N40" s="119" t="str">
        <f t="shared" ca="1" si="29"/>
        <v/>
      </c>
      <c r="O40" s="119" t="str">
        <f t="shared" ca="1" si="29"/>
        <v/>
      </c>
      <c r="P40" s="119" t="str">
        <f t="shared" ca="1" si="29"/>
        <v/>
      </c>
      <c r="Q40" s="119" t="str">
        <f t="shared" ca="1" si="29"/>
        <v/>
      </c>
      <c r="R40" s="119" t="str">
        <f t="shared" ca="1" si="29"/>
        <v/>
      </c>
      <c r="S40" s="119" t="str">
        <f t="shared" ca="1" si="29"/>
        <v/>
      </c>
      <c r="T40" s="119" t="str">
        <f t="shared" ca="1" si="29"/>
        <v/>
      </c>
      <c r="U40" s="119" t="str">
        <f t="shared" ca="1" si="29"/>
        <v/>
      </c>
      <c r="V40" s="119" t="str">
        <f t="shared" ca="1" si="29"/>
        <v/>
      </c>
      <c r="W40" s="119" t="str">
        <f t="shared" ca="1" si="29"/>
        <v/>
      </c>
      <c r="X40" s="119" t="str">
        <f t="shared" ca="1" si="29"/>
        <v/>
      </c>
      <c r="Y40" s="119" t="str">
        <f t="shared" ca="1" si="29"/>
        <v/>
      </c>
      <c r="Z40" s="119" t="str">
        <f t="shared" ca="1" si="29"/>
        <v/>
      </c>
      <c r="AA40" s="119" t="str">
        <f t="shared" ca="1" si="29"/>
        <v/>
      </c>
      <c r="AB40" s="119" t="str">
        <f t="shared" ca="1" si="29"/>
        <v/>
      </c>
      <c r="AC40" s="119" t="str">
        <f t="shared" ca="1" si="29"/>
        <v/>
      </c>
      <c r="AD40" s="119" t="str">
        <f t="shared" ca="1" si="29"/>
        <v/>
      </c>
      <c r="AE40" s="119" t="str">
        <f t="shared" ca="1" si="29"/>
        <v/>
      </c>
      <c r="AF40" s="119" t="str">
        <f t="shared" ca="1" si="29"/>
        <v/>
      </c>
      <c r="AG40" s="119" t="str">
        <f t="shared" ca="1" si="29"/>
        <v/>
      </c>
      <c r="AH40" s="119" t="str">
        <f t="shared" ca="1" si="29"/>
        <v/>
      </c>
    </row>
    <row r="41" spans="2:34" ht="13" x14ac:dyDescent="0.25">
      <c r="B41" s="125" t="str">
        <f>IF('Project Estimations'!F80="","",'Project Estimations'!F80)</f>
        <v/>
      </c>
      <c r="C41" s="126" t="str">
        <f>IF('Project Estimations'!G80="","",'Project Estimations'!G80)</f>
        <v/>
      </c>
      <c r="D41" s="126" t="str">
        <f>IF('Margin Calculation'!I37="","",'Margin Calculation'!I37)</f>
        <v/>
      </c>
      <c r="E41" s="126" t="str">
        <f>IF('Margin Calculation'!H37="","",'Margin Calculation'!H37)</f>
        <v/>
      </c>
      <c r="F41" s="126" t="str">
        <f>IF('Margin Calculation'!I37="","",'Margin Calculation'!I37/(1-VLOOKUP(C41,'Business Model'!$M$28:$T$33,6,FALSE)))</f>
        <v/>
      </c>
      <c r="G41" s="125" t="str">
        <f>IF('Project Estimations'!H80="","",'Project Estimations'!H80)</f>
        <v/>
      </c>
      <c r="H41" s="125">
        <f t="shared" si="5"/>
        <v>56</v>
      </c>
      <c r="I41" s="119" t="str">
        <f t="shared" ref="I41:AH41" ca="1" si="30">IF($B41="","",IF($F$7="YES",SUM(INDIRECT($D$9&amp;H$11&amp;$H41&amp;":"&amp;H$10&amp;$H41))*$E41,SUM(INDIRECT($D$9&amp;H$11&amp;$H41&amp;":"&amp;H$10&amp;$H41))*$F41))</f>
        <v/>
      </c>
      <c r="J41" s="119" t="str">
        <f t="shared" ca="1" si="30"/>
        <v/>
      </c>
      <c r="K41" s="119" t="str">
        <f t="shared" ca="1" si="30"/>
        <v/>
      </c>
      <c r="L41" s="119" t="str">
        <f t="shared" ca="1" si="30"/>
        <v/>
      </c>
      <c r="M41" s="119" t="str">
        <f t="shared" ca="1" si="30"/>
        <v/>
      </c>
      <c r="N41" s="119" t="str">
        <f t="shared" ca="1" si="30"/>
        <v/>
      </c>
      <c r="O41" s="119" t="str">
        <f t="shared" ca="1" si="30"/>
        <v/>
      </c>
      <c r="P41" s="119" t="str">
        <f t="shared" ca="1" si="30"/>
        <v/>
      </c>
      <c r="Q41" s="119" t="str">
        <f t="shared" ca="1" si="30"/>
        <v/>
      </c>
      <c r="R41" s="119" t="str">
        <f t="shared" ca="1" si="30"/>
        <v/>
      </c>
      <c r="S41" s="119" t="str">
        <f t="shared" ca="1" si="30"/>
        <v/>
      </c>
      <c r="T41" s="119" t="str">
        <f t="shared" ca="1" si="30"/>
        <v/>
      </c>
      <c r="U41" s="119" t="str">
        <f t="shared" ca="1" si="30"/>
        <v/>
      </c>
      <c r="V41" s="119" t="str">
        <f t="shared" ca="1" si="30"/>
        <v/>
      </c>
      <c r="W41" s="119" t="str">
        <f t="shared" ca="1" si="30"/>
        <v/>
      </c>
      <c r="X41" s="119" t="str">
        <f t="shared" ca="1" si="30"/>
        <v/>
      </c>
      <c r="Y41" s="119" t="str">
        <f t="shared" ca="1" si="30"/>
        <v/>
      </c>
      <c r="Z41" s="119" t="str">
        <f t="shared" ca="1" si="30"/>
        <v/>
      </c>
      <c r="AA41" s="119" t="str">
        <f t="shared" ca="1" si="30"/>
        <v/>
      </c>
      <c r="AB41" s="119" t="str">
        <f t="shared" ca="1" si="30"/>
        <v/>
      </c>
      <c r="AC41" s="119" t="str">
        <f t="shared" ca="1" si="30"/>
        <v/>
      </c>
      <c r="AD41" s="119" t="str">
        <f t="shared" ca="1" si="30"/>
        <v/>
      </c>
      <c r="AE41" s="119" t="str">
        <f t="shared" ca="1" si="30"/>
        <v/>
      </c>
      <c r="AF41" s="119" t="str">
        <f t="shared" ca="1" si="30"/>
        <v/>
      </c>
      <c r="AG41" s="119" t="str">
        <f t="shared" ca="1" si="30"/>
        <v/>
      </c>
      <c r="AH41" s="119" t="str">
        <f t="shared" ca="1" si="30"/>
        <v/>
      </c>
    </row>
    <row r="42" spans="2:34" ht="13" x14ac:dyDescent="0.25">
      <c r="B42" s="125" t="str">
        <f>IF('Project Estimations'!F81="","",'Project Estimations'!F81)</f>
        <v/>
      </c>
      <c r="C42" s="126" t="str">
        <f>IF('Project Estimations'!G81="","",'Project Estimations'!G81)</f>
        <v/>
      </c>
      <c r="D42" s="126" t="str">
        <f>IF('Margin Calculation'!I38="","",'Margin Calculation'!I38)</f>
        <v/>
      </c>
      <c r="E42" s="126" t="str">
        <f>IF('Margin Calculation'!H38="","",'Margin Calculation'!H38)</f>
        <v/>
      </c>
      <c r="F42" s="126" t="str">
        <f>IF('Margin Calculation'!I38="","",'Margin Calculation'!I38/(1-VLOOKUP(C42,'Business Model'!$M$28:$T$33,6,FALSE)))</f>
        <v/>
      </c>
      <c r="G42" s="125" t="str">
        <f>IF('Project Estimations'!H81="","",'Project Estimations'!H81)</f>
        <v/>
      </c>
      <c r="H42" s="125">
        <f t="shared" si="5"/>
        <v>57</v>
      </c>
      <c r="I42" s="119" t="str">
        <f t="shared" ref="I42:AH42" ca="1" si="31">IF($B42="","",IF($F$7="YES",SUM(INDIRECT($D$9&amp;H$11&amp;$H42&amp;":"&amp;H$10&amp;$H42))*$E42,SUM(INDIRECT($D$9&amp;H$11&amp;$H42&amp;":"&amp;H$10&amp;$H42))*$F42))</f>
        <v/>
      </c>
      <c r="J42" s="119" t="str">
        <f t="shared" ca="1" si="31"/>
        <v/>
      </c>
      <c r="K42" s="119" t="str">
        <f t="shared" ca="1" si="31"/>
        <v/>
      </c>
      <c r="L42" s="119" t="str">
        <f t="shared" ca="1" si="31"/>
        <v/>
      </c>
      <c r="M42" s="119" t="str">
        <f t="shared" ca="1" si="31"/>
        <v/>
      </c>
      <c r="N42" s="119" t="str">
        <f t="shared" ca="1" si="31"/>
        <v/>
      </c>
      <c r="O42" s="119" t="str">
        <f t="shared" ca="1" si="31"/>
        <v/>
      </c>
      <c r="P42" s="119" t="str">
        <f t="shared" ca="1" si="31"/>
        <v/>
      </c>
      <c r="Q42" s="119" t="str">
        <f t="shared" ca="1" si="31"/>
        <v/>
      </c>
      <c r="R42" s="119" t="str">
        <f t="shared" ca="1" si="31"/>
        <v/>
      </c>
      <c r="S42" s="119" t="str">
        <f t="shared" ca="1" si="31"/>
        <v/>
      </c>
      <c r="T42" s="119" t="str">
        <f t="shared" ca="1" si="31"/>
        <v/>
      </c>
      <c r="U42" s="119" t="str">
        <f t="shared" ca="1" si="31"/>
        <v/>
      </c>
      <c r="V42" s="119" t="str">
        <f t="shared" ca="1" si="31"/>
        <v/>
      </c>
      <c r="W42" s="119" t="str">
        <f t="shared" ca="1" si="31"/>
        <v/>
      </c>
      <c r="X42" s="119" t="str">
        <f t="shared" ca="1" si="31"/>
        <v/>
      </c>
      <c r="Y42" s="119" t="str">
        <f t="shared" ca="1" si="31"/>
        <v/>
      </c>
      <c r="Z42" s="119" t="str">
        <f t="shared" ca="1" si="31"/>
        <v/>
      </c>
      <c r="AA42" s="119" t="str">
        <f t="shared" ca="1" si="31"/>
        <v/>
      </c>
      <c r="AB42" s="119" t="str">
        <f t="shared" ca="1" si="31"/>
        <v/>
      </c>
      <c r="AC42" s="119" t="str">
        <f t="shared" ca="1" si="31"/>
        <v/>
      </c>
      <c r="AD42" s="119" t="str">
        <f t="shared" ca="1" si="31"/>
        <v/>
      </c>
      <c r="AE42" s="119" t="str">
        <f t="shared" ca="1" si="31"/>
        <v/>
      </c>
      <c r="AF42" s="119" t="str">
        <f t="shared" ca="1" si="31"/>
        <v/>
      </c>
      <c r="AG42" s="119" t="str">
        <f t="shared" ca="1" si="31"/>
        <v/>
      </c>
      <c r="AH42" s="119" t="str">
        <f t="shared" ca="1" si="31"/>
        <v/>
      </c>
    </row>
    <row r="43" spans="2:34" ht="13" x14ac:dyDescent="0.25">
      <c r="B43" s="125" t="str">
        <f>IF('Project Estimations'!F82="","",'Project Estimations'!F82)</f>
        <v/>
      </c>
      <c r="C43" s="126" t="str">
        <f>IF('Project Estimations'!G82="","",'Project Estimations'!G82)</f>
        <v/>
      </c>
      <c r="D43" s="126" t="str">
        <f>IF('Margin Calculation'!I39="","",'Margin Calculation'!I39)</f>
        <v/>
      </c>
      <c r="E43" s="126" t="str">
        <f>IF('Margin Calculation'!H39="","",'Margin Calculation'!H39)</f>
        <v/>
      </c>
      <c r="F43" s="126" t="str">
        <f>IF('Margin Calculation'!I39="","",'Margin Calculation'!I39/(1-VLOOKUP(C43,'Business Model'!$M$28:$T$33,6,FALSE)))</f>
        <v/>
      </c>
      <c r="G43" s="125" t="str">
        <f>IF('Project Estimations'!H82="","",'Project Estimations'!H82)</f>
        <v/>
      </c>
      <c r="H43" s="125">
        <f t="shared" si="5"/>
        <v>58</v>
      </c>
      <c r="I43" s="119" t="str">
        <f t="shared" ref="I43:AH43" ca="1" si="32">IF($B43="","",IF($F$7="YES",SUM(INDIRECT($D$9&amp;H$11&amp;$H43&amp;":"&amp;H$10&amp;$H43))*$E43,SUM(INDIRECT($D$9&amp;H$11&amp;$H43&amp;":"&amp;H$10&amp;$H43))*$F43))</f>
        <v/>
      </c>
      <c r="J43" s="119" t="str">
        <f t="shared" ca="1" si="32"/>
        <v/>
      </c>
      <c r="K43" s="119" t="str">
        <f t="shared" ca="1" si="32"/>
        <v/>
      </c>
      <c r="L43" s="119" t="str">
        <f t="shared" ca="1" si="32"/>
        <v/>
      </c>
      <c r="M43" s="119" t="str">
        <f t="shared" ca="1" si="32"/>
        <v/>
      </c>
      <c r="N43" s="119" t="str">
        <f t="shared" ca="1" si="32"/>
        <v/>
      </c>
      <c r="O43" s="119" t="str">
        <f t="shared" ca="1" si="32"/>
        <v/>
      </c>
      <c r="P43" s="119" t="str">
        <f t="shared" ca="1" si="32"/>
        <v/>
      </c>
      <c r="Q43" s="119" t="str">
        <f t="shared" ca="1" si="32"/>
        <v/>
      </c>
      <c r="R43" s="119" t="str">
        <f t="shared" ca="1" si="32"/>
        <v/>
      </c>
      <c r="S43" s="119" t="str">
        <f t="shared" ca="1" si="32"/>
        <v/>
      </c>
      <c r="T43" s="119" t="str">
        <f t="shared" ca="1" si="32"/>
        <v/>
      </c>
      <c r="U43" s="119" t="str">
        <f t="shared" ca="1" si="32"/>
        <v/>
      </c>
      <c r="V43" s="119" t="str">
        <f t="shared" ca="1" si="32"/>
        <v/>
      </c>
      <c r="W43" s="119" t="str">
        <f t="shared" ca="1" si="32"/>
        <v/>
      </c>
      <c r="X43" s="119" t="str">
        <f t="shared" ca="1" si="32"/>
        <v/>
      </c>
      <c r="Y43" s="119" t="str">
        <f t="shared" ca="1" si="32"/>
        <v/>
      </c>
      <c r="Z43" s="119" t="str">
        <f t="shared" ca="1" si="32"/>
        <v/>
      </c>
      <c r="AA43" s="119" t="str">
        <f t="shared" ca="1" si="32"/>
        <v/>
      </c>
      <c r="AB43" s="119" t="str">
        <f t="shared" ca="1" si="32"/>
        <v/>
      </c>
      <c r="AC43" s="119" t="str">
        <f t="shared" ca="1" si="32"/>
        <v/>
      </c>
      <c r="AD43" s="119" t="str">
        <f t="shared" ca="1" si="32"/>
        <v/>
      </c>
      <c r="AE43" s="119" t="str">
        <f t="shared" ca="1" si="32"/>
        <v/>
      </c>
      <c r="AF43" s="119" t="str">
        <f t="shared" ca="1" si="32"/>
        <v/>
      </c>
      <c r="AG43" s="119" t="str">
        <f t="shared" ca="1" si="32"/>
        <v/>
      </c>
      <c r="AH43" s="119" t="str">
        <f t="shared" ca="1" si="32"/>
        <v/>
      </c>
    </row>
    <row r="44" spans="2:34" ht="13" x14ac:dyDescent="0.25">
      <c r="B44" s="125" t="str">
        <f>IF('Project Estimations'!F83="","",'Project Estimations'!F83)</f>
        <v/>
      </c>
      <c r="C44" s="126" t="str">
        <f>IF('Project Estimations'!G83="","",'Project Estimations'!G83)</f>
        <v/>
      </c>
      <c r="D44" s="126" t="str">
        <f>IF('Margin Calculation'!I40="","",'Margin Calculation'!I40)</f>
        <v/>
      </c>
      <c r="E44" s="126" t="str">
        <f>IF('Margin Calculation'!H40="","",'Margin Calculation'!H40)</f>
        <v/>
      </c>
      <c r="F44" s="126" t="str">
        <f>IF('Margin Calculation'!I40="","",'Margin Calculation'!I40/(1-VLOOKUP(C44,'Business Model'!$M$28:$T$33,6,FALSE)))</f>
        <v/>
      </c>
      <c r="G44" s="125" t="str">
        <f>IF('Project Estimations'!H83="","",'Project Estimations'!H83)</f>
        <v/>
      </c>
      <c r="H44" s="125">
        <f t="shared" si="5"/>
        <v>59</v>
      </c>
      <c r="I44" s="119" t="str">
        <f t="shared" ref="I44:AH44" ca="1" si="33">IF($B44="","",IF($F$7="YES",SUM(INDIRECT($D$9&amp;H$11&amp;$H44&amp;":"&amp;H$10&amp;$H44))*$E44,SUM(INDIRECT($D$9&amp;H$11&amp;$H44&amp;":"&amp;H$10&amp;$H44))*$F44))</f>
        <v/>
      </c>
      <c r="J44" s="119" t="str">
        <f t="shared" ca="1" si="33"/>
        <v/>
      </c>
      <c r="K44" s="119" t="str">
        <f t="shared" ca="1" si="33"/>
        <v/>
      </c>
      <c r="L44" s="119" t="str">
        <f t="shared" ca="1" si="33"/>
        <v/>
      </c>
      <c r="M44" s="119" t="str">
        <f t="shared" ca="1" si="33"/>
        <v/>
      </c>
      <c r="N44" s="119" t="str">
        <f t="shared" ca="1" si="33"/>
        <v/>
      </c>
      <c r="O44" s="119" t="str">
        <f t="shared" ca="1" si="33"/>
        <v/>
      </c>
      <c r="P44" s="119" t="str">
        <f t="shared" ca="1" si="33"/>
        <v/>
      </c>
      <c r="Q44" s="119" t="str">
        <f t="shared" ca="1" si="33"/>
        <v/>
      </c>
      <c r="R44" s="119" t="str">
        <f t="shared" ca="1" si="33"/>
        <v/>
      </c>
      <c r="S44" s="119" t="str">
        <f t="shared" ca="1" si="33"/>
        <v/>
      </c>
      <c r="T44" s="119" t="str">
        <f t="shared" ca="1" si="33"/>
        <v/>
      </c>
      <c r="U44" s="119" t="str">
        <f t="shared" ca="1" si="33"/>
        <v/>
      </c>
      <c r="V44" s="119" t="str">
        <f t="shared" ca="1" si="33"/>
        <v/>
      </c>
      <c r="W44" s="119" t="str">
        <f t="shared" ca="1" si="33"/>
        <v/>
      </c>
      <c r="X44" s="119" t="str">
        <f t="shared" ca="1" si="33"/>
        <v/>
      </c>
      <c r="Y44" s="119" t="str">
        <f t="shared" ca="1" si="33"/>
        <v/>
      </c>
      <c r="Z44" s="119" t="str">
        <f t="shared" ca="1" si="33"/>
        <v/>
      </c>
      <c r="AA44" s="119" t="str">
        <f t="shared" ca="1" si="33"/>
        <v/>
      </c>
      <c r="AB44" s="119" t="str">
        <f t="shared" ca="1" si="33"/>
        <v/>
      </c>
      <c r="AC44" s="119" t="str">
        <f t="shared" ca="1" si="33"/>
        <v/>
      </c>
      <c r="AD44" s="119" t="str">
        <f t="shared" ca="1" si="33"/>
        <v/>
      </c>
      <c r="AE44" s="119" t="str">
        <f t="shared" ca="1" si="33"/>
        <v/>
      </c>
      <c r="AF44" s="119" t="str">
        <f t="shared" ca="1" si="33"/>
        <v/>
      </c>
      <c r="AG44" s="119" t="str">
        <f t="shared" ca="1" si="33"/>
        <v/>
      </c>
      <c r="AH44" s="119" t="str">
        <f t="shared" ca="1" si="33"/>
        <v/>
      </c>
    </row>
    <row r="45" spans="2:34" ht="13" x14ac:dyDescent="0.25">
      <c r="B45" s="125" t="str">
        <f>IF('Project Estimations'!F84="","",'Project Estimations'!F84)</f>
        <v/>
      </c>
      <c r="C45" s="126" t="str">
        <f>IF('Project Estimations'!G84="","",'Project Estimations'!G84)</f>
        <v/>
      </c>
      <c r="D45" s="126" t="str">
        <f>IF('Margin Calculation'!I41="","",'Margin Calculation'!I41)</f>
        <v/>
      </c>
      <c r="E45" s="126" t="str">
        <f>IF('Margin Calculation'!H41="","",'Margin Calculation'!H41)</f>
        <v/>
      </c>
      <c r="F45" s="126" t="str">
        <f>IF('Margin Calculation'!I41="","",'Margin Calculation'!I41/(1-VLOOKUP(C45,'Business Model'!$M$28:$T$33,6,FALSE)))</f>
        <v/>
      </c>
      <c r="G45" s="125" t="str">
        <f>IF('Project Estimations'!H84="","",'Project Estimations'!H84)</f>
        <v/>
      </c>
      <c r="H45" s="125">
        <f t="shared" si="5"/>
        <v>60</v>
      </c>
      <c r="I45" s="119" t="str">
        <f t="shared" ref="I45:AH45" ca="1" si="34">IF($B45="","",IF($F$7="YES",SUM(INDIRECT($D$9&amp;H$11&amp;$H45&amp;":"&amp;H$10&amp;$H45))*$E45,SUM(INDIRECT($D$9&amp;H$11&amp;$H45&amp;":"&amp;H$10&amp;$H45))*$F45))</f>
        <v/>
      </c>
      <c r="J45" s="119" t="str">
        <f t="shared" ca="1" si="34"/>
        <v/>
      </c>
      <c r="K45" s="119" t="str">
        <f t="shared" ca="1" si="34"/>
        <v/>
      </c>
      <c r="L45" s="119" t="str">
        <f t="shared" ca="1" si="34"/>
        <v/>
      </c>
      <c r="M45" s="119" t="str">
        <f t="shared" ca="1" si="34"/>
        <v/>
      </c>
      <c r="N45" s="119" t="str">
        <f t="shared" ca="1" si="34"/>
        <v/>
      </c>
      <c r="O45" s="119" t="str">
        <f t="shared" ca="1" si="34"/>
        <v/>
      </c>
      <c r="P45" s="119" t="str">
        <f t="shared" ca="1" si="34"/>
        <v/>
      </c>
      <c r="Q45" s="119" t="str">
        <f t="shared" ca="1" si="34"/>
        <v/>
      </c>
      <c r="R45" s="119" t="str">
        <f t="shared" ca="1" si="34"/>
        <v/>
      </c>
      <c r="S45" s="119" t="str">
        <f t="shared" ca="1" si="34"/>
        <v/>
      </c>
      <c r="T45" s="119" t="str">
        <f t="shared" ca="1" si="34"/>
        <v/>
      </c>
      <c r="U45" s="119" t="str">
        <f t="shared" ca="1" si="34"/>
        <v/>
      </c>
      <c r="V45" s="119" t="str">
        <f t="shared" ca="1" si="34"/>
        <v/>
      </c>
      <c r="W45" s="119" t="str">
        <f t="shared" ca="1" si="34"/>
        <v/>
      </c>
      <c r="X45" s="119" t="str">
        <f t="shared" ca="1" si="34"/>
        <v/>
      </c>
      <c r="Y45" s="119" t="str">
        <f t="shared" ca="1" si="34"/>
        <v/>
      </c>
      <c r="Z45" s="119" t="str">
        <f t="shared" ca="1" si="34"/>
        <v/>
      </c>
      <c r="AA45" s="119" t="str">
        <f t="shared" ca="1" si="34"/>
        <v/>
      </c>
      <c r="AB45" s="119" t="str">
        <f t="shared" ca="1" si="34"/>
        <v/>
      </c>
      <c r="AC45" s="119" t="str">
        <f t="shared" ca="1" si="34"/>
        <v/>
      </c>
      <c r="AD45" s="119" t="str">
        <f t="shared" ca="1" si="34"/>
        <v/>
      </c>
      <c r="AE45" s="119" t="str">
        <f t="shared" ca="1" si="34"/>
        <v/>
      </c>
      <c r="AF45" s="119" t="str">
        <f t="shared" ca="1" si="34"/>
        <v/>
      </c>
      <c r="AG45" s="119" t="str">
        <f t="shared" ca="1" si="34"/>
        <v/>
      </c>
      <c r="AH45" s="119" t="str">
        <f t="shared" ca="1" si="34"/>
        <v/>
      </c>
    </row>
    <row r="46" spans="2:34" ht="13" x14ac:dyDescent="0.25">
      <c r="B46" s="125" t="str">
        <f>IF('Project Estimations'!F85="","",'Project Estimations'!F85)</f>
        <v/>
      </c>
      <c r="C46" s="126" t="str">
        <f>IF('Project Estimations'!G85="","",'Project Estimations'!G85)</f>
        <v/>
      </c>
      <c r="D46" s="126" t="str">
        <f>IF('Margin Calculation'!I42="","",'Margin Calculation'!I42)</f>
        <v/>
      </c>
      <c r="E46" s="126" t="str">
        <f>IF('Margin Calculation'!H42="","",'Margin Calculation'!H42)</f>
        <v/>
      </c>
      <c r="F46" s="126" t="str">
        <f>IF('Margin Calculation'!I42="","",'Margin Calculation'!I42/(1-VLOOKUP(C46,'Business Model'!$M$28:$T$33,6,FALSE)))</f>
        <v/>
      </c>
      <c r="G46" s="125" t="str">
        <f>IF('Project Estimations'!H85="","",'Project Estimations'!H85)</f>
        <v/>
      </c>
      <c r="H46" s="125">
        <f t="shared" si="5"/>
        <v>61</v>
      </c>
      <c r="I46" s="119" t="str">
        <f t="shared" ref="I46:AH46" ca="1" si="35">IF($B46="","",IF($F$7="YES",SUM(INDIRECT($D$9&amp;H$11&amp;$H46&amp;":"&amp;H$10&amp;$H46))*$E46,SUM(INDIRECT($D$9&amp;H$11&amp;$H46&amp;":"&amp;H$10&amp;$H46))*$F46))</f>
        <v/>
      </c>
      <c r="J46" s="119" t="str">
        <f t="shared" ca="1" si="35"/>
        <v/>
      </c>
      <c r="K46" s="119" t="str">
        <f t="shared" ca="1" si="35"/>
        <v/>
      </c>
      <c r="L46" s="119" t="str">
        <f t="shared" ca="1" si="35"/>
        <v/>
      </c>
      <c r="M46" s="119" t="str">
        <f t="shared" ca="1" si="35"/>
        <v/>
      </c>
      <c r="N46" s="119" t="str">
        <f t="shared" ca="1" si="35"/>
        <v/>
      </c>
      <c r="O46" s="119" t="str">
        <f t="shared" ca="1" si="35"/>
        <v/>
      </c>
      <c r="P46" s="119" t="str">
        <f t="shared" ca="1" si="35"/>
        <v/>
      </c>
      <c r="Q46" s="119" t="str">
        <f t="shared" ca="1" si="35"/>
        <v/>
      </c>
      <c r="R46" s="119" t="str">
        <f t="shared" ca="1" si="35"/>
        <v/>
      </c>
      <c r="S46" s="119" t="str">
        <f t="shared" ca="1" si="35"/>
        <v/>
      </c>
      <c r="T46" s="119" t="str">
        <f t="shared" ca="1" si="35"/>
        <v/>
      </c>
      <c r="U46" s="119" t="str">
        <f t="shared" ca="1" si="35"/>
        <v/>
      </c>
      <c r="V46" s="119" t="str">
        <f t="shared" ca="1" si="35"/>
        <v/>
      </c>
      <c r="W46" s="119" t="str">
        <f t="shared" ca="1" si="35"/>
        <v/>
      </c>
      <c r="X46" s="119" t="str">
        <f t="shared" ca="1" si="35"/>
        <v/>
      </c>
      <c r="Y46" s="119" t="str">
        <f t="shared" ca="1" si="35"/>
        <v/>
      </c>
      <c r="Z46" s="119" t="str">
        <f t="shared" ca="1" si="35"/>
        <v/>
      </c>
      <c r="AA46" s="119" t="str">
        <f t="shared" ca="1" si="35"/>
        <v/>
      </c>
      <c r="AB46" s="119" t="str">
        <f t="shared" ca="1" si="35"/>
        <v/>
      </c>
      <c r="AC46" s="119" t="str">
        <f t="shared" ca="1" si="35"/>
        <v/>
      </c>
      <c r="AD46" s="119" t="str">
        <f t="shared" ca="1" si="35"/>
        <v/>
      </c>
      <c r="AE46" s="119" t="str">
        <f t="shared" ca="1" si="35"/>
        <v/>
      </c>
      <c r="AF46" s="119" t="str">
        <f t="shared" ca="1" si="35"/>
        <v/>
      </c>
      <c r="AG46" s="119" t="str">
        <f t="shared" ca="1" si="35"/>
        <v/>
      </c>
      <c r="AH46" s="119" t="str">
        <f t="shared" ca="1" si="35"/>
        <v/>
      </c>
    </row>
    <row r="47" spans="2:34" ht="13" x14ac:dyDescent="0.25">
      <c r="B47" s="125" t="str">
        <f>IF('Project Estimations'!F86="","",'Project Estimations'!F86)</f>
        <v/>
      </c>
      <c r="C47" s="126" t="str">
        <f>IF('Project Estimations'!G86="","",'Project Estimations'!G86)</f>
        <v/>
      </c>
      <c r="D47" s="126" t="str">
        <f>IF('Margin Calculation'!I43="","",'Margin Calculation'!I43)</f>
        <v/>
      </c>
      <c r="E47" s="126" t="str">
        <f>IF('Margin Calculation'!H43="","",'Margin Calculation'!H43)</f>
        <v/>
      </c>
      <c r="F47" s="126" t="str">
        <f>IF('Margin Calculation'!I43="","",'Margin Calculation'!I43/(1-VLOOKUP(C47,'Business Model'!$M$28:$T$33,6,FALSE)))</f>
        <v/>
      </c>
      <c r="G47" s="125" t="str">
        <f>IF('Project Estimations'!H86="","",'Project Estimations'!H86)</f>
        <v/>
      </c>
      <c r="H47" s="125">
        <f t="shared" si="5"/>
        <v>62</v>
      </c>
      <c r="I47" s="119" t="str">
        <f t="shared" ref="I47:AH47" ca="1" si="36">IF($B47="","",IF($F$7="YES",SUM(INDIRECT($D$9&amp;H$11&amp;$H47&amp;":"&amp;H$10&amp;$H47))*$E47,SUM(INDIRECT($D$9&amp;H$11&amp;$H47&amp;":"&amp;H$10&amp;$H47))*$F47))</f>
        <v/>
      </c>
      <c r="J47" s="119" t="str">
        <f t="shared" ca="1" si="36"/>
        <v/>
      </c>
      <c r="K47" s="119" t="str">
        <f t="shared" ca="1" si="36"/>
        <v/>
      </c>
      <c r="L47" s="119" t="str">
        <f t="shared" ca="1" si="36"/>
        <v/>
      </c>
      <c r="M47" s="119" t="str">
        <f t="shared" ca="1" si="36"/>
        <v/>
      </c>
      <c r="N47" s="119" t="str">
        <f t="shared" ca="1" si="36"/>
        <v/>
      </c>
      <c r="O47" s="119" t="str">
        <f t="shared" ca="1" si="36"/>
        <v/>
      </c>
      <c r="P47" s="119" t="str">
        <f t="shared" ca="1" si="36"/>
        <v/>
      </c>
      <c r="Q47" s="119" t="str">
        <f t="shared" ca="1" si="36"/>
        <v/>
      </c>
      <c r="R47" s="119" t="str">
        <f t="shared" ca="1" si="36"/>
        <v/>
      </c>
      <c r="S47" s="119" t="str">
        <f t="shared" ca="1" si="36"/>
        <v/>
      </c>
      <c r="T47" s="119" t="str">
        <f t="shared" ca="1" si="36"/>
        <v/>
      </c>
      <c r="U47" s="119" t="str">
        <f t="shared" ca="1" si="36"/>
        <v/>
      </c>
      <c r="V47" s="119" t="str">
        <f t="shared" ca="1" si="36"/>
        <v/>
      </c>
      <c r="W47" s="119" t="str">
        <f t="shared" ca="1" si="36"/>
        <v/>
      </c>
      <c r="X47" s="119" t="str">
        <f t="shared" ca="1" si="36"/>
        <v/>
      </c>
      <c r="Y47" s="119" t="str">
        <f t="shared" ca="1" si="36"/>
        <v/>
      </c>
      <c r="Z47" s="119" t="str">
        <f t="shared" ca="1" si="36"/>
        <v/>
      </c>
      <c r="AA47" s="119" t="str">
        <f t="shared" ca="1" si="36"/>
        <v/>
      </c>
      <c r="AB47" s="119" t="str">
        <f t="shared" ca="1" si="36"/>
        <v/>
      </c>
      <c r="AC47" s="119" t="str">
        <f t="shared" ca="1" si="36"/>
        <v/>
      </c>
      <c r="AD47" s="119" t="str">
        <f t="shared" ca="1" si="36"/>
        <v/>
      </c>
      <c r="AE47" s="119" t="str">
        <f t="shared" ca="1" si="36"/>
        <v/>
      </c>
      <c r="AF47" s="119" t="str">
        <f t="shared" ca="1" si="36"/>
        <v/>
      </c>
      <c r="AG47" s="119" t="str">
        <f t="shared" ca="1" si="36"/>
        <v/>
      </c>
      <c r="AH47" s="119" t="str">
        <f t="shared" ca="1" si="36"/>
        <v/>
      </c>
    </row>
    <row r="48" spans="2:34" ht="13" x14ac:dyDescent="0.25">
      <c r="B48" s="125" t="str">
        <f>IF('Project Estimations'!F87="","",'Project Estimations'!F87)</f>
        <v/>
      </c>
      <c r="C48" s="126" t="str">
        <f>IF('Project Estimations'!G87="","",'Project Estimations'!G87)</f>
        <v/>
      </c>
      <c r="D48" s="126">
        <f>IF('Margin Calculation'!I44="","",'Margin Calculation'!I44)</f>
        <v>0</v>
      </c>
      <c r="E48" s="126" t="str">
        <f>IF('Margin Calculation'!H44="","",'Margin Calculation'!H44)</f>
        <v/>
      </c>
      <c r="F48" s="126" t="e">
        <f>IF('Margin Calculation'!I44="","",'Margin Calculation'!I44/(1-VLOOKUP(C48,'Business Model'!$M$28:$T$33,6,FALSE)))</f>
        <v>#N/A</v>
      </c>
      <c r="G48" s="125" t="str">
        <f>IF('Project Estimations'!H87="","",'Project Estimations'!H87)</f>
        <v/>
      </c>
      <c r="H48" s="125">
        <f t="shared" si="5"/>
        <v>63</v>
      </c>
      <c r="I48" s="119" t="str">
        <f t="shared" ref="I48:AH48" ca="1" si="37">IF($B48="","",IF($F$7="YES",SUM(INDIRECT($D$9&amp;H$11&amp;$H48&amp;":"&amp;H$10&amp;$H48))*$E48,SUM(INDIRECT($D$9&amp;H$11&amp;$H48&amp;":"&amp;H$10&amp;$H48))*$F48))</f>
        <v/>
      </c>
      <c r="J48" s="119" t="str">
        <f t="shared" ca="1" si="37"/>
        <v/>
      </c>
      <c r="K48" s="119" t="str">
        <f t="shared" ca="1" si="37"/>
        <v/>
      </c>
      <c r="L48" s="119" t="str">
        <f t="shared" ca="1" si="37"/>
        <v/>
      </c>
      <c r="M48" s="119" t="str">
        <f t="shared" ca="1" si="37"/>
        <v/>
      </c>
      <c r="N48" s="119" t="str">
        <f t="shared" ca="1" si="37"/>
        <v/>
      </c>
      <c r="O48" s="119" t="str">
        <f t="shared" ca="1" si="37"/>
        <v/>
      </c>
      <c r="P48" s="119" t="str">
        <f t="shared" ca="1" si="37"/>
        <v/>
      </c>
      <c r="Q48" s="119" t="str">
        <f t="shared" ca="1" si="37"/>
        <v/>
      </c>
      <c r="R48" s="119" t="str">
        <f t="shared" ca="1" si="37"/>
        <v/>
      </c>
      <c r="S48" s="119" t="str">
        <f t="shared" ca="1" si="37"/>
        <v/>
      </c>
      <c r="T48" s="119" t="str">
        <f t="shared" ca="1" si="37"/>
        <v/>
      </c>
      <c r="U48" s="119" t="str">
        <f t="shared" ca="1" si="37"/>
        <v/>
      </c>
      <c r="V48" s="119" t="str">
        <f t="shared" ca="1" si="37"/>
        <v/>
      </c>
      <c r="W48" s="119" t="str">
        <f t="shared" ca="1" si="37"/>
        <v/>
      </c>
      <c r="X48" s="119" t="str">
        <f t="shared" ca="1" si="37"/>
        <v/>
      </c>
      <c r="Y48" s="119" t="str">
        <f t="shared" ca="1" si="37"/>
        <v/>
      </c>
      <c r="Z48" s="119" t="str">
        <f t="shared" ca="1" si="37"/>
        <v/>
      </c>
      <c r="AA48" s="119" t="str">
        <f t="shared" ca="1" si="37"/>
        <v/>
      </c>
      <c r="AB48" s="119" t="str">
        <f t="shared" ca="1" si="37"/>
        <v/>
      </c>
      <c r="AC48" s="119" t="str">
        <f t="shared" ca="1" si="37"/>
        <v/>
      </c>
      <c r="AD48" s="119" t="str">
        <f t="shared" ca="1" si="37"/>
        <v/>
      </c>
      <c r="AE48" s="119" t="str">
        <f t="shared" ca="1" si="37"/>
        <v/>
      </c>
      <c r="AF48" s="119" t="str">
        <f t="shared" ca="1" si="37"/>
        <v/>
      </c>
      <c r="AG48" s="119" t="str">
        <f t="shared" ca="1" si="37"/>
        <v/>
      </c>
      <c r="AH48" s="119" t="str">
        <f t="shared" ca="1" si="37"/>
        <v/>
      </c>
    </row>
    <row r="49" spans="2:34" ht="13" x14ac:dyDescent="0.25">
      <c r="B49" s="125" t="str">
        <f>IF('Project Estimations'!F88="","",'Project Estimations'!F88)</f>
        <v/>
      </c>
      <c r="C49" s="126" t="str">
        <f>IF('Project Estimations'!G88="","",'Project Estimations'!G88)</f>
        <v/>
      </c>
      <c r="D49" s="126">
        <f>IF('Margin Calculation'!I45="","",'Margin Calculation'!I45)</f>
        <v>123.31452161482827</v>
      </c>
      <c r="E49" s="126">
        <f>IF('Margin Calculation'!H45="","",'Margin Calculation'!H45)</f>
        <v>537.20936712709329</v>
      </c>
      <c r="F49" s="126" t="e">
        <f>IF('Margin Calculation'!I45="","",'Margin Calculation'!I45/(1-VLOOKUP(C49,'Business Model'!$M$28:$T$33,6,FALSE)))</f>
        <v>#N/A</v>
      </c>
      <c r="G49" s="125" t="str">
        <f>IF('Project Estimations'!H88="","",'Project Estimations'!H88)</f>
        <v/>
      </c>
      <c r="H49" s="125">
        <f t="shared" si="5"/>
        <v>64</v>
      </c>
      <c r="I49" s="119" t="str">
        <f t="shared" ref="I49:AH49" ca="1" si="38">IF($B49="","",IF($F$7="YES",SUM(INDIRECT($D$9&amp;H$11&amp;$H49&amp;":"&amp;H$10&amp;$H49))*$E49,SUM(INDIRECT($D$9&amp;H$11&amp;$H49&amp;":"&amp;H$10&amp;$H49))*$F49))</f>
        <v/>
      </c>
      <c r="J49" s="119" t="str">
        <f t="shared" ca="1" si="38"/>
        <v/>
      </c>
      <c r="K49" s="119" t="str">
        <f t="shared" ca="1" si="38"/>
        <v/>
      </c>
      <c r="L49" s="119" t="str">
        <f t="shared" ca="1" si="38"/>
        <v/>
      </c>
      <c r="M49" s="119" t="str">
        <f t="shared" ca="1" si="38"/>
        <v/>
      </c>
      <c r="N49" s="119" t="str">
        <f t="shared" ca="1" si="38"/>
        <v/>
      </c>
      <c r="O49" s="119" t="str">
        <f t="shared" ca="1" si="38"/>
        <v/>
      </c>
      <c r="P49" s="119" t="str">
        <f t="shared" ca="1" si="38"/>
        <v/>
      </c>
      <c r="Q49" s="119" t="str">
        <f t="shared" ca="1" si="38"/>
        <v/>
      </c>
      <c r="R49" s="119" t="str">
        <f t="shared" ca="1" si="38"/>
        <v/>
      </c>
      <c r="S49" s="119" t="str">
        <f t="shared" ca="1" si="38"/>
        <v/>
      </c>
      <c r="T49" s="119" t="str">
        <f t="shared" ca="1" si="38"/>
        <v/>
      </c>
      <c r="U49" s="119" t="str">
        <f t="shared" ca="1" si="38"/>
        <v/>
      </c>
      <c r="V49" s="119" t="str">
        <f t="shared" ca="1" si="38"/>
        <v/>
      </c>
      <c r="W49" s="119" t="str">
        <f t="shared" ca="1" si="38"/>
        <v/>
      </c>
      <c r="X49" s="119" t="str">
        <f t="shared" ca="1" si="38"/>
        <v/>
      </c>
      <c r="Y49" s="119" t="str">
        <f t="shared" ca="1" si="38"/>
        <v/>
      </c>
      <c r="Z49" s="119" t="str">
        <f t="shared" ca="1" si="38"/>
        <v/>
      </c>
      <c r="AA49" s="119" t="str">
        <f t="shared" ca="1" si="38"/>
        <v/>
      </c>
      <c r="AB49" s="119" t="str">
        <f t="shared" ca="1" si="38"/>
        <v/>
      </c>
      <c r="AC49" s="119" t="str">
        <f t="shared" ca="1" si="38"/>
        <v/>
      </c>
      <c r="AD49" s="119" t="str">
        <f t="shared" ca="1" si="38"/>
        <v/>
      </c>
      <c r="AE49" s="119" t="str">
        <f t="shared" ca="1" si="38"/>
        <v/>
      </c>
      <c r="AF49" s="119" t="str">
        <f t="shared" ca="1" si="38"/>
        <v/>
      </c>
      <c r="AG49" s="119" t="str">
        <f t="shared" ca="1" si="38"/>
        <v/>
      </c>
      <c r="AH49" s="119" t="str">
        <f t="shared" ca="1" si="38"/>
        <v/>
      </c>
    </row>
    <row r="50" spans="2:34" ht="13" x14ac:dyDescent="0.25">
      <c r="B50" s="125" t="str">
        <f>IF('Project Estimations'!F89="","",'Project Estimations'!F89)</f>
        <v/>
      </c>
      <c r="C50" s="126" t="str">
        <f>IF('Project Estimations'!G89="","",'Project Estimations'!G89)</f>
        <v/>
      </c>
      <c r="D50" s="126">
        <f>IF('Margin Calculation'!I46="","",'Margin Calculation'!I46)</f>
        <v>146.49693586072959</v>
      </c>
      <c r="E50" s="126">
        <f>IF('Margin Calculation'!H46="","",'Margin Calculation'!H46)</f>
        <v>537.20936712709329</v>
      </c>
      <c r="F50" s="126" t="e">
        <f>IF('Margin Calculation'!I46="","",'Margin Calculation'!I46/(1-VLOOKUP(C50,'Business Model'!$M$28:$T$33,6,FALSE)))</f>
        <v>#N/A</v>
      </c>
      <c r="G50" s="125" t="str">
        <f>IF('Project Estimations'!H89="","",'Project Estimations'!H89)</f>
        <v/>
      </c>
      <c r="H50" s="125">
        <f t="shared" si="5"/>
        <v>65</v>
      </c>
      <c r="I50" s="119" t="str">
        <f t="shared" ref="I50:AH50" ca="1" si="39">IF($B50="","",IF($F$7="YES",SUM(INDIRECT($D$9&amp;H$11&amp;$H50&amp;":"&amp;H$10&amp;$H50))*$E50,SUM(INDIRECT($D$9&amp;H$11&amp;$H50&amp;":"&amp;H$10&amp;$H50))*$F50))</f>
        <v/>
      </c>
      <c r="J50" s="119" t="str">
        <f t="shared" ca="1" si="39"/>
        <v/>
      </c>
      <c r="K50" s="119" t="str">
        <f t="shared" ca="1" si="39"/>
        <v/>
      </c>
      <c r="L50" s="119" t="str">
        <f t="shared" ca="1" si="39"/>
        <v/>
      </c>
      <c r="M50" s="119" t="str">
        <f t="shared" ca="1" si="39"/>
        <v/>
      </c>
      <c r="N50" s="119" t="str">
        <f t="shared" ca="1" si="39"/>
        <v/>
      </c>
      <c r="O50" s="119" t="str">
        <f t="shared" ca="1" si="39"/>
        <v/>
      </c>
      <c r="P50" s="119" t="str">
        <f t="shared" ca="1" si="39"/>
        <v/>
      </c>
      <c r="Q50" s="119" t="str">
        <f t="shared" ca="1" si="39"/>
        <v/>
      </c>
      <c r="R50" s="119" t="str">
        <f t="shared" ca="1" si="39"/>
        <v/>
      </c>
      <c r="S50" s="119" t="str">
        <f t="shared" ca="1" si="39"/>
        <v/>
      </c>
      <c r="T50" s="119" t="str">
        <f t="shared" ca="1" si="39"/>
        <v/>
      </c>
      <c r="U50" s="119" t="str">
        <f t="shared" ca="1" si="39"/>
        <v/>
      </c>
      <c r="V50" s="119" t="str">
        <f t="shared" ca="1" si="39"/>
        <v/>
      </c>
      <c r="W50" s="119" t="str">
        <f t="shared" ca="1" si="39"/>
        <v/>
      </c>
      <c r="X50" s="119" t="str">
        <f t="shared" ca="1" si="39"/>
        <v/>
      </c>
      <c r="Y50" s="119" t="str">
        <f t="shared" ca="1" si="39"/>
        <v/>
      </c>
      <c r="Z50" s="119" t="str">
        <f t="shared" ca="1" si="39"/>
        <v/>
      </c>
      <c r="AA50" s="119" t="str">
        <f t="shared" ca="1" si="39"/>
        <v/>
      </c>
      <c r="AB50" s="119" t="str">
        <f t="shared" ca="1" si="39"/>
        <v/>
      </c>
      <c r="AC50" s="119" t="str">
        <f t="shared" ca="1" si="39"/>
        <v/>
      </c>
      <c r="AD50" s="119" t="str">
        <f t="shared" ca="1" si="39"/>
        <v/>
      </c>
      <c r="AE50" s="119" t="str">
        <f t="shared" ca="1" si="39"/>
        <v/>
      </c>
      <c r="AF50" s="119" t="str">
        <f t="shared" ca="1" si="39"/>
        <v/>
      </c>
      <c r="AG50" s="119" t="str">
        <f t="shared" ca="1" si="39"/>
        <v/>
      </c>
      <c r="AH50" s="119" t="str">
        <f t="shared" ca="1" si="39"/>
        <v/>
      </c>
    </row>
    <row r="51" spans="2:34" ht="13" x14ac:dyDescent="0.25">
      <c r="B51" s="125" t="str">
        <f>IF('Project Estimations'!F90="","",'Project Estimations'!F90)</f>
        <v/>
      </c>
      <c r="C51" s="126" t="str">
        <f>IF('Project Estimations'!G90="","",'Project Estimations'!G90)</f>
        <v/>
      </c>
      <c r="D51" s="126">
        <f>IF('Margin Calculation'!I47="","",'Margin Calculation'!I47)</f>
        <v>334.43013576805146</v>
      </c>
      <c r="E51" s="126">
        <f>IF('Margin Calculation'!H47="","",'Margin Calculation'!H47)</f>
        <v>537.20936712709329</v>
      </c>
      <c r="F51" s="126" t="e">
        <f>IF('Margin Calculation'!I47="","",'Margin Calculation'!I47/(1-VLOOKUP(C51,'Business Model'!$M$28:$T$33,6,FALSE)))</f>
        <v>#N/A</v>
      </c>
      <c r="G51" s="125" t="str">
        <f>IF('Project Estimations'!H90="","",'Project Estimations'!H90)</f>
        <v/>
      </c>
      <c r="H51" s="125">
        <f t="shared" si="5"/>
        <v>66</v>
      </c>
      <c r="I51" s="119" t="str">
        <f t="shared" ref="I51:AH51" ca="1" si="40">IF($B51="","",IF($F$7="YES",SUM(INDIRECT($D$9&amp;H$11&amp;$H51&amp;":"&amp;H$10&amp;$H51))*$E51,SUM(INDIRECT($D$9&amp;H$11&amp;$H51&amp;":"&amp;H$10&amp;$H51))*$F51))</f>
        <v/>
      </c>
      <c r="J51" s="119" t="str">
        <f t="shared" ca="1" si="40"/>
        <v/>
      </c>
      <c r="K51" s="119" t="str">
        <f t="shared" ca="1" si="40"/>
        <v/>
      </c>
      <c r="L51" s="119" t="str">
        <f t="shared" ca="1" si="40"/>
        <v/>
      </c>
      <c r="M51" s="119" t="str">
        <f t="shared" ca="1" si="40"/>
        <v/>
      </c>
      <c r="N51" s="119" t="str">
        <f t="shared" ca="1" si="40"/>
        <v/>
      </c>
      <c r="O51" s="119" t="str">
        <f t="shared" ca="1" si="40"/>
        <v/>
      </c>
      <c r="P51" s="119" t="str">
        <f t="shared" ca="1" si="40"/>
        <v/>
      </c>
      <c r="Q51" s="119" t="str">
        <f t="shared" ca="1" si="40"/>
        <v/>
      </c>
      <c r="R51" s="119" t="str">
        <f t="shared" ca="1" si="40"/>
        <v/>
      </c>
      <c r="S51" s="119" t="str">
        <f t="shared" ca="1" si="40"/>
        <v/>
      </c>
      <c r="T51" s="119" t="str">
        <f t="shared" ca="1" si="40"/>
        <v/>
      </c>
      <c r="U51" s="119" t="str">
        <f t="shared" ca="1" si="40"/>
        <v/>
      </c>
      <c r="V51" s="119" t="str">
        <f t="shared" ca="1" si="40"/>
        <v/>
      </c>
      <c r="W51" s="119" t="str">
        <f t="shared" ca="1" si="40"/>
        <v/>
      </c>
      <c r="X51" s="119" t="str">
        <f t="shared" ca="1" si="40"/>
        <v/>
      </c>
      <c r="Y51" s="119" t="str">
        <f t="shared" ca="1" si="40"/>
        <v/>
      </c>
      <c r="Z51" s="119" t="str">
        <f t="shared" ca="1" si="40"/>
        <v/>
      </c>
      <c r="AA51" s="119" t="str">
        <f t="shared" ca="1" si="40"/>
        <v/>
      </c>
      <c r="AB51" s="119" t="str">
        <f t="shared" ca="1" si="40"/>
        <v/>
      </c>
      <c r="AC51" s="119" t="str">
        <f t="shared" ca="1" si="40"/>
        <v/>
      </c>
      <c r="AD51" s="119" t="str">
        <f t="shared" ca="1" si="40"/>
        <v/>
      </c>
      <c r="AE51" s="119" t="str">
        <f t="shared" ca="1" si="40"/>
        <v/>
      </c>
      <c r="AF51" s="119" t="str">
        <f t="shared" ca="1" si="40"/>
        <v/>
      </c>
      <c r="AG51" s="119" t="str">
        <f t="shared" ca="1" si="40"/>
        <v/>
      </c>
      <c r="AH51" s="119" t="str">
        <f t="shared" ca="1" si="40"/>
        <v/>
      </c>
    </row>
    <row r="52" spans="2:34" ht="13" x14ac:dyDescent="0.25">
      <c r="B52" s="125" t="str">
        <f>IF('Project Estimations'!F91="","",'Project Estimations'!F91)</f>
        <v/>
      </c>
      <c r="C52" s="126" t="str">
        <f>IF('Project Estimations'!G91="","",'Project Estimations'!G91)</f>
        <v/>
      </c>
      <c r="D52" s="126">
        <f>IF('Margin Calculation'!I48="","",'Margin Calculation'!I48)</f>
        <v>363.51493727180645</v>
      </c>
      <c r="E52" s="126">
        <f>IF('Margin Calculation'!H48="","",'Margin Calculation'!H48)</f>
        <v>537.20936712709329</v>
      </c>
      <c r="F52" s="126" t="e">
        <f>IF('Margin Calculation'!I48="","",'Margin Calculation'!I48/(1-VLOOKUP(C52,'Business Model'!$M$28:$T$33,6,FALSE)))</f>
        <v>#N/A</v>
      </c>
      <c r="G52" s="125" t="str">
        <f>IF('Project Estimations'!H91="","",'Project Estimations'!H91)</f>
        <v/>
      </c>
      <c r="H52" s="125">
        <f t="shared" si="5"/>
        <v>67</v>
      </c>
      <c r="I52" s="119" t="str">
        <f t="shared" ref="I52:AH52" ca="1" si="41">IF($B52="","",IF($F$7="YES",SUM(INDIRECT($D$9&amp;H$11&amp;$H52&amp;":"&amp;H$10&amp;$H52))*$E52,SUM(INDIRECT($D$9&amp;H$11&amp;$H52&amp;":"&amp;H$10&amp;$H52))*$F52))</f>
        <v/>
      </c>
      <c r="J52" s="119" t="str">
        <f t="shared" ca="1" si="41"/>
        <v/>
      </c>
      <c r="K52" s="119" t="str">
        <f t="shared" ca="1" si="41"/>
        <v/>
      </c>
      <c r="L52" s="119" t="str">
        <f t="shared" ca="1" si="41"/>
        <v/>
      </c>
      <c r="M52" s="119" t="str">
        <f t="shared" ca="1" si="41"/>
        <v/>
      </c>
      <c r="N52" s="119" t="str">
        <f t="shared" ca="1" si="41"/>
        <v/>
      </c>
      <c r="O52" s="119" t="str">
        <f t="shared" ca="1" si="41"/>
        <v/>
      </c>
      <c r="P52" s="119" t="str">
        <f t="shared" ca="1" si="41"/>
        <v/>
      </c>
      <c r="Q52" s="119" t="str">
        <f t="shared" ca="1" si="41"/>
        <v/>
      </c>
      <c r="R52" s="119" t="str">
        <f t="shared" ca="1" si="41"/>
        <v/>
      </c>
      <c r="S52" s="119" t="str">
        <f t="shared" ca="1" si="41"/>
        <v/>
      </c>
      <c r="T52" s="119" t="str">
        <f t="shared" ca="1" si="41"/>
        <v/>
      </c>
      <c r="U52" s="119" t="str">
        <f t="shared" ca="1" si="41"/>
        <v/>
      </c>
      <c r="V52" s="119" t="str">
        <f t="shared" ca="1" si="41"/>
        <v/>
      </c>
      <c r="W52" s="119" t="str">
        <f t="shared" ca="1" si="41"/>
        <v/>
      </c>
      <c r="X52" s="119" t="str">
        <f t="shared" ca="1" si="41"/>
        <v/>
      </c>
      <c r="Y52" s="119" t="str">
        <f t="shared" ca="1" si="41"/>
        <v/>
      </c>
      <c r="Z52" s="119" t="str">
        <f t="shared" ca="1" si="41"/>
        <v/>
      </c>
      <c r="AA52" s="119" t="str">
        <f t="shared" ca="1" si="41"/>
        <v/>
      </c>
      <c r="AB52" s="119" t="str">
        <f t="shared" ca="1" si="41"/>
        <v/>
      </c>
      <c r="AC52" s="119" t="str">
        <f t="shared" ca="1" si="41"/>
        <v/>
      </c>
      <c r="AD52" s="119" t="str">
        <f t="shared" ca="1" si="41"/>
        <v/>
      </c>
      <c r="AE52" s="119" t="str">
        <f t="shared" ca="1" si="41"/>
        <v/>
      </c>
      <c r="AF52" s="119" t="str">
        <f t="shared" ca="1" si="41"/>
        <v/>
      </c>
      <c r="AG52" s="119" t="str">
        <f t="shared" ca="1" si="41"/>
        <v/>
      </c>
      <c r="AH52" s="119" t="str">
        <f t="shared" ca="1" si="41"/>
        <v/>
      </c>
    </row>
    <row r="53" spans="2:34" ht="13" x14ac:dyDescent="0.25">
      <c r="B53" s="125" t="str">
        <f>IF('Project Estimations'!F92="","",'Project Estimations'!F92)</f>
        <v/>
      </c>
      <c r="C53" s="126" t="str">
        <f>IF('Project Estimations'!G92="","",'Project Estimations'!G92)</f>
        <v/>
      </c>
      <c r="D53" s="126">
        <f>IF('Margin Calculation'!I49="","",'Margin Calculation'!I49)</f>
        <v>406.04491413105427</v>
      </c>
      <c r="E53" s="126">
        <f>IF('Margin Calculation'!H49="","",'Margin Calculation'!H49)</f>
        <v>537.20936712709329</v>
      </c>
      <c r="F53" s="126" t="e">
        <f>IF('Margin Calculation'!I49="","",'Margin Calculation'!I49/(1-VLOOKUP(C53,'Business Model'!$M$28:$T$33,6,FALSE)))</f>
        <v>#N/A</v>
      </c>
      <c r="G53" s="125" t="str">
        <f>IF('Project Estimations'!H92="","",'Project Estimations'!H92)</f>
        <v/>
      </c>
      <c r="H53" s="125">
        <f t="shared" si="5"/>
        <v>68</v>
      </c>
      <c r="I53" s="119" t="str">
        <f t="shared" ref="I53:AH53" ca="1" si="42">IF($B53="","",IF($F$7="YES",SUM(INDIRECT($D$9&amp;H$11&amp;$H53&amp;":"&amp;H$10&amp;$H53))*$E53,SUM(INDIRECT($D$9&amp;H$11&amp;$H53&amp;":"&amp;H$10&amp;$H53))*$F53))</f>
        <v/>
      </c>
      <c r="J53" s="119" t="str">
        <f t="shared" ca="1" si="42"/>
        <v/>
      </c>
      <c r="K53" s="119" t="str">
        <f t="shared" ca="1" si="42"/>
        <v/>
      </c>
      <c r="L53" s="119" t="str">
        <f t="shared" ca="1" si="42"/>
        <v/>
      </c>
      <c r="M53" s="119" t="str">
        <f t="shared" ca="1" si="42"/>
        <v/>
      </c>
      <c r="N53" s="119" t="str">
        <f t="shared" ca="1" si="42"/>
        <v/>
      </c>
      <c r="O53" s="119" t="str">
        <f t="shared" ca="1" si="42"/>
        <v/>
      </c>
      <c r="P53" s="119" t="str">
        <f t="shared" ca="1" si="42"/>
        <v/>
      </c>
      <c r="Q53" s="119" t="str">
        <f t="shared" ca="1" si="42"/>
        <v/>
      </c>
      <c r="R53" s="119" t="str">
        <f t="shared" ca="1" si="42"/>
        <v/>
      </c>
      <c r="S53" s="119" t="str">
        <f t="shared" ca="1" si="42"/>
        <v/>
      </c>
      <c r="T53" s="119" t="str">
        <f t="shared" ca="1" si="42"/>
        <v/>
      </c>
      <c r="U53" s="119" t="str">
        <f t="shared" ca="1" si="42"/>
        <v/>
      </c>
      <c r="V53" s="119" t="str">
        <f t="shared" ca="1" si="42"/>
        <v/>
      </c>
      <c r="W53" s="119" t="str">
        <f t="shared" ca="1" si="42"/>
        <v/>
      </c>
      <c r="X53" s="119" t="str">
        <f t="shared" ca="1" si="42"/>
        <v/>
      </c>
      <c r="Y53" s="119" t="str">
        <f t="shared" ca="1" si="42"/>
        <v/>
      </c>
      <c r="Z53" s="119" t="str">
        <f t="shared" ca="1" si="42"/>
        <v/>
      </c>
      <c r="AA53" s="119" t="str">
        <f t="shared" ca="1" si="42"/>
        <v/>
      </c>
      <c r="AB53" s="119" t="str">
        <f t="shared" ca="1" si="42"/>
        <v/>
      </c>
      <c r="AC53" s="119" t="str">
        <f t="shared" ca="1" si="42"/>
        <v/>
      </c>
      <c r="AD53" s="119" t="str">
        <f t="shared" ca="1" si="42"/>
        <v/>
      </c>
      <c r="AE53" s="119" t="str">
        <f t="shared" ca="1" si="42"/>
        <v/>
      </c>
      <c r="AF53" s="119" t="str">
        <f t="shared" ca="1" si="42"/>
        <v/>
      </c>
      <c r="AG53" s="119" t="str">
        <f t="shared" ca="1" si="42"/>
        <v/>
      </c>
      <c r="AH53" s="119" t="str">
        <f t="shared" ca="1" si="42"/>
        <v/>
      </c>
    </row>
    <row r="54" spans="2:34" ht="13" x14ac:dyDescent="0.25">
      <c r="B54" s="125" t="str">
        <f>IF('Project Estimations'!F93="","",'Project Estimations'!F93)</f>
        <v/>
      </c>
      <c r="C54" s="126" t="str">
        <f>IF('Project Estimations'!G93="","",'Project Estimations'!G93)</f>
        <v/>
      </c>
      <c r="D54" s="126">
        <f>IF('Margin Calculation'!I50="","",'Margin Calculation'!I50)</f>
        <v>448.09026252272866</v>
      </c>
      <c r="E54" s="126">
        <f>IF('Margin Calculation'!H50="","",'Margin Calculation'!H50)</f>
        <v>537.20936712709329</v>
      </c>
      <c r="F54" s="126" t="e">
        <f>IF('Margin Calculation'!I50="","",'Margin Calculation'!I50/(1-VLOOKUP(C54,'Business Model'!$M$28:$T$33,6,FALSE)))</f>
        <v>#N/A</v>
      </c>
      <c r="G54" s="125" t="str">
        <f>IF('Project Estimations'!H93="","",'Project Estimations'!H93)</f>
        <v/>
      </c>
      <c r="H54" s="125">
        <f t="shared" si="5"/>
        <v>69</v>
      </c>
      <c r="I54" s="119" t="str">
        <f t="shared" ref="I54:AH54" ca="1" si="43">IF($B54="","",IF($F$7="YES",SUM(INDIRECT($D$9&amp;H$11&amp;$H54&amp;":"&amp;H$10&amp;$H54))*$E54,SUM(INDIRECT($D$9&amp;H$11&amp;$H54&amp;":"&amp;H$10&amp;$H54))*$F54))</f>
        <v/>
      </c>
      <c r="J54" s="119" t="str">
        <f t="shared" ca="1" si="43"/>
        <v/>
      </c>
      <c r="K54" s="119" t="str">
        <f t="shared" ca="1" si="43"/>
        <v/>
      </c>
      <c r="L54" s="119" t="str">
        <f t="shared" ca="1" si="43"/>
        <v/>
      </c>
      <c r="M54" s="119" t="str">
        <f t="shared" ca="1" si="43"/>
        <v/>
      </c>
      <c r="N54" s="119" t="str">
        <f t="shared" ca="1" si="43"/>
        <v/>
      </c>
      <c r="O54" s="119" t="str">
        <f t="shared" ca="1" si="43"/>
        <v/>
      </c>
      <c r="P54" s="119" t="str">
        <f t="shared" ca="1" si="43"/>
        <v/>
      </c>
      <c r="Q54" s="119" t="str">
        <f t="shared" ca="1" si="43"/>
        <v/>
      </c>
      <c r="R54" s="119" t="str">
        <f t="shared" ca="1" si="43"/>
        <v/>
      </c>
      <c r="S54" s="119" t="str">
        <f t="shared" ca="1" si="43"/>
        <v/>
      </c>
      <c r="T54" s="119" t="str">
        <f t="shared" ca="1" si="43"/>
        <v/>
      </c>
      <c r="U54" s="119" t="str">
        <f t="shared" ca="1" si="43"/>
        <v/>
      </c>
      <c r="V54" s="119" t="str">
        <f t="shared" ca="1" si="43"/>
        <v/>
      </c>
      <c r="W54" s="119" t="str">
        <f t="shared" ca="1" si="43"/>
        <v/>
      </c>
      <c r="X54" s="119" t="str">
        <f t="shared" ca="1" si="43"/>
        <v/>
      </c>
      <c r="Y54" s="119" t="str">
        <f t="shared" ca="1" si="43"/>
        <v/>
      </c>
      <c r="Z54" s="119" t="str">
        <f t="shared" ca="1" si="43"/>
        <v/>
      </c>
      <c r="AA54" s="119" t="str">
        <f t="shared" ca="1" si="43"/>
        <v/>
      </c>
      <c r="AB54" s="119" t="str">
        <f t="shared" ca="1" si="43"/>
        <v/>
      </c>
      <c r="AC54" s="119" t="str">
        <f t="shared" ca="1" si="43"/>
        <v/>
      </c>
      <c r="AD54" s="119" t="str">
        <f t="shared" ca="1" si="43"/>
        <v/>
      </c>
      <c r="AE54" s="119" t="str">
        <f t="shared" ca="1" si="43"/>
        <v/>
      </c>
      <c r="AF54" s="119" t="str">
        <f t="shared" ca="1" si="43"/>
        <v/>
      </c>
      <c r="AG54" s="119" t="str">
        <f t="shared" ca="1" si="43"/>
        <v/>
      </c>
      <c r="AH54" s="119" t="str">
        <f t="shared" ca="1" si="43"/>
        <v/>
      </c>
    </row>
    <row r="55" spans="2:34" ht="13" x14ac:dyDescent="0.25">
      <c r="B55" s="125" t="str">
        <f>IF('Project Estimations'!F94="","",'Project Estimations'!F94)</f>
        <v/>
      </c>
      <c r="C55" s="126" t="str">
        <f>IF('Project Estimations'!G94="","",'Project Estimations'!G94)</f>
        <v/>
      </c>
      <c r="D55" s="126">
        <f>IF('Margin Calculation'!J51="","",'Margin Calculation'!J51)</f>
        <v>2194.7516130673871</v>
      </c>
      <c r="E55" s="126">
        <f>IF('Margin Calculation'!H51="","",'Margin Calculation'!H51)</f>
        <v>537.20936712709329</v>
      </c>
      <c r="F55" s="126" t="e">
        <f>IF('Margin Calculation'!J51="","",'Margin Calculation'!J51/(1-VLOOKUP(C55,'Business Model'!$M$28:$T$33,6,FALSE)))</f>
        <v>#N/A</v>
      </c>
      <c r="G55" s="125" t="str">
        <f>IF('Project Estimations'!H94="","",'Project Estimations'!H94)</f>
        <v/>
      </c>
      <c r="H55" s="125">
        <f t="shared" si="5"/>
        <v>70</v>
      </c>
      <c r="I55" s="119" t="str">
        <f t="shared" ref="I55:AH55" ca="1" si="44">IF($B55="","",IF($F$7="YES",SUM(INDIRECT($D$9&amp;H$11&amp;$H55&amp;":"&amp;H$10&amp;$H55))*$E55,SUM(INDIRECT($D$9&amp;H$11&amp;$H55&amp;":"&amp;H$10&amp;$H55))*$F55))</f>
        <v/>
      </c>
      <c r="J55" s="119" t="str">
        <f t="shared" ca="1" si="44"/>
        <v/>
      </c>
      <c r="K55" s="119" t="str">
        <f t="shared" ca="1" si="44"/>
        <v/>
      </c>
      <c r="L55" s="119" t="str">
        <f t="shared" ca="1" si="44"/>
        <v/>
      </c>
      <c r="M55" s="119" t="str">
        <f t="shared" ca="1" si="44"/>
        <v/>
      </c>
      <c r="N55" s="119" t="str">
        <f t="shared" ca="1" si="44"/>
        <v/>
      </c>
      <c r="O55" s="119" t="str">
        <f t="shared" ca="1" si="44"/>
        <v/>
      </c>
      <c r="P55" s="119" t="str">
        <f t="shared" ca="1" si="44"/>
        <v/>
      </c>
      <c r="Q55" s="119" t="str">
        <f t="shared" ca="1" si="44"/>
        <v/>
      </c>
      <c r="R55" s="119" t="str">
        <f t="shared" ca="1" si="44"/>
        <v/>
      </c>
      <c r="S55" s="119" t="str">
        <f t="shared" ca="1" si="44"/>
        <v/>
      </c>
      <c r="T55" s="119" t="str">
        <f t="shared" ca="1" si="44"/>
        <v/>
      </c>
      <c r="U55" s="119" t="str">
        <f t="shared" ca="1" si="44"/>
        <v/>
      </c>
      <c r="V55" s="119" t="str">
        <f t="shared" ca="1" si="44"/>
        <v/>
      </c>
      <c r="W55" s="119" t="str">
        <f t="shared" ca="1" si="44"/>
        <v/>
      </c>
      <c r="X55" s="119" t="str">
        <f t="shared" ca="1" si="44"/>
        <v/>
      </c>
      <c r="Y55" s="119" t="str">
        <f t="shared" ca="1" si="44"/>
        <v/>
      </c>
      <c r="Z55" s="119" t="str">
        <f t="shared" ca="1" si="44"/>
        <v/>
      </c>
      <c r="AA55" s="119" t="str">
        <f t="shared" ca="1" si="44"/>
        <v/>
      </c>
      <c r="AB55" s="119" t="str">
        <f t="shared" ca="1" si="44"/>
        <v/>
      </c>
      <c r="AC55" s="119" t="str">
        <f t="shared" ca="1" si="44"/>
        <v/>
      </c>
      <c r="AD55" s="119" t="str">
        <f t="shared" ca="1" si="44"/>
        <v/>
      </c>
      <c r="AE55" s="119" t="str">
        <f t="shared" ca="1" si="44"/>
        <v/>
      </c>
      <c r="AF55" s="119" t="str">
        <f t="shared" ca="1" si="44"/>
        <v/>
      </c>
      <c r="AG55" s="119" t="str">
        <f t="shared" ca="1" si="44"/>
        <v/>
      </c>
      <c r="AH55" s="119" t="str">
        <f t="shared" ca="1" si="44"/>
        <v/>
      </c>
    </row>
    <row r="56" spans="2:34" ht="13" x14ac:dyDescent="0.25">
      <c r="B56" s="125" t="str">
        <f>IF('Project Estimations'!F95="","",'Project Estimations'!F95)</f>
        <v/>
      </c>
      <c r="C56" s="126" t="str">
        <f>IF('Project Estimations'!G95="","",'Project Estimations'!G95)</f>
        <v/>
      </c>
      <c r="D56" s="126" t="str">
        <f>IF('Margin Calculation'!J52="","",'Margin Calculation'!J52)</f>
        <v/>
      </c>
      <c r="E56" s="126" t="str">
        <f>IF('Margin Calculation'!H52="","",'Margin Calculation'!H52)</f>
        <v/>
      </c>
      <c r="F56" s="126" t="str">
        <f>IF('Margin Calculation'!J52="","",'Margin Calculation'!J52/(1-VLOOKUP(C56,'Business Model'!$M$28:$T$33,6,FALSE)))</f>
        <v/>
      </c>
      <c r="G56" s="125" t="str">
        <f>IF('Project Estimations'!H95="","",'Project Estimations'!H95)</f>
        <v/>
      </c>
      <c r="H56" s="125">
        <f t="shared" si="5"/>
        <v>71</v>
      </c>
      <c r="I56" s="119" t="str">
        <f t="shared" ref="I56:AH56" ca="1" si="45">IF($B56="","",IF($F$7="YES",SUM(INDIRECT($D$9&amp;H$11&amp;$H56&amp;":"&amp;H$10&amp;$H56))*$E56,SUM(INDIRECT($D$9&amp;H$11&amp;$H56&amp;":"&amp;H$10&amp;$H56))*$F56))</f>
        <v/>
      </c>
      <c r="J56" s="119" t="str">
        <f t="shared" ca="1" si="45"/>
        <v/>
      </c>
      <c r="K56" s="119" t="str">
        <f t="shared" ca="1" si="45"/>
        <v/>
      </c>
      <c r="L56" s="119" t="str">
        <f t="shared" ca="1" si="45"/>
        <v/>
      </c>
      <c r="M56" s="119" t="str">
        <f t="shared" ca="1" si="45"/>
        <v/>
      </c>
      <c r="N56" s="119" t="str">
        <f t="shared" ca="1" si="45"/>
        <v/>
      </c>
      <c r="O56" s="119" t="str">
        <f t="shared" ca="1" si="45"/>
        <v/>
      </c>
      <c r="P56" s="119" t="str">
        <f t="shared" ca="1" si="45"/>
        <v/>
      </c>
      <c r="Q56" s="119" t="str">
        <f t="shared" ca="1" si="45"/>
        <v/>
      </c>
      <c r="R56" s="119" t="str">
        <f t="shared" ca="1" si="45"/>
        <v/>
      </c>
      <c r="S56" s="119" t="str">
        <f t="shared" ca="1" si="45"/>
        <v/>
      </c>
      <c r="T56" s="119" t="str">
        <f t="shared" ca="1" si="45"/>
        <v/>
      </c>
      <c r="U56" s="119" t="str">
        <f t="shared" ca="1" si="45"/>
        <v/>
      </c>
      <c r="V56" s="119" t="str">
        <f t="shared" ca="1" si="45"/>
        <v/>
      </c>
      <c r="W56" s="119" t="str">
        <f t="shared" ca="1" si="45"/>
        <v/>
      </c>
      <c r="X56" s="119" t="str">
        <f t="shared" ca="1" si="45"/>
        <v/>
      </c>
      <c r="Y56" s="119" t="str">
        <f t="shared" ca="1" si="45"/>
        <v/>
      </c>
      <c r="Z56" s="119" t="str">
        <f t="shared" ca="1" si="45"/>
        <v/>
      </c>
      <c r="AA56" s="119" t="str">
        <f t="shared" ca="1" si="45"/>
        <v/>
      </c>
      <c r="AB56" s="119" t="str">
        <f t="shared" ca="1" si="45"/>
        <v/>
      </c>
      <c r="AC56" s="119" t="str">
        <f t="shared" ca="1" si="45"/>
        <v/>
      </c>
      <c r="AD56" s="119" t="str">
        <f t="shared" ca="1" si="45"/>
        <v/>
      </c>
      <c r="AE56" s="119" t="str">
        <f t="shared" ca="1" si="45"/>
        <v/>
      </c>
      <c r="AF56" s="119" t="str">
        <f t="shared" ca="1" si="45"/>
        <v/>
      </c>
      <c r="AG56" s="119" t="str">
        <f t="shared" ca="1" si="45"/>
        <v/>
      </c>
      <c r="AH56" s="119" t="str">
        <f t="shared" ca="1" si="45"/>
        <v/>
      </c>
    </row>
    <row r="57" spans="2:34" ht="13" x14ac:dyDescent="0.25">
      <c r="H57" s="118">
        <f t="shared" si="5"/>
        <v>72</v>
      </c>
    </row>
    <row r="58" spans="2:34" ht="13" x14ac:dyDescent="0.25">
      <c r="H58" s="118">
        <f t="shared" si="5"/>
        <v>73</v>
      </c>
    </row>
    <row r="59" spans="2:34" ht="13" x14ac:dyDescent="0.25">
      <c r="H59" s="118">
        <f t="shared" si="5"/>
        <v>74</v>
      </c>
    </row>
    <row r="60" spans="2:34" ht="13" x14ac:dyDescent="0.25">
      <c r="H60" s="118">
        <f t="shared" si="5"/>
        <v>75</v>
      </c>
    </row>
    <row r="61" spans="2:34" ht="13" x14ac:dyDescent="0.25">
      <c r="H61" s="118">
        <f t="shared" si="5"/>
        <v>76</v>
      </c>
    </row>
  </sheetData>
  <sheetProtection algorithmName="SHA-512" hashValue="xRWE4U7LjQnQF9P70tMdGu9y14+tx4I/RoLr5fzYQcbbiRplv2/K/MQFqAOVuFDyzDfnWxkNs3Zl3rifMGbESA==" saltValue="VgA/oIHQKWtxe2pqHf/PuA==" spinCount="100000" sheet="1" sort="0" autoFilter="0"/>
  <autoFilter ref="B14:D61" xr:uid="{00000000-0009-0000-0000-000006000000}"/>
  <mergeCells count="12">
    <mergeCell ref="F6:G6"/>
    <mergeCell ref="D6:E6"/>
    <mergeCell ref="D4:E4"/>
    <mergeCell ref="F4:G4"/>
    <mergeCell ref="D7:E7"/>
    <mergeCell ref="F7:G7"/>
    <mergeCell ref="D2:E2"/>
    <mergeCell ref="F2:G2"/>
    <mergeCell ref="D3:E3"/>
    <mergeCell ref="D5:E5"/>
    <mergeCell ref="F3:G3"/>
    <mergeCell ref="F5:G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Sheet2!$I$2:$I$3</xm:f>
          </x14:formula1>
          <xm:sqref>F7:G7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B2:BI63"/>
  <sheetViews>
    <sheetView showGridLines="0" zoomScale="80" zoomScaleNormal="80" workbookViewId="0">
      <selection activeCell="I26" sqref="I26"/>
    </sheetView>
  </sheetViews>
  <sheetFormatPr defaultColWidth="8.81640625" defaultRowHeight="12.5" x14ac:dyDescent="0.25"/>
  <cols>
    <col min="1" max="1" width="3.08984375" customWidth="1"/>
    <col min="2" max="2" width="17.81640625" hidden="1" customWidth="1"/>
    <col min="3" max="5" width="9.453125" hidden="1" customWidth="1"/>
    <col min="6" max="6" width="9.453125" style="70" customWidth="1"/>
    <col min="7" max="11" width="9.453125" customWidth="1"/>
    <col min="12" max="12" width="9.453125" hidden="1" customWidth="1"/>
    <col min="13" max="13" width="3" hidden="1" customWidth="1"/>
    <col min="14" max="14" width="10.453125" customWidth="1"/>
    <col min="15" max="16" width="13.08984375" customWidth="1"/>
    <col min="17" max="18" width="11.81640625" customWidth="1"/>
    <col min="19" max="19" width="12.08984375" customWidth="1"/>
    <col min="20" max="20" width="12.453125" customWidth="1"/>
    <col min="21" max="31" width="9.453125" customWidth="1"/>
  </cols>
  <sheetData>
    <row r="2" spans="2:61" ht="18" customHeight="1" x14ac:dyDescent="0.25">
      <c r="B2" s="451" t="s">
        <v>199</v>
      </c>
      <c r="C2" s="451"/>
      <c r="D2" s="451"/>
      <c r="F2" s="451" t="s">
        <v>198</v>
      </c>
      <c r="G2" s="451"/>
      <c r="H2" s="451"/>
      <c r="I2" s="451"/>
      <c r="J2" s="451"/>
      <c r="N2" s="221" t="s">
        <v>232</v>
      </c>
      <c r="O2" s="455" t="s">
        <v>27</v>
      </c>
      <c r="P2" s="455"/>
      <c r="Q2" s="455" t="s">
        <v>196</v>
      </c>
      <c r="R2" s="455"/>
      <c r="S2" s="455" t="s">
        <v>197</v>
      </c>
      <c r="T2" s="455"/>
    </row>
    <row r="3" spans="2:61" s="214" customFormat="1" ht="18" customHeight="1" x14ac:dyDescent="0.45">
      <c r="B3" s="212" t="s">
        <v>183</v>
      </c>
      <c r="C3" s="213">
        <f>IF(D3="Services",I4,I5)</f>
        <v>149799.72000000006</v>
      </c>
      <c r="D3" s="211" t="str">
        <f>I3</f>
        <v>Services</v>
      </c>
      <c r="F3" s="227" t="s">
        <v>231</v>
      </c>
      <c r="G3" s="227"/>
      <c r="H3" s="227"/>
      <c r="I3" s="454" t="s">
        <v>57</v>
      </c>
      <c r="J3" s="454"/>
      <c r="N3" s="9"/>
      <c r="O3" s="104" t="e">
        <f ca="1">SUM(O4:O45)</f>
        <v>#VALUE!</v>
      </c>
      <c r="P3" s="104"/>
      <c r="Q3" s="104" t="e">
        <f ca="1">SUM(Q4:Q45)</f>
        <v>#VALUE!</v>
      </c>
      <c r="R3" s="104"/>
      <c r="S3" s="104">
        <f>SUM(S4:S45)</f>
        <v>161358.00658869519</v>
      </c>
      <c r="T3" s="104"/>
    </row>
    <row r="4" spans="2:61" s="214" customFormat="1" ht="18" customHeight="1" x14ac:dyDescent="0.25">
      <c r="B4" s="210" t="s">
        <v>184</v>
      </c>
      <c r="C4" s="213">
        <f>I6</f>
        <v>0</v>
      </c>
      <c r="D4" s="212"/>
      <c r="F4" s="226" t="s">
        <v>195</v>
      </c>
      <c r="G4" s="226"/>
      <c r="H4" s="226"/>
      <c r="I4" s="452">
        <f>'Margin Calculation'!AB22</f>
        <v>149799.72000000006</v>
      </c>
      <c r="J4" s="452"/>
      <c r="L4" s="214" t="e">
        <f ca="1">IF(T4&lt;$Q$3,"N",IF(L3="N","Y","O"))</f>
        <v>#VALUE!</v>
      </c>
      <c r="M4" s="214">
        <v>1</v>
      </c>
      <c r="N4" s="224" t="s">
        <v>136</v>
      </c>
      <c r="O4" s="222" t="e">
        <f ca="1">'Invoice Plan'!I14</f>
        <v>#VALUE!</v>
      </c>
      <c r="P4" s="222" t="e">
        <f ca="1">IF(O4&lt;&gt;0,O4,0)</f>
        <v>#VALUE!</v>
      </c>
      <c r="Q4" s="222" t="e">
        <f ca="1">O4*(1-'Margin Calculation'!$AB$27)</f>
        <v>#VALUE!</v>
      </c>
      <c r="R4" s="222" t="e">
        <f ca="1">IF(Q4&lt;&gt;0,Q4,0)</f>
        <v>#VALUE!</v>
      </c>
      <c r="S4" s="222">
        <f>IF(M4&lt;=$C$8,$I$12+$I$6,0)</f>
        <v>4482.1668496859756</v>
      </c>
      <c r="T4" s="222">
        <f>IF(S4&lt;&gt;0,S4,0)</f>
        <v>4482.1668496859756</v>
      </c>
    </row>
    <row r="5" spans="2:61" s="214" customFormat="1" ht="18" customHeight="1" x14ac:dyDescent="0.25">
      <c r="B5" s="210" t="s">
        <v>185</v>
      </c>
      <c r="C5" s="215">
        <f>I7</f>
        <v>5</v>
      </c>
      <c r="D5" s="212" t="s">
        <v>186</v>
      </c>
      <c r="F5" s="227" t="s">
        <v>194</v>
      </c>
      <c r="G5" s="227"/>
      <c r="H5" s="227"/>
      <c r="I5" s="453">
        <v>100000</v>
      </c>
      <c r="J5" s="453"/>
      <c r="L5" s="214" t="e">
        <f t="shared" ref="L5:L63" ca="1" si="0">IF(T5&lt;$Q$3,"N",IF(L4="N","Y","O"))</f>
        <v>#VALUE!</v>
      </c>
      <c r="M5" s="214">
        <v>2</v>
      </c>
      <c r="N5" s="225" t="s">
        <v>137</v>
      </c>
      <c r="O5" s="223" t="e">
        <f ca="1">'Invoice Plan'!J14</f>
        <v>#VALUE!</v>
      </c>
      <c r="P5" s="223" t="e">
        <f ca="1">IF(O5&lt;&gt;0,O5+P4,0)</f>
        <v>#VALUE!</v>
      </c>
      <c r="Q5" s="223" t="e">
        <f ca="1">O5*(1-'Margin Calculation'!$AB$27)</f>
        <v>#VALUE!</v>
      </c>
      <c r="R5" s="223" t="e">
        <f ca="1">IF(Q5&lt;&gt;0,Q5+R4,0)</f>
        <v>#VALUE!</v>
      </c>
      <c r="S5" s="223">
        <f t="shared" ref="S5:S36" si="1">IF(M5&lt;=$C$8,$I$12,0)</f>
        <v>4482.1668496859756</v>
      </c>
      <c r="T5" s="223">
        <f>IF(S5&lt;&gt;0,S5+T4,0)</f>
        <v>8964.3336993719513</v>
      </c>
    </row>
    <row r="6" spans="2:61" s="214" customFormat="1" ht="18" customHeight="1" x14ac:dyDescent="0.25">
      <c r="B6" s="210" t="s">
        <v>187</v>
      </c>
      <c r="C6" s="215">
        <f>(POWER(1+C5/100,1/12)-1)*100</f>
        <v>0.40741237836483535</v>
      </c>
      <c r="D6" s="212" t="s">
        <v>188</v>
      </c>
      <c r="F6" s="226" t="s">
        <v>184</v>
      </c>
      <c r="G6" s="226"/>
      <c r="H6" s="226"/>
      <c r="I6" s="452">
        <v>0</v>
      </c>
      <c r="J6" s="452"/>
      <c r="L6" s="214" t="e">
        <f t="shared" ca="1" si="0"/>
        <v>#VALUE!</v>
      </c>
      <c r="M6" s="214">
        <v>3</v>
      </c>
      <c r="N6" s="224" t="s">
        <v>138</v>
      </c>
      <c r="O6" s="222" t="e">
        <f ca="1">'Invoice Plan'!K14</f>
        <v>#VALUE!</v>
      </c>
      <c r="P6" s="222" t="e">
        <f t="shared" ref="P6:P29" ca="1" si="2">IF(O6&lt;&gt;0,O6+P5,0)</f>
        <v>#VALUE!</v>
      </c>
      <c r="Q6" s="222" t="e">
        <f ca="1">O6*(1-'Margin Calculation'!$AB$27)</f>
        <v>#VALUE!</v>
      </c>
      <c r="R6" s="222" t="e">
        <f t="shared" ref="R6:R28" ca="1" si="3">IF(Q6&lt;&gt;0,Q6+R5,0)</f>
        <v>#VALUE!</v>
      </c>
      <c r="S6" s="222">
        <f t="shared" si="1"/>
        <v>4482.1668496859756</v>
      </c>
      <c r="T6" s="222">
        <f t="shared" ref="T6:T28" si="4">IF(S6&lt;&gt;0,S6+T5,0)</f>
        <v>13446.500549057928</v>
      </c>
    </row>
    <row r="7" spans="2:61" s="214" customFormat="1" ht="18" customHeight="1" x14ac:dyDescent="0.25">
      <c r="B7" s="210" t="s">
        <v>189</v>
      </c>
      <c r="C7" s="216">
        <f>I8</f>
        <v>3</v>
      </c>
      <c r="D7" s="212" t="s">
        <v>190</v>
      </c>
      <c r="F7" s="227" t="s">
        <v>185</v>
      </c>
      <c r="G7" s="227"/>
      <c r="H7" s="227"/>
      <c r="I7" s="218">
        <v>5</v>
      </c>
      <c r="J7" s="219" t="s">
        <v>3</v>
      </c>
      <c r="L7" s="214" t="e">
        <f t="shared" ca="1" si="0"/>
        <v>#VALUE!</v>
      </c>
      <c r="M7" s="214">
        <v>4</v>
      </c>
      <c r="N7" s="225" t="s">
        <v>139</v>
      </c>
      <c r="O7" s="223" t="e">
        <f ca="1">'Invoice Plan'!L14</f>
        <v>#VALUE!</v>
      </c>
      <c r="P7" s="223" t="e">
        <f t="shared" ca="1" si="2"/>
        <v>#VALUE!</v>
      </c>
      <c r="Q7" s="223" t="e">
        <f ca="1">O7*(1-'Margin Calculation'!$AB$27)</f>
        <v>#VALUE!</v>
      </c>
      <c r="R7" s="223" t="e">
        <f t="shared" ca="1" si="3"/>
        <v>#VALUE!</v>
      </c>
      <c r="S7" s="223">
        <f t="shared" si="1"/>
        <v>4482.1668496859756</v>
      </c>
      <c r="T7" s="223">
        <f t="shared" si="4"/>
        <v>17928.667398743903</v>
      </c>
    </row>
    <row r="8" spans="2:61" s="214" customFormat="1" ht="18" customHeight="1" x14ac:dyDescent="0.25">
      <c r="B8" s="210" t="s">
        <v>191</v>
      </c>
      <c r="C8" s="216">
        <f>C7*12</f>
        <v>36</v>
      </c>
      <c r="D8" s="212" t="s">
        <v>192</v>
      </c>
      <c r="F8" s="226" t="s">
        <v>189</v>
      </c>
      <c r="G8" s="226"/>
      <c r="H8" s="226"/>
      <c r="I8" s="220">
        <v>3</v>
      </c>
      <c r="J8" s="220"/>
      <c r="L8" s="214" t="e">
        <f t="shared" ca="1" si="0"/>
        <v>#VALUE!</v>
      </c>
      <c r="M8" s="214">
        <v>5</v>
      </c>
      <c r="N8" s="224" t="s">
        <v>140</v>
      </c>
      <c r="O8" s="222" t="e">
        <f ca="1">'Invoice Plan'!M14</f>
        <v>#VALUE!</v>
      </c>
      <c r="P8" s="222" t="e">
        <f t="shared" ca="1" si="2"/>
        <v>#VALUE!</v>
      </c>
      <c r="Q8" s="222" t="e">
        <f ca="1">O8*(1-'Margin Calculation'!$AB$27)</f>
        <v>#VALUE!</v>
      </c>
      <c r="R8" s="222" t="e">
        <f t="shared" ca="1" si="3"/>
        <v>#VALUE!</v>
      </c>
      <c r="S8" s="222">
        <f t="shared" si="1"/>
        <v>4482.1668496859756</v>
      </c>
      <c r="T8" s="222">
        <f t="shared" si="4"/>
        <v>22410.834248429877</v>
      </c>
    </row>
    <row r="9" spans="2:61" ht="14.5" x14ac:dyDescent="0.25">
      <c r="B9" s="206"/>
      <c r="C9" s="207"/>
      <c r="D9" s="206"/>
      <c r="L9" s="214" t="e">
        <f t="shared" ca="1" si="0"/>
        <v>#VALUE!</v>
      </c>
      <c r="M9" s="214">
        <v>6</v>
      </c>
      <c r="N9" s="225" t="s">
        <v>141</v>
      </c>
      <c r="O9" s="223" t="e">
        <f ca="1">'Invoice Plan'!N14</f>
        <v>#VALUE!</v>
      </c>
      <c r="P9" s="223" t="e">
        <f t="shared" ca="1" si="2"/>
        <v>#VALUE!</v>
      </c>
      <c r="Q9" s="223" t="e">
        <f ca="1">O9*(1-'Margin Calculation'!$AB$27)</f>
        <v>#VALUE!</v>
      </c>
      <c r="R9" s="223" t="e">
        <f t="shared" ca="1" si="3"/>
        <v>#VALUE!</v>
      </c>
      <c r="S9" s="223">
        <f t="shared" si="1"/>
        <v>4482.1668496859756</v>
      </c>
      <c r="T9" s="223">
        <f t="shared" si="4"/>
        <v>26893.001098115852</v>
      </c>
    </row>
    <row r="10" spans="2:61" ht="14.5" x14ac:dyDescent="0.25">
      <c r="L10" s="214" t="e">
        <f t="shared" ca="1" si="0"/>
        <v>#VALUE!</v>
      </c>
      <c r="M10" s="214">
        <v>7</v>
      </c>
      <c r="N10" s="224" t="s">
        <v>142</v>
      </c>
      <c r="O10" s="222" t="e">
        <f ca="1">'Invoice Plan'!O14</f>
        <v>#VALUE!</v>
      </c>
      <c r="P10" s="222" t="e">
        <f t="shared" ca="1" si="2"/>
        <v>#VALUE!</v>
      </c>
      <c r="Q10" s="222" t="e">
        <f ca="1">O10*(1-'Margin Calculation'!$AB$27)</f>
        <v>#VALUE!</v>
      </c>
      <c r="R10" s="222" t="e">
        <f t="shared" ca="1" si="3"/>
        <v>#VALUE!</v>
      </c>
      <c r="S10" s="222">
        <f t="shared" si="1"/>
        <v>4482.1668496859756</v>
      </c>
      <c r="T10" s="222">
        <f t="shared" si="4"/>
        <v>31375.167947801827</v>
      </c>
    </row>
    <row r="11" spans="2:61" ht="14.5" x14ac:dyDescent="0.3">
      <c r="B11" s="208"/>
      <c r="C11" s="209"/>
      <c r="D11" s="208"/>
      <c r="L11" s="214" t="e">
        <f t="shared" ca="1" si="0"/>
        <v>#VALUE!</v>
      </c>
      <c r="M11" s="214">
        <v>8</v>
      </c>
      <c r="N11" s="225" t="s">
        <v>143</v>
      </c>
      <c r="O11" s="223" t="e">
        <f ca="1">'Invoice Plan'!P14</f>
        <v>#VALUE!</v>
      </c>
      <c r="P11" s="223" t="e">
        <f t="shared" ca="1" si="2"/>
        <v>#VALUE!</v>
      </c>
      <c r="Q11" s="223" t="e">
        <f ca="1">O11*(1-'Margin Calculation'!$AB$27)</f>
        <v>#VALUE!</v>
      </c>
      <c r="R11" s="223" t="e">
        <f t="shared" ca="1" si="3"/>
        <v>#VALUE!</v>
      </c>
      <c r="S11" s="223">
        <f t="shared" si="1"/>
        <v>4482.1668496859756</v>
      </c>
      <c r="T11" s="223">
        <f t="shared" si="4"/>
        <v>35857.334797487805</v>
      </c>
    </row>
    <row r="12" spans="2:61" ht="18.5" x14ac:dyDescent="0.25">
      <c r="F12" s="226" t="s">
        <v>193</v>
      </c>
      <c r="G12" s="226"/>
      <c r="H12" s="226"/>
      <c r="I12" s="452">
        <f>(C3-C4)*(C6/100)/(1-(1+C6/100)^(-C8))</f>
        <v>4482.1668496859756</v>
      </c>
      <c r="J12" s="452"/>
      <c r="L12" s="214" t="e">
        <f t="shared" ca="1" si="0"/>
        <v>#VALUE!</v>
      </c>
      <c r="M12" s="214">
        <v>9</v>
      </c>
      <c r="N12" s="224" t="s">
        <v>144</v>
      </c>
      <c r="O12" s="222" t="e">
        <f ca="1">'Invoice Plan'!Q14</f>
        <v>#VALUE!</v>
      </c>
      <c r="P12" s="222" t="e">
        <f t="shared" ca="1" si="2"/>
        <v>#VALUE!</v>
      </c>
      <c r="Q12" s="222" t="e">
        <f ca="1">O12*(1-'Margin Calculation'!$AB$27)</f>
        <v>#VALUE!</v>
      </c>
      <c r="R12" s="222" t="e">
        <f t="shared" ca="1" si="3"/>
        <v>#VALUE!</v>
      </c>
      <c r="S12" s="222">
        <f t="shared" si="1"/>
        <v>4482.1668496859756</v>
      </c>
      <c r="T12" s="222">
        <f t="shared" si="4"/>
        <v>40339.501647173784</v>
      </c>
    </row>
    <row r="13" spans="2:61" ht="18.5" x14ac:dyDescent="0.25">
      <c r="F13" s="227" t="s">
        <v>132</v>
      </c>
      <c r="G13" s="227"/>
      <c r="H13" s="227"/>
      <c r="I13" s="453">
        <f>I12*C8</f>
        <v>161358.00658869513</v>
      </c>
      <c r="J13" s="453"/>
      <c r="L13" s="214" t="e">
        <f t="shared" ca="1" si="0"/>
        <v>#VALUE!</v>
      </c>
      <c r="M13" s="214">
        <v>10</v>
      </c>
      <c r="N13" s="225" t="s">
        <v>145</v>
      </c>
      <c r="O13" s="223" t="e">
        <f ca="1">'Invoice Plan'!R14</f>
        <v>#VALUE!</v>
      </c>
      <c r="P13" s="223" t="e">
        <f t="shared" ca="1" si="2"/>
        <v>#VALUE!</v>
      </c>
      <c r="Q13" s="223" t="e">
        <f ca="1">O13*(1-'Margin Calculation'!$AB$27)</f>
        <v>#VALUE!</v>
      </c>
      <c r="R13" s="223" t="e">
        <f t="shared" ca="1" si="3"/>
        <v>#VALUE!</v>
      </c>
      <c r="S13" s="223">
        <f t="shared" si="1"/>
        <v>4482.1668496859756</v>
      </c>
      <c r="T13" s="223">
        <f t="shared" si="4"/>
        <v>44821.668496859762</v>
      </c>
    </row>
    <row r="14" spans="2:61" ht="18.5" x14ac:dyDescent="0.25">
      <c r="F14" s="226" t="s">
        <v>236</v>
      </c>
      <c r="G14" s="226"/>
      <c r="H14" s="226"/>
      <c r="I14" s="452">
        <f>I13-C3</f>
        <v>11558.286588695075</v>
      </c>
      <c r="J14" s="452"/>
      <c r="L14" s="214" t="e">
        <f t="shared" ca="1" si="0"/>
        <v>#VALUE!</v>
      </c>
      <c r="M14" s="214">
        <v>11</v>
      </c>
      <c r="N14" s="224" t="s">
        <v>146</v>
      </c>
      <c r="O14" s="222" t="e">
        <f ca="1">'Invoice Plan'!S14</f>
        <v>#VALUE!</v>
      </c>
      <c r="P14" s="222" t="e">
        <f t="shared" ca="1" si="2"/>
        <v>#VALUE!</v>
      </c>
      <c r="Q14" s="222" t="e">
        <f ca="1">O14*(1-'Margin Calculation'!$AB$27)</f>
        <v>#VALUE!</v>
      </c>
      <c r="R14" s="222" t="e">
        <f t="shared" ca="1" si="3"/>
        <v>#VALUE!</v>
      </c>
      <c r="S14" s="222">
        <f t="shared" si="1"/>
        <v>4482.1668496859756</v>
      </c>
      <c r="T14" s="222">
        <f t="shared" si="4"/>
        <v>49303.83534654574</v>
      </c>
      <c r="AE14" s="217">
        <f>'Invoice Plan'!AI14</f>
        <v>0</v>
      </c>
      <c r="AF14" s="217">
        <f>'Invoice Plan'!AJ14</f>
        <v>0</v>
      </c>
      <c r="AG14" s="217">
        <f>'Invoice Plan'!AK14</f>
        <v>0</v>
      </c>
      <c r="AH14" s="217">
        <f>'Invoice Plan'!AL14</f>
        <v>0</v>
      </c>
      <c r="AI14" s="217">
        <f>'Invoice Plan'!AM14</f>
        <v>0</v>
      </c>
      <c r="AJ14" s="217">
        <f>'Invoice Plan'!AN14</f>
        <v>0</v>
      </c>
      <c r="AK14" s="217">
        <f>'Invoice Plan'!AO14</f>
        <v>0</v>
      </c>
      <c r="AL14" s="217">
        <f>'Invoice Plan'!AP14</f>
        <v>0</v>
      </c>
      <c r="AM14" s="217">
        <f>'Invoice Plan'!AQ14</f>
        <v>0</v>
      </c>
      <c r="AN14" s="217">
        <f>'Invoice Plan'!AR14</f>
        <v>0</v>
      </c>
      <c r="AO14" s="217">
        <f>'Invoice Plan'!AS14</f>
        <v>0</v>
      </c>
      <c r="AP14" s="217">
        <f>'Invoice Plan'!AT14</f>
        <v>0</v>
      </c>
      <c r="AQ14" s="217">
        <f>'Invoice Plan'!AU14</f>
        <v>0</v>
      </c>
      <c r="AR14" s="217">
        <f>'Invoice Plan'!AV14</f>
        <v>0</v>
      </c>
      <c r="AS14" s="217">
        <f>'Invoice Plan'!AW14</f>
        <v>0</v>
      </c>
      <c r="AT14" s="217">
        <f>'Invoice Plan'!AX14</f>
        <v>0</v>
      </c>
      <c r="AU14" s="217">
        <f>'Invoice Plan'!AY14</f>
        <v>0</v>
      </c>
      <c r="AV14" s="217">
        <f>'Invoice Plan'!AZ14</f>
        <v>0</v>
      </c>
      <c r="AW14" s="217">
        <f>'Invoice Plan'!BA14</f>
        <v>0</v>
      </c>
      <c r="AX14" s="217">
        <f>'Invoice Plan'!BB14</f>
        <v>0</v>
      </c>
      <c r="AY14" s="217">
        <f>'Invoice Plan'!BC14</f>
        <v>0</v>
      </c>
      <c r="AZ14" s="217">
        <f>'Invoice Plan'!BD14</f>
        <v>0</v>
      </c>
      <c r="BA14" s="217">
        <f>'Invoice Plan'!BE14</f>
        <v>0</v>
      </c>
      <c r="BB14" s="217">
        <f>'Invoice Plan'!BF14</f>
        <v>0</v>
      </c>
      <c r="BC14" s="217">
        <f>'Invoice Plan'!BG14</f>
        <v>0</v>
      </c>
      <c r="BD14" s="217">
        <f>'Invoice Plan'!BH14</f>
        <v>0</v>
      </c>
      <c r="BE14" s="217">
        <f>'Invoice Plan'!BI14</f>
        <v>0</v>
      </c>
      <c r="BF14" s="217">
        <f>'Invoice Plan'!BJ14</f>
        <v>0</v>
      </c>
      <c r="BG14" s="217">
        <f>'Invoice Plan'!BK14</f>
        <v>0</v>
      </c>
      <c r="BH14" s="217">
        <f>'Invoice Plan'!BL14</f>
        <v>0</v>
      </c>
      <c r="BI14" s="217">
        <f>'Invoice Plan'!BM14</f>
        <v>0</v>
      </c>
    </row>
    <row r="15" spans="2:61" ht="18.5" x14ac:dyDescent="0.25">
      <c r="F15" s="227" t="s">
        <v>237</v>
      </c>
      <c r="G15" s="227"/>
      <c r="H15" s="227"/>
      <c r="I15" s="453" t="e">
        <f ca="1">VLOOKUP("Y",$L$4:$M$63,2,FALSE)</f>
        <v>#N/A</v>
      </c>
      <c r="J15" s="453"/>
      <c r="L15" s="214" t="e">
        <f t="shared" ca="1" si="0"/>
        <v>#VALUE!</v>
      </c>
      <c r="M15" s="214">
        <v>12</v>
      </c>
      <c r="N15" s="225" t="s">
        <v>147</v>
      </c>
      <c r="O15" s="223" t="e">
        <f ca="1">'Invoice Plan'!T14</f>
        <v>#VALUE!</v>
      </c>
      <c r="P15" s="223" t="e">
        <f t="shared" ca="1" si="2"/>
        <v>#VALUE!</v>
      </c>
      <c r="Q15" s="223" t="e">
        <f ca="1">O15*(1-'Margin Calculation'!$AB$27)</f>
        <v>#VALUE!</v>
      </c>
      <c r="R15" s="223" t="e">
        <f t="shared" ca="1" si="3"/>
        <v>#VALUE!</v>
      </c>
      <c r="S15" s="223">
        <f t="shared" si="1"/>
        <v>4482.1668496859756</v>
      </c>
      <c r="T15" s="223">
        <f t="shared" si="4"/>
        <v>53786.002196231719</v>
      </c>
    </row>
    <row r="16" spans="2:61" ht="14.5" x14ac:dyDescent="0.25">
      <c r="L16" s="214" t="e">
        <f t="shared" ca="1" si="0"/>
        <v>#VALUE!</v>
      </c>
      <c r="M16" s="214">
        <v>13</v>
      </c>
      <c r="N16" s="224" t="s">
        <v>148</v>
      </c>
      <c r="O16" s="222" t="e">
        <f ca="1">'Invoice Plan'!U14</f>
        <v>#VALUE!</v>
      </c>
      <c r="P16" s="222" t="e">
        <f t="shared" ca="1" si="2"/>
        <v>#VALUE!</v>
      </c>
      <c r="Q16" s="222" t="e">
        <f ca="1">O16*(1-'Margin Calculation'!$AB$27)</f>
        <v>#VALUE!</v>
      </c>
      <c r="R16" s="222" t="e">
        <f t="shared" ca="1" si="3"/>
        <v>#VALUE!</v>
      </c>
      <c r="S16" s="222">
        <f t="shared" si="1"/>
        <v>4482.1668496859756</v>
      </c>
      <c r="T16" s="222">
        <f t="shared" si="4"/>
        <v>58268.169045917697</v>
      </c>
    </row>
    <row r="17" spans="12:20" ht="14.5" x14ac:dyDescent="0.25">
      <c r="L17" s="214" t="e">
        <f t="shared" ca="1" si="0"/>
        <v>#VALUE!</v>
      </c>
      <c r="M17" s="214">
        <v>14</v>
      </c>
      <c r="N17" s="225" t="s">
        <v>149</v>
      </c>
      <c r="O17" s="223" t="e">
        <f ca="1">'Invoice Plan'!V14</f>
        <v>#VALUE!</v>
      </c>
      <c r="P17" s="223" t="e">
        <f t="shared" ca="1" si="2"/>
        <v>#VALUE!</v>
      </c>
      <c r="Q17" s="223" t="e">
        <f ca="1">O17*(1-'Margin Calculation'!$AB$27)</f>
        <v>#VALUE!</v>
      </c>
      <c r="R17" s="223" t="e">
        <f t="shared" ca="1" si="3"/>
        <v>#VALUE!</v>
      </c>
      <c r="S17" s="223">
        <f t="shared" si="1"/>
        <v>4482.1668496859756</v>
      </c>
      <c r="T17" s="223">
        <f t="shared" si="4"/>
        <v>62750.335895603675</v>
      </c>
    </row>
    <row r="18" spans="12:20" ht="14.5" x14ac:dyDescent="0.25">
      <c r="L18" s="214" t="e">
        <f t="shared" ca="1" si="0"/>
        <v>#VALUE!</v>
      </c>
      <c r="M18" s="214">
        <v>15</v>
      </c>
      <c r="N18" s="224" t="s">
        <v>150</v>
      </c>
      <c r="O18" s="222" t="e">
        <f ca="1">'Invoice Plan'!W14</f>
        <v>#VALUE!</v>
      </c>
      <c r="P18" s="222" t="e">
        <f t="shared" ca="1" si="2"/>
        <v>#VALUE!</v>
      </c>
      <c r="Q18" s="222" t="e">
        <f ca="1">O18*(1-'Margin Calculation'!$AB$27)</f>
        <v>#VALUE!</v>
      </c>
      <c r="R18" s="222" t="e">
        <f t="shared" ca="1" si="3"/>
        <v>#VALUE!</v>
      </c>
      <c r="S18" s="222">
        <f t="shared" si="1"/>
        <v>4482.1668496859756</v>
      </c>
      <c r="T18" s="222">
        <f t="shared" si="4"/>
        <v>67232.502745289647</v>
      </c>
    </row>
    <row r="19" spans="12:20" ht="14.5" x14ac:dyDescent="0.25">
      <c r="L19" s="214" t="e">
        <f t="shared" ca="1" si="0"/>
        <v>#VALUE!</v>
      </c>
      <c r="M19" s="214">
        <v>16</v>
      </c>
      <c r="N19" s="225" t="s">
        <v>151</v>
      </c>
      <c r="O19" s="223" t="e">
        <f ca="1">'Invoice Plan'!X14</f>
        <v>#VALUE!</v>
      </c>
      <c r="P19" s="223" t="e">
        <f t="shared" ca="1" si="2"/>
        <v>#VALUE!</v>
      </c>
      <c r="Q19" s="223" t="e">
        <f ca="1">O19*(1-'Margin Calculation'!$AB$27)</f>
        <v>#VALUE!</v>
      </c>
      <c r="R19" s="223" t="e">
        <f t="shared" ca="1" si="3"/>
        <v>#VALUE!</v>
      </c>
      <c r="S19" s="223">
        <f t="shared" si="1"/>
        <v>4482.1668496859756</v>
      </c>
      <c r="T19" s="223">
        <f t="shared" si="4"/>
        <v>71714.669594975625</v>
      </c>
    </row>
    <row r="20" spans="12:20" ht="14.5" x14ac:dyDescent="0.25">
      <c r="L20" s="214" t="e">
        <f t="shared" ca="1" si="0"/>
        <v>#VALUE!</v>
      </c>
      <c r="M20" s="214">
        <v>17</v>
      </c>
      <c r="N20" s="224" t="s">
        <v>152</v>
      </c>
      <c r="O20" s="222" t="e">
        <f ca="1">'Invoice Plan'!Y14</f>
        <v>#VALUE!</v>
      </c>
      <c r="P20" s="222" t="e">
        <f t="shared" ca="1" si="2"/>
        <v>#VALUE!</v>
      </c>
      <c r="Q20" s="222" t="e">
        <f ca="1">O20*(1-'Margin Calculation'!$AB$27)</f>
        <v>#VALUE!</v>
      </c>
      <c r="R20" s="222" t="e">
        <f t="shared" ca="1" si="3"/>
        <v>#VALUE!</v>
      </c>
      <c r="S20" s="222">
        <f t="shared" si="1"/>
        <v>4482.1668496859756</v>
      </c>
      <c r="T20" s="222">
        <f t="shared" si="4"/>
        <v>76196.836444661603</v>
      </c>
    </row>
    <row r="21" spans="12:20" ht="14.5" x14ac:dyDescent="0.25">
      <c r="L21" s="214" t="e">
        <f t="shared" ca="1" si="0"/>
        <v>#VALUE!</v>
      </c>
      <c r="M21" s="214">
        <v>18</v>
      </c>
      <c r="N21" s="225" t="s">
        <v>153</v>
      </c>
      <c r="O21" s="223" t="e">
        <f ca="1">'Invoice Plan'!Z14</f>
        <v>#VALUE!</v>
      </c>
      <c r="P21" s="223" t="e">
        <f t="shared" ca="1" si="2"/>
        <v>#VALUE!</v>
      </c>
      <c r="Q21" s="223" t="e">
        <f ca="1">O21*(1-'Margin Calculation'!$AB$27)</f>
        <v>#VALUE!</v>
      </c>
      <c r="R21" s="223" t="e">
        <f t="shared" ca="1" si="3"/>
        <v>#VALUE!</v>
      </c>
      <c r="S21" s="223">
        <f t="shared" si="1"/>
        <v>4482.1668496859756</v>
      </c>
      <c r="T21" s="223">
        <f t="shared" si="4"/>
        <v>80679.003294347582</v>
      </c>
    </row>
    <row r="22" spans="12:20" ht="14.5" x14ac:dyDescent="0.25">
      <c r="L22" s="214" t="e">
        <f t="shared" ca="1" si="0"/>
        <v>#VALUE!</v>
      </c>
      <c r="M22" s="214">
        <v>19</v>
      </c>
      <c r="N22" s="224" t="s">
        <v>154</v>
      </c>
      <c r="O22" s="222" t="e">
        <f ca="1">'Invoice Plan'!AA14</f>
        <v>#VALUE!</v>
      </c>
      <c r="P22" s="222" t="e">
        <f t="shared" ca="1" si="2"/>
        <v>#VALUE!</v>
      </c>
      <c r="Q22" s="222" t="e">
        <f ca="1">O22*(1-'Margin Calculation'!$AB$27)</f>
        <v>#VALUE!</v>
      </c>
      <c r="R22" s="222" t="e">
        <f t="shared" ca="1" si="3"/>
        <v>#VALUE!</v>
      </c>
      <c r="S22" s="222">
        <f t="shared" si="1"/>
        <v>4482.1668496859756</v>
      </c>
      <c r="T22" s="222">
        <f t="shared" si="4"/>
        <v>85161.17014403356</v>
      </c>
    </row>
    <row r="23" spans="12:20" ht="14.5" x14ac:dyDescent="0.25">
      <c r="L23" s="214" t="e">
        <f t="shared" ca="1" si="0"/>
        <v>#VALUE!</v>
      </c>
      <c r="M23" s="214">
        <v>20</v>
      </c>
      <c r="N23" s="225" t="s">
        <v>155</v>
      </c>
      <c r="O23" s="223" t="e">
        <f ca="1">'Invoice Plan'!AB14</f>
        <v>#VALUE!</v>
      </c>
      <c r="P23" s="223" t="e">
        <f t="shared" ca="1" si="2"/>
        <v>#VALUE!</v>
      </c>
      <c r="Q23" s="223" t="e">
        <f ca="1">O23*(1-'Margin Calculation'!$AB$27)</f>
        <v>#VALUE!</v>
      </c>
      <c r="R23" s="223" t="e">
        <f t="shared" ca="1" si="3"/>
        <v>#VALUE!</v>
      </c>
      <c r="S23" s="223">
        <f t="shared" si="1"/>
        <v>4482.1668496859756</v>
      </c>
      <c r="T23" s="223">
        <f t="shared" si="4"/>
        <v>89643.336993719538</v>
      </c>
    </row>
    <row r="24" spans="12:20" ht="14.5" x14ac:dyDescent="0.25">
      <c r="L24" s="214" t="e">
        <f t="shared" ca="1" si="0"/>
        <v>#VALUE!</v>
      </c>
      <c r="M24" s="214">
        <v>21</v>
      </c>
      <c r="N24" s="224" t="s">
        <v>156</v>
      </c>
      <c r="O24" s="222" t="e">
        <f ca="1">'Invoice Plan'!AC14</f>
        <v>#VALUE!</v>
      </c>
      <c r="P24" s="222" t="e">
        <f t="shared" ca="1" si="2"/>
        <v>#VALUE!</v>
      </c>
      <c r="Q24" s="222" t="e">
        <f ca="1">O24*(1-'Margin Calculation'!$AB$27)</f>
        <v>#VALUE!</v>
      </c>
      <c r="R24" s="222" t="e">
        <f t="shared" ca="1" si="3"/>
        <v>#VALUE!</v>
      </c>
      <c r="S24" s="222">
        <f t="shared" si="1"/>
        <v>4482.1668496859756</v>
      </c>
      <c r="T24" s="222">
        <f t="shared" si="4"/>
        <v>94125.503843405517</v>
      </c>
    </row>
    <row r="25" spans="12:20" ht="14.5" x14ac:dyDescent="0.25">
      <c r="L25" s="214" t="e">
        <f t="shared" ca="1" si="0"/>
        <v>#VALUE!</v>
      </c>
      <c r="M25" s="214">
        <v>22</v>
      </c>
      <c r="N25" s="225" t="s">
        <v>157</v>
      </c>
      <c r="O25" s="223" t="e">
        <f ca="1">'Invoice Plan'!AD14</f>
        <v>#VALUE!</v>
      </c>
      <c r="P25" s="223" t="e">
        <f t="shared" ca="1" si="2"/>
        <v>#VALUE!</v>
      </c>
      <c r="Q25" s="223" t="e">
        <f ca="1">O25*(1-'Margin Calculation'!$AB$27)</f>
        <v>#VALUE!</v>
      </c>
      <c r="R25" s="223" t="e">
        <f t="shared" ca="1" si="3"/>
        <v>#VALUE!</v>
      </c>
      <c r="S25" s="223">
        <f t="shared" si="1"/>
        <v>4482.1668496859756</v>
      </c>
      <c r="T25" s="223">
        <f t="shared" si="4"/>
        <v>98607.670693091495</v>
      </c>
    </row>
    <row r="26" spans="12:20" ht="14.5" x14ac:dyDescent="0.25">
      <c r="L26" s="214" t="e">
        <f ca="1">IF(T26&lt;$Q$3,"N",IF(L25="N","Y","O"))</f>
        <v>#VALUE!</v>
      </c>
      <c r="M26" s="214">
        <v>23</v>
      </c>
      <c r="N26" s="224" t="s">
        <v>158</v>
      </c>
      <c r="O26" s="222" t="e">
        <f ca="1">'Invoice Plan'!AE14</f>
        <v>#VALUE!</v>
      </c>
      <c r="P26" s="222" t="e">
        <f t="shared" ca="1" si="2"/>
        <v>#VALUE!</v>
      </c>
      <c r="Q26" s="222" t="e">
        <f ca="1">O26*(1-'Margin Calculation'!$AB$27)</f>
        <v>#VALUE!</v>
      </c>
      <c r="R26" s="222" t="e">
        <f t="shared" ca="1" si="3"/>
        <v>#VALUE!</v>
      </c>
      <c r="S26" s="222">
        <f t="shared" si="1"/>
        <v>4482.1668496859756</v>
      </c>
      <c r="T26" s="222">
        <f t="shared" si="4"/>
        <v>103089.83754277747</v>
      </c>
    </row>
    <row r="27" spans="12:20" ht="14.5" x14ac:dyDescent="0.25">
      <c r="L27" s="214" t="e">
        <f t="shared" ca="1" si="0"/>
        <v>#VALUE!</v>
      </c>
      <c r="M27" s="214">
        <v>24</v>
      </c>
      <c r="N27" s="225" t="s">
        <v>159</v>
      </c>
      <c r="O27" s="223" t="e">
        <f ca="1">'Invoice Plan'!AF14</f>
        <v>#VALUE!</v>
      </c>
      <c r="P27" s="223" t="e">
        <f t="shared" ca="1" si="2"/>
        <v>#VALUE!</v>
      </c>
      <c r="Q27" s="223" t="e">
        <f ca="1">O27*(1-'Margin Calculation'!$AB$27)</f>
        <v>#VALUE!</v>
      </c>
      <c r="R27" s="223" t="e">
        <f t="shared" ca="1" si="3"/>
        <v>#VALUE!</v>
      </c>
      <c r="S27" s="223">
        <f t="shared" si="1"/>
        <v>4482.1668496859756</v>
      </c>
      <c r="T27" s="223">
        <f t="shared" si="4"/>
        <v>107572.00439246345</v>
      </c>
    </row>
    <row r="28" spans="12:20" ht="14.5" x14ac:dyDescent="0.25">
      <c r="L28" s="214" t="e">
        <f t="shared" ca="1" si="0"/>
        <v>#VALUE!</v>
      </c>
      <c r="M28" s="214">
        <v>25</v>
      </c>
      <c r="N28" s="224" t="s">
        <v>160</v>
      </c>
      <c r="O28" s="222" t="e">
        <f ca="1">'Invoice Plan'!AG14</f>
        <v>#VALUE!</v>
      </c>
      <c r="P28" s="222" t="e">
        <f t="shared" ca="1" si="2"/>
        <v>#VALUE!</v>
      </c>
      <c r="Q28" s="222" t="e">
        <f ca="1">O28*(1-'Margin Calculation'!$AB$27)</f>
        <v>#VALUE!</v>
      </c>
      <c r="R28" s="222" t="e">
        <f t="shared" ca="1" si="3"/>
        <v>#VALUE!</v>
      </c>
      <c r="S28" s="222">
        <f t="shared" si="1"/>
        <v>4482.1668496859756</v>
      </c>
      <c r="T28" s="222">
        <f t="shared" si="4"/>
        <v>112054.17124214943</v>
      </c>
    </row>
    <row r="29" spans="12:20" ht="14.5" x14ac:dyDescent="0.25">
      <c r="L29" s="214" t="e">
        <f t="shared" ca="1" si="0"/>
        <v>#VALUE!</v>
      </c>
      <c r="M29" s="214">
        <v>26</v>
      </c>
      <c r="N29" s="225" t="s">
        <v>161</v>
      </c>
      <c r="O29" s="223" t="e">
        <f ca="1">'Invoice Plan'!AH14</f>
        <v>#VALUE!</v>
      </c>
      <c r="P29" s="223" t="e">
        <f t="shared" ca="1" si="2"/>
        <v>#VALUE!</v>
      </c>
      <c r="Q29" s="223" t="e">
        <f ca="1">O29*(1-'Margin Calculation'!$AB$27)</f>
        <v>#VALUE!</v>
      </c>
      <c r="R29" s="223" t="e">
        <f ca="1">IF(Q29&lt;&gt;0,Q29+R28,0)</f>
        <v>#VALUE!</v>
      </c>
      <c r="S29" s="223">
        <f t="shared" si="1"/>
        <v>4482.1668496859756</v>
      </c>
      <c r="T29" s="223">
        <f>IF(S29&lt;&gt;0,S29+T28,0)</f>
        <v>116536.33809183541</v>
      </c>
    </row>
    <row r="30" spans="12:20" ht="14.5" x14ac:dyDescent="0.25">
      <c r="L30" s="214" t="e">
        <f t="shared" ca="1" si="0"/>
        <v>#VALUE!</v>
      </c>
      <c r="M30" s="214">
        <v>27</v>
      </c>
      <c r="N30" s="224" t="s">
        <v>200</v>
      </c>
      <c r="O30" s="222"/>
      <c r="P30" s="222"/>
      <c r="Q30" s="222"/>
      <c r="R30" s="222"/>
      <c r="S30" s="222">
        <f t="shared" si="1"/>
        <v>4482.1668496859756</v>
      </c>
      <c r="T30" s="222">
        <f t="shared" ref="T30:T63" si="5">IF(S30&lt;&gt;0,S30+T29,0)</f>
        <v>121018.50494152139</v>
      </c>
    </row>
    <row r="31" spans="12:20" ht="14.5" x14ac:dyDescent="0.25">
      <c r="L31" s="214" t="e">
        <f t="shared" ca="1" si="0"/>
        <v>#VALUE!</v>
      </c>
      <c r="M31" s="214">
        <v>28</v>
      </c>
      <c r="N31" s="225" t="s">
        <v>201</v>
      </c>
      <c r="O31" s="223"/>
      <c r="P31" s="223"/>
      <c r="Q31" s="223"/>
      <c r="R31" s="223"/>
      <c r="S31" s="223">
        <f t="shared" si="1"/>
        <v>4482.1668496859756</v>
      </c>
      <c r="T31" s="223">
        <f t="shared" si="5"/>
        <v>125500.67179120737</v>
      </c>
    </row>
    <row r="32" spans="12:20" ht="14.5" x14ac:dyDescent="0.25">
      <c r="L32" s="214" t="e">
        <f t="shared" ca="1" si="0"/>
        <v>#VALUE!</v>
      </c>
      <c r="M32" s="214">
        <v>29</v>
      </c>
      <c r="N32" s="224" t="s">
        <v>202</v>
      </c>
      <c r="O32" s="222"/>
      <c r="P32" s="222"/>
      <c r="Q32" s="222"/>
      <c r="R32" s="222"/>
      <c r="S32" s="222">
        <f t="shared" si="1"/>
        <v>4482.1668496859756</v>
      </c>
      <c r="T32" s="222">
        <f t="shared" si="5"/>
        <v>129982.83864089334</v>
      </c>
    </row>
    <row r="33" spans="12:20" ht="14.5" x14ac:dyDescent="0.25">
      <c r="L33" s="214" t="e">
        <f t="shared" ca="1" si="0"/>
        <v>#VALUE!</v>
      </c>
      <c r="M33" s="214">
        <v>30</v>
      </c>
      <c r="N33" s="225" t="s">
        <v>203</v>
      </c>
      <c r="O33" s="223"/>
      <c r="P33" s="223"/>
      <c r="Q33" s="223"/>
      <c r="R33" s="223"/>
      <c r="S33" s="223">
        <f t="shared" si="1"/>
        <v>4482.1668496859756</v>
      </c>
      <c r="T33" s="223">
        <f t="shared" si="5"/>
        <v>134465.00549057932</v>
      </c>
    </row>
    <row r="34" spans="12:20" ht="14.5" x14ac:dyDescent="0.25">
      <c r="L34" s="214" t="e">
        <f t="shared" ca="1" si="0"/>
        <v>#VALUE!</v>
      </c>
      <c r="M34" s="214">
        <v>31</v>
      </c>
      <c r="N34" s="224" t="s">
        <v>204</v>
      </c>
      <c r="O34" s="222"/>
      <c r="P34" s="222"/>
      <c r="Q34" s="222"/>
      <c r="R34" s="222"/>
      <c r="S34" s="222">
        <f t="shared" si="1"/>
        <v>4482.1668496859756</v>
      </c>
      <c r="T34" s="222">
        <f t="shared" si="5"/>
        <v>138947.1723402653</v>
      </c>
    </row>
    <row r="35" spans="12:20" ht="14.5" x14ac:dyDescent="0.25">
      <c r="L35" s="214" t="e">
        <f t="shared" ca="1" si="0"/>
        <v>#VALUE!</v>
      </c>
      <c r="M35" s="214">
        <v>32</v>
      </c>
      <c r="N35" s="225" t="s">
        <v>205</v>
      </c>
      <c r="O35" s="223"/>
      <c r="P35" s="223"/>
      <c r="Q35" s="223"/>
      <c r="R35" s="223"/>
      <c r="S35" s="223">
        <f t="shared" si="1"/>
        <v>4482.1668496859756</v>
      </c>
      <c r="T35" s="223">
        <f t="shared" si="5"/>
        <v>143429.33918995128</v>
      </c>
    </row>
    <row r="36" spans="12:20" ht="14.5" x14ac:dyDescent="0.25">
      <c r="L36" s="214" t="e">
        <f t="shared" ca="1" si="0"/>
        <v>#VALUE!</v>
      </c>
      <c r="M36" s="214">
        <v>33</v>
      </c>
      <c r="N36" s="224" t="s">
        <v>206</v>
      </c>
      <c r="O36" s="222"/>
      <c r="P36" s="222"/>
      <c r="Q36" s="222"/>
      <c r="R36" s="222"/>
      <c r="S36" s="222">
        <f t="shared" si="1"/>
        <v>4482.1668496859756</v>
      </c>
      <c r="T36" s="222">
        <f t="shared" si="5"/>
        <v>147911.50603963726</v>
      </c>
    </row>
    <row r="37" spans="12:20" ht="14.5" x14ac:dyDescent="0.25">
      <c r="L37" s="214" t="e">
        <f t="shared" ca="1" si="0"/>
        <v>#VALUE!</v>
      </c>
      <c r="M37" s="214">
        <v>34</v>
      </c>
      <c r="N37" s="225" t="s">
        <v>207</v>
      </c>
      <c r="O37" s="223"/>
      <c r="P37" s="223"/>
      <c r="Q37" s="223"/>
      <c r="R37" s="223"/>
      <c r="S37" s="223">
        <f t="shared" ref="S37:S63" si="6">IF(M37&lt;=$C$8,$I$12,0)</f>
        <v>4482.1668496859756</v>
      </c>
      <c r="T37" s="223">
        <f t="shared" si="5"/>
        <v>152393.67288932324</v>
      </c>
    </row>
    <row r="38" spans="12:20" ht="14.5" x14ac:dyDescent="0.25">
      <c r="L38" s="214" t="e">
        <f t="shared" ca="1" si="0"/>
        <v>#VALUE!</v>
      </c>
      <c r="M38" s="214">
        <v>35</v>
      </c>
      <c r="N38" s="224" t="s">
        <v>208</v>
      </c>
      <c r="O38" s="222"/>
      <c r="P38" s="222"/>
      <c r="Q38" s="222"/>
      <c r="R38" s="222"/>
      <c r="S38" s="222">
        <f t="shared" si="6"/>
        <v>4482.1668496859756</v>
      </c>
      <c r="T38" s="222">
        <f t="shared" si="5"/>
        <v>156875.83973900921</v>
      </c>
    </row>
    <row r="39" spans="12:20" ht="14.5" x14ac:dyDescent="0.25">
      <c r="L39" s="214" t="e">
        <f t="shared" ca="1" si="0"/>
        <v>#VALUE!</v>
      </c>
      <c r="M39" s="214">
        <v>36</v>
      </c>
      <c r="N39" s="225" t="s">
        <v>209</v>
      </c>
      <c r="O39" s="223"/>
      <c r="P39" s="223"/>
      <c r="Q39" s="223"/>
      <c r="R39" s="223"/>
      <c r="S39" s="223">
        <f t="shared" si="6"/>
        <v>4482.1668496859756</v>
      </c>
      <c r="T39" s="223">
        <f t="shared" si="5"/>
        <v>161358.00658869519</v>
      </c>
    </row>
    <row r="40" spans="12:20" ht="14.5" x14ac:dyDescent="0.25">
      <c r="L40" s="214" t="e">
        <f t="shared" ca="1" si="0"/>
        <v>#VALUE!</v>
      </c>
      <c r="M40" s="214">
        <v>37</v>
      </c>
      <c r="N40" s="224" t="s">
        <v>210</v>
      </c>
      <c r="O40" s="222"/>
      <c r="P40" s="222"/>
      <c r="Q40" s="222"/>
      <c r="R40" s="222"/>
      <c r="S40" s="222">
        <f t="shared" si="6"/>
        <v>0</v>
      </c>
      <c r="T40" s="222">
        <f t="shared" si="5"/>
        <v>0</v>
      </c>
    </row>
    <row r="41" spans="12:20" ht="14.5" x14ac:dyDescent="0.25">
      <c r="L41" s="214" t="e">
        <f t="shared" ca="1" si="0"/>
        <v>#VALUE!</v>
      </c>
      <c r="M41" s="214">
        <v>38</v>
      </c>
      <c r="N41" s="225" t="s">
        <v>211</v>
      </c>
      <c r="O41" s="223"/>
      <c r="P41" s="223"/>
      <c r="Q41" s="223"/>
      <c r="R41" s="223"/>
      <c r="S41" s="223">
        <f t="shared" si="6"/>
        <v>0</v>
      </c>
      <c r="T41" s="223">
        <f t="shared" si="5"/>
        <v>0</v>
      </c>
    </row>
    <row r="42" spans="12:20" ht="14.5" x14ac:dyDescent="0.25">
      <c r="L42" s="214" t="e">
        <f t="shared" ca="1" si="0"/>
        <v>#VALUE!</v>
      </c>
      <c r="M42" s="214">
        <v>39</v>
      </c>
      <c r="N42" s="224" t="s">
        <v>212</v>
      </c>
      <c r="O42" s="222"/>
      <c r="P42" s="222"/>
      <c r="Q42" s="222"/>
      <c r="R42" s="222"/>
      <c r="S42" s="222">
        <f t="shared" si="6"/>
        <v>0</v>
      </c>
      <c r="T42" s="222">
        <f t="shared" si="5"/>
        <v>0</v>
      </c>
    </row>
    <row r="43" spans="12:20" ht="14.5" x14ac:dyDescent="0.25">
      <c r="L43" s="214" t="e">
        <f t="shared" ca="1" si="0"/>
        <v>#VALUE!</v>
      </c>
      <c r="M43" s="214">
        <v>40</v>
      </c>
      <c r="N43" s="225" t="s">
        <v>213</v>
      </c>
      <c r="O43" s="223"/>
      <c r="P43" s="223"/>
      <c r="Q43" s="223"/>
      <c r="R43" s="223"/>
      <c r="S43" s="223">
        <f t="shared" si="6"/>
        <v>0</v>
      </c>
      <c r="T43" s="223">
        <f t="shared" si="5"/>
        <v>0</v>
      </c>
    </row>
    <row r="44" spans="12:20" ht="14.5" x14ac:dyDescent="0.25">
      <c r="L44" s="214" t="e">
        <f t="shared" ca="1" si="0"/>
        <v>#VALUE!</v>
      </c>
      <c r="M44" s="214">
        <v>41</v>
      </c>
      <c r="N44" s="224" t="s">
        <v>214</v>
      </c>
      <c r="O44" s="222"/>
      <c r="P44" s="222"/>
      <c r="Q44" s="222"/>
      <c r="R44" s="222"/>
      <c r="S44" s="222">
        <f t="shared" si="6"/>
        <v>0</v>
      </c>
      <c r="T44" s="222">
        <f t="shared" si="5"/>
        <v>0</v>
      </c>
    </row>
    <row r="45" spans="12:20" ht="14.5" x14ac:dyDescent="0.25">
      <c r="L45" s="214" t="e">
        <f t="shared" ca="1" si="0"/>
        <v>#VALUE!</v>
      </c>
      <c r="M45" s="214">
        <v>42</v>
      </c>
      <c r="N45" s="225" t="s">
        <v>215</v>
      </c>
      <c r="O45" s="223"/>
      <c r="P45" s="223"/>
      <c r="Q45" s="223"/>
      <c r="R45" s="223"/>
      <c r="S45" s="223">
        <f t="shared" si="6"/>
        <v>0</v>
      </c>
      <c r="T45" s="223">
        <f t="shared" si="5"/>
        <v>0</v>
      </c>
    </row>
    <row r="46" spans="12:20" ht="14.5" x14ac:dyDescent="0.25">
      <c r="L46" s="214" t="e">
        <f t="shared" ca="1" si="0"/>
        <v>#VALUE!</v>
      </c>
      <c r="M46" s="214">
        <v>43</v>
      </c>
      <c r="N46" s="224" t="s">
        <v>216</v>
      </c>
      <c r="O46" s="222"/>
      <c r="P46" s="222"/>
      <c r="Q46" s="222"/>
      <c r="R46" s="222"/>
      <c r="S46" s="222">
        <f t="shared" si="6"/>
        <v>0</v>
      </c>
      <c r="T46" s="222">
        <f t="shared" si="5"/>
        <v>0</v>
      </c>
    </row>
    <row r="47" spans="12:20" ht="14.5" x14ac:dyDescent="0.25">
      <c r="L47" s="214" t="e">
        <f t="shared" ca="1" si="0"/>
        <v>#VALUE!</v>
      </c>
      <c r="M47" s="214">
        <v>44</v>
      </c>
      <c r="N47" s="225" t="s">
        <v>217</v>
      </c>
      <c r="O47" s="223"/>
      <c r="P47" s="223"/>
      <c r="Q47" s="223"/>
      <c r="R47" s="223"/>
      <c r="S47" s="223">
        <f t="shared" si="6"/>
        <v>0</v>
      </c>
      <c r="T47" s="223">
        <f t="shared" si="5"/>
        <v>0</v>
      </c>
    </row>
    <row r="48" spans="12:20" ht="14.5" x14ac:dyDescent="0.25">
      <c r="L48" s="214" t="e">
        <f t="shared" ca="1" si="0"/>
        <v>#VALUE!</v>
      </c>
      <c r="M48" s="214">
        <v>45</v>
      </c>
      <c r="N48" s="224" t="s">
        <v>218</v>
      </c>
      <c r="O48" s="222"/>
      <c r="P48" s="222"/>
      <c r="Q48" s="222"/>
      <c r="R48" s="222"/>
      <c r="S48" s="222">
        <f t="shared" si="6"/>
        <v>0</v>
      </c>
      <c r="T48" s="222">
        <f t="shared" si="5"/>
        <v>0</v>
      </c>
    </row>
    <row r="49" spans="12:20" ht="14.5" x14ac:dyDescent="0.25">
      <c r="L49" s="214" t="e">
        <f t="shared" ca="1" si="0"/>
        <v>#VALUE!</v>
      </c>
      <c r="M49" s="214">
        <v>46</v>
      </c>
      <c r="N49" s="225" t="s">
        <v>219</v>
      </c>
      <c r="O49" s="223"/>
      <c r="P49" s="223"/>
      <c r="Q49" s="223"/>
      <c r="R49" s="223"/>
      <c r="S49" s="223">
        <f t="shared" si="6"/>
        <v>0</v>
      </c>
      <c r="T49" s="223">
        <f t="shared" si="5"/>
        <v>0</v>
      </c>
    </row>
    <row r="50" spans="12:20" ht="14.5" x14ac:dyDescent="0.25">
      <c r="L50" s="214" t="e">
        <f t="shared" ca="1" si="0"/>
        <v>#VALUE!</v>
      </c>
      <c r="M50" s="214">
        <v>47</v>
      </c>
      <c r="N50" s="224" t="s">
        <v>220</v>
      </c>
      <c r="O50" s="222"/>
      <c r="P50" s="222"/>
      <c r="Q50" s="222"/>
      <c r="R50" s="222"/>
      <c r="S50" s="222">
        <f t="shared" si="6"/>
        <v>0</v>
      </c>
      <c r="T50" s="222">
        <f t="shared" si="5"/>
        <v>0</v>
      </c>
    </row>
    <row r="51" spans="12:20" ht="14.5" x14ac:dyDescent="0.25">
      <c r="L51" s="214" t="e">
        <f t="shared" ca="1" si="0"/>
        <v>#VALUE!</v>
      </c>
      <c r="M51" s="214">
        <v>48</v>
      </c>
      <c r="N51" s="225" t="s">
        <v>221</v>
      </c>
      <c r="O51" s="223"/>
      <c r="P51" s="223"/>
      <c r="Q51" s="223"/>
      <c r="R51" s="223"/>
      <c r="S51" s="223">
        <f t="shared" si="6"/>
        <v>0</v>
      </c>
      <c r="T51" s="223">
        <f t="shared" si="5"/>
        <v>0</v>
      </c>
    </row>
    <row r="52" spans="12:20" ht="14.5" x14ac:dyDescent="0.25">
      <c r="L52" s="214" t="e">
        <f t="shared" ca="1" si="0"/>
        <v>#VALUE!</v>
      </c>
      <c r="M52" s="214">
        <v>49</v>
      </c>
      <c r="N52" s="224" t="s">
        <v>222</v>
      </c>
      <c r="O52" s="222"/>
      <c r="P52" s="222"/>
      <c r="Q52" s="222"/>
      <c r="R52" s="222"/>
      <c r="S52" s="222">
        <f t="shared" si="6"/>
        <v>0</v>
      </c>
      <c r="T52" s="222">
        <f t="shared" si="5"/>
        <v>0</v>
      </c>
    </row>
    <row r="53" spans="12:20" ht="14.5" x14ac:dyDescent="0.25">
      <c r="L53" s="214" t="e">
        <f t="shared" ca="1" si="0"/>
        <v>#VALUE!</v>
      </c>
      <c r="M53" s="214">
        <v>50</v>
      </c>
      <c r="N53" s="225" t="s">
        <v>223</v>
      </c>
      <c r="O53" s="223"/>
      <c r="P53" s="223"/>
      <c r="Q53" s="223"/>
      <c r="R53" s="223"/>
      <c r="S53" s="223">
        <f t="shared" si="6"/>
        <v>0</v>
      </c>
      <c r="T53" s="223">
        <f t="shared" si="5"/>
        <v>0</v>
      </c>
    </row>
    <row r="54" spans="12:20" ht="14.5" x14ac:dyDescent="0.25">
      <c r="L54" s="214" t="e">
        <f t="shared" ca="1" si="0"/>
        <v>#VALUE!</v>
      </c>
      <c r="M54" s="214">
        <v>51</v>
      </c>
      <c r="N54" s="224" t="s">
        <v>224</v>
      </c>
      <c r="O54" s="222"/>
      <c r="P54" s="222"/>
      <c r="Q54" s="222"/>
      <c r="R54" s="222"/>
      <c r="S54" s="222">
        <f t="shared" si="6"/>
        <v>0</v>
      </c>
      <c r="T54" s="222">
        <f t="shared" si="5"/>
        <v>0</v>
      </c>
    </row>
    <row r="55" spans="12:20" ht="14.5" x14ac:dyDescent="0.25">
      <c r="L55" s="214" t="e">
        <f t="shared" ca="1" si="0"/>
        <v>#VALUE!</v>
      </c>
      <c r="M55" s="214">
        <v>52</v>
      </c>
      <c r="N55" s="225" t="s">
        <v>225</v>
      </c>
      <c r="O55" s="223"/>
      <c r="P55" s="223"/>
      <c r="Q55" s="223"/>
      <c r="R55" s="223"/>
      <c r="S55" s="223">
        <f t="shared" si="6"/>
        <v>0</v>
      </c>
      <c r="T55" s="223">
        <f t="shared" si="5"/>
        <v>0</v>
      </c>
    </row>
    <row r="56" spans="12:20" ht="14.5" x14ac:dyDescent="0.25">
      <c r="L56" s="214" t="e">
        <f t="shared" ca="1" si="0"/>
        <v>#VALUE!</v>
      </c>
      <c r="M56" s="214">
        <v>53</v>
      </c>
      <c r="N56" s="224" t="s">
        <v>226</v>
      </c>
      <c r="O56" s="222"/>
      <c r="P56" s="222"/>
      <c r="Q56" s="222"/>
      <c r="R56" s="222"/>
      <c r="S56" s="222">
        <f t="shared" si="6"/>
        <v>0</v>
      </c>
      <c r="T56" s="222">
        <f t="shared" si="5"/>
        <v>0</v>
      </c>
    </row>
    <row r="57" spans="12:20" ht="14.5" x14ac:dyDescent="0.25">
      <c r="L57" s="214" t="e">
        <f t="shared" ca="1" si="0"/>
        <v>#VALUE!</v>
      </c>
      <c r="M57" s="214">
        <v>54</v>
      </c>
      <c r="N57" s="225" t="s">
        <v>227</v>
      </c>
      <c r="O57" s="223"/>
      <c r="P57" s="223"/>
      <c r="Q57" s="223"/>
      <c r="R57" s="223"/>
      <c r="S57" s="223">
        <f t="shared" si="6"/>
        <v>0</v>
      </c>
      <c r="T57" s="223">
        <f t="shared" si="5"/>
        <v>0</v>
      </c>
    </row>
    <row r="58" spans="12:20" ht="14.5" x14ac:dyDescent="0.25">
      <c r="L58" s="214" t="e">
        <f t="shared" ca="1" si="0"/>
        <v>#VALUE!</v>
      </c>
      <c r="M58" s="214">
        <v>55</v>
      </c>
      <c r="N58" s="224" t="s">
        <v>228</v>
      </c>
      <c r="O58" s="222"/>
      <c r="P58" s="222"/>
      <c r="Q58" s="222"/>
      <c r="R58" s="222"/>
      <c r="S58" s="222">
        <f t="shared" si="6"/>
        <v>0</v>
      </c>
      <c r="T58" s="222">
        <f t="shared" si="5"/>
        <v>0</v>
      </c>
    </row>
    <row r="59" spans="12:20" ht="14.5" x14ac:dyDescent="0.25">
      <c r="L59" s="214" t="e">
        <f t="shared" ca="1" si="0"/>
        <v>#VALUE!</v>
      </c>
      <c r="M59" s="214">
        <v>56</v>
      </c>
      <c r="N59" s="225" t="s">
        <v>229</v>
      </c>
      <c r="O59" s="223"/>
      <c r="P59" s="223"/>
      <c r="Q59" s="223"/>
      <c r="R59" s="223"/>
      <c r="S59" s="223">
        <f t="shared" si="6"/>
        <v>0</v>
      </c>
      <c r="T59" s="223">
        <f t="shared" si="5"/>
        <v>0</v>
      </c>
    </row>
    <row r="60" spans="12:20" ht="14.5" x14ac:dyDescent="0.25">
      <c r="L60" s="214" t="e">
        <f t="shared" ca="1" si="0"/>
        <v>#VALUE!</v>
      </c>
      <c r="M60" s="214">
        <v>57</v>
      </c>
      <c r="N60" s="224" t="s">
        <v>230</v>
      </c>
      <c r="O60" s="222"/>
      <c r="P60" s="222"/>
      <c r="Q60" s="222"/>
      <c r="R60" s="222"/>
      <c r="S60" s="222">
        <f t="shared" si="6"/>
        <v>0</v>
      </c>
      <c r="T60" s="222">
        <f t="shared" si="5"/>
        <v>0</v>
      </c>
    </row>
    <row r="61" spans="12:20" ht="14.5" x14ac:dyDescent="0.25">
      <c r="L61" s="214" t="e">
        <f t="shared" ca="1" si="0"/>
        <v>#VALUE!</v>
      </c>
      <c r="M61" s="214">
        <v>58</v>
      </c>
      <c r="N61" s="225" t="s">
        <v>233</v>
      </c>
      <c r="O61" s="223"/>
      <c r="P61" s="223"/>
      <c r="Q61" s="223"/>
      <c r="R61" s="223"/>
      <c r="S61" s="223">
        <f t="shared" si="6"/>
        <v>0</v>
      </c>
      <c r="T61" s="223">
        <f t="shared" si="5"/>
        <v>0</v>
      </c>
    </row>
    <row r="62" spans="12:20" ht="14.5" x14ac:dyDescent="0.25">
      <c r="L62" s="214" t="e">
        <f t="shared" ca="1" si="0"/>
        <v>#VALUE!</v>
      </c>
      <c r="M62" s="214">
        <v>59</v>
      </c>
      <c r="N62" s="224" t="s">
        <v>234</v>
      </c>
      <c r="O62" s="222"/>
      <c r="P62" s="222"/>
      <c r="Q62" s="222"/>
      <c r="R62" s="222"/>
      <c r="S62" s="222">
        <f t="shared" si="6"/>
        <v>0</v>
      </c>
      <c r="T62" s="222">
        <f t="shared" si="5"/>
        <v>0</v>
      </c>
    </row>
    <row r="63" spans="12:20" ht="14.5" x14ac:dyDescent="0.25">
      <c r="L63" s="214" t="e">
        <f t="shared" ca="1" si="0"/>
        <v>#VALUE!</v>
      </c>
      <c r="M63" s="214">
        <v>60</v>
      </c>
      <c r="N63" s="225" t="s">
        <v>235</v>
      </c>
      <c r="O63" s="223"/>
      <c r="P63" s="223"/>
      <c r="Q63" s="223"/>
      <c r="R63" s="223"/>
      <c r="S63" s="223">
        <f t="shared" si="6"/>
        <v>0</v>
      </c>
      <c r="T63" s="223">
        <f t="shared" si="5"/>
        <v>0</v>
      </c>
    </row>
  </sheetData>
  <sheetProtection algorithmName="SHA-512" hashValue="PDzNo2GqmiF4fkNtB1OljZPeLp7b68VPw5K+HNXAbWZA205WVtsPXX6PlxAEttj/m1BDMC6DMAFfJFUbABEnug==" saltValue="ZiQEjQhsdIuomw+dl3ok/g==" spinCount="100000" sheet="1" objects="1" scenarios="1"/>
  <mergeCells count="13">
    <mergeCell ref="O2:P2"/>
    <mergeCell ref="Q2:R2"/>
    <mergeCell ref="S2:T2"/>
    <mergeCell ref="I13:J13"/>
    <mergeCell ref="I14:J14"/>
    <mergeCell ref="B2:D2"/>
    <mergeCell ref="I12:J12"/>
    <mergeCell ref="I15:J15"/>
    <mergeCell ref="I6:J6"/>
    <mergeCell ref="I5:J5"/>
    <mergeCell ref="I4:J4"/>
    <mergeCell ref="F2:J2"/>
    <mergeCell ref="I3:J3"/>
  </mergeCells>
  <conditionalFormatting sqref="I4:J4">
    <cfRule type="expression" dxfId="2" priority="11">
      <formula>$I$3="Other"</formula>
    </cfRule>
  </conditionalFormatting>
  <conditionalFormatting sqref="I5:J5">
    <cfRule type="expression" dxfId="1" priority="7">
      <formula>$I$3="Services"</formula>
    </cfRule>
  </conditionalFormatting>
  <conditionalFormatting sqref="L4:T63">
    <cfRule type="expression" dxfId="0" priority="1">
      <formula>$L4:$L63="Y"</formula>
    </cfRule>
  </conditionalFormatting>
  <dataValidations count="1">
    <dataValidation type="list" allowBlank="1" showInputMessage="1" showErrorMessage="1" sqref="I3:J3" xr:uid="{00000000-0002-0000-0700-000000000000}">
      <formula1>"Services,Other"</formula1>
    </dataValidation>
  </dataValidations>
  <pageMargins left="0.7" right="0.7" top="0.75" bottom="0.75" header="0.3" footer="0.3"/>
  <ignoredErrors>
    <ignoredError sqref="Q4:Q6 Q7:Q29 S5:S38 J15 J14" formula="1"/>
    <ignoredError sqref="Q3" evalError="1"/>
    <ignoredError sqref="I12:I13" unlockedFormula="1"/>
    <ignoredError sqref="I14" formula="1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FF6B00"/>
  </sheetPr>
  <dimension ref="A1:CV92"/>
  <sheetViews>
    <sheetView showGridLines="0" workbookViewId="0">
      <selection activeCell="B1" sqref="B1:XFD1048576"/>
    </sheetView>
  </sheetViews>
  <sheetFormatPr defaultColWidth="0" defaultRowHeight="12.5" x14ac:dyDescent="0.25"/>
  <cols>
    <col min="1" max="1" width="8.36328125" style="157" customWidth="1"/>
    <col min="2" max="2" width="5.81640625" style="157" hidden="1" customWidth="1"/>
    <col min="3" max="5" width="8.08984375" style="157" hidden="1" customWidth="1"/>
    <col min="6" max="6" width="6.453125" style="157" hidden="1" customWidth="1"/>
    <col min="7" max="7" width="8.08984375" style="157" hidden="1" customWidth="1"/>
    <col min="8" max="8" width="6.453125" style="157" hidden="1" customWidth="1"/>
    <col min="9" max="9" width="8.08984375" style="157" hidden="1" customWidth="1"/>
    <col min="10" max="11" width="6.453125" style="157" hidden="1" customWidth="1"/>
    <col min="12" max="14" width="8.08984375" style="157" hidden="1" customWidth="1"/>
    <col min="15" max="15" width="6.453125" style="157" hidden="1" customWidth="1"/>
    <col min="16" max="16" width="8.08984375" style="157" hidden="1" customWidth="1"/>
    <col min="17" max="17" width="6.453125" style="157" hidden="1" customWidth="1"/>
    <col min="18" max="18" width="8.08984375" style="157" hidden="1" customWidth="1"/>
    <col min="19" max="20" width="6.453125" style="157" hidden="1" customWidth="1"/>
    <col min="21" max="23" width="8.08984375" style="157" hidden="1" customWidth="1"/>
    <col min="24" max="24" width="6.453125" style="157" hidden="1" customWidth="1"/>
    <col min="25" max="25" width="8.08984375" style="157" hidden="1" customWidth="1"/>
    <col min="26" max="26" width="6.453125" style="157" hidden="1" customWidth="1"/>
    <col min="27" max="27" width="8.08984375" style="157" hidden="1" customWidth="1"/>
    <col min="28" max="29" width="6.453125" style="157" hidden="1" customWidth="1"/>
    <col min="30" max="31" width="9.08984375" style="157" hidden="1" customWidth="1"/>
    <col min="32" max="33" width="8.08984375" style="157" hidden="1" customWidth="1"/>
    <col min="34" max="34" width="9.08984375" style="157" hidden="1" customWidth="1"/>
    <col min="35" max="38" width="8.08984375" style="157" hidden="1" customWidth="1"/>
    <col min="39" max="43" width="9.08984375" style="157" hidden="1" customWidth="1"/>
    <col min="44" max="44" width="8.08984375" style="157" hidden="1" customWidth="1"/>
    <col min="45" max="45" width="9.08984375" style="157" hidden="1" customWidth="1"/>
    <col min="46" max="46" width="8.08984375" style="157" hidden="1" customWidth="1"/>
    <col min="47" max="47" width="9.08984375" style="157" hidden="1" customWidth="1"/>
    <col min="48" max="49" width="8.08984375" style="157" hidden="1" customWidth="1"/>
    <col min="50" max="50" width="9.08984375" style="157" hidden="1" customWidth="1"/>
    <col min="51" max="56" width="8.08984375" style="157" hidden="1" customWidth="1"/>
    <col min="57" max="59" width="9.08984375" style="157" hidden="1" customWidth="1"/>
    <col min="60" max="60" width="8.08984375" style="157" hidden="1" customWidth="1"/>
    <col min="61" max="61" width="9.08984375" style="157" hidden="1" customWidth="1"/>
    <col min="62" max="62" width="8.08984375" style="157" hidden="1" customWidth="1"/>
    <col min="63" max="63" width="9.08984375" style="157" hidden="1" customWidth="1"/>
    <col min="64" max="64" width="8.08984375" style="157" hidden="1" customWidth="1"/>
    <col min="65" max="65" width="8.453125" style="157" hidden="1" customWidth="1"/>
    <col min="66" max="69" width="8.08984375" style="157" hidden="1" customWidth="1"/>
    <col min="70" max="70" width="9.08984375" style="157" hidden="1" customWidth="1"/>
    <col min="71" max="74" width="8.08984375" style="157" hidden="1" customWidth="1"/>
    <col min="75" max="75" width="7.81640625" style="157" hidden="1" customWidth="1"/>
    <col min="76" max="80" width="8.08984375" style="157" hidden="1" customWidth="1"/>
    <col min="81" max="81" width="6.453125" style="157" hidden="1" customWidth="1"/>
    <col min="82" max="82" width="8.08984375" style="157" hidden="1" customWidth="1"/>
    <col min="83" max="83" width="6.453125" style="157" hidden="1" customWidth="1"/>
    <col min="84" max="84" width="15.81640625" style="157" hidden="1" customWidth="1"/>
    <col min="85" max="88" width="8.08984375" style="157" hidden="1" customWidth="1"/>
    <col min="89" max="89" width="9.08984375" style="157" hidden="1" customWidth="1"/>
    <col min="90" max="90" width="10.08984375" style="157" hidden="1" customWidth="1"/>
    <col min="91" max="91" width="8.08984375" style="157" hidden="1" customWidth="1"/>
    <col min="92" max="92" width="6.453125" style="157" hidden="1" customWidth="1"/>
    <col min="93" max="93" width="52.6328125" style="157" hidden="1" customWidth="1"/>
    <col min="94" max="94" width="4.453125" style="157" hidden="1" customWidth="1"/>
    <col min="95" max="95" width="5.08984375" style="157" hidden="1" customWidth="1"/>
    <col min="96" max="96" width="11" style="157" hidden="1" customWidth="1"/>
    <col min="97" max="97" width="5.6328125" style="157" hidden="1" customWidth="1"/>
    <col min="98" max="99" width="5.08984375" style="157" hidden="1" customWidth="1"/>
    <col min="100" max="100" width="8.453125" style="157" hidden="1" customWidth="1"/>
    <col min="101" max="16384" width="52.6328125" style="157" hidden="1"/>
  </cols>
  <sheetData>
    <row r="1" spans="2:100" ht="13" thickBot="1" x14ac:dyDescent="0.3"/>
    <row r="2" spans="2:100" ht="25.75" customHeight="1" thickBot="1" x14ac:dyDescent="0.3">
      <c r="B2" s="179" t="s">
        <v>5</v>
      </c>
      <c r="C2" s="325" t="s">
        <v>94</v>
      </c>
      <c r="D2" s="326"/>
      <c r="E2" s="326"/>
      <c r="F2" s="326"/>
      <c r="G2" s="326"/>
      <c r="H2" s="326"/>
      <c r="I2" s="326"/>
      <c r="J2" s="326"/>
      <c r="K2" s="327"/>
      <c r="L2" s="325" t="s">
        <v>91</v>
      </c>
      <c r="M2" s="326"/>
      <c r="N2" s="326"/>
      <c r="O2" s="326"/>
      <c r="P2" s="326"/>
      <c r="Q2" s="326"/>
      <c r="R2" s="326"/>
      <c r="S2" s="326"/>
      <c r="T2" s="327"/>
      <c r="U2" s="325" t="s">
        <v>260</v>
      </c>
      <c r="V2" s="326"/>
      <c r="W2" s="326"/>
      <c r="X2" s="326"/>
      <c r="Y2" s="326"/>
      <c r="Z2" s="326"/>
      <c r="AA2" s="326"/>
      <c r="AB2" s="326"/>
      <c r="AC2" s="327"/>
      <c r="AD2" s="325" t="s">
        <v>353</v>
      </c>
      <c r="AE2" s="326"/>
      <c r="AF2" s="326"/>
      <c r="AG2" s="326"/>
      <c r="AH2" s="326"/>
      <c r="AI2" s="326"/>
      <c r="AJ2" s="326"/>
      <c r="AK2" s="326"/>
      <c r="AL2" s="327"/>
      <c r="AM2" s="325" t="s">
        <v>324</v>
      </c>
      <c r="AN2" s="326"/>
      <c r="AO2" s="326"/>
      <c r="AP2" s="326"/>
      <c r="AQ2" s="326"/>
      <c r="AR2" s="326"/>
      <c r="AS2" s="326"/>
      <c r="AT2" s="326"/>
      <c r="AU2" s="327"/>
      <c r="AV2" s="325" t="s">
        <v>325</v>
      </c>
      <c r="AW2" s="326"/>
      <c r="AX2" s="326"/>
      <c r="AY2" s="326"/>
      <c r="AZ2" s="326"/>
      <c r="BA2" s="326"/>
      <c r="BB2" s="326"/>
      <c r="BC2" s="326"/>
      <c r="BD2" s="327"/>
      <c r="BE2" s="325" t="s">
        <v>428</v>
      </c>
      <c r="BF2" s="326"/>
      <c r="BG2" s="326"/>
      <c r="BH2" s="326"/>
      <c r="BI2" s="326"/>
      <c r="BJ2" s="326"/>
      <c r="BK2" s="326"/>
      <c r="BL2" s="326"/>
      <c r="BM2" s="327"/>
      <c r="BN2" s="325" t="s">
        <v>430</v>
      </c>
      <c r="BO2" s="326"/>
      <c r="BP2" s="326"/>
      <c r="BQ2" s="326"/>
      <c r="BR2" s="326"/>
      <c r="BS2" s="326"/>
      <c r="BT2" s="326"/>
      <c r="BU2" s="326"/>
      <c r="BV2" s="327"/>
      <c r="BX2" s="331" t="s">
        <v>89</v>
      </c>
      <c r="BY2" s="332"/>
      <c r="BZ2" s="332"/>
      <c r="CA2" s="332"/>
      <c r="CB2" s="332"/>
      <c r="CC2" s="332"/>
      <c r="CD2" s="332"/>
      <c r="CE2" s="333"/>
      <c r="CG2" s="334" t="s">
        <v>90</v>
      </c>
      <c r="CH2" s="335"/>
      <c r="CI2" s="335"/>
      <c r="CJ2" s="335"/>
      <c r="CK2" s="335"/>
      <c r="CL2" s="335"/>
      <c r="CM2" s="335"/>
      <c r="CN2" s="336"/>
      <c r="CP2" s="337" t="s">
        <v>92</v>
      </c>
      <c r="CQ2" s="337"/>
      <c r="CR2" s="337"/>
      <c r="CT2" s="338" t="s">
        <v>93</v>
      </c>
      <c r="CU2" s="338"/>
      <c r="CV2" s="338"/>
    </row>
    <row r="3" spans="2:100" ht="15.5" x14ac:dyDescent="0.25">
      <c r="B3" s="178" t="s">
        <v>12</v>
      </c>
      <c r="C3" s="176" t="s">
        <v>13</v>
      </c>
      <c r="D3" s="175" t="s">
        <v>14</v>
      </c>
      <c r="E3" s="175" t="s">
        <v>15</v>
      </c>
      <c r="F3" s="177" t="s">
        <v>16</v>
      </c>
      <c r="G3" s="177" t="s">
        <v>100</v>
      </c>
      <c r="H3" s="177" t="s">
        <v>178</v>
      </c>
      <c r="I3" s="177" t="s">
        <v>354</v>
      </c>
      <c r="J3" s="419" t="s">
        <v>417</v>
      </c>
      <c r="K3" s="174" t="s">
        <v>49</v>
      </c>
      <c r="L3" s="176" t="s">
        <v>13</v>
      </c>
      <c r="M3" s="175" t="s">
        <v>14</v>
      </c>
      <c r="N3" s="175" t="s">
        <v>15</v>
      </c>
      <c r="O3" s="177" t="s">
        <v>16</v>
      </c>
      <c r="P3" s="177" t="s">
        <v>100</v>
      </c>
      <c r="Q3" s="177" t="s">
        <v>178</v>
      </c>
      <c r="R3" s="177" t="s">
        <v>354</v>
      </c>
      <c r="S3" s="419" t="s">
        <v>417</v>
      </c>
      <c r="T3" s="174" t="s">
        <v>49</v>
      </c>
      <c r="U3" s="176" t="s">
        <v>13</v>
      </c>
      <c r="V3" s="175" t="s">
        <v>14</v>
      </c>
      <c r="W3" s="175" t="s">
        <v>15</v>
      </c>
      <c r="X3" s="177" t="s">
        <v>16</v>
      </c>
      <c r="Y3" s="177" t="s">
        <v>100</v>
      </c>
      <c r="Z3" s="177" t="s">
        <v>178</v>
      </c>
      <c r="AA3" s="177" t="s">
        <v>354</v>
      </c>
      <c r="AB3" s="419" t="s">
        <v>417</v>
      </c>
      <c r="AC3" s="174" t="s">
        <v>49</v>
      </c>
      <c r="AD3" s="176" t="s">
        <v>13</v>
      </c>
      <c r="AE3" s="175" t="s">
        <v>14</v>
      </c>
      <c r="AF3" s="175" t="s">
        <v>15</v>
      </c>
      <c r="AG3" s="177" t="s">
        <v>16</v>
      </c>
      <c r="AH3" s="177" t="s">
        <v>100</v>
      </c>
      <c r="AI3" s="177" t="s">
        <v>178</v>
      </c>
      <c r="AJ3" s="177" t="s">
        <v>354</v>
      </c>
      <c r="AK3" s="419" t="s">
        <v>417</v>
      </c>
      <c r="AL3" s="174" t="s">
        <v>49</v>
      </c>
      <c r="AM3" s="176" t="s">
        <v>13</v>
      </c>
      <c r="AN3" s="175" t="s">
        <v>14</v>
      </c>
      <c r="AO3" s="175" t="s">
        <v>15</v>
      </c>
      <c r="AP3" s="177" t="s">
        <v>16</v>
      </c>
      <c r="AQ3" s="177" t="s">
        <v>100</v>
      </c>
      <c r="AR3" s="177" t="s">
        <v>178</v>
      </c>
      <c r="AS3" s="177" t="s">
        <v>354</v>
      </c>
      <c r="AT3" s="419" t="s">
        <v>417</v>
      </c>
      <c r="AU3" s="174" t="s">
        <v>49</v>
      </c>
      <c r="AV3" s="176" t="s">
        <v>13</v>
      </c>
      <c r="AW3" s="175" t="s">
        <v>14</v>
      </c>
      <c r="AX3" s="175" t="s">
        <v>15</v>
      </c>
      <c r="AY3" s="177" t="s">
        <v>16</v>
      </c>
      <c r="AZ3" s="177" t="s">
        <v>100</v>
      </c>
      <c r="BA3" s="177" t="s">
        <v>178</v>
      </c>
      <c r="BB3" s="177" t="s">
        <v>354</v>
      </c>
      <c r="BC3" s="419" t="s">
        <v>417</v>
      </c>
      <c r="BD3" s="174" t="s">
        <v>49</v>
      </c>
      <c r="BE3" s="176" t="s">
        <v>13</v>
      </c>
      <c r="BF3" s="175" t="s">
        <v>14</v>
      </c>
      <c r="BG3" s="175" t="s">
        <v>15</v>
      </c>
      <c r="BH3" s="177" t="s">
        <v>16</v>
      </c>
      <c r="BI3" s="177" t="s">
        <v>100</v>
      </c>
      <c r="BJ3" s="177" t="s">
        <v>178</v>
      </c>
      <c r="BK3" s="177" t="s">
        <v>354</v>
      </c>
      <c r="BL3" s="419" t="s">
        <v>417</v>
      </c>
      <c r="BM3" s="174" t="s">
        <v>49</v>
      </c>
      <c r="BN3" s="176" t="s">
        <v>13</v>
      </c>
      <c r="BO3" s="175" t="s">
        <v>14</v>
      </c>
      <c r="BP3" s="175" t="s">
        <v>15</v>
      </c>
      <c r="BQ3" s="177" t="s">
        <v>16</v>
      </c>
      <c r="BR3" s="177" t="s">
        <v>100</v>
      </c>
      <c r="BS3" s="177" t="s">
        <v>178</v>
      </c>
      <c r="BT3" s="177" t="s">
        <v>354</v>
      </c>
      <c r="BU3" s="419" t="s">
        <v>417</v>
      </c>
      <c r="BV3" s="174" t="s">
        <v>49</v>
      </c>
      <c r="BX3" s="176" t="s">
        <v>13</v>
      </c>
      <c r="BY3" s="175" t="s">
        <v>14</v>
      </c>
      <c r="BZ3" s="175" t="s">
        <v>15</v>
      </c>
      <c r="CA3" s="175" t="s">
        <v>16</v>
      </c>
      <c r="CB3" s="177" t="s">
        <v>100</v>
      </c>
      <c r="CC3" s="177" t="s">
        <v>178</v>
      </c>
      <c r="CD3" s="174" t="s">
        <v>354</v>
      </c>
      <c r="CE3" s="420" t="s">
        <v>417</v>
      </c>
      <c r="CG3" s="176" t="s">
        <v>13</v>
      </c>
      <c r="CH3" s="175" t="s">
        <v>14</v>
      </c>
      <c r="CI3" s="175" t="s">
        <v>15</v>
      </c>
      <c r="CJ3" s="175" t="s">
        <v>16</v>
      </c>
      <c r="CK3" s="175" t="s">
        <v>100</v>
      </c>
      <c r="CL3" s="175" t="s">
        <v>178</v>
      </c>
      <c r="CM3" s="174" t="s">
        <v>354</v>
      </c>
      <c r="CN3" s="420" t="s">
        <v>417</v>
      </c>
      <c r="CP3" s="181" t="s">
        <v>1</v>
      </c>
      <c r="CQ3" s="181" t="s">
        <v>1</v>
      </c>
      <c r="CR3" s="183">
        <v>1</v>
      </c>
      <c r="CS3" s="184"/>
      <c r="CT3" s="182" t="s">
        <v>1</v>
      </c>
      <c r="CU3" s="182" t="s">
        <v>1</v>
      </c>
      <c r="CV3" s="185">
        <f>'[1]Margin Calculation'!AF11</f>
        <v>1</v>
      </c>
    </row>
    <row r="4" spans="2:100" ht="13.5" thickBot="1" x14ac:dyDescent="0.3">
      <c r="B4" s="173"/>
      <c r="C4" s="328" t="s">
        <v>1</v>
      </c>
      <c r="D4" s="329"/>
      <c r="E4" s="329"/>
      <c r="F4" s="329"/>
      <c r="G4" s="329"/>
      <c r="H4" s="329"/>
      <c r="I4" s="329"/>
      <c r="J4" s="329"/>
      <c r="K4" s="330"/>
      <c r="L4" s="328" t="s">
        <v>2</v>
      </c>
      <c r="M4" s="329"/>
      <c r="N4" s="329"/>
      <c r="O4" s="329"/>
      <c r="P4" s="329"/>
      <c r="Q4" s="329"/>
      <c r="R4" s="329"/>
      <c r="S4" s="329"/>
      <c r="T4" s="330"/>
      <c r="U4" s="328" t="s">
        <v>259</v>
      </c>
      <c r="V4" s="329"/>
      <c r="W4" s="329"/>
      <c r="X4" s="329"/>
      <c r="Y4" s="329"/>
      <c r="Z4" s="329"/>
      <c r="AA4" s="329"/>
      <c r="AB4" s="329"/>
      <c r="AC4" s="330"/>
      <c r="AD4" s="328" t="s">
        <v>352</v>
      </c>
      <c r="AE4" s="329"/>
      <c r="AF4" s="329"/>
      <c r="AG4" s="329"/>
      <c r="AH4" s="329"/>
      <c r="AI4" s="329"/>
      <c r="AJ4" s="329"/>
      <c r="AK4" s="329"/>
      <c r="AL4" s="330"/>
      <c r="AM4" s="328" t="s">
        <v>101</v>
      </c>
      <c r="AN4" s="329"/>
      <c r="AO4" s="329"/>
      <c r="AP4" s="329"/>
      <c r="AQ4" s="329"/>
      <c r="AR4" s="329"/>
      <c r="AS4" s="329"/>
      <c r="AT4" s="329"/>
      <c r="AU4" s="330"/>
      <c r="AV4" s="328" t="s">
        <v>85</v>
      </c>
      <c r="AW4" s="329"/>
      <c r="AX4" s="329"/>
      <c r="AY4" s="329"/>
      <c r="AZ4" s="329"/>
      <c r="BA4" s="329"/>
      <c r="BB4" s="329"/>
      <c r="BC4" s="329"/>
      <c r="BD4" s="330"/>
      <c r="BE4" s="328" t="s">
        <v>427</v>
      </c>
      <c r="BF4" s="329"/>
      <c r="BG4" s="329"/>
      <c r="BH4" s="329"/>
      <c r="BI4" s="329"/>
      <c r="BJ4" s="329"/>
      <c r="BK4" s="329"/>
      <c r="BL4" s="329"/>
      <c r="BM4" s="330"/>
      <c r="BN4" s="328" t="s">
        <v>429</v>
      </c>
      <c r="BO4" s="329"/>
      <c r="BP4" s="329"/>
      <c r="BQ4" s="329"/>
      <c r="BR4" s="329"/>
      <c r="BS4" s="329"/>
      <c r="BT4" s="329"/>
      <c r="BU4" s="329"/>
      <c r="BV4" s="330"/>
      <c r="BX4" s="173"/>
      <c r="BY4" s="172"/>
      <c r="BZ4" s="172"/>
      <c r="CA4" s="172"/>
      <c r="CB4" s="180"/>
      <c r="CC4" s="180"/>
      <c r="CD4" s="339"/>
      <c r="CE4" s="339"/>
      <c r="CG4" s="173" t="s">
        <v>1</v>
      </c>
      <c r="CH4" s="172" t="s">
        <v>2</v>
      </c>
      <c r="CI4" s="172" t="s">
        <v>1</v>
      </c>
      <c r="CJ4" s="172" t="s">
        <v>85</v>
      </c>
      <c r="CK4" s="172" t="s">
        <v>101</v>
      </c>
      <c r="CL4" s="172" t="s">
        <v>179</v>
      </c>
      <c r="CM4" s="339" t="s">
        <v>352</v>
      </c>
      <c r="CN4" s="421" t="s">
        <v>2</v>
      </c>
      <c r="CP4" s="182" t="s">
        <v>1</v>
      </c>
      <c r="CQ4" s="182" t="s">
        <v>2</v>
      </c>
      <c r="CR4" s="184">
        <v>1.3</v>
      </c>
      <c r="CS4" s="184"/>
      <c r="CT4" s="181" t="s">
        <v>1</v>
      </c>
      <c r="CU4" s="181" t="s">
        <v>2</v>
      </c>
      <c r="CV4" s="186">
        <f>'[1]Margin Calculation'!AF12</f>
        <v>1.1195999999999999</v>
      </c>
    </row>
    <row r="5" spans="2:100" x14ac:dyDescent="0.25">
      <c r="B5" s="340">
        <v>100</v>
      </c>
      <c r="C5" s="280">
        <f>CG5</f>
        <v>193.85086253322027</v>
      </c>
      <c r="D5" s="281">
        <f>CH5/$CV$4</f>
        <v>0</v>
      </c>
      <c r="E5" s="281">
        <f t="shared" ref="E5:E23" si="0">CI5</f>
        <v>0</v>
      </c>
      <c r="F5" s="281">
        <f>CJ5/$CV$6</f>
        <v>0</v>
      </c>
      <c r="G5" s="281">
        <f>IFERROR(CK5/$CV$7,"")</f>
        <v>0</v>
      </c>
      <c r="H5" s="281">
        <f>IFERROR(CL5/$CV$8,"")</f>
        <v>0</v>
      </c>
      <c r="I5" s="281">
        <f>IFERROR(CM5/$CV$9,"")</f>
        <v>0</v>
      </c>
      <c r="J5" s="281">
        <f>CN5/$CV$4</f>
        <v>0</v>
      </c>
      <c r="K5" s="281">
        <f>'[1]Margin Calculation'!P11/$CV$4</f>
        <v>102.71525544837442</v>
      </c>
      <c r="L5" s="280">
        <f>CG5/$CV$13</f>
        <v>217.0354256921934</v>
      </c>
      <c r="M5" s="281">
        <f t="shared" ref="M5:M23" si="1">CH5</f>
        <v>0</v>
      </c>
      <c r="N5" s="281">
        <f>CI5/$CV$13</f>
        <v>0</v>
      </c>
      <c r="O5" s="281">
        <f>CJ5/$CV$16</f>
        <v>0</v>
      </c>
      <c r="P5" s="281">
        <f>IFERROR(CK5/$CV$17,"")</f>
        <v>0</v>
      </c>
      <c r="Q5" s="281">
        <f>IFERROR(CL5/$CV$18,"")</f>
        <v>0</v>
      </c>
      <c r="R5" s="281">
        <f>IFERROR(CM5/$CV$19,"")</f>
        <v>0</v>
      </c>
      <c r="S5" s="281">
        <f t="shared" ref="S5:S23" si="2">CN5</f>
        <v>0</v>
      </c>
      <c r="T5" s="281">
        <f>'[1]Margin Calculation'!P11</f>
        <v>115</v>
      </c>
      <c r="U5" s="280">
        <f>CG5/$CV$23</f>
        <v>161.94882608612821</v>
      </c>
      <c r="V5" s="281">
        <f>CH5/$CV$24</f>
        <v>0</v>
      </c>
      <c r="W5" s="281">
        <f>CI5/$CV$23</f>
        <v>0</v>
      </c>
      <c r="X5" s="281">
        <f>CJ5/$CV$26</f>
        <v>0</v>
      </c>
      <c r="Y5" s="281">
        <f>CK5/$CV$27</f>
        <v>0</v>
      </c>
      <c r="Z5" s="281">
        <f>CL5/$CV$28</f>
        <v>0</v>
      </c>
      <c r="AA5" s="281">
        <f>CM5/$CV$29</f>
        <v>0</v>
      </c>
      <c r="AB5" s="281">
        <f>CN5/$CV$24</f>
        <v>0</v>
      </c>
      <c r="AC5" s="281">
        <f>'[1]Margin Calculation'!P11/$CV$24</f>
        <v>85.811849999999993</v>
      </c>
      <c r="AD5" s="280">
        <f t="shared" ref="AD5:AD23" si="3">CG5/$CV$63</f>
        <v>1521.9425068345654</v>
      </c>
      <c r="AE5" s="281">
        <f t="shared" ref="AE5:AE23" si="4">CH5/$CV$64</f>
        <v>0</v>
      </c>
      <c r="AF5" s="281">
        <f t="shared" ref="AF5:AF23" si="5">CI5/$CV$63</f>
        <v>0</v>
      </c>
      <c r="AG5" s="281">
        <f t="shared" ref="AG5:AG23" si="6">CJ5/$CV$66</f>
        <v>0</v>
      </c>
      <c r="AH5" s="281">
        <f t="shared" ref="AH5:AH23" si="7">CK5/$CV$67</f>
        <v>0</v>
      </c>
      <c r="AI5" s="281">
        <f t="shared" ref="AI5:AI23" si="8">CL5/$CV$68</f>
        <v>0</v>
      </c>
      <c r="AJ5" s="281">
        <f>CM5</f>
        <v>0</v>
      </c>
      <c r="AK5" s="281">
        <f t="shared" ref="AK5:AK23" si="9">CN5/$CV$64</f>
        <v>0</v>
      </c>
      <c r="AL5" s="281">
        <f>'[1]Margin Calculation'!P11/$CV$64</f>
        <v>806.42830000000004</v>
      </c>
      <c r="AM5" s="280">
        <f>CG5/$CV$33</f>
        <v>4261.6561321028212</v>
      </c>
      <c r="AN5" s="281">
        <f>CH5/$CV$34</f>
        <v>0</v>
      </c>
      <c r="AO5" s="281">
        <f>CI5/$CV$33</f>
        <v>0</v>
      </c>
      <c r="AP5" s="281">
        <f>CJ5/$CV$36</f>
        <v>0</v>
      </c>
      <c r="AQ5" s="281">
        <f>CK5</f>
        <v>0</v>
      </c>
      <c r="AR5" s="281">
        <f>CL5/$CV$38</f>
        <v>0</v>
      </c>
      <c r="AS5" s="281">
        <f>CM5/$CV$39</f>
        <v>0</v>
      </c>
      <c r="AT5" s="281">
        <f>CN5/$CV$34</f>
        <v>0</v>
      </c>
      <c r="AU5" s="281">
        <f>'[1]Margin Calculation'!P11/$CV$34</f>
        <v>2258.1124000000004</v>
      </c>
      <c r="AV5" s="280">
        <f t="shared" ref="AV5:AV23" si="10">CG5/$CV$43</f>
        <v>1172.8752586709959</v>
      </c>
      <c r="AW5" s="281">
        <f t="shared" ref="AW5:AW23" si="11">CH5/$CV$44</f>
        <v>0</v>
      </c>
      <c r="AX5" s="281">
        <f t="shared" ref="AX5:AX23" si="12">CI5/$CV$43</f>
        <v>0</v>
      </c>
      <c r="AY5" s="281">
        <f>CJ5</f>
        <v>0</v>
      </c>
      <c r="AZ5" s="281">
        <f t="shared" ref="AZ5:AZ23" si="13">CK5/$CV$47</f>
        <v>0</v>
      </c>
      <c r="BA5" s="281">
        <f t="shared" ref="BA5:BA23" si="14">CL5/$CV$48</f>
        <v>0</v>
      </c>
      <c r="BB5" s="281">
        <f t="shared" ref="BB5:BB23" si="15">CM5/$CV$49</f>
        <v>0</v>
      </c>
      <c r="BC5" s="281">
        <f t="shared" ref="BC5:BC23" si="16">CN5/$CV$44</f>
        <v>0</v>
      </c>
      <c r="BD5" s="341">
        <f>'[1]Margin Calculation'!P11/$CV$44</f>
        <v>621.46804999999995</v>
      </c>
      <c r="BE5" s="280">
        <f t="shared" ref="BE5:BE23" si="17">CG5/$CV$73</f>
        <v>2190.5147466253889</v>
      </c>
      <c r="BF5" s="281">
        <f t="shared" ref="BF5:BF23" si="18">CH5/$CV$74</f>
        <v>0</v>
      </c>
      <c r="BG5" s="281">
        <f t="shared" ref="BG5:BG23" si="19">CI5/$CV$73</f>
        <v>0</v>
      </c>
      <c r="BH5" s="281">
        <f t="shared" ref="BH5:BH23" si="20">CJ5/$CV$76</f>
        <v>0</v>
      </c>
      <c r="BI5" s="281">
        <f t="shared" ref="BI5:BI23" si="21">CK5/$CV$77</f>
        <v>0</v>
      </c>
      <c r="BJ5" s="281">
        <f t="shared" ref="BJ5:BJ23" si="22">CL5/$CV$78</f>
        <v>0</v>
      </c>
      <c r="BK5" s="281">
        <f t="shared" ref="BK5:BK23" si="23">CM5/$CV$79</f>
        <v>0</v>
      </c>
      <c r="BL5" s="281">
        <f t="shared" ref="BL5:BL23" si="24">CN5/$CV$74</f>
        <v>0</v>
      </c>
      <c r="BM5" s="341">
        <f>'[1]Margin Calculation'!P11/$CV$74</f>
        <v>1160.68235</v>
      </c>
      <c r="BN5" s="280">
        <f t="shared" ref="BN5:BN23" si="25">CG5/$CV$83</f>
        <v>814.17362263952521</v>
      </c>
      <c r="BO5" s="281">
        <f t="shared" ref="BO5:BO23" si="26">CH5/$CV$74</f>
        <v>0</v>
      </c>
      <c r="BP5" s="281">
        <f t="shared" ref="BP5:BP23" si="27">CI5/$CV$83</f>
        <v>0</v>
      </c>
      <c r="BQ5" s="281">
        <f t="shared" ref="BQ5:BQ23" si="28">CJ5/$CV$86</f>
        <v>0</v>
      </c>
      <c r="BR5" s="281">
        <f t="shared" ref="BR5:BR23" si="29">CK5/$CV$77</f>
        <v>0</v>
      </c>
      <c r="BS5" s="281">
        <f t="shared" ref="BS5:BS23" si="30">CL5/$CV$88</f>
        <v>0</v>
      </c>
      <c r="BT5" s="281">
        <f t="shared" ref="BT5:BT23" si="31">CM5/$CV$89</f>
        <v>0</v>
      </c>
      <c r="BU5" s="281">
        <f t="shared" ref="BU5:BU23" si="32">CN5/$CV$84</f>
        <v>0</v>
      </c>
      <c r="BV5" s="341">
        <f>'[1]Margin Calculation'!P11/$CV$84</f>
        <v>431.40410000000003</v>
      </c>
      <c r="BW5" s="164"/>
      <c r="BX5" s="342">
        <v>193.85086253322027</v>
      </c>
      <c r="BY5" s="343">
        <v>0</v>
      </c>
      <c r="BZ5" s="343">
        <v>0</v>
      </c>
      <c r="CA5" s="343">
        <v>0</v>
      </c>
      <c r="CB5" s="343">
        <v>0</v>
      </c>
      <c r="CC5" s="343">
        <v>0</v>
      </c>
      <c r="CD5" s="344">
        <v>0</v>
      </c>
      <c r="CE5" s="344">
        <v>0</v>
      </c>
      <c r="CF5" s="164"/>
      <c r="CG5" s="280">
        <f t="shared" ref="CG5:CG23" si="33">BX5*$CR$3</f>
        <v>193.85086253322027</v>
      </c>
      <c r="CH5" s="345">
        <f t="shared" ref="CH5:CH23" si="34">BY5*$CR$4</f>
        <v>0</v>
      </c>
      <c r="CI5" s="345">
        <f t="shared" ref="CI5:CI23" si="35">BZ5*$CR$3</f>
        <v>0</v>
      </c>
      <c r="CJ5" s="345">
        <f t="shared" ref="CJ5:CJ23" si="36">CA5*$CR$5</f>
        <v>0</v>
      </c>
      <c r="CK5" s="345">
        <f t="shared" ref="CK5:CK23" si="37">CB5*$CR$6</f>
        <v>0</v>
      </c>
      <c r="CL5" s="345">
        <f>CC5*$CR$7</f>
        <v>0</v>
      </c>
      <c r="CM5" s="346">
        <f>CD5*$CR$8</f>
        <v>0</v>
      </c>
      <c r="CN5" s="346">
        <f>CE5*$CR$4</f>
        <v>0</v>
      </c>
      <c r="CP5" s="181" t="s">
        <v>1</v>
      </c>
      <c r="CQ5" s="181" t="s">
        <v>85</v>
      </c>
      <c r="CR5" s="183">
        <v>2.6</v>
      </c>
      <c r="CS5" s="184"/>
      <c r="CT5" s="182" t="s">
        <v>1</v>
      </c>
      <c r="CU5" s="182" t="s">
        <v>259</v>
      </c>
      <c r="CV5" s="185">
        <f>'[1]Margin Calculation'!AF13</f>
        <v>0.83543000000000001</v>
      </c>
    </row>
    <row r="6" spans="2:100" x14ac:dyDescent="0.25">
      <c r="B6" s="170">
        <v>101</v>
      </c>
      <c r="C6" s="168">
        <f t="shared" ref="C6:C23" si="38">CG6</f>
        <v>221.14716892123647</v>
      </c>
      <c r="D6" s="169">
        <f t="shared" ref="D6:D23" si="39">CH6/$CV$4</f>
        <v>0</v>
      </c>
      <c r="E6" s="169">
        <f t="shared" si="0"/>
        <v>0</v>
      </c>
      <c r="F6" s="169">
        <f t="shared" ref="F6:F23" si="40">CJ6/$CV$6</f>
        <v>110.14152896057203</v>
      </c>
      <c r="G6" s="169">
        <f t="shared" ref="G6:G23" si="41">IFERROR(CK6/$CV$7,"")</f>
        <v>0</v>
      </c>
      <c r="H6" s="169">
        <f t="shared" ref="H6:H23" si="42">IFERROR(CL6/$CV$8,"")</f>
        <v>0</v>
      </c>
      <c r="I6" s="169">
        <f t="shared" ref="I6:I23" si="43">IFERROR(CM6/$CV$9,"")</f>
        <v>0</v>
      </c>
      <c r="J6" s="169">
        <f t="shared" ref="J6:J23" si="44">CN6/$CV$4</f>
        <v>0</v>
      </c>
      <c r="K6" s="169">
        <f>'[1]Margin Calculation'!P12/$CV$4</f>
        <v>129.51053947838514</v>
      </c>
      <c r="L6" s="168">
        <f t="shared" ref="L6:N23" si="45">CG6/$CV$13</f>
        <v>247.59637032421634</v>
      </c>
      <c r="M6" s="169">
        <f t="shared" si="1"/>
        <v>0</v>
      </c>
      <c r="N6" s="169">
        <f t="shared" si="45"/>
        <v>0</v>
      </c>
      <c r="O6" s="169">
        <f t="shared" ref="O6:O23" si="46">CJ6/$CV$16</f>
        <v>123.31452161482827</v>
      </c>
      <c r="P6" s="169">
        <f t="shared" ref="P6:P23" si="47">IFERROR(CK6/$CV$17,"")</f>
        <v>0</v>
      </c>
      <c r="Q6" s="169">
        <f t="shared" ref="Q6:Q23" si="48">IFERROR(CL6/$CV$18,"")</f>
        <v>0</v>
      </c>
      <c r="R6" s="169">
        <f t="shared" ref="R6:R23" si="49">IFERROR(CM6/$CV$19,"")</f>
        <v>0</v>
      </c>
      <c r="S6" s="169">
        <f t="shared" si="2"/>
        <v>0</v>
      </c>
      <c r="T6" s="169">
        <f>'[1]Margin Calculation'!P12</f>
        <v>145</v>
      </c>
      <c r="U6" s="168">
        <f t="shared" ref="U6:W23" si="50">CG6/$CV$23</f>
        <v>184.7529793318686</v>
      </c>
      <c r="V6" s="169">
        <f t="shared" ref="V6:V23" si="51">CH6/$CV$24</f>
        <v>0</v>
      </c>
      <c r="W6" s="169">
        <f t="shared" si="50"/>
        <v>0</v>
      </c>
      <c r="X6" s="169">
        <f t="shared" ref="X6:X23" si="52">CJ6/$CV$26</f>
        <v>92.015518197778732</v>
      </c>
      <c r="Y6" s="169">
        <f t="shared" ref="Y6:Y23" si="53">CK6/$CV$27</f>
        <v>0</v>
      </c>
      <c r="Z6" s="169">
        <f t="shared" ref="Z6:Z23" si="54">CL6/$CV$28</f>
        <v>0</v>
      </c>
      <c r="AA6" s="169">
        <f t="shared" ref="AA6:AA23" si="55">CM6/$CV$29</f>
        <v>0</v>
      </c>
      <c r="AB6" s="169">
        <f t="shared" ref="AB6:AB23" si="56">CN6/$CV$24</f>
        <v>0</v>
      </c>
      <c r="AC6" s="169">
        <f>'[1]Margin Calculation'!P12/$CV$24</f>
        <v>108.19754999999999</v>
      </c>
      <c r="AD6" s="168">
        <f t="shared" si="3"/>
        <v>1736.2485379175193</v>
      </c>
      <c r="AE6" s="169">
        <f t="shared" si="4"/>
        <v>0</v>
      </c>
      <c r="AF6" s="169">
        <f t="shared" si="5"/>
        <v>0</v>
      </c>
      <c r="AG6" s="169">
        <f t="shared" si="6"/>
        <v>864.73436613971955</v>
      </c>
      <c r="AH6" s="169">
        <f t="shared" si="7"/>
        <v>0</v>
      </c>
      <c r="AI6" s="169">
        <f t="shared" si="8"/>
        <v>0</v>
      </c>
      <c r="AJ6" s="169">
        <f t="shared" ref="AJ6:AJ23" si="57">CM6</f>
        <v>0</v>
      </c>
      <c r="AK6" s="169">
        <f t="shared" si="9"/>
        <v>0</v>
      </c>
      <c r="AL6" s="169">
        <f>'[1]Margin Calculation'!P12/$CV$64</f>
        <v>1016.8009000000001</v>
      </c>
      <c r="AM6" s="168">
        <f t="shared" ref="AM6:AO23" si="58">CG6/$CV$33</f>
        <v>4861.7435909982469</v>
      </c>
      <c r="AN6" s="169">
        <f t="shared" ref="AN6:AN23" si="59">CH6/$CV$34</f>
        <v>0</v>
      </c>
      <c r="AO6" s="169">
        <f t="shared" si="58"/>
        <v>0</v>
      </c>
      <c r="AP6" s="169">
        <f t="shared" ref="AP6:AP23" si="60">CJ6/$CV$36</f>
        <v>2421.3721788446019</v>
      </c>
      <c r="AQ6" s="169">
        <f t="shared" ref="AQ6:AQ23" si="61">CK6</f>
        <v>0</v>
      </c>
      <c r="AR6" s="169">
        <f t="shared" ref="AR6:AR23" si="62">CL6/$CV$38</f>
        <v>0</v>
      </c>
      <c r="AS6" s="169">
        <f t="shared" ref="AS6:AS23" si="63">CM6/$CV$39</f>
        <v>0</v>
      </c>
      <c r="AT6" s="169">
        <f t="shared" ref="AT6:AT23" si="64">CN6/$CV$34</f>
        <v>0</v>
      </c>
      <c r="AU6" s="169">
        <f>'[1]Margin Calculation'!P12/$CV$34</f>
        <v>2847.1852000000003</v>
      </c>
      <c r="AV6" s="168">
        <f t="shared" si="10"/>
        <v>1338.0288308410491</v>
      </c>
      <c r="AW6" s="169">
        <f t="shared" si="11"/>
        <v>0</v>
      </c>
      <c r="AX6" s="169">
        <f t="shared" si="12"/>
        <v>0</v>
      </c>
      <c r="AY6" s="169">
        <f t="shared" ref="AY6:AY23" si="65">CJ6</f>
        <v>666.40030682304496</v>
      </c>
      <c r="AZ6" s="169">
        <f t="shared" si="13"/>
        <v>0</v>
      </c>
      <c r="BA6" s="169">
        <f t="shared" si="14"/>
        <v>0</v>
      </c>
      <c r="BB6" s="169">
        <f t="shared" si="15"/>
        <v>0</v>
      </c>
      <c r="BC6" s="169">
        <f t="shared" si="16"/>
        <v>0</v>
      </c>
      <c r="BD6" s="347">
        <f>'[1]Margin Calculation'!P12/$CV$44</f>
        <v>783.59014999999999</v>
      </c>
      <c r="BE6" s="168">
        <f t="shared" si="17"/>
        <v>2498.9630088099721</v>
      </c>
      <c r="BF6" s="169">
        <f t="shared" si="18"/>
        <v>0</v>
      </c>
      <c r="BG6" s="169">
        <f t="shared" si="19"/>
        <v>0</v>
      </c>
      <c r="BH6" s="169">
        <f t="shared" si="20"/>
        <v>1244.6025330380598</v>
      </c>
      <c r="BI6" s="169">
        <f t="shared" si="21"/>
        <v>0</v>
      </c>
      <c r="BJ6" s="169">
        <f t="shared" si="22"/>
        <v>0</v>
      </c>
      <c r="BK6" s="169">
        <f t="shared" si="23"/>
        <v>0</v>
      </c>
      <c r="BL6" s="169">
        <f t="shared" si="24"/>
        <v>0</v>
      </c>
      <c r="BM6" s="347">
        <f>'[1]Margin Calculation'!P12/$CV$74</f>
        <v>1463.4690500000002</v>
      </c>
      <c r="BN6" s="168">
        <f t="shared" si="25"/>
        <v>928.81810946919325</v>
      </c>
      <c r="BO6" s="169">
        <f t="shared" si="26"/>
        <v>0</v>
      </c>
      <c r="BP6" s="169">
        <f t="shared" si="27"/>
        <v>0</v>
      </c>
      <c r="BQ6" s="169">
        <f t="shared" si="28"/>
        <v>462.59510098735308</v>
      </c>
      <c r="BR6" s="169">
        <f t="shared" si="29"/>
        <v>0</v>
      </c>
      <c r="BS6" s="169">
        <f t="shared" si="30"/>
        <v>0</v>
      </c>
      <c r="BT6" s="169">
        <f t="shared" si="31"/>
        <v>0</v>
      </c>
      <c r="BU6" s="169">
        <f t="shared" si="32"/>
        <v>0</v>
      </c>
      <c r="BV6" s="347">
        <f>'[1]Margin Calculation'!P12/$CV$84</f>
        <v>543.9443</v>
      </c>
      <c r="BW6" s="164"/>
      <c r="BX6" s="161">
        <v>221.14716892123647</v>
      </c>
      <c r="BY6" s="160">
        <v>0</v>
      </c>
      <c r="BZ6" s="160">
        <v>0</v>
      </c>
      <c r="CA6" s="160">
        <v>256.30781031655573</v>
      </c>
      <c r="CB6" s="160">
        <v>0</v>
      </c>
      <c r="CC6" s="160">
        <v>0</v>
      </c>
      <c r="CD6" s="348">
        <v>0</v>
      </c>
      <c r="CE6" s="348">
        <v>0</v>
      </c>
      <c r="CF6" s="164"/>
      <c r="CG6" s="168">
        <f t="shared" si="33"/>
        <v>221.14716892123647</v>
      </c>
      <c r="CH6" s="167">
        <f t="shared" si="34"/>
        <v>0</v>
      </c>
      <c r="CI6" s="167">
        <f t="shared" si="35"/>
        <v>0</v>
      </c>
      <c r="CJ6" s="167">
        <f t="shared" si="36"/>
        <v>666.40030682304496</v>
      </c>
      <c r="CK6" s="167">
        <f t="shared" si="37"/>
        <v>0</v>
      </c>
      <c r="CL6" s="167">
        <f t="shared" ref="CL6:CL23" si="66">CC6*$CR$7</f>
        <v>0</v>
      </c>
      <c r="CM6" s="349">
        <f t="shared" ref="CM6:CM23" si="67">CD6*$CR$8</f>
        <v>0</v>
      </c>
      <c r="CN6" s="349">
        <f t="shared" ref="CN6:CN23" si="68">CE6*$CR$4</f>
        <v>0</v>
      </c>
      <c r="CP6" s="182" t="s">
        <v>1</v>
      </c>
      <c r="CQ6" s="182" t="s">
        <v>101</v>
      </c>
      <c r="CR6" s="184">
        <v>16.8</v>
      </c>
      <c r="CS6" s="184"/>
      <c r="CT6" s="181" t="s">
        <v>1</v>
      </c>
      <c r="CU6" s="181" t="s">
        <v>85</v>
      </c>
      <c r="CV6" s="186">
        <f>'[1]Margin Calculation'!AF14</f>
        <v>6.0503999999999998</v>
      </c>
    </row>
    <row r="7" spans="2:100" x14ac:dyDescent="0.25">
      <c r="B7" s="170">
        <v>102</v>
      </c>
      <c r="C7" s="168">
        <f t="shared" si="38"/>
        <v>249.52216525735847</v>
      </c>
      <c r="D7" s="169">
        <f t="shared" si="39"/>
        <v>0</v>
      </c>
      <c r="E7" s="169">
        <f t="shared" si="0"/>
        <v>0</v>
      </c>
      <c r="F7" s="169">
        <f t="shared" si="40"/>
        <v>130.84749705422666</v>
      </c>
      <c r="G7" s="169">
        <f t="shared" si="41"/>
        <v>0</v>
      </c>
      <c r="H7" s="169">
        <f t="shared" si="42"/>
        <v>0</v>
      </c>
      <c r="I7" s="169">
        <f t="shared" si="43"/>
        <v>0</v>
      </c>
      <c r="J7" s="169">
        <f t="shared" si="44"/>
        <v>0</v>
      </c>
      <c r="K7" s="169">
        <f>'[1]Margin Calculation'!P13/$CV$4</f>
        <v>156.30582350839586</v>
      </c>
      <c r="L7" s="168">
        <f t="shared" si="45"/>
        <v>279.36501622213854</v>
      </c>
      <c r="M7" s="169">
        <f t="shared" si="1"/>
        <v>0</v>
      </c>
      <c r="N7" s="169">
        <f t="shared" si="45"/>
        <v>0</v>
      </c>
      <c r="O7" s="169">
        <f t="shared" si="46"/>
        <v>146.49693586072959</v>
      </c>
      <c r="P7" s="169">
        <f t="shared" si="47"/>
        <v>0</v>
      </c>
      <c r="Q7" s="169">
        <f t="shared" si="48"/>
        <v>0</v>
      </c>
      <c r="R7" s="169">
        <f t="shared" si="49"/>
        <v>0</v>
      </c>
      <c r="S7" s="169">
        <f t="shared" si="2"/>
        <v>0</v>
      </c>
      <c r="T7" s="169">
        <f>'[1]Margin Calculation'!P13</f>
        <v>175</v>
      </c>
      <c r="U7" s="168">
        <f t="shared" si="50"/>
        <v>208.45830252095499</v>
      </c>
      <c r="V7" s="169">
        <f t="shared" si="51"/>
        <v>0</v>
      </c>
      <c r="W7" s="169">
        <f t="shared" si="50"/>
        <v>0</v>
      </c>
      <c r="X7" s="169">
        <f t="shared" si="52"/>
        <v>109.31390148612353</v>
      </c>
      <c r="Y7" s="169">
        <f t="shared" si="53"/>
        <v>0</v>
      </c>
      <c r="Z7" s="169">
        <f t="shared" si="54"/>
        <v>0</v>
      </c>
      <c r="AA7" s="169">
        <f t="shared" si="55"/>
        <v>0</v>
      </c>
      <c r="AB7" s="169">
        <f t="shared" si="56"/>
        <v>0</v>
      </c>
      <c r="AC7" s="169">
        <f>'[1]Margin Calculation'!P13/$CV$24</f>
        <v>130.58324999999999</v>
      </c>
      <c r="AD7" s="168">
        <f t="shared" si="3"/>
        <v>1959.0234716520467</v>
      </c>
      <c r="AE7" s="169">
        <f t="shared" si="4"/>
        <v>0</v>
      </c>
      <c r="AF7" s="169">
        <f t="shared" si="5"/>
        <v>0</v>
      </c>
      <c r="AG7" s="169">
        <f t="shared" si="6"/>
        <v>1027.2994073530599</v>
      </c>
      <c r="AH7" s="169">
        <f t="shared" si="7"/>
        <v>0</v>
      </c>
      <c r="AI7" s="169">
        <f t="shared" si="8"/>
        <v>0</v>
      </c>
      <c r="AJ7" s="169">
        <f t="shared" si="57"/>
        <v>0</v>
      </c>
      <c r="AK7" s="169">
        <f t="shared" si="9"/>
        <v>0</v>
      </c>
      <c r="AL7" s="169">
        <f>'[1]Margin Calculation'!P13/$CV$64</f>
        <v>1227.1735000000001</v>
      </c>
      <c r="AM7" s="168">
        <f t="shared" si="58"/>
        <v>5485.5451854508201</v>
      </c>
      <c r="AN7" s="169">
        <f t="shared" si="59"/>
        <v>0</v>
      </c>
      <c r="AO7" s="169">
        <f t="shared" si="58"/>
        <v>0</v>
      </c>
      <c r="AP7" s="169">
        <f t="shared" si="60"/>
        <v>2876.5760928557024</v>
      </c>
      <c r="AQ7" s="169">
        <f t="shared" si="61"/>
        <v>0</v>
      </c>
      <c r="AR7" s="169">
        <f t="shared" si="62"/>
        <v>0</v>
      </c>
      <c r="AS7" s="169">
        <f t="shared" si="63"/>
        <v>0</v>
      </c>
      <c r="AT7" s="169">
        <f t="shared" si="64"/>
        <v>0</v>
      </c>
      <c r="AU7" s="169">
        <f>'[1]Margin Calculation'!P13/$CV$34</f>
        <v>3436.2580000000003</v>
      </c>
      <c r="AV7" s="168">
        <f t="shared" si="10"/>
        <v>1509.7089086731216</v>
      </c>
      <c r="AW7" s="169">
        <f t="shared" si="11"/>
        <v>0</v>
      </c>
      <c r="AX7" s="169">
        <f t="shared" si="12"/>
        <v>0</v>
      </c>
      <c r="AY7" s="169">
        <f t="shared" si="65"/>
        <v>791.679696176893</v>
      </c>
      <c r="AZ7" s="169">
        <f t="shared" si="13"/>
        <v>0</v>
      </c>
      <c r="BA7" s="169">
        <f t="shared" si="14"/>
        <v>0</v>
      </c>
      <c r="BB7" s="169">
        <f t="shared" si="15"/>
        <v>0</v>
      </c>
      <c r="BC7" s="169">
        <f t="shared" si="16"/>
        <v>0</v>
      </c>
      <c r="BD7" s="347">
        <f>'[1]Margin Calculation'!P13/$CV$44</f>
        <v>945.71224999999993</v>
      </c>
      <c r="BE7" s="168">
        <f t="shared" si="17"/>
        <v>2819.6004674081505</v>
      </c>
      <c r="BF7" s="169">
        <f t="shared" si="18"/>
        <v>0</v>
      </c>
      <c r="BG7" s="169">
        <f t="shared" si="19"/>
        <v>0</v>
      </c>
      <c r="BH7" s="169">
        <f t="shared" si="20"/>
        <v>1478.5805845647742</v>
      </c>
      <c r="BI7" s="169">
        <f t="shared" si="21"/>
        <v>0</v>
      </c>
      <c r="BJ7" s="169">
        <f t="shared" si="22"/>
        <v>0</v>
      </c>
      <c r="BK7" s="169">
        <f t="shared" si="23"/>
        <v>0</v>
      </c>
      <c r="BL7" s="169">
        <f t="shared" si="24"/>
        <v>0</v>
      </c>
      <c r="BM7" s="347">
        <f>'[1]Margin Calculation'!P13/$CV$74</f>
        <v>1766.25575</v>
      </c>
      <c r="BN7" s="168">
        <f t="shared" si="25"/>
        <v>1047.9930940809056</v>
      </c>
      <c r="BO7" s="169">
        <f t="shared" si="26"/>
        <v>0</v>
      </c>
      <c r="BP7" s="169">
        <f t="shared" si="27"/>
        <v>0</v>
      </c>
      <c r="BQ7" s="169">
        <f t="shared" si="28"/>
        <v>549.56029469511373</v>
      </c>
      <c r="BR7" s="169">
        <f t="shared" si="29"/>
        <v>0</v>
      </c>
      <c r="BS7" s="169">
        <f t="shared" si="30"/>
        <v>0</v>
      </c>
      <c r="BT7" s="169">
        <f t="shared" si="31"/>
        <v>0</v>
      </c>
      <c r="BU7" s="169">
        <f t="shared" si="32"/>
        <v>0</v>
      </c>
      <c r="BV7" s="347">
        <f>'[1]Margin Calculation'!P13/$CV$84</f>
        <v>656.48450000000003</v>
      </c>
      <c r="BW7" s="164"/>
      <c r="BX7" s="161">
        <v>249.52216525735847</v>
      </c>
      <c r="BY7" s="160">
        <v>0</v>
      </c>
      <c r="BZ7" s="160">
        <v>0</v>
      </c>
      <c r="CA7" s="160">
        <v>304.49219083726655</v>
      </c>
      <c r="CB7" s="160">
        <v>0</v>
      </c>
      <c r="CC7" s="160">
        <v>0</v>
      </c>
      <c r="CD7" s="348">
        <v>0</v>
      </c>
      <c r="CE7" s="348">
        <v>0</v>
      </c>
      <c r="CF7" s="164"/>
      <c r="CG7" s="168">
        <f t="shared" si="33"/>
        <v>249.52216525735847</v>
      </c>
      <c r="CH7" s="167">
        <f t="shared" si="34"/>
        <v>0</v>
      </c>
      <c r="CI7" s="167">
        <f t="shared" si="35"/>
        <v>0</v>
      </c>
      <c r="CJ7" s="167">
        <f t="shared" si="36"/>
        <v>791.679696176893</v>
      </c>
      <c r="CK7" s="167">
        <f t="shared" si="37"/>
        <v>0</v>
      </c>
      <c r="CL7" s="167">
        <f t="shared" si="66"/>
        <v>0</v>
      </c>
      <c r="CM7" s="349">
        <f t="shared" si="67"/>
        <v>0</v>
      </c>
      <c r="CN7" s="349">
        <f t="shared" si="68"/>
        <v>0</v>
      </c>
      <c r="CP7" s="181" t="s">
        <v>1</v>
      </c>
      <c r="CQ7" s="181" t="s">
        <v>179</v>
      </c>
      <c r="CR7" s="187">
        <v>718.9</v>
      </c>
      <c r="CS7" s="184"/>
      <c r="CT7" s="182" t="s">
        <v>1</v>
      </c>
      <c r="CU7" s="182" t="s">
        <v>101</v>
      </c>
      <c r="CV7" s="185">
        <f>'[1]Margin Calculation'!AF15</f>
        <v>21.984200000000001</v>
      </c>
    </row>
    <row r="8" spans="2:100" x14ac:dyDescent="0.25">
      <c r="B8" s="170">
        <v>200</v>
      </c>
      <c r="C8" s="168">
        <f t="shared" si="38"/>
        <v>298.70501586999956</v>
      </c>
      <c r="D8" s="169">
        <f t="shared" si="39"/>
        <v>0</v>
      </c>
      <c r="E8" s="169">
        <f t="shared" si="0"/>
        <v>0</v>
      </c>
      <c r="F8" s="169">
        <f t="shared" si="40"/>
        <v>152.04868603946511</v>
      </c>
      <c r="G8" s="169">
        <f t="shared" si="41"/>
        <v>0</v>
      </c>
      <c r="H8" s="169">
        <f t="shared" si="42"/>
        <v>0</v>
      </c>
      <c r="I8" s="169">
        <f t="shared" si="43"/>
        <v>0</v>
      </c>
      <c r="J8" s="169">
        <f t="shared" si="44"/>
        <v>407.35949460793375</v>
      </c>
      <c r="K8" s="169">
        <f>'[1]Margin Calculation'!P14/$CV$4</f>
        <v>183.10110753840658</v>
      </c>
      <c r="L8" s="168">
        <f t="shared" si="45"/>
        <v>334.43013576805146</v>
      </c>
      <c r="M8" s="169">
        <f t="shared" si="1"/>
        <v>0</v>
      </c>
      <c r="N8" s="169">
        <f t="shared" si="45"/>
        <v>0</v>
      </c>
      <c r="O8" s="169">
        <f t="shared" si="46"/>
        <v>170.23379971265726</v>
      </c>
      <c r="P8" s="169">
        <f t="shared" si="47"/>
        <v>0</v>
      </c>
      <c r="Q8" s="169">
        <f t="shared" si="48"/>
        <v>0</v>
      </c>
      <c r="R8" s="169">
        <f t="shared" si="49"/>
        <v>0</v>
      </c>
      <c r="S8" s="169">
        <f t="shared" si="2"/>
        <v>456.07969016304259</v>
      </c>
      <c r="T8" s="169">
        <f>'[1]Margin Calculation'!P14</f>
        <v>205</v>
      </c>
      <c r="U8" s="168">
        <f t="shared" si="50"/>
        <v>249.54713140827374</v>
      </c>
      <c r="V8" s="169">
        <f t="shared" si="51"/>
        <v>0</v>
      </c>
      <c r="W8" s="169">
        <f t="shared" si="50"/>
        <v>0</v>
      </c>
      <c r="X8" s="169">
        <f t="shared" si="52"/>
        <v>127.02600707695936</v>
      </c>
      <c r="Y8" s="169">
        <f t="shared" si="53"/>
        <v>0</v>
      </c>
      <c r="Z8" s="169">
        <f t="shared" si="54"/>
        <v>0</v>
      </c>
      <c r="AA8" s="169">
        <f t="shared" si="55"/>
        <v>0</v>
      </c>
      <c r="AB8" s="169">
        <f t="shared" si="56"/>
        <v>340.32210400276074</v>
      </c>
      <c r="AC8" s="169">
        <f>'[1]Margin Calculation'!P14/$CV$24</f>
        <v>152.96895000000001</v>
      </c>
      <c r="AD8" s="168">
        <f t="shared" si="3"/>
        <v>2345.1629500969534</v>
      </c>
      <c r="AE8" s="169">
        <f t="shared" si="4"/>
        <v>0</v>
      </c>
      <c r="AF8" s="169">
        <f t="shared" si="5"/>
        <v>0</v>
      </c>
      <c r="AG8" s="169">
        <f t="shared" si="6"/>
        <v>1193.7524872365022</v>
      </c>
      <c r="AH8" s="169">
        <f t="shared" si="7"/>
        <v>0</v>
      </c>
      <c r="AI8" s="169">
        <f t="shared" si="8"/>
        <v>0</v>
      </c>
      <c r="AJ8" s="169">
        <f t="shared" si="57"/>
        <v>0</v>
      </c>
      <c r="AK8" s="169">
        <f t="shared" si="9"/>
        <v>3198.2223408931231</v>
      </c>
      <c r="AL8" s="169">
        <f>'[1]Margin Calculation'!P14/$CV$64</f>
        <v>1437.5461</v>
      </c>
      <c r="AM8" s="168">
        <f t="shared" si="58"/>
        <v>6566.7908098892449</v>
      </c>
      <c r="AN8" s="169">
        <f t="shared" si="59"/>
        <v>0</v>
      </c>
      <c r="AO8" s="169">
        <f t="shared" si="58"/>
        <v>0</v>
      </c>
      <c r="AP8" s="169">
        <f t="shared" si="60"/>
        <v>3342.6670364965885</v>
      </c>
      <c r="AQ8" s="169">
        <f t="shared" si="61"/>
        <v>0</v>
      </c>
      <c r="AR8" s="169">
        <f t="shared" si="62"/>
        <v>0</v>
      </c>
      <c r="AS8" s="169">
        <f t="shared" si="63"/>
        <v>0</v>
      </c>
      <c r="AT8" s="169">
        <f t="shared" si="64"/>
        <v>8955.4713369158653</v>
      </c>
      <c r="AU8" s="169">
        <f>'[1]Margin Calculation'!P14/$CV$34</f>
        <v>4025.3308000000006</v>
      </c>
      <c r="AV8" s="168">
        <f t="shared" si="10"/>
        <v>1807.2848280198452</v>
      </c>
      <c r="AW8" s="169">
        <f t="shared" si="11"/>
        <v>0</v>
      </c>
      <c r="AX8" s="169">
        <f t="shared" si="12"/>
        <v>0</v>
      </c>
      <c r="AY8" s="169">
        <f t="shared" si="65"/>
        <v>919.95537001317973</v>
      </c>
      <c r="AZ8" s="169">
        <f t="shared" si="13"/>
        <v>0</v>
      </c>
      <c r="BA8" s="169">
        <f t="shared" si="14"/>
        <v>0</v>
      </c>
      <c r="BB8" s="169">
        <f t="shared" si="15"/>
        <v>0</v>
      </c>
      <c r="BC8" s="169">
        <f t="shared" si="16"/>
        <v>2464.6865712193935</v>
      </c>
      <c r="BD8" s="347">
        <f>'[1]Margin Calculation'!P14/$CV$44</f>
        <v>1107.8343499999999</v>
      </c>
      <c r="BE8" s="168">
        <f t="shared" si="17"/>
        <v>3375.3666793309949</v>
      </c>
      <c r="BF8" s="169">
        <f t="shared" si="18"/>
        <v>0</v>
      </c>
      <c r="BG8" s="169">
        <f t="shared" si="19"/>
        <v>0</v>
      </c>
      <c r="BH8" s="169">
        <f t="shared" si="20"/>
        <v>1718.1546468051149</v>
      </c>
      <c r="BI8" s="169">
        <f t="shared" si="21"/>
        <v>0</v>
      </c>
      <c r="BJ8" s="169">
        <f t="shared" si="22"/>
        <v>0</v>
      </c>
      <c r="BK8" s="169">
        <f t="shared" si="23"/>
        <v>0</v>
      </c>
      <c r="BL8" s="169">
        <f t="shared" si="24"/>
        <v>4603.162144049671</v>
      </c>
      <c r="BM8" s="347">
        <f>'[1]Margin Calculation'!P14/$CV$74</f>
        <v>2069.0424499999999</v>
      </c>
      <c r="BN8" s="168">
        <f t="shared" si="25"/>
        <v>1254.5610666539983</v>
      </c>
      <c r="BO8" s="169">
        <f t="shared" si="26"/>
        <v>0</v>
      </c>
      <c r="BP8" s="169">
        <f t="shared" si="27"/>
        <v>0</v>
      </c>
      <c r="BQ8" s="169">
        <f t="shared" si="28"/>
        <v>638.60541920204889</v>
      </c>
      <c r="BR8" s="169">
        <f t="shared" si="29"/>
        <v>0</v>
      </c>
      <c r="BS8" s="169">
        <f t="shared" si="30"/>
        <v>0</v>
      </c>
      <c r="BT8" s="169">
        <f t="shared" si="31"/>
        <v>0</v>
      </c>
      <c r="BU8" s="169">
        <f t="shared" si="32"/>
        <v>1710.9099848962283</v>
      </c>
      <c r="BV8" s="347">
        <f>'[1]Margin Calculation'!P14/$CV$84</f>
        <v>769.02470000000005</v>
      </c>
      <c r="BW8" s="164"/>
      <c r="BX8" s="161">
        <v>298.70501586999956</v>
      </c>
      <c r="BY8" s="160">
        <v>0</v>
      </c>
      <c r="BZ8" s="160">
        <v>0</v>
      </c>
      <c r="CA8" s="160">
        <v>353.8289884666076</v>
      </c>
      <c r="CB8" s="160">
        <v>0</v>
      </c>
      <c r="CC8" s="160">
        <v>0</v>
      </c>
      <c r="CD8" s="348">
        <v>0</v>
      </c>
      <c r="CE8" s="348">
        <v>350.83053089464812</v>
      </c>
      <c r="CF8" s="164"/>
      <c r="CG8" s="168">
        <f t="shared" si="33"/>
        <v>298.70501586999956</v>
      </c>
      <c r="CH8" s="167">
        <f t="shared" si="34"/>
        <v>0</v>
      </c>
      <c r="CI8" s="167">
        <f t="shared" si="35"/>
        <v>0</v>
      </c>
      <c r="CJ8" s="167">
        <f t="shared" si="36"/>
        <v>919.95537001317973</v>
      </c>
      <c r="CK8" s="167">
        <f t="shared" si="37"/>
        <v>0</v>
      </c>
      <c r="CL8" s="167">
        <f t="shared" si="66"/>
        <v>0</v>
      </c>
      <c r="CM8" s="349">
        <f t="shared" si="67"/>
        <v>0</v>
      </c>
      <c r="CN8" s="349">
        <f t="shared" si="68"/>
        <v>456.07969016304259</v>
      </c>
      <c r="CP8" s="182" t="s">
        <v>1</v>
      </c>
      <c r="CQ8" s="182" t="s">
        <v>352</v>
      </c>
      <c r="CR8" s="184">
        <v>7.5948884000000003</v>
      </c>
      <c r="CS8" s="184"/>
      <c r="CT8" s="181" t="s">
        <v>1</v>
      </c>
      <c r="CU8" s="181" t="s">
        <v>179</v>
      </c>
      <c r="CV8" s="186">
        <f>'[1]Margin Calculation'!AF16</f>
        <v>1006.073</v>
      </c>
    </row>
    <row r="9" spans="2:100" x14ac:dyDescent="0.25">
      <c r="B9" s="170">
        <v>201</v>
      </c>
      <c r="C9" s="168">
        <f t="shared" si="38"/>
        <v>324.68286644498613</v>
      </c>
      <c r="D9" s="169">
        <f t="shared" si="39"/>
        <v>0</v>
      </c>
      <c r="E9" s="169">
        <f t="shared" si="0"/>
        <v>0</v>
      </c>
      <c r="F9" s="169">
        <f t="shared" si="40"/>
        <v>210.97364816296334</v>
      </c>
      <c r="G9" s="169">
        <f t="shared" si="41"/>
        <v>408.16744812909366</v>
      </c>
      <c r="H9" s="169">
        <f t="shared" si="42"/>
        <v>0</v>
      </c>
      <c r="I9" s="169">
        <f t="shared" si="43"/>
        <v>0</v>
      </c>
      <c r="J9" s="169">
        <f t="shared" si="44"/>
        <v>334.77289862563623</v>
      </c>
      <c r="K9" s="169">
        <f>'[1]Margin Calculation'!P15/$CV$4</f>
        <v>209.8963915684173</v>
      </c>
      <c r="L9" s="168">
        <f t="shared" si="45"/>
        <v>363.51493727180645</v>
      </c>
      <c r="M9" s="169">
        <f t="shared" si="1"/>
        <v>0</v>
      </c>
      <c r="N9" s="169">
        <f t="shared" si="45"/>
        <v>0</v>
      </c>
      <c r="O9" s="169">
        <f t="shared" si="46"/>
        <v>236.2062225036303</v>
      </c>
      <c r="P9" s="169">
        <f t="shared" si="47"/>
        <v>456.98433944800814</v>
      </c>
      <c r="Q9" s="169">
        <f t="shared" si="48"/>
        <v>0</v>
      </c>
      <c r="R9" s="169">
        <f t="shared" si="49"/>
        <v>0</v>
      </c>
      <c r="S9" s="169">
        <f t="shared" si="2"/>
        <v>374.81173730126227</v>
      </c>
      <c r="T9" s="169">
        <f>'[1]Margin Calculation'!P15</f>
        <v>235</v>
      </c>
      <c r="U9" s="168">
        <f t="shared" si="50"/>
        <v>271.2498071141348</v>
      </c>
      <c r="V9" s="169">
        <f t="shared" si="51"/>
        <v>0</v>
      </c>
      <c r="W9" s="169">
        <f t="shared" si="50"/>
        <v>0</v>
      </c>
      <c r="X9" s="169">
        <f t="shared" si="52"/>
        <v>176.25367783608894</v>
      </c>
      <c r="Y9" s="169">
        <f t="shared" si="53"/>
        <v>340.99535559073041</v>
      </c>
      <c r="Z9" s="169">
        <f t="shared" si="54"/>
        <v>0</v>
      </c>
      <c r="AA9" s="169">
        <f t="shared" si="55"/>
        <v>0</v>
      </c>
      <c r="AB9" s="169">
        <f t="shared" si="56"/>
        <v>279.68077025682891</v>
      </c>
      <c r="AC9" s="169">
        <f>'[1]Margin Calculation'!P15/$CV$24</f>
        <v>175.35464999999999</v>
      </c>
      <c r="AD9" s="168">
        <f t="shared" si="3"/>
        <v>2549.1176527462303</v>
      </c>
      <c r="AE9" s="169">
        <f t="shared" si="4"/>
        <v>0</v>
      </c>
      <c r="AF9" s="169">
        <f t="shared" si="5"/>
        <v>0</v>
      </c>
      <c r="AG9" s="169">
        <f t="shared" si="6"/>
        <v>1656.3794386919399</v>
      </c>
      <c r="AH9" s="169">
        <f t="shared" si="7"/>
        <v>3204.5216164755634</v>
      </c>
      <c r="AI9" s="169">
        <f t="shared" si="8"/>
        <v>0</v>
      </c>
      <c r="AJ9" s="169">
        <f t="shared" si="57"/>
        <v>0</v>
      </c>
      <c r="AK9" s="169">
        <f t="shared" si="9"/>
        <v>2628.3373228861178</v>
      </c>
      <c r="AL9" s="169">
        <f>'[1]Margin Calculation'!P15/$CV$64</f>
        <v>1647.9186999999999</v>
      </c>
      <c r="AM9" s="168">
        <f t="shared" si="58"/>
        <v>7137.8930724998645</v>
      </c>
      <c r="AN9" s="169">
        <f t="shared" si="59"/>
        <v>0</v>
      </c>
      <c r="AO9" s="169">
        <f t="shared" si="58"/>
        <v>0</v>
      </c>
      <c r="AP9" s="169">
        <f t="shared" si="60"/>
        <v>4638.0845349806186</v>
      </c>
      <c r="AQ9" s="169">
        <f t="shared" si="61"/>
        <v>8973.2348131596209</v>
      </c>
      <c r="AR9" s="169">
        <f t="shared" si="62"/>
        <v>0</v>
      </c>
      <c r="AS9" s="169">
        <f t="shared" si="63"/>
        <v>0</v>
      </c>
      <c r="AT9" s="169">
        <f t="shared" si="64"/>
        <v>7359.7133188306343</v>
      </c>
      <c r="AU9" s="169">
        <f>'[1]Margin Calculation'!P15/$CV$34</f>
        <v>4614.4036000000006</v>
      </c>
      <c r="AV9" s="168">
        <f t="shared" si="10"/>
        <v>1964.4612151387441</v>
      </c>
      <c r="AW9" s="169">
        <f t="shared" si="11"/>
        <v>0</v>
      </c>
      <c r="AX9" s="169">
        <f t="shared" si="12"/>
        <v>0</v>
      </c>
      <c r="AY9" s="169">
        <f t="shared" si="65"/>
        <v>1276.4749608451934</v>
      </c>
      <c r="AZ9" s="169">
        <f t="shared" si="13"/>
        <v>2469.5775746205795</v>
      </c>
      <c r="BA9" s="169">
        <f t="shared" si="14"/>
        <v>0</v>
      </c>
      <c r="BB9" s="169">
        <f t="shared" si="15"/>
        <v>0</v>
      </c>
      <c r="BC9" s="169">
        <f t="shared" si="16"/>
        <v>2025.5088651976323</v>
      </c>
      <c r="BD9" s="347">
        <f>'[1]Margin Calculation'!P15/$CV$44</f>
        <v>1269.9564499999999</v>
      </c>
      <c r="BE9" s="168">
        <f t="shared" si="17"/>
        <v>3668.9163908283435</v>
      </c>
      <c r="BF9" s="169">
        <f t="shared" si="18"/>
        <v>0</v>
      </c>
      <c r="BG9" s="169">
        <f t="shared" si="19"/>
        <v>0</v>
      </c>
      <c r="BH9" s="169">
        <f t="shared" si="20"/>
        <v>2384.0084606225255</v>
      </c>
      <c r="BI9" s="169">
        <f t="shared" si="21"/>
        <v>4612.3324263121767</v>
      </c>
      <c r="BJ9" s="169">
        <f t="shared" si="22"/>
        <v>0</v>
      </c>
      <c r="BK9" s="169">
        <f t="shared" si="23"/>
        <v>0</v>
      </c>
      <c r="BL9" s="169">
        <f t="shared" si="24"/>
        <v>3782.933635290537</v>
      </c>
      <c r="BM9" s="347">
        <f>'[1]Margin Calculation'!P15/$CV$74</f>
        <v>2371.82915</v>
      </c>
      <c r="BN9" s="168">
        <f t="shared" si="25"/>
        <v>1363.6680390689419</v>
      </c>
      <c r="BO9" s="169">
        <f t="shared" si="26"/>
        <v>0</v>
      </c>
      <c r="BP9" s="169">
        <f t="shared" si="27"/>
        <v>0</v>
      </c>
      <c r="BQ9" s="169">
        <f t="shared" si="28"/>
        <v>886.09062356990785</v>
      </c>
      <c r="BR9" s="169">
        <f t="shared" si="29"/>
        <v>4612.3324263121767</v>
      </c>
      <c r="BS9" s="169">
        <f t="shared" si="30"/>
        <v>0</v>
      </c>
      <c r="BT9" s="169">
        <f t="shared" si="31"/>
        <v>0</v>
      </c>
      <c r="BU9" s="169">
        <f t="shared" si="32"/>
        <v>1406.0462626077172</v>
      </c>
      <c r="BV9" s="347">
        <f>'[1]Margin Calculation'!P15/$CV$84</f>
        <v>881.56490000000008</v>
      </c>
      <c r="BW9" s="164"/>
      <c r="BX9" s="161">
        <v>324.68286644498613</v>
      </c>
      <c r="BY9" s="160">
        <v>0</v>
      </c>
      <c r="BZ9" s="160">
        <v>0</v>
      </c>
      <c r="CA9" s="160">
        <v>490.95190801738204</v>
      </c>
      <c r="CB9" s="160">
        <v>534.12111983092984</v>
      </c>
      <c r="CC9" s="160">
        <v>0</v>
      </c>
      <c r="CD9" s="348">
        <v>0</v>
      </c>
      <c r="CE9" s="348">
        <v>288.31672100097097</v>
      </c>
      <c r="CF9" s="164"/>
      <c r="CG9" s="168">
        <f t="shared" si="33"/>
        <v>324.68286644498613</v>
      </c>
      <c r="CH9" s="167">
        <f t="shared" si="34"/>
        <v>0</v>
      </c>
      <c r="CI9" s="167">
        <f t="shared" si="35"/>
        <v>0</v>
      </c>
      <c r="CJ9" s="167">
        <f t="shared" si="36"/>
        <v>1276.4749608451934</v>
      </c>
      <c r="CK9" s="167">
        <f t="shared" si="37"/>
        <v>8973.2348131596209</v>
      </c>
      <c r="CL9" s="167">
        <f t="shared" si="66"/>
        <v>0</v>
      </c>
      <c r="CM9" s="349">
        <f t="shared" si="67"/>
        <v>0</v>
      </c>
      <c r="CN9" s="349">
        <f t="shared" si="68"/>
        <v>374.81173730126227</v>
      </c>
      <c r="CP9" s="184"/>
      <c r="CQ9" s="184"/>
      <c r="CR9" s="184"/>
      <c r="CS9" s="184"/>
      <c r="CT9" s="182" t="s">
        <v>1</v>
      </c>
      <c r="CU9" s="182" t="s">
        <v>352</v>
      </c>
      <c r="CV9" s="185">
        <f>'[1]Margin Calculation'!AF17</f>
        <v>7.8510999999999997</v>
      </c>
    </row>
    <row r="10" spans="2:100" x14ac:dyDescent="0.25">
      <c r="B10" s="170">
        <v>202</v>
      </c>
      <c r="C10" s="168">
        <f t="shared" si="38"/>
        <v>362.66962676943041</v>
      </c>
      <c r="D10" s="169">
        <f t="shared" si="39"/>
        <v>0</v>
      </c>
      <c r="E10" s="169">
        <f t="shared" si="0"/>
        <v>0</v>
      </c>
      <c r="F10" s="169">
        <f t="shared" si="40"/>
        <v>242.62340844161923</v>
      </c>
      <c r="G10" s="169">
        <f t="shared" si="41"/>
        <v>0</v>
      </c>
      <c r="H10" s="169">
        <f t="shared" si="42"/>
        <v>0</v>
      </c>
      <c r="I10" s="169">
        <f t="shared" si="43"/>
        <v>0</v>
      </c>
      <c r="J10" s="169">
        <f t="shared" si="44"/>
        <v>0</v>
      </c>
      <c r="K10" s="169">
        <f>'[1]Margin Calculation'!P16/$CV$4</f>
        <v>236.69167559842802</v>
      </c>
      <c r="L10" s="168">
        <f t="shared" si="45"/>
        <v>406.04491413105427</v>
      </c>
      <c r="M10" s="169">
        <f t="shared" si="1"/>
        <v>0</v>
      </c>
      <c r="N10" s="169">
        <f t="shared" si="45"/>
        <v>0</v>
      </c>
      <c r="O10" s="169">
        <f t="shared" si="46"/>
        <v>271.64131301688781</v>
      </c>
      <c r="P10" s="169">
        <f t="shared" si="47"/>
        <v>0</v>
      </c>
      <c r="Q10" s="169">
        <f t="shared" si="48"/>
        <v>0</v>
      </c>
      <c r="R10" s="169">
        <f t="shared" si="49"/>
        <v>0</v>
      </c>
      <c r="S10" s="169">
        <f t="shared" si="2"/>
        <v>0</v>
      </c>
      <c r="T10" s="169">
        <f>'[1]Margin Calculation'!P16</f>
        <v>265</v>
      </c>
      <c r="U10" s="168">
        <f t="shared" si="50"/>
        <v>302.98508629198528</v>
      </c>
      <c r="V10" s="169">
        <f t="shared" si="51"/>
        <v>0</v>
      </c>
      <c r="W10" s="169">
        <f t="shared" si="50"/>
        <v>0</v>
      </c>
      <c r="X10" s="169">
        <f t="shared" si="52"/>
        <v>202.69483150773004</v>
      </c>
      <c r="Y10" s="169">
        <f t="shared" si="53"/>
        <v>0</v>
      </c>
      <c r="Z10" s="169">
        <f t="shared" si="54"/>
        <v>0</v>
      </c>
      <c r="AA10" s="169">
        <f t="shared" si="55"/>
        <v>0</v>
      </c>
      <c r="AB10" s="169">
        <f t="shared" si="56"/>
        <v>0</v>
      </c>
      <c r="AC10" s="169">
        <f>'[1]Margin Calculation'!P16/$CV$24</f>
        <v>197.74034999999998</v>
      </c>
      <c r="AD10" s="168">
        <f t="shared" si="3"/>
        <v>2847.3555067294747</v>
      </c>
      <c r="AE10" s="169">
        <f t="shared" si="4"/>
        <v>0</v>
      </c>
      <c r="AF10" s="169">
        <f t="shared" si="5"/>
        <v>0</v>
      </c>
      <c r="AG10" s="169">
        <f t="shared" si="6"/>
        <v>1904.865506130089</v>
      </c>
      <c r="AH10" s="169">
        <f t="shared" si="7"/>
        <v>0</v>
      </c>
      <c r="AI10" s="169">
        <f t="shared" si="8"/>
        <v>0</v>
      </c>
      <c r="AJ10" s="169">
        <f t="shared" si="57"/>
        <v>0</v>
      </c>
      <c r="AK10" s="169">
        <f t="shared" si="9"/>
        <v>0</v>
      </c>
      <c r="AL10" s="169">
        <f>'[1]Margin Calculation'!P16/$CV$64</f>
        <v>1858.2913000000001</v>
      </c>
      <c r="AM10" s="168">
        <f t="shared" si="58"/>
        <v>7973.0016088245129</v>
      </c>
      <c r="AN10" s="169">
        <f t="shared" si="59"/>
        <v>0</v>
      </c>
      <c r="AO10" s="169">
        <f t="shared" si="58"/>
        <v>0</v>
      </c>
      <c r="AP10" s="169">
        <f t="shared" si="60"/>
        <v>5333.8788437129051</v>
      </c>
      <c r="AQ10" s="169">
        <f t="shared" si="61"/>
        <v>0</v>
      </c>
      <c r="AR10" s="169">
        <f t="shared" si="62"/>
        <v>0</v>
      </c>
      <c r="AS10" s="169">
        <f t="shared" si="63"/>
        <v>0</v>
      </c>
      <c r="AT10" s="169">
        <f t="shared" si="64"/>
        <v>0</v>
      </c>
      <c r="AU10" s="169">
        <f>'[1]Margin Calculation'!P16/$CV$34</f>
        <v>5203.4764000000005</v>
      </c>
      <c r="AV10" s="168">
        <f t="shared" si="10"/>
        <v>2194.2963098057617</v>
      </c>
      <c r="AW10" s="169">
        <f t="shared" si="11"/>
        <v>0</v>
      </c>
      <c r="AX10" s="169">
        <f t="shared" si="12"/>
        <v>0</v>
      </c>
      <c r="AY10" s="169">
        <f t="shared" si="65"/>
        <v>1467.968670435173</v>
      </c>
      <c r="AZ10" s="169">
        <f t="shared" si="13"/>
        <v>0</v>
      </c>
      <c r="BA10" s="169">
        <f t="shared" si="14"/>
        <v>0</v>
      </c>
      <c r="BB10" s="169">
        <f t="shared" si="15"/>
        <v>0</v>
      </c>
      <c r="BC10" s="169">
        <f t="shared" si="16"/>
        <v>0</v>
      </c>
      <c r="BD10" s="347">
        <f>'[1]Margin Calculation'!P16/$CV$44</f>
        <v>1432.07855</v>
      </c>
      <c r="BE10" s="168">
        <f t="shared" si="17"/>
        <v>4098.1667824945634</v>
      </c>
      <c r="BF10" s="169">
        <f t="shared" si="18"/>
        <v>0</v>
      </c>
      <c r="BG10" s="169">
        <f t="shared" si="19"/>
        <v>0</v>
      </c>
      <c r="BH10" s="169">
        <f t="shared" si="20"/>
        <v>2741.6516873382507</v>
      </c>
      <c r="BI10" s="169">
        <f t="shared" si="21"/>
        <v>0</v>
      </c>
      <c r="BJ10" s="169">
        <f t="shared" si="22"/>
        <v>0</v>
      </c>
      <c r="BK10" s="169">
        <f t="shared" si="23"/>
        <v>0</v>
      </c>
      <c r="BL10" s="169">
        <f t="shared" si="24"/>
        <v>0</v>
      </c>
      <c r="BM10" s="347">
        <f>'[1]Margin Calculation'!P16/$CV$74</f>
        <v>2674.6158500000001</v>
      </c>
      <c r="BN10" s="168">
        <f t="shared" si="25"/>
        <v>1523.2124324316078</v>
      </c>
      <c r="BO10" s="169">
        <f t="shared" si="26"/>
        <v>0</v>
      </c>
      <c r="BP10" s="169">
        <f t="shared" si="27"/>
        <v>0</v>
      </c>
      <c r="BQ10" s="169">
        <f t="shared" si="28"/>
        <v>1019.0198119559839</v>
      </c>
      <c r="BR10" s="169">
        <f t="shared" si="29"/>
        <v>0</v>
      </c>
      <c r="BS10" s="169">
        <f t="shared" si="30"/>
        <v>0</v>
      </c>
      <c r="BT10" s="169">
        <f t="shared" si="31"/>
        <v>0</v>
      </c>
      <c r="BU10" s="169">
        <f t="shared" si="32"/>
        <v>0</v>
      </c>
      <c r="BV10" s="347">
        <f>'[1]Margin Calculation'!P16/$CV$84</f>
        <v>994.10509999999999</v>
      </c>
      <c r="BW10" s="164"/>
      <c r="BX10" s="161">
        <v>362.66962676943041</v>
      </c>
      <c r="BY10" s="160">
        <v>0</v>
      </c>
      <c r="BZ10" s="160">
        <v>0</v>
      </c>
      <c r="CA10" s="160">
        <v>564.60333478275879</v>
      </c>
      <c r="CB10" s="160">
        <v>0</v>
      </c>
      <c r="CC10" s="160">
        <v>0</v>
      </c>
      <c r="CD10" s="348">
        <v>0</v>
      </c>
      <c r="CE10" s="348">
        <v>0</v>
      </c>
      <c r="CF10" s="164"/>
      <c r="CG10" s="168">
        <f t="shared" si="33"/>
        <v>362.66962676943041</v>
      </c>
      <c r="CH10" s="167">
        <f t="shared" si="34"/>
        <v>0</v>
      </c>
      <c r="CI10" s="167">
        <f t="shared" si="35"/>
        <v>0</v>
      </c>
      <c r="CJ10" s="167">
        <f t="shared" si="36"/>
        <v>1467.968670435173</v>
      </c>
      <c r="CK10" s="167">
        <f t="shared" si="37"/>
        <v>0</v>
      </c>
      <c r="CL10" s="167">
        <f t="shared" si="66"/>
        <v>0</v>
      </c>
      <c r="CM10" s="349">
        <f t="shared" si="67"/>
        <v>0</v>
      </c>
      <c r="CN10" s="349">
        <f t="shared" si="68"/>
        <v>0</v>
      </c>
      <c r="CT10" s="181" t="s">
        <v>1</v>
      </c>
      <c r="CU10" s="181" t="s">
        <v>426</v>
      </c>
      <c r="CV10" s="186">
        <f>'[1]Margin Calculation'!AF18</f>
        <v>0.94389999999999996</v>
      </c>
    </row>
    <row r="11" spans="2:100" x14ac:dyDescent="0.25">
      <c r="B11" s="170">
        <v>203</v>
      </c>
      <c r="C11" s="168">
        <f t="shared" si="38"/>
        <v>400.22352851261945</v>
      </c>
      <c r="D11" s="169">
        <f t="shared" si="39"/>
        <v>0</v>
      </c>
      <c r="E11" s="169">
        <f t="shared" si="0"/>
        <v>0</v>
      </c>
      <c r="F11" s="169">
        <f t="shared" si="40"/>
        <v>260.04064194897086</v>
      </c>
      <c r="G11" s="169">
        <f t="shared" si="41"/>
        <v>0</v>
      </c>
      <c r="H11" s="169">
        <f t="shared" si="42"/>
        <v>0</v>
      </c>
      <c r="I11" s="169">
        <f t="shared" si="43"/>
        <v>795.21403258696034</v>
      </c>
      <c r="J11" s="169">
        <f t="shared" si="44"/>
        <v>0</v>
      </c>
      <c r="K11" s="169">
        <f>'[1]Margin Calculation'!P17/$CV$4</f>
        <v>263.48695962843874</v>
      </c>
      <c r="L11" s="168">
        <f t="shared" si="45"/>
        <v>448.09026252272866</v>
      </c>
      <c r="M11" s="169">
        <f t="shared" si="1"/>
        <v>0</v>
      </c>
      <c r="N11" s="169">
        <f t="shared" si="45"/>
        <v>0</v>
      </c>
      <c r="O11" s="169">
        <f t="shared" si="46"/>
        <v>291.14165805551244</v>
      </c>
      <c r="P11" s="169">
        <f t="shared" si="47"/>
        <v>0</v>
      </c>
      <c r="Q11" s="169">
        <f t="shared" si="48"/>
        <v>0</v>
      </c>
      <c r="R11" s="169">
        <f t="shared" si="49"/>
        <v>890.32101489121942</v>
      </c>
      <c r="S11" s="169">
        <f t="shared" si="2"/>
        <v>0</v>
      </c>
      <c r="T11" s="169">
        <f>'[1]Margin Calculation'!P17</f>
        <v>295</v>
      </c>
      <c r="U11" s="168">
        <f t="shared" si="50"/>
        <v>334.35874242529769</v>
      </c>
      <c r="V11" s="169">
        <f t="shared" si="51"/>
        <v>0</v>
      </c>
      <c r="W11" s="169">
        <f t="shared" si="50"/>
        <v>0</v>
      </c>
      <c r="X11" s="169">
        <f t="shared" si="52"/>
        <v>217.24570783816836</v>
      </c>
      <c r="Y11" s="169">
        <f t="shared" si="53"/>
        <v>0</v>
      </c>
      <c r="Z11" s="169">
        <f t="shared" si="54"/>
        <v>0</v>
      </c>
      <c r="AA11" s="169">
        <f t="shared" si="55"/>
        <v>664.34533749217724</v>
      </c>
      <c r="AB11" s="169">
        <f t="shared" si="56"/>
        <v>0</v>
      </c>
      <c r="AC11" s="169">
        <f>'[1]Margin Calculation'!P17/$CV$24</f>
        <v>220.12604999999999</v>
      </c>
      <c r="AD11" s="168">
        <f t="shared" si="3"/>
        <v>3142.1949447054262</v>
      </c>
      <c r="AE11" s="169">
        <f t="shared" si="4"/>
        <v>0</v>
      </c>
      <c r="AF11" s="169">
        <f t="shared" si="5"/>
        <v>0</v>
      </c>
      <c r="AG11" s="169">
        <f t="shared" si="6"/>
        <v>2041.6102973003544</v>
      </c>
      <c r="AH11" s="169">
        <f t="shared" si="7"/>
        <v>0</v>
      </c>
      <c r="AI11" s="169">
        <f t="shared" si="8"/>
        <v>0</v>
      </c>
      <c r="AJ11" s="169">
        <f t="shared" si="57"/>
        <v>6243.3048912434842</v>
      </c>
      <c r="AK11" s="169">
        <f t="shared" si="9"/>
        <v>0</v>
      </c>
      <c r="AL11" s="169">
        <f>'[1]Margin Calculation'!P17/$CV$64</f>
        <v>2068.6639</v>
      </c>
      <c r="AM11" s="168">
        <f t="shared" si="58"/>
        <v>8798.594095527129</v>
      </c>
      <c r="AN11" s="169">
        <f t="shared" si="59"/>
        <v>0</v>
      </c>
      <c r="AO11" s="169">
        <f t="shared" si="58"/>
        <v>0</v>
      </c>
      <c r="AP11" s="169">
        <f t="shared" si="60"/>
        <v>5716.7825953236006</v>
      </c>
      <c r="AQ11" s="169">
        <f t="shared" si="61"/>
        <v>0</v>
      </c>
      <c r="AR11" s="169">
        <f t="shared" si="62"/>
        <v>0</v>
      </c>
      <c r="AS11" s="169">
        <f t="shared" si="63"/>
        <v>17482.372567326063</v>
      </c>
      <c r="AT11" s="169">
        <f t="shared" si="64"/>
        <v>0</v>
      </c>
      <c r="AU11" s="169">
        <f>'[1]Margin Calculation'!P17/$CV$34</f>
        <v>5792.5492000000004</v>
      </c>
      <c r="AV11" s="168">
        <f t="shared" si="10"/>
        <v>2421.5124369127529</v>
      </c>
      <c r="AW11" s="169">
        <f t="shared" si="11"/>
        <v>0</v>
      </c>
      <c r="AX11" s="169">
        <f t="shared" si="12"/>
        <v>0</v>
      </c>
      <c r="AY11" s="169">
        <f t="shared" si="65"/>
        <v>1573.3499000480531</v>
      </c>
      <c r="AZ11" s="169">
        <f t="shared" si="13"/>
        <v>0</v>
      </c>
      <c r="BA11" s="169">
        <f t="shared" si="14"/>
        <v>0</v>
      </c>
      <c r="BB11" s="169">
        <f t="shared" si="15"/>
        <v>4811.3506968476786</v>
      </c>
      <c r="BC11" s="169">
        <f t="shared" si="16"/>
        <v>0</v>
      </c>
      <c r="BD11" s="347">
        <f>'[1]Margin Calculation'!P17/$CV$44</f>
        <v>1594.20065</v>
      </c>
      <c r="BE11" s="168">
        <f t="shared" si="17"/>
        <v>4522.5258721926002</v>
      </c>
      <c r="BF11" s="169">
        <f t="shared" si="18"/>
        <v>0</v>
      </c>
      <c r="BG11" s="169">
        <f t="shared" si="19"/>
        <v>0</v>
      </c>
      <c r="BH11" s="169">
        <f t="shared" si="20"/>
        <v>2938.466940824746</v>
      </c>
      <c r="BI11" s="169">
        <f t="shared" si="21"/>
        <v>0</v>
      </c>
      <c r="BJ11" s="169">
        <f t="shared" si="22"/>
        <v>0</v>
      </c>
      <c r="BK11" s="169">
        <f t="shared" si="23"/>
        <v>8985.9262969178344</v>
      </c>
      <c r="BL11" s="169">
        <f t="shared" si="24"/>
        <v>0</v>
      </c>
      <c r="BM11" s="347">
        <f>'[1]Margin Calculation'!P17/$CV$74</f>
        <v>2977.4025500000002</v>
      </c>
      <c r="BN11" s="168">
        <f t="shared" si="25"/>
        <v>1680.9388197530018</v>
      </c>
      <c r="BO11" s="169">
        <f t="shared" si="26"/>
        <v>0</v>
      </c>
      <c r="BP11" s="169">
        <f t="shared" si="27"/>
        <v>0</v>
      </c>
      <c r="BQ11" s="169">
        <f t="shared" si="28"/>
        <v>1092.1723001163568</v>
      </c>
      <c r="BR11" s="169">
        <f t="shared" si="29"/>
        <v>0</v>
      </c>
      <c r="BS11" s="169">
        <f t="shared" si="30"/>
        <v>0</v>
      </c>
      <c r="BT11" s="169">
        <f t="shared" si="31"/>
        <v>3339.9183846196142</v>
      </c>
      <c r="BU11" s="169">
        <f t="shared" si="32"/>
        <v>0</v>
      </c>
      <c r="BV11" s="347">
        <f>'[1]Margin Calculation'!P17/$CV$84</f>
        <v>1106.6453000000001</v>
      </c>
      <c r="BW11" s="164"/>
      <c r="BX11" s="161">
        <v>400.22352851261945</v>
      </c>
      <c r="BY11" s="160">
        <v>0</v>
      </c>
      <c r="BZ11" s="160">
        <v>0</v>
      </c>
      <c r="CA11" s="160">
        <v>605.13457694155886</v>
      </c>
      <c r="CB11" s="160">
        <v>0</v>
      </c>
      <c r="CC11" s="160">
        <v>0</v>
      </c>
      <c r="CD11" s="348">
        <v>822.04037273852293</v>
      </c>
      <c r="CE11" s="348">
        <v>0</v>
      </c>
      <c r="CF11" s="164"/>
      <c r="CG11" s="168">
        <f t="shared" si="33"/>
        <v>400.22352851261945</v>
      </c>
      <c r="CH11" s="167">
        <f t="shared" si="34"/>
        <v>0</v>
      </c>
      <c r="CI11" s="167">
        <f t="shared" si="35"/>
        <v>0</v>
      </c>
      <c r="CJ11" s="167">
        <f t="shared" si="36"/>
        <v>1573.3499000480531</v>
      </c>
      <c r="CK11" s="167">
        <f t="shared" si="37"/>
        <v>0</v>
      </c>
      <c r="CL11" s="167">
        <f t="shared" si="66"/>
        <v>0</v>
      </c>
      <c r="CM11" s="349">
        <f t="shared" si="67"/>
        <v>6243.3048912434842</v>
      </c>
      <c r="CN11" s="349">
        <f t="shared" si="68"/>
        <v>0</v>
      </c>
      <c r="CT11" s="182" t="s">
        <v>1</v>
      </c>
      <c r="CU11" s="182" t="s">
        <v>427</v>
      </c>
      <c r="CV11" s="185">
        <f>'[1]Margin Calculation'!AF19</f>
        <v>11.3</v>
      </c>
    </row>
    <row r="12" spans="2:100" x14ac:dyDescent="0.25">
      <c r="B12" s="170">
        <v>300</v>
      </c>
      <c r="C12" s="168">
        <f t="shared" si="38"/>
        <v>451.97461065393975</v>
      </c>
      <c r="D12" s="169">
        <f t="shared" si="39"/>
        <v>0</v>
      </c>
      <c r="E12" s="169">
        <f t="shared" si="0"/>
        <v>0</v>
      </c>
      <c r="F12" s="169">
        <f t="shared" si="40"/>
        <v>318.27775917681004</v>
      </c>
      <c r="G12" s="169">
        <f t="shared" si="41"/>
        <v>0</v>
      </c>
      <c r="H12" s="169">
        <f t="shared" si="42"/>
        <v>355.86597625948485</v>
      </c>
      <c r="I12" s="169">
        <f t="shared" si="43"/>
        <v>0</v>
      </c>
      <c r="J12" s="169">
        <f t="shared" si="44"/>
        <v>0</v>
      </c>
      <c r="K12" s="169">
        <f>'[1]Margin Calculation'!P18/$CV$4</f>
        <v>290.28224365844949</v>
      </c>
      <c r="L12" s="168">
        <f t="shared" si="45"/>
        <v>506.03077408815091</v>
      </c>
      <c r="M12" s="169">
        <f t="shared" si="1"/>
        <v>0</v>
      </c>
      <c r="N12" s="169">
        <f t="shared" si="45"/>
        <v>0</v>
      </c>
      <c r="O12" s="169">
        <f t="shared" si="46"/>
        <v>356.34396929043692</v>
      </c>
      <c r="P12" s="169">
        <f t="shared" si="47"/>
        <v>0</v>
      </c>
      <c r="Q12" s="169">
        <f t="shared" si="48"/>
        <v>398.42754834917076</v>
      </c>
      <c r="R12" s="169">
        <f t="shared" si="49"/>
        <v>0</v>
      </c>
      <c r="S12" s="169">
        <f t="shared" si="2"/>
        <v>0</v>
      </c>
      <c r="T12" s="169">
        <f>'[1]Margin Calculation'!P18</f>
        <v>325</v>
      </c>
      <c r="U12" s="168">
        <f t="shared" si="50"/>
        <v>377.59314897862089</v>
      </c>
      <c r="V12" s="169">
        <f t="shared" si="51"/>
        <v>0</v>
      </c>
      <c r="W12" s="169">
        <f t="shared" si="50"/>
        <v>0</v>
      </c>
      <c r="X12" s="169">
        <f t="shared" si="52"/>
        <v>265.89873245690865</v>
      </c>
      <c r="Y12" s="169">
        <f t="shared" si="53"/>
        <v>0</v>
      </c>
      <c r="Z12" s="169">
        <f t="shared" si="54"/>
        <v>297.30111196824384</v>
      </c>
      <c r="AA12" s="169">
        <f t="shared" si="55"/>
        <v>0</v>
      </c>
      <c r="AB12" s="169">
        <f t="shared" si="56"/>
        <v>0</v>
      </c>
      <c r="AC12" s="169">
        <f>'[1]Margin Calculation'!P18/$CV$24</f>
        <v>242.51174999999998</v>
      </c>
      <c r="AD12" s="168">
        <f t="shared" si="3"/>
        <v>3548.4978657051461</v>
      </c>
      <c r="AE12" s="169">
        <f t="shared" si="4"/>
        <v>0</v>
      </c>
      <c r="AF12" s="169">
        <f t="shared" si="5"/>
        <v>0</v>
      </c>
      <c r="AG12" s="169">
        <f t="shared" si="6"/>
        <v>2498.8368959055688</v>
      </c>
      <c r="AH12" s="169">
        <f t="shared" si="7"/>
        <v>0</v>
      </c>
      <c r="AI12" s="169">
        <f t="shared" si="8"/>
        <v>2792.6117725998079</v>
      </c>
      <c r="AJ12" s="169">
        <f t="shared" si="57"/>
        <v>0</v>
      </c>
      <c r="AK12" s="169">
        <f t="shared" si="9"/>
        <v>0</v>
      </c>
      <c r="AL12" s="169">
        <f>'[1]Margin Calculation'!P18/$CV$64</f>
        <v>2279.0365000000002</v>
      </c>
      <c r="AM12" s="168">
        <f t="shared" si="58"/>
        <v>9936.3002355383433</v>
      </c>
      <c r="AN12" s="169">
        <f t="shared" si="59"/>
        <v>0</v>
      </c>
      <c r="AO12" s="169">
        <f t="shared" si="58"/>
        <v>0</v>
      </c>
      <c r="AP12" s="169">
        <f t="shared" si="60"/>
        <v>6997.0783816848107</v>
      </c>
      <c r="AQ12" s="169">
        <f t="shared" si="61"/>
        <v>0</v>
      </c>
      <c r="AR12" s="169">
        <f t="shared" si="62"/>
        <v>7823.4283494584688</v>
      </c>
      <c r="AS12" s="169">
        <f t="shared" si="63"/>
        <v>0</v>
      </c>
      <c r="AT12" s="169">
        <f t="shared" si="64"/>
        <v>0</v>
      </c>
      <c r="AU12" s="169">
        <f>'[1]Margin Calculation'!P18/$CV$34</f>
        <v>6381.6220000000012</v>
      </c>
      <c r="AV12" s="168">
        <f t="shared" si="10"/>
        <v>2734.627184300597</v>
      </c>
      <c r="AW12" s="169">
        <f t="shared" si="11"/>
        <v>0</v>
      </c>
      <c r="AX12" s="169">
        <f t="shared" si="12"/>
        <v>0</v>
      </c>
      <c r="AY12" s="169">
        <f t="shared" si="65"/>
        <v>1925.7077541233714</v>
      </c>
      <c r="AZ12" s="169">
        <f t="shared" si="13"/>
        <v>0</v>
      </c>
      <c r="BA12" s="169">
        <f t="shared" si="14"/>
        <v>2153.131554500279</v>
      </c>
      <c r="BB12" s="169">
        <f t="shared" si="15"/>
        <v>0</v>
      </c>
      <c r="BC12" s="169">
        <f t="shared" si="16"/>
        <v>0</v>
      </c>
      <c r="BD12" s="347">
        <f>'[1]Margin Calculation'!P18/$CV$44</f>
        <v>1756.32275</v>
      </c>
      <c r="BE12" s="168">
        <f t="shared" si="17"/>
        <v>5107.3131003895196</v>
      </c>
      <c r="BF12" s="169">
        <f t="shared" si="18"/>
        <v>0</v>
      </c>
      <c r="BG12" s="169">
        <f t="shared" si="19"/>
        <v>0</v>
      </c>
      <c r="BH12" s="169">
        <f t="shared" si="20"/>
        <v>3596.5480869885141</v>
      </c>
      <c r="BI12" s="169">
        <f t="shared" si="21"/>
        <v>0</v>
      </c>
      <c r="BJ12" s="169">
        <f t="shared" si="22"/>
        <v>4020.6448982430561</v>
      </c>
      <c r="BK12" s="169">
        <f t="shared" si="23"/>
        <v>0</v>
      </c>
      <c r="BL12" s="169">
        <f t="shared" si="24"/>
        <v>0</v>
      </c>
      <c r="BM12" s="347">
        <f>'[1]Margin Calculation'!P18/$CV$74</f>
        <v>3280.1892500000004</v>
      </c>
      <c r="BN12" s="168">
        <f t="shared" si="25"/>
        <v>1898.293364746547</v>
      </c>
      <c r="BO12" s="169">
        <f t="shared" si="26"/>
        <v>0</v>
      </c>
      <c r="BP12" s="169">
        <f t="shared" si="27"/>
        <v>0</v>
      </c>
      <c r="BQ12" s="169">
        <f t="shared" si="28"/>
        <v>1336.7685516798206</v>
      </c>
      <c r="BR12" s="169">
        <f t="shared" si="29"/>
        <v>0</v>
      </c>
      <c r="BS12" s="169">
        <f t="shared" si="30"/>
        <v>1492.9732168898972</v>
      </c>
      <c r="BT12" s="169">
        <f t="shared" si="31"/>
        <v>0</v>
      </c>
      <c r="BU12" s="169">
        <f t="shared" si="32"/>
        <v>0</v>
      </c>
      <c r="BV12" s="347">
        <f>'[1]Margin Calculation'!P18/$CV$84</f>
        <v>1219.1855</v>
      </c>
      <c r="BW12" s="164"/>
      <c r="BX12" s="161">
        <v>451.97461065393975</v>
      </c>
      <c r="BY12" s="160">
        <v>0</v>
      </c>
      <c r="BZ12" s="160">
        <v>0</v>
      </c>
      <c r="CA12" s="160">
        <v>740.65682850898895</v>
      </c>
      <c r="CB12" s="160">
        <v>0</v>
      </c>
      <c r="CC12" s="160">
        <v>498.02079612367322</v>
      </c>
      <c r="CD12" s="348">
        <v>0</v>
      </c>
      <c r="CE12" s="348">
        <v>0</v>
      </c>
      <c r="CF12" s="164"/>
      <c r="CG12" s="168">
        <f t="shared" si="33"/>
        <v>451.97461065393975</v>
      </c>
      <c r="CH12" s="167">
        <f t="shared" si="34"/>
        <v>0</v>
      </c>
      <c r="CI12" s="167">
        <f t="shared" si="35"/>
        <v>0</v>
      </c>
      <c r="CJ12" s="167">
        <f t="shared" si="36"/>
        <v>1925.7077541233714</v>
      </c>
      <c r="CK12" s="167">
        <f t="shared" si="37"/>
        <v>0</v>
      </c>
      <c r="CL12" s="167">
        <f t="shared" si="66"/>
        <v>358027.15033330867</v>
      </c>
      <c r="CM12" s="349">
        <f t="shared" si="67"/>
        <v>0</v>
      </c>
      <c r="CN12" s="349">
        <f t="shared" si="68"/>
        <v>0</v>
      </c>
      <c r="CT12" s="181" t="s">
        <v>1</v>
      </c>
      <c r="CU12" s="181" t="s">
        <v>429</v>
      </c>
      <c r="CV12" s="186">
        <f>'[1]Margin Calculation'!AF20</f>
        <v>4.2</v>
      </c>
    </row>
    <row r="13" spans="2:100" x14ac:dyDescent="0.25">
      <c r="B13" s="170">
        <v>301</v>
      </c>
      <c r="C13" s="168">
        <f t="shared" si="38"/>
        <v>540.47178278027741</v>
      </c>
      <c r="D13" s="169">
        <f t="shared" si="39"/>
        <v>1175.2423042616058</v>
      </c>
      <c r="E13" s="169">
        <f t="shared" si="0"/>
        <v>1278.7398312682708</v>
      </c>
      <c r="F13" s="169">
        <f t="shared" si="40"/>
        <v>400.0614008675596</v>
      </c>
      <c r="G13" s="169">
        <f t="shared" si="41"/>
        <v>0</v>
      </c>
      <c r="H13" s="169">
        <f t="shared" si="42"/>
        <v>556.38104050736808</v>
      </c>
      <c r="I13" s="169">
        <f t="shared" si="43"/>
        <v>0</v>
      </c>
      <c r="J13" s="169">
        <f t="shared" si="44"/>
        <v>0</v>
      </c>
      <c r="K13" s="169">
        <f>'[1]Margin Calculation'!P19/$CV$4</f>
        <v>317.07752768846018</v>
      </c>
      <c r="L13" s="168">
        <f t="shared" si="45"/>
        <v>605.11220800079855</v>
      </c>
      <c r="M13" s="169">
        <f t="shared" si="1"/>
        <v>1315.8012838512939</v>
      </c>
      <c r="N13" s="169">
        <f t="shared" si="45"/>
        <v>1431.6771150879558</v>
      </c>
      <c r="O13" s="169">
        <f t="shared" si="46"/>
        <v>447.90898337902405</v>
      </c>
      <c r="P13" s="169">
        <f t="shared" si="47"/>
        <v>0</v>
      </c>
      <c r="Q13" s="169">
        <f t="shared" si="48"/>
        <v>622.92421502996376</v>
      </c>
      <c r="R13" s="169">
        <f t="shared" si="49"/>
        <v>0</v>
      </c>
      <c r="S13" s="169">
        <f t="shared" si="2"/>
        <v>0</v>
      </c>
      <c r="T13" s="169">
        <f>'[1]Margin Calculation'!P19</f>
        <v>355</v>
      </c>
      <c r="U13" s="168">
        <f t="shared" si="50"/>
        <v>451.52634148812717</v>
      </c>
      <c r="V13" s="169">
        <f t="shared" si="51"/>
        <v>981.83775999699697</v>
      </c>
      <c r="W13" s="169">
        <f t="shared" si="50"/>
        <v>1068.2976172364515</v>
      </c>
      <c r="X13" s="169">
        <f t="shared" si="52"/>
        <v>334.22322587273624</v>
      </c>
      <c r="Y13" s="169">
        <f t="shared" si="53"/>
        <v>0</v>
      </c>
      <c r="Z13" s="169">
        <f t="shared" si="54"/>
        <v>464.81741176705242</v>
      </c>
      <c r="AA13" s="169">
        <f t="shared" si="55"/>
        <v>0</v>
      </c>
      <c r="AB13" s="169">
        <f t="shared" si="56"/>
        <v>0</v>
      </c>
      <c r="AC13" s="169">
        <f>'[1]Margin Calculation'!P19/$CV$24</f>
        <v>264.89744999999999</v>
      </c>
      <c r="AD13" s="168">
        <f t="shared" si="3"/>
        <v>4243.2980137862351</v>
      </c>
      <c r="AE13" s="169">
        <f t="shared" si="4"/>
        <v>9226.9512389044903</v>
      </c>
      <c r="AF13" s="169">
        <f t="shared" si="5"/>
        <v>10039.514289270319</v>
      </c>
      <c r="AG13" s="169">
        <f t="shared" si="6"/>
        <v>3140.9300847822615</v>
      </c>
      <c r="AH13" s="169">
        <f t="shared" si="7"/>
        <v>0</v>
      </c>
      <c r="AI13" s="169">
        <f t="shared" si="8"/>
        <v>4366.1275520176805</v>
      </c>
      <c r="AJ13" s="169">
        <f t="shared" si="57"/>
        <v>0</v>
      </c>
      <c r="AK13" s="169">
        <f t="shared" si="9"/>
        <v>0</v>
      </c>
      <c r="AL13" s="169">
        <f>'[1]Margin Calculation'!P19/$CV$64</f>
        <v>2489.4090999999999</v>
      </c>
      <c r="AM13" s="168">
        <f t="shared" si="58"/>
        <v>11881.839766998175</v>
      </c>
      <c r="AN13" s="169">
        <f t="shared" si="59"/>
        <v>25836.758217395884</v>
      </c>
      <c r="AO13" s="169">
        <f t="shared" si="58"/>
        <v>28112.072198567919</v>
      </c>
      <c r="AP13" s="169">
        <f t="shared" si="60"/>
        <v>8795.0254098712994</v>
      </c>
      <c r="AQ13" s="169">
        <f t="shared" si="61"/>
        <v>0</v>
      </c>
      <c r="AR13" s="169">
        <f t="shared" si="62"/>
        <v>12231.591373693538</v>
      </c>
      <c r="AS13" s="169">
        <f t="shared" si="63"/>
        <v>0</v>
      </c>
      <c r="AT13" s="169">
        <f t="shared" si="64"/>
        <v>0</v>
      </c>
      <c r="AU13" s="169">
        <f>'[1]Margin Calculation'!P19/$CV$34</f>
        <v>6970.6948000000011</v>
      </c>
      <c r="AV13" s="168">
        <f t="shared" si="10"/>
        <v>3270.0704745337903</v>
      </c>
      <c r="AW13" s="169">
        <f t="shared" si="11"/>
        <v>7110.6822440222613</v>
      </c>
      <c r="AX13" s="169">
        <f t="shared" si="12"/>
        <v>7736.8874751055455</v>
      </c>
      <c r="AY13" s="169">
        <f t="shared" si="65"/>
        <v>2420.5314998090826</v>
      </c>
      <c r="AZ13" s="169">
        <f t="shared" si="13"/>
        <v>0</v>
      </c>
      <c r="BA13" s="169">
        <f t="shared" si="14"/>
        <v>3366.3279283788602</v>
      </c>
      <c r="BB13" s="169">
        <f t="shared" si="15"/>
        <v>0</v>
      </c>
      <c r="BC13" s="169">
        <f t="shared" si="16"/>
        <v>0</v>
      </c>
      <c r="BD13" s="347">
        <f>'[1]Margin Calculation'!P19/$CV$44</f>
        <v>1918.4448499999999</v>
      </c>
      <c r="BE13" s="168">
        <f t="shared" si="17"/>
        <v>6107.3311454171344</v>
      </c>
      <c r="BF13" s="169">
        <f t="shared" si="18"/>
        <v>13280.237619769887</v>
      </c>
      <c r="BG13" s="169">
        <f t="shared" si="19"/>
        <v>14449.760093331461</v>
      </c>
      <c r="BH13" s="169">
        <f t="shared" si="20"/>
        <v>4520.7056556184325</v>
      </c>
      <c r="BI13" s="169">
        <f t="shared" si="21"/>
        <v>0</v>
      </c>
      <c r="BJ13" s="169">
        <f t="shared" si="22"/>
        <v>6286.1041550203272</v>
      </c>
      <c r="BK13" s="169">
        <f t="shared" si="23"/>
        <v>0</v>
      </c>
      <c r="BL13" s="169">
        <f t="shared" si="24"/>
        <v>0</v>
      </c>
      <c r="BM13" s="347">
        <f>'[1]Margin Calculation'!P19/$CV$74</f>
        <v>3582.97595</v>
      </c>
      <c r="BN13" s="168">
        <f t="shared" si="25"/>
        <v>2269.9814876771652</v>
      </c>
      <c r="BO13" s="169">
        <f t="shared" si="26"/>
        <v>13280.237619769887</v>
      </c>
      <c r="BP13" s="169">
        <f t="shared" si="27"/>
        <v>5370.7072913267375</v>
      </c>
      <c r="BQ13" s="169">
        <f t="shared" si="28"/>
        <v>1680.2603512224707</v>
      </c>
      <c r="BR13" s="169">
        <f t="shared" si="29"/>
        <v>0</v>
      </c>
      <c r="BS13" s="169">
        <f t="shared" si="30"/>
        <v>2334.1989605017602</v>
      </c>
      <c r="BT13" s="169">
        <f t="shared" si="31"/>
        <v>0</v>
      </c>
      <c r="BU13" s="169">
        <f t="shared" si="32"/>
        <v>0</v>
      </c>
      <c r="BV13" s="347">
        <f>'[1]Margin Calculation'!P19/$CV$84</f>
        <v>1331.7257</v>
      </c>
      <c r="BW13" s="164"/>
      <c r="BX13" s="161">
        <v>540.47178278027741</v>
      </c>
      <c r="BY13" s="160">
        <v>1012.1548337317645</v>
      </c>
      <c r="BZ13" s="160">
        <v>1278.7398312682708</v>
      </c>
      <c r="CA13" s="160">
        <v>930.97365377272411</v>
      </c>
      <c r="CB13" s="160">
        <v>0</v>
      </c>
      <c r="CC13" s="160">
        <v>778.63394431265726</v>
      </c>
      <c r="CD13" s="348">
        <v>0</v>
      </c>
      <c r="CE13" s="348">
        <v>0</v>
      </c>
      <c r="CF13" s="164"/>
      <c r="CG13" s="168">
        <f t="shared" si="33"/>
        <v>540.47178278027741</v>
      </c>
      <c r="CH13" s="167">
        <f t="shared" si="34"/>
        <v>1315.8012838512939</v>
      </c>
      <c r="CI13" s="167">
        <f t="shared" si="35"/>
        <v>1278.7398312682708</v>
      </c>
      <c r="CJ13" s="167">
        <f t="shared" si="36"/>
        <v>2420.5314998090826</v>
      </c>
      <c r="CK13" s="167">
        <f t="shared" si="37"/>
        <v>0</v>
      </c>
      <c r="CL13" s="167">
        <f t="shared" si="66"/>
        <v>559759.94256636931</v>
      </c>
      <c r="CM13" s="349">
        <f t="shared" si="67"/>
        <v>0</v>
      </c>
      <c r="CN13" s="349">
        <f t="shared" si="68"/>
        <v>0</v>
      </c>
      <c r="CT13" s="182" t="s">
        <v>2</v>
      </c>
      <c r="CU13" s="182" t="s">
        <v>1</v>
      </c>
      <c r="CV13" s="185">
        <f>'[1]Margin Calculation'!AF21</f>
        <v>0.8931761343336907</v>
      </c>
    </row>
    <row r="14" spans="2:100" x14ac:dyDescent="0.25">
      <c r="B14" s="170">
        <v>302</v>
      </c>
      <c r="C14" s="168">
        <f t="shared" si="38"/>
        <v>574.63003789669779</v>
      </c>
      <c r="D14" s="169">
        <f t="shared" si="39"/>
        <v>1411.435288051835</v>
      </c>
      <c r="E14" s="169">
        <f t="shared" si="0"/>
        <v>0</v>
      </c>
      <c r="F14" s="169">
        <f t="shared" si="40"/>
        <v>0</v>
      </c>
      <c r="G14" s="169">
        <f t="shared" si="41"/>
        <v>939.12471391997406</v>
      </c>
      <c r="H14" s="169">
        <f t="shared" si="42"/>
        <v>0</v>
      </c>
      <c r="I14" s="169">
        <f t="shared" si="43"/>
        <v>0</v>
      </c>
      <c r="J14" s="169">
        <f t="shared" si="44"/>
        <v>0</v>
      </c>
      <c r="K14" s="169">
        <f>'[1]Margin Calculation'!P20/$CV$4</f>
        <v>343.87281171847093</v>
      </c>
      <c r="L14" s="168">
        <f t="shared" si="45"/>
        <v>643.35579042914276</v>
      </c>
      <c r="M14" s="169">
        <f t="shared" si="1"/>
        <v>1580.2429485028342</v>
      </c>
      <c r="N14" s="169">
        <f t="shared" si="45"/>
        <v>0</v>
      </c>
      <c r="O14" s="169">
        <f t="shared" si="46"/>
        <v>0</v>
      </c>
      <c r="P14" s="169">
        <f t="shared" si="47"/>
        <v>1051.4441781606363</v>
      </c>
      <c r="Q14" s="169">
        <f t="shared" si="48"/>
        <v>0</v>
      </c>
      <c r="R14" s="169">
        <f t="shared" si="49"/>
        <v>0</v>
      </c>
      <c r="S14" s="169">
        <f t="shared" si="2"/>
        <v>0</v>
      </c>
      <c r="T14" s="169">
        <f>'[1]Margin Calculation'!P20</f>
        <v>385</v>
      </c>
      <c r="U14" s="168">
        <f t="shared" si="50"/>
        <v>480.06317256003825</v>
      </c>
      <c r="V14" s="169">
        <f t="shared" si="51"/>
        <v>1179.1614857433299</v>
      </c>
      <c r="W14" s="169">
        <f t="shared" si="50"/>
        <v>0</v>
      </c>
      <c r="X14" s="169">
        <f t="shared" si="52"/>
        <v>0</v>
      </c>
      <c r="Y14" s="169">
        <f t="shared" si="53"/>
        <v>784.57301589102019</v>
      </c>
      <c r="Z14" s="169">
        <f t="shared" si="54"/>
        <v>0</v>
      </c>
      <c r="AA14" s="169">
        <f t="shared" si="55"/>
        <v>0</v>
      </c>
      <c r="AB14" s="169">
        <f t="shared" si="56"/>
        <v>0</v>
      </c>
      <c r="AC14" s="169">
        <f>'[1]Margin Calculation'!P20/$CV$24</f>
        <v>287.28314999999998</v>
      </c>
      <c r="AD14" s="168">
        <f t="shared" si="3"/>
        <v>4511.477890530763</v>
      </c>
      <c r="AE14" s="169">
        <f t="shared" si="4"/>
        <v>11081.327256940245</v>
      </c>
      <c r="AF14" s="169">
        <f t="shared" si="5"/>
        <v>0</v>
      </c>
      <c r="AG14" s="169">
        <f t="shared" si="6"/>
        <v>0</v>
      </c>
      <c r="AH14" s="169">
        <f t="shared" si="7"/>
        <v>7373.0657849304307</v>
      </c>
      <c r="AI14" s="169">
        <f t="shared" si="8"/>
        <v>0</v>
      </c>
      <c r="AJ14" s="169">
        <f t="shared" si="57"/>
        <v>0</v>
      </c>
      <c r="AK14" s="169">
        <f t="shared" si="9"/>
        <v>0</v>
      </c>
      <c r="AL14" s="169">
        <f>'[1]Margin Calculation'!P20/$CV$64</f>
        <v>2699.7817</v>
      </c>
      <c r="AM14" s="168">
        <f t="shared" si="58"/>
        <v>12632.781679128584</v>
      </c>
      <c r="AN14" s="169">
        <f t="shared" si="59"/>
        <v>31029.271278494016</v>
      </c>
      <c r="AO14" s="169">
        <f t="shared" si="58"/>
        <v>0</v>
      </c>
      <c r="AP14" s="169">
        <f t="shared" si="60"/>
        <v>0</v>
      </c>
      <c r="AQ14" s="169">
        <f t="shared" si="61"/>
        <v>20645.905535759495</v>
      </c>
      <c r="AR14" s="169">
        <f t="shared" si="62"/>
        <v>0</v>
      </c>
      <c r="AS14" s="169">
        <f t="shared" si="63"/>
        <v>0</v>
      </c>
      <c r="AT14" s="169">
        <f t="shared" si="64"/>
        <v>0</v>
      </c>
      <c r="AU14" s="169">
        <f>'[1]Margin Calculation'!P20/$CV$34</f>
        <v>7559.767600000001</v>
      </c>
      <c r="AV14" s="168">
        <f t="shared" si="10"/>
        <v>3476.7415812901804</v>
      </c>
      <c r="AW14" s="169">
        <f t="shared" si="11"/>
        <v>8539.7435107157107</v>
      </c>
      <c r="AX14" s="169">
        <f t="shared" si="12"/>
        <v>0</v>
      </c>
      <c r="AY14" s="169">
        <f t="shared" si="65"/>
        <v>0</v>
      </c>
      <c r="AZ14" s="169">
        <f t="shared" si="13"/>
        <v>5682.0830369971454</v>
      </c>
      <c r="BA14" s="169">
        <f t="shared" si="14"/>
        <v>0</v>
      </c>
      <c r="BB14" s="169">
        <f t="shared" si="15"/>
        <v>0</v>
      </c>
      <c r="BC14" s="169">
        <f t="shared" si="16"/>
        <v>0</v>
      </c>
      <c r="BD14" s="347">
        <f>'[1]Margin Calculation'!P20/$CV$44</f>
        <v>2080.5669499999999</v>
      </c>
      <c r="BE14" s="168">
        <f t="shared" si="17"/>
        <v>6493.3194282326849</v>
      </c>
      <c r="BF14" s="169">
        <f t="shared" si="18"/>
        <v>15949.218252514771</v>
      </c>
      <c r="BG14" s="169">
        <f t="shared" si="19"/>
        <v>0</v>
      </c>
      <c r="BH14" s="169">
        <f t="shared" si="20"/>
        <v>0</v>
      </c>
      <c r="BI14" s="169">
        <f t="shared" si="21"/>
        <v>10612.201904435737</v>
      </c>
      <c r="BJ14" s="169">
        <f t="shared" si="22"/>
        <v>0</v>
      </c>
      <c r="BK14" s="169">
        <f t="shared" si="23"/>
        <v>0</v>
      </c>
      <c r="BL14" s="169">
        <f t="shared" si="24"/>
        <v>0</v>
      </c>
      <c r="BM14" s="347">
        <f>'[1]Margin Calculation'!P20/$CV$74</f>
        <v>3885.7626500000001</v>
      </c>
      <c r="BN14" s="168">
        <f t="shared" si="25"/>
        <v>2413.4461591661307</v>
      </c>
      <c r="BO14" s="169">
        <f t="shared" si="26"/>
        <v>15949.218252514771</v>
      </c>
      <c r="BP14" s="169">
        <f t="shared" si="27"/>
        <v>0</v>
      </c>
      <c r="BQ14" s="169">
        <f t="shared" si="28"/>
        <v>0</v>
      </c>
      <c r="BR14" s="169">
        <f t="shared" si="29"/>
        <v>10612.201904435737</v>
      </c>
      <c r="BS14" s="169">
        <f t="shared" si="30"/>
        <v>0</v>
      </c>
      <c r="BT14" s="169">
        <f t="shared" si="31"/>
        <v>0</v>
      </c>
      <c r="BU14" s="169">
        <f t="shared" si="32"/>
        <v>0</v>
      </c>
      <c r="BV14" s="347">
        <f>'[1]Margin Calculation'!P20/$CV$84</f>
        <v>1444.2659000000001</v>
      </c>
      <c r="BW14" s="164"/>
      <c r="BX14" s="161">
        <v>574.63003789669779</v>
      </c>
      <c r="BY14" s="160">
        <v>1215.5714988483339</v>
      </c>
      <c r="BZ14" s="160">
        <v>0</v>
      </c>
      <c r="CA14" s="160">
        <v>0</v>
      </c>
      <c r="CB14" s="160">
        <v>1228.9229485571127</v>
      </c>
      <c r="CC14" s="160">
        <v>0</v>
      </c>
      <c r="CD14" s="348">
        <v>0</v>
      </c>
      <c r="CE14" s="348">
        <v>0</v>
      </c>
      <c r="CF14" s="164"/>
      <c r="CG14" s="168">
        <f t="shared" si="33"/>
        <v>574.63003789669779</v>
      </c>
      <c r="CH14" s="167">
        <f t="shared" si="34"/>
        <v>1580.2429485028342</v>
      </c>
      <c r="CI14" s="167">
        <f t="shared" si="35"/>
        <v>0</v>
      </c>
      <c r="CJ14" s="167">
        <f t="shared" si="36"/>
        <v>0</v>
      </c>
      <c r="CK14" s="167">
        <f t="shared" si="37"/>
        <v>20645.905535759495</v>
      </c>
      <c r="CL14" s="167">
        <f t="shared" si="66"/>
        <v>0</v>
      </c>
      <c r="CM14" s="349">
        <f t="shared" si="67"/>
        <v>0</v>
      </c>
      <c r="CN14" s="349">
        <f t="shared" si="68"/>
        <v>0</v>
      </c>
      <c r="CT14" s="181" t="s">
        <v>2</v>
      </c>
      <c r="CU14" s="181" t="s">
        <v>2</v>
      </c>
      <c r="CV14" s="186">
        <f>'[1]Margin Calculation'!AF22</f>
        <v>1</v>
      </c>
    </row>
    <row r="15" spans="2:100" x14ac:dyDescent="0.25">
      <c r="B15" s="170">
        <v>303</v>
      </c>
      <c r="C15" s="168">
        <f t="shared" si="38"/>
        <v>677.76439314467359</v>
      </c>
      <c r="D15" s="169">
        <f t="shared" si="39"/>
        <v>1502.7147731742778</v>
      </c>
      <c r="E15" s="169">
        <f t="shared" si="0"/>
        <v>1553.2275896190197</v>
      </c>
      <c r="F15" s="169">
        <f t="shared" si="40"/>
        <v>416.50446894610923</v>
      </c>
      <c r="G15" s="169">
        <f t="shared" si="41"/>
        <v>0</v>
      </c>
      <c r="H15" s="169">
        <f t="shared" si="42"/>
        <v>0</v>
      </c>
      <c r="I15" s="169">
        <f t="shared" si="43"/>
        <v>1260.8551460954357</v>
      </c>
      <c r="J15" s="169">
        <f t="shared" si="44"/>
        <v>0</v>
      </c>
      <c r="K15" s="169">
        <f>'[1]Margin Calculation'!P21/$CV$4</f>
        <v>370.66809574848162</v>
      </c>
      <c r="L15" s="168">
        <f t="shared" si="45"/>
        <v>758.82501456477644</v>
      </c>
      <c r="M15" s="169">
        <f t="shared" si="1"/>
        <v>1682.4394600459214</v>
      </c>
      <c r="N15" s="169">
        <f t="shared" si="45"/>
        <v>1738.9936093374542</v>
      </c>
      <c r="O15" s="169">
        <f t="shared" si="46"/>
        <v>466.31865222166613</v>
      </c>
      <c r="P15" s="169">
        <f t="shared" si="47"/>
        <v>0</v>
      </c>
      <c r="Q15" s="169">
        <f t="shared" si="48"/>
        <v>0</v>
      </c>
      <c r="R15" s="169">
        <f t="shared" si="49"/>
        <v>1411.6524448777848</v>
      </c>
      <c r="S15" s="169">
        <f t="shared" si="2"/>
        <v>0</v>
      </c>
      <c r="T15" s="169">
        <f>'[1]Margin Calculation'!P21</f>
        <v>415</v>
      </c>
      <c r="U15" s="168">
        <f t="shared" si="50"/>
        <v>566.2247069648547</v>
      </c>
      <c r="V15" s="169">
        <f t="shared" si="51"/>
        <v>1255.4195006916659</v>
      </c>
      <c r="W15" s="169">
        <f t="shared" si="50"/>
        <v>1297.6129251954178</v>
      </c>
      <c r="X15" s="169">
        <f t="shared" si="52"/>
        <v>347.96025535006191</v>
      </c>
      <c r="Y15" s="169">
        <f t="shared" si="53"/>
        <v>0</v>
      </c>
      <c r="Z15" s="169">
        <f t="shared" si="54"/>
        <v>0</v>
      </c>
      <c r="AA15" s="169">
        <f t="shared" si="55"/>
        <v>1053.3557045472794</v>
      </c>
      <c r="AB15" s="169">
        <f t="shared" si="56"/>
        <v>0</v>
      </c>
      <c r="AC15" s="169">
        <f>'[1]Margin Calculation'!P21/$CV$24</f>
        <v>309.66884999999996</v>
      </c>
      <c r="AD15" s="168">
        <f t="shared" si="3"/>
        <v>5321.1960270181462</v>
      </c>
      <c r="AE15" s="169">
        <f t="shared" si="4"/>
        <v>11797.97211841522</v>
      </c>
      <c r="AF15" s="169">
        <f t="shared" si="5"/>
        <v>12194.545128857884</v>
      </c>
      <c r="AG15" s="169">
        <f t="shared" si="6"/>
        <v>3270.0265862243914</v>
      </c>
      <c r="AH15" s="169">
        <f t="shared" si="7"/>
        <v>0</v>
      </c>
      <c r="AI15" s="169">
        <f t="shared" si="8"/>
        <v>0</v>
      </c>
      <c r="AJ15" s="169">
        <f t="shared" si="57"/>
        <v>9899.0998375098752</v>
      </c>
      <c r="AK15" s="169">
        <f t="shared" si="9"/>
        <v>0</v>
      </c>
      <c r="AL15" s="169">
        <f>'[1]Margin Calculation'!P21/$CV$64</f>
        <v>2910.1543000000001</v>
      </c>
      <c r="AM15" s="168">
        <f t="shared" si="58"/>
        <v>14900.107971771135</v>
      </c>
      <c r="AN15" s="169">
        <f t="shared" si="59"/>
        <v>33035.977451991304</v>
      </c>
      <c r="AO15" s="169">
        <f t="shared" si="58"/>
        <v>34146.465975702456</v>
      </c>
      <c r="AP15" s="169">
        <f t="shared" si="60"/>
        <v>9156.512924671466</v>
      </c>
      <c r="AQ15" s="169">
        <f t="shared" si="61"/>
        <v>0</v>
      </c>
      <c r="AR15" s="169">
        <f t="shared" si="62"/>
        <v>0</v>
      </c>
      <c r="AS15" s="169">
        <f t="shared" si="63"/>
        <v>27719.253577256597</v>
      </c>
      <c r="AT15" s="169">
        <f t="shared" si="64"/>
        <v>0</v>
      </c>
      <c r="AU15" s="169">
        <f>'[1]Margin Calculation'!P21/$CV$34</f>
        <v>8148.840400000001</v>
      </c>
      <c r="AV15" s="168">
        <f t="shared" si="10"/>
        <v>4100.7456842825331</v>
      </c>
      <c r="AW15" s="169">
        <f t="shared" si="11"/>
        <v>9092.0206128503614</v>
      </c>
      <c r="AX15" s="169">
        <f t="shared" si="12"/>
        <v>9397.6482082309176</v>
      </c>
      <c r="AY15" s="169">
        <f t="shared" si="65"/>
        <v>2520.0186389115393</v>
      </c>
      <c r="AZ15" s="169">
        <f t="shared" si="13"/>
        <v>0</v>
      </c>
      <c r="BA15" s="169">
        <f t="shared" si="14"/>
        <v>0</v>
      </c>
      <c r="BB15" s="169">
        <f t="shared" si="15"/>
        <v>7628.6584959463289</v>
      </c>
      <c r="BC15" s="169">
        <f t="shared" si="16"/>
        <v>0</v>
      </c>
      <c r="BD15" s="347">
        <f>'[1]Margin Calculation'!P21/$CV$44</f>
        <v>2242.68905</v>
      </c>
      <c r="BE15" s="168">
        <f t="shared" si="17"/>
        <v>7658.737642534812</v>
      </c>
      <c r="BF15" s="169">
        <f t="shared" si="18"/>
        <v>16980.676401902881</v>
      </c>
      <c r="BG15" s="169">
        <f t="shared" si="19"/>
        <v>17551.471762694924</v>
      </c>
      <c r="BH15" s="169">
        <f t="shared" si="20"/>
        <v>4706.512810963136</v>
      </c>
      <c r="BI15" s="169">
        <f t="shared" si="21"/>
        <v>0</v>
      </c>
      <c r="BJ15" s="169">
        <f t="shared" si="22"/>
        <v>0</v>
      </c>
      <c r="BK15" s="169">
        <f t="shared" si="23"/>
        <v>14247.675405129588</v>
      </c>
      <c r="BL15" s="169">
        <f t="shared" si="24"/>
        <v>0</v>
      </c>
      <c r="BM15" s="347">
        <f>'[1]Margin Calculation'!P21/$CV$74</f>
        <v>4188.5493500000002</v>
      </c>
      <c r="BN15" s="168">
        <f t="shared" si="25"/>
        <v>2846.610451207629</v>
      </c>
      <c r="BO15" s="169">
        <f t="shared" si="26"/>
        <v>16980.676401902881</v>
      </c>
      <c r="BP15" s="169">
        <f t="shared" si="27"/>
        <v>6523.5558763998833</v>
      </c>
      <c r="BQ15" s="169">
        <f t="shared" si="28"/>
        <v>1749.3213385732231</v>
      </c>
      <c r="BR15" s="169">
        <f t="shared" si="29"/>
        <v>0</v>
      </c>
      <c r="BS15" s="169">
        <f t="shared" si="30"/>
        <v>0</v>
      </c>
      <c r="BT15" s="169">
        <f t="shared" si="31"/>
        <v>5295.6224490742825</v>
      </c>
      <c r="BU15" s="169">
        <f t="shared" si="32"/>
        <v>0</v>
      </c>
      <c r="BV15" s="347">
        <f>'[1]Margin Calculation'!P21/$CV$84</f>
        <v>1556.8061</v>
      </c>
      <c r="BW15" s="164"/>
      <c r="BX15" s="161">
        <v>677.76439314467359</v>
      </c>
      <c r="BY15" s="160">
        <v>1294.184200035324</v>
      </c>
      <c r="BZ15" s="160">
        <v>1553.2275896190197</v>
      </c>
      <c r="CA15" s="160">
        <v>969.23793804289971</v>
      </c>
      <c r="CB15" s="160">
        <v>0</v>
      </c>
      <c r="CC15" s="160">
        <v>0</v>
      </c>
      <c r="CD15" s="348">
        <v>1303.3897690333245</v>
      </c>
      <c r="CE15" s="348">
        <v>0</v>
      </c>
      <c r="CF15" s="164"/>
      <c r="CG15" s="168">
        <f t="shared" si="33"/>
        <v>677.76439314467359</v>
      </c>
      <c r="CH15" s="167">
        <f t="shared" si="34"/>
        <v>1682.4394600459214</v>
      </c>
      <c r="CI15" s="167">
        <f t="shared" si="35"/>
        <v>1553.2275896190197</v>
      </c>
      <c r="CJ15" s="167">
        <f t="shared" si="36"/>
        <v>2520.0186389115393</v>
      </c>
      <c r="CK15" s="167">
        <f t="shared" si="37"/>
        <v>0</v>
      </c>
      <c r="CL15" s="167">
        <f t="shared" si="66"/>
        <v>0</v>
      </c>
      <c r="CM15" s="349">
        <f t="shared" si="67"/>
        <v>9899.0998375098752</v>
      </c>
      <c r="CN15" s="349">
        <f t="shared" si="68"/>
        <v>0</v>
      </c>
      <c r="CT15" s="182" t="s">
        <v>2</v>
      </c>
      <c r="CU15" s="182" t="s">
        <v>259</v>
      </c>
      <c r="CV15" s="185">
        <f>'[1]Margin Calculation'!AF23</f>
        <v>0.74619000000000002</v>
      </c>
    </row>
    <row r="16" spans="2:100" x14ac:dyDescent="0.25">
      <c r="B16" s="170">
        <v>304</v>
      </c>
      <c r="C16" s="168">
        <f t="shared" si="38"/>
        <v>0</v>
      </c>
      <c r="D16" s="169">
        <f t="shared" si="39"/>
        <v>0</v>
      </c>
      <c r="E16" s="169">
        <f t="shared" si="0"/>
        <v>0</v>
      </c>
      <c r="F16" s="169">
        <f t="shared" si="40"/>
        <v>0</v>
      </c>
      <c r="G16" s="169">
        <f t="shared" si="41"/>
        <v>0</v>
      </c>
      <c r="H16" s="169">
        <f t="shared" si="42"/>
        <v>0</v>
      </c>
      <c r="I16" s="169">
        <f t="shared" si="43"/>
        <v>0</v>
      </c>
      <c r="J16" s="169">
        <f t="shared" si="44"/>
        <v>0</v>
      </c>
      <c r="K16" s="169">
        <f>'[1]Margin Calculation'!P22/$CV$4</f>
        <v>397.46337977849237</v>
      </c>
      <c r="L16" s="168">
        <f t="shared" si="45"/>
        <v>0</v>
      </c>
      <c r="M16" s="169">
        <f t="shared" si="1"/>
        <v>0</v>
      </c>
      <c r="N16" s="169">
        <f t="shared" si="45"/>
        <v>0</v>
      </c>
      <c r="O16" s="169">
        <f t="shared" si="46"/>
        <v>0</v>
      </c>
      <c r="P16" s="169">
        <f t="shared" si="47"/>
        <v>0</v>
      </c>
      <c r="Q16" s="169">
        <f t="shared" si="48"/>
        <v>0</v>
      </c>
      <c r="R16" s="169">
        <f t="shared" si="49"/>
        <v>0</v>
      </c>
      <c r="S16" s="169">
        <f t="shared" si="2"/>
        <v>0</v>
      </c>
      <c r="T16" s="169">
        <f>'[1]Margin Calculation'!P22</f>
        <v>445</v>
      </c>
      <c r="U16" s="168">
        <f t="shared" si="50"/>
        <v>0</v>
      </c>
      <c r="V16" s="169">
        <f t="shared" si="51"/>
        <v>0</v>
      </c>
      <c r="W16" s="169">
        <f t="shared" si="50"/>
        <v>0</v>
      </c>
      <c r="X16" s="169">
        <f t="shared" si="52"/>
        <v>0</v>
      </c>
      <c r="Y16" s="169">
        <f t="shared" si="53"/>
        <v>0</v>
      </c>
      <c r="Z16" s="169">
        <f t="shared" si="54"/>
        <v>0</v>
      </c>
      <c r="AA16" s="169">
        <f t="shared" si="55"/>
        <v>0</v>
      </c>
      <c r="AB16" s="169">
        <f t="shared" si="56"/>
        <v>0</v>
      </c>
      <c r="AC16" s="169">
        <f>'[1]Margin Calculation'!P22/$CV$24</f>
        <v>332.05455000000001</v>
      </c>
      <c r="AD16" s="168">
        <f t="shared" si="3"/>
        <v>0</v>
      </c>
      <c r="AE16" s="169">
        <f t="shared" si="4"/>
        <v>0</v>
      </c>
      <c r="AF16" s="169">
        <f t="shared" si="5"/>
        <v>0</v>
      </c>
      <c r="AG16" s="169">
        <f t="shared" si="6"/>
        <v>0</v>
      </c>
      <c r="AH16" s="169">
        <f t="shared" si="7"/>
        <v>0</v>
      </c>
      <c r="AI16" s="169">
        <f t="shared" si="8"/>
        <v>0</v>
      </c>
      <c r="AJ16" s="169">
        <f t="shared" si="57"/>
        <v>0</v>
      </c>
      <c r="AK16" s="169">
        <f t="shared" si="9"/>
        <v>0</v>
      </c>
      <c r="AL16" s="169">
        <f>'[1]Margin Calculation'!P22/$CV$64</f>
        <v>3120.5269000000003</v>
      </c>
      <c r="AM16" s="168">
        <f t="shared" si="58"/>
        <v>0</v>
      </c>
      <c r="AN16" s="169">
        <f t="shared" si="59"/>
        <v>0</v>
      </c>
      <c r="AO16" s="169">
        <f t="shared" si="58"/>
        <v>0</v>
      </c>
      <c r="AP16" s="169">
        <f t="shared" si="60"/>
        <v>0</v>
      </c>
      <c r="AQ16" s="169">
        <f t="shared" si="61"/>
        <v>0</v>
      </c>
      <c r="AR16" s="169">
        <f t="shared" si="62"/>
        <v>0</v>
      </c>
      <c r="AS16" s="169">
        <f t="shared" si="63"/>
        <v>0</v>
      </c>
      <c r="AT16" s="169">
        <f t="shared" si="64"/>
        <v>0</v>
      </c>
      <c r="AU16" s="169">
        <f>'[1]Margin Calculation'!P22/$CV$34</f>
        <v>8737.9132000000009</v>
      </c>
      <c r="AV16" s="168">
        <f t="shared" si="10"/>
        <v>0</v>
      </c>
      <c r="AW16" s="169">
        <f t="shared" si="11"/>
        <v>0</v>
      </c>
      <c r="AX16" s="169">
        <f t="shared" si="12"/>
        <v>0</v>
      </c>
      <c r="AY16" s="169">
        <f t="shared" si="65"/>
        <v>0</v>
      </c>
      <c r="AZ16" s="169">
        <f t="shared" si="13"/>
        <v>0</v>
      </c>
      <c r="BA16" s="169">
        <f t="shared" si="14"/>
        <v>0</v>
      </c>
      <c r="BB16" s="169">
        <f t="shared" si="15"/>
        <v>0</v>
      </c>
      <c r="BC16" s="169">
        <f t="shared" si="16"/>
        <v>0</v>
      </c>
      <c r="BD16" s="347">
        <f>'[1]Margin Calculation'!P22/$CV$44</f>
        <v>2404.81115</v>
      </c>
      <c r="BE16" s="168">
        <f t="shared" si="17"/>
        <v>0</v>
      </c>
      <c r="BF16" s="169">
        <f t="shared" si="18"/>
        <v>0</v>
      </c>
      <c r="BG16" s="169">
        <f t="shared" si="19"/>
        <v>0</v>
      </c>
      <c r="BH16" s="169">
        <f t="shared" si="20"/>
        <v>0</v>
      </c>
      <c r="BI16" s="169">
        <f t="shared" si="21"/>
        <v>0</v>
      </c>
      <c r="BJ16" s="169">
        <f t="shared" si="22"/>
        <v>0</v>
      </c>
      <c r="BK16" s="169">
        <f t="shared" si="23"/>
        <v>0</v>
      </c>
      <c r="BL16" s="169">
        <f t="shared" si="24"/>
        <v>0</v>
      </c>
      <c r="BM16" s="347">
        <f>'[1]Margin Calculation'!P22/$CV$74</f>
        <v>4491.3360499999999</v>
      </c>
      <c r="BN16" s="168">
        <f t="shared" si="25"/>
        <v>0</v>
      </c>
      <c r="BO16" s="169">
        <f t="shared" si="26"/>
        <v>0</v>
      </c>
      <c r="BP16" s="169">
        <f t="shared" si="27"/>
        <v>0</v>
      </c>
      <c r="BQ16" s="169">
        <f t="shared" si="28"/>
        <v>0</v>
      </c>
      <c r="BR16" s="169">
        <f t="shared" si="29"/>
        <v>0</v>
      </c>
      <c r="BS16" s="169">
        <f t="shared" si="30"/>
        <v>0</v>
      </c>
      <c r="BT16" s="169">
        <f t="shared" si="31"/>
        <v>0</v>
      </c>
      <c r="BU16" s="169">
        <f t="shared" si="32"/>
        <v>0</v>
      </c>
      <c r="BV16" s="347">
        <f>'[1]Margin Calculation'!P22/$CV$84</f>
        <v>1669.3463000000002</v>
      </c>
      <c r="BW16" s="164"/>
      <c r="BX16" s="161">
        <v>0</v>
      </c>
      <c r="BY16" s="160">
        <v>0</v>
      </c>
      <c r="BZ16" s="160">
        <v>0</v>
      </c>
      <c r="CA16" s="160">
        <v>0</v>
      </c>
      <c r="CB16" s="160">
        <v>0</v>
      </c>
      <c r="CC16" s="160">
        <v>0</v>
      </c>
      <c r="CD16" s="348">
        <v>0</v>
      </c>
      <c r="CE16" s="348">
        <v>0</v>
      </c>
      <c r="CF16" s="164"/>
      <c r="CG16" s="171">
        <f t="shared" si="33"/>
        <v>0</v>
      </c>
      <c r="CH16" s="167">
        <f t="shared" si="34"/>
        <v>0</v>
      </c>
      <c r="CI16" s="167">
        <f t="shared" si="35"/>
        <v>0</v>
      </c>
      <c r="CJ16" s="167">
        <f t="shared" si="36"/>
        <v>0</v>
      </c>
      <c r="CK16" s="167">
        <f t="shared" si="37"/>
        <v>0</v>
      </c>
      <c r="CL16" s="167">
        <f t="shared" si="66"/>
        <v>0</v>
      </c>
      <c r="CM16" s="349">
        <f t="shared" si="67"/>
        <v>0</v>
      </c>
      <c r="CN16" s="349">
        <f t="shared" si="68"/>
        <v>0</v>
      </c>
      <c r="CT16" s="181" t="s">
        <v>2</v>
      </c>
      <c r="CU16" s="181" t="s">
        <v>85</v>
      </c>
      <c r="CV16" s="186">
        <f>'[1]Margin Calculation'!AF24</f>
        <v>5.4040699999999999</v>
      </c>
    </row>
    <row r="17" spans="2:100" x14ac:dyDescent="0.25">
      <c r="B17" s="170">
        <v>400</v>
      </c>
      <c r="C17" s="168">
        <f t="shared" si="38"/>
        <v>721.60870098905718</v>
      </c>
      <c r="D17" s="169">
        <f t="shared" si="39"/>
        <v>0</v>
      </c>
      <c r="E17" s="169">
        <f t="shared" si="0"/>
        <v>2029.753731516571</v>
      </c>
      <c r="F17" s="169">
        <f t="shared" si="40"/>
        <v>662.87528186502186</v>
      </c>
      <c r="G17" s="169">
        <f t="shared" si="41"/>
        <v>0</v>
      </c>
      <c r="H17" s="169">
        <f t="shared" si="42"/>
        <v>0</v>
      </c>
      <c r="I17" s="169">
        <f t="shared" si="43"/>
        <v>0</v>
      </c>
      <c r="J17" s="169">
        <f t="shared" si="44"/>
        <v>0</v>
      </c>
      <c r="K17" s="169">
        <f>'[1]Margin Calculation'!P23/$CV$4</f>
        <v>424.25866380850306</v>
      </c>
      <c r="L17" s="168">
        <f t="shared" si="45"/>
        <v>807.91310162734828</v>
      </c>
      <c r="M17" s="169">
        <f t="shared" si="1"/>
        <v>0</v>
      </c>
      <c r="N17" s="169">
        <f t="shared" si="45"/>
        <v>2272.5122778059526</v>
      </c>
      <c r="O17" s="169">
        <f t="shared" si="46"/>
        <v>742.15556152975967</v>
      </c>
      <c r="P17" s="169">
        <f t="shared" si="47"/>
        <v>0</v>
      </c>
      <c r="Q17" s="169">
        <f t="shared" si="48"/>
        <v>0</v>
      </c>
      <c r="R17" s="169">
        <f t="shared" si="49"/>
        <v>0</v>
      </c>
      <c r="S17" s="169">
        <f t="shared" si="2"/>
        <v>0</v>
      </c>
      <c r="T17" s="169">
        <f>'[1]Margin Calculation'!P23</f>
        <v>475</v>
      </c>
      <c r="U17" s="168">
        <f t="shared" si="50"/>
        <v>602.85355706728808</v>
      </c>
      <c r="V17" s="169">
        <f t="shared" si="51"/>
        <v>0</v>
      </c>
      <c r="W17" s="169">
        <f t="shared" si="50"/>
        <v>1695.7171599208889</v>
      </c>
      <c r="X17" s="169">
        <f t="shared" si="52"/>
        <v>553.78578032218229</v>
      </c>
      <c r="Y17" s="169">
        <f t="shared" si="53"/>
        <v>0</v>
      </c>
      <c r="Z17" s="169">
        <f t="shared" si="54"/>
        <v>0</v>
      </c>
      <c r="AA17" s="169">
        <f t="shared" si="55"/>
        <v>0</v>
      </c>
      <c r="AB17" s="169">
        <f t="shared" si="56"/>
        <v>0</v>
      </c>
      <c r="AC17" s="169">
        <f>'[1]Margin Calculation'!P23/$CV$24</f>
        <v>354.44024999999999</v>
      </c>
      <c r="AD17" s="168">
        <f t="shared" si="3"/>
        <v>5665.4220723351864</v>
      </c>
      <c r="AE17" s="169">
        <f t="shared" si="4"/>
        <v>0</v>
      </c>
      <c r="AF17" s="169">
        <f t="shared" si="5"/>
        <v>15935.799521509749</v>
      </c>
      <c r="AG17" s="169">
        <f t="shared" si="6"/>
        <v>5204.3134147741239</v>
      </c>
      <c r="AH17" s="169">
        <f t="shared" si="7"/>
        <v>0</v>
      </c>
      <c r="AI17" s="169">
        <f t="shared" si="8"/>
        <v>0</v>
      </c>
      <c r="AJ17" s="169">
        <f t="shared" si="57"/>
        <v>0</v>
      </c>
      <c r="AK17" s="169">
        <f t="shared" si="9"/>
        <v>0</v>
      </c>
      <c r="AL17" s="169">
        <f>'[1]Margin Calculation'!P23/$CV$64</f>
        <v>3330.8995</v>
      </c>
      <c r="AM17" s="168">
        <f t="shared" si="58"/>
        <v>15863.990004283633</v>
      </c>
      <c r="AN17" s="169">
        <f t="shared" si="59"/>
        <v>0</v>
      </c>
      <c r="AO17" s="169">
        <f t="shared" si="58"/>
        <v>44622.511984406599</v>
      </c>
      <c r="AP17" s="169">
        <f t="shared" si="60"/>
        <v>14572.775416312885</v>
      </c>
      <c r="AQ17" s="169">
        <f t="shared" si="61"/>
        <v>0</v>
      </c>
      <c r="AR17" s="169">
        <f t="shared" si="62"/>
        <v>0</v>
      </c>
      <c r="AS17" s="169">
        <f t="shared" si="63"/>
        <v>0</v>
      </c>
      <c r="AT17" s="169">
        <f t="shared" si="64"/>
        <v>0</v>
      </c>
      <c r="AU17" s="169">
        <f>'[1]Margin Calculation'!P23/$CV$34</f>
        <v>9326.9860000000008</v>
      </c>
      <c r="AV17" s="168">
        <f t="shared" si="10"/>
        <v>4366.0212844641919</v>
      </c>
      <c r="AW17" s="169">
        <f t="shared" si="11"/>
        <v>0</v>
      </c>
      <c r="AX17" s="169">
        <f t="shared" si="12"/>
        <v>12280.821977167861</v>
      </c>
      <c r="AY17" s="169">
        <f t="shared" si="65"/>
        <v>4010.6606053961282</v>
      </c>
      <c r="AZ17" s="169">
        <f t="shared" si="13"/>
        <v>0</v>
      </c>
      <c r="BA17" s="169">
        <f t="shared" si="14"/>
        <v>0</v>
      </c>
      <c r="BB17" s="169">
        <f t="shared" si="15"/>
        <v>0</v>
      </c>
      <c r="BC17" s="169">
        <f t="shared" si="16"/>
        <v>0</v>
      </c>
      <c r="BD17" s="347">
        <f>'[1]Margin Calculation'!P23/$CV$44</f>
        <v>2566.93325</v>
      </c>
      <c r="BE17" s="168">
        <f t="shared" si="17"/>
        <v>8154.1783211763459</v>
      </c>
      <c r="BF17" s="169">
        <f t="shared" si="18"/>
        <v>0</v>
      </c>
      <c r="BG17" s="169">
        <f t="shared" si="19"/>
        <v>22936.217166137252</v>
      </c>
      <c r="BH17" s="169">
        <f t="shared" si="20"/>
        <v>7490.5102796680785</v>
      </c>
      <c r="BI17" s="169">
        <f t="shared" si="21"/>
        <v>0</v>
      </c>
      <c r="BJ17" s="169">
        <f t="shared" si="22"/>
        <v>0</v>
      </c>
      <c r="BK17" s="169">
        <f t="shared" si="23"/>
        <v>0</v>
      </c>
      <c r="BL17" s="169">
        <f t="shared" si="24"/>
        <v>0</v>
      </c>
      <c r="BM17" s="347">
        <f>'[1]Margin Calculation'!P23/$CV$74</f>
        <v>4794.1227500000005</v>
      </c>
      <c r="BN17" s="168">
        <f t="shared" si="25"/>
        <v>3030.7565441540405</v>
      </c>
      <c r="BO17" s="169">
        <f t="shared" si="26"/>
        <v>0</v>
      </c>
      <c r="BP17" s="169">
        <f t="shared" si="27"/>
        <v>8524.9656723695989</v>
      </c>
      <c r="BQ17" s="169">
        <f t="shared" si="28"/>
        <v>2784.0802724478299</v>
      </c>
      <c r="BR17" s="169">
        <f t="shared" si="29"/>
        <v>0</v>
      </c>
      <c r="BS17" s="169">
        <f t="shared" si="30"/>
        <v>0</v>
      </c>
      <c r="BT17" s="169">
        <f t="shared" si="31"/>
        <v>0</v>
      </c>
      <c r="BU17" s="169">
        <f t="shared" si="32"/>
        <v>0</v>
      </c>
      <c r="BV17" s="347">
        <f>'[1]Margin Calculation'!P23/$CV$84</f>
        <v>1781.8865000000001</v>
      </c>
      <c r="BW17" s="164"/>
      <c r="BX17" s="161">
        <v>721.60870098905718</v>
      </c>
      <c r="BY17" s="160">
        <v>0</v>
      </c>
      <c r="BZ17" s="160">
        <v>2029.753731516571</v>
      </c>
      <c r="CA17" s="160">
        <v>1542.5617713062031</v>
      </c>
      <c r="CB17" s="160">
        <v>0</v>
      </c>
      <c r="CC17" s="160">
        <v>0</v>
      </c>
      <c r="CD17" s="348">
        <v>0</v>
      </c>
      <c r="CE17" s="348">
        <v>0</v>
      </c>
      <c r="CF17" s="164"/>
      <c r="CG17" s="171">
        <f t="shared" si="33"/>
        <v>721.60870098905718</v>
      </c>
      <c r="CH17" s="167">
        <f t="shared" si="34"/>
        <v>0</v>
      </c>
      <c r="CI17" s="167">
        <f t="shared" si="35"/>
        <v>2029.753731516571</v>
      </c>
      <c r="CJ17" s="167">
        <f t="shared" si="36"/>
        <v>4010.6606053961282</v>
      </c>
      <c r="CK17" s="167">
        <f t="shared" si="37"/>
        <v>0</v>
      </c>
      <c r="CL17" s="167">
        <f t="shared" si="66"/>
        <v>0</v>
      </c>
      <c r="CM17" s="349">
        <f t="shared" si="67"/>
        <v>0</v>
      </c>
      <c r="CN17" s="349">
        <f t="shared" si="68"/>
        <v>0</v>
      </c>
      <c r="CT17" s="182" t="s">
        <v>2</v>
      </c>
      <c r="CU17" s="182" t="s">
        <v>101</v>
      </c>
      <c r="CV17" s="185">
        <f>'[1]Margin Calculation'!AF25</f>
        <v>19.635760000000001</v>
      </c>
    </row>
    <row r="18" spans="2:100" x14ac:dyDescent="0.25">
      <c r="B18" s="170">
        <v>401</v>
      </c>
      <c r="C18" s="168">
        <f t="shared" si="38"/>
        <v>853.50519879098886</v>
      </c>
      <c r="D18" s="169">
        <f t="shared" si="39"/>
        <v>0</v>
      </c>
      <c r="E18" s="169">
        <f t="shared" si="0"/>
        <v>0</v>
      </c>
      <c r="F18" s="169">
        <f t="shared" si="40"/>
        <v>794.48312451205254</v>
      </c>
      <c r="G18" s="169">
        <f t="shared" si="41"/>
        <v>1147.0116935249118</v>
      </c>
      <c r="H18" s="169">
        <f t="shared" si="42"/>
        <v>0</v>
      </c>
      <c r="I18" s="169">
        <f t="shared" si="43"/>
        <v>0</v>
      </c>
      <c r="J18" s="169">
        <f t="shared" si="44"/>
        <v>0</v>
      </c>
      <c r="K18" s="169">
        <f>'[1]Margin Calculation'!P24/$CV$4</f>
        <v>451.05394783851381</v>
      </c>
      <c r="L18" s="168">
        <f t="shared" si="45"/>
        <v>955.58442056639103</v>
      </c>
      <c r="M18" s="169">
        <f t="shared" si="1"/>
        <v>0</v>
      </c>
      <c r="N18" s="169">
        <f t="shared" si="45"/>
        <v>0</v>
      </c>
      <c r="O18" s="169">
        <f t="shared" si="46"/>
        <v>889.50378077036805</v>
      </c>
      <c r="P18" s="169">
        <f t="shared" si="47"/>
        <v>1284.1944733888768</v>
      </c>
      <c r="Q18" s="169">
        <f t="shared" si="48"/>
        <v>0</v>
      </c>
      <c r="R18" s="169">
        <f t="shared" si="49"/>
        <v>0</v>
      </c>
      <c r="S18" s="169">
        <f t="shared" si="2"/>
        <v>0</v>
      </c>
      <c r="T18" s="169">
        <f>'[1]Margin Calculation'!P24</f>
        <v>505</v>
      </c>
      <c r="U18" s="168">
        <f t="shared" si="50"/>
        <v>713.04384822595591</v>
      </c>
      <c r="V18" s="169">
        <f t="shared" si="51"/>
        <v>0</v>
      </c>
      <c r="W18" s="169">
        <f t="shared" si="50"/>
        <v>0</v>
      </c>
      <c r="X18" s="169">
        <f t="shared" si="52"/>
        <v>663.73489719337931</v>
      </c>
      <c r="Y18" s="169">
        <f t="shared" si="53"/>
        <v>958.2480476898528</v>
      </c>
      <c r="Z18" s="169">
        <f t="shared" si="54"/>
        <v>0</v>
      </c>
      <c r="AA18" s="169">
        <f t="shared" si="55"/>
        <v>0</v>
      </c>
      <c r="AB18" s="169">
        <f t="shared" si="56"/>
        <v>0</v>
      </c>
      <c r="AC18" s="169">
        <f>'[1]Margin Calculation'!P24/$CV$24</f>
        <v>376.82594999999998</v>
      </c>
      <c r="AD18" s="168">
        <f t="shared" si="3"/>
        <v>6700.9546662279317</v>
      </c>
      <c r="AE18" s="169">
        <f t="shared" si="4"/>
        <v>0</v>
      </c>
      <c r="AF18" s="169">
        <f t="shared" si="5"/>
        <v>0</v>
      </c>
      <c r="AG18" s="169">
        <f t="shared" si="6"/>
        <v>6237.582386654256</v>
      </c>
      <c r="AH18" s="169">
        <f t="shared" si="7"/>
        <v>9005.1859429228971</v>
      </c>
      <c r="AI18" s="169">
        <f t="shared" si="8"/>
        <v>0</v>
      </c>
      <c r="AJ18" s="169">
        <f t="shared" si="57"/>
        <v>0</v>
      </c>
      <c r="AK18" s="169">
        <f t="shared" si="9"/>
        <v>0</v>
      </c>
      <c r="AL18" s="169">
        <f>'[1]Margin Calculation'!P24/$CV$64</f>
        <v>3541.2721000000001</v>
      </c>
      <c r="AM18" s="168">
        <f t="shared" si="58"/>
        <v>18763.628991260859</v>
      </c>
      <c r="AN18" s="169">
        <f t="shared" si="59"/>
        <v>0</v>
      </c>
      <c r="AO18" s="169">
        <f t="shared" si="58"/>
        <v>0</v>
      </c>
      <c r="AP18" s="169">
        <f t="shared" si="60"/>
        <v>17466.067090313114</v>
      </c>
      <c r="AQ18" s="169">
        <f t="shared" si="61"/>
        <v>25216.134472790371</v>
      </c>
      <c r="AR18" s="169">
        <f t="shared" si="62"/>
        <v>0</v>
      </c>
      <c r="AS18" s="169">
        <f t="shared" si="63"/>
        <v>0</v>
      </c>
      <c r="AT18" s="169">
        <f t="shared" si="64"/>
        <v>0</v>
      </c>
      <c r="AU18" s="169">
        <f>'[1]Margin Calculation'!P24/$CV$34</f>
        <v>9916.0588000000007</v>
      </c>
      <c r="AV18" s="168">
        <f t="shared" si="10"/>
        <v>5164.0478547649991</v>
      </c>
      <c r="AW18" s="169">
        <f t="shared" si="11"/>
        <v>0</v>
      </c>
      <c r="AX18" s="169">
        <f t="shared" si="12"/>
        <v>0</v>
      </c>
      <c r="AY18" s="169">
        <f t="shared" si="65"/>
        <v>4806.9406965477228</v>
      </c>
      <c r="AZ18" s="169">
        <f t="shared" si="13"/>
        <v>6939.8830532433849</v>
      </c>
      <c r="BA18" s="169">
        <f t="shared" si="14"/>
        <v>0</v>
      </c>
      <c r="BB18" s="169">
        <f t="shared" si="15"/>
        <v>0</v>
      </c>
      <c r="BC18" s="169">
        <f t="shared" si="16"/>
        <v>0</v>
      </c>
      <c r="BD18" s="347">
        <f>'[1]Margin Calculation'!P24/$CV$44</f>
        <v>2729.0553500000001</v>
      </c>
      <c r="BE18" s="168">
        <f t="shared" si="17"/>
        <v>9644.6087463381737</v>
      </c>
      <c r="BF18" s="169">
        <f t="shared" si="18"/>
        <v>0</v>
      </c>
      <c r="BG18" s="169">
        <f t="shared" si="19"/>
        <v>0</v>
      </c>
      <c r="BH18" s="169">
        <f t="shared" si="20"/>
        <v>8977.682791907353</v>
      </c>
      <c r="BI18" s="169">
        <f t="shared" si="21"/>
        <v>12961.345280358977</v>
      </c>
      <c r="BJ18" s="169">
        <f t="shared" si="22"/>
        <v>0</v>
      </c>
      <c r="BK18" s="169">
        <f t="shared" si="23"/>
        <v>0</v>
      </c>
      <c r="BL18" s="169">
        <f t="shared" si="24"/>
        <v>0</v>
      </c>
      <c r="BM18" s="347">
        <f>'[1]Margin Calculation'!P24/$CV$74</f>
        <v>5096.9094500000001</v>
      </c>
      <c r="BN18" s="168">
        <f t="shared" si="25"/>
        <v>3584.7218349221534</v>
      </c>
      <c r="BO18" s="169">
        <f t="shared" si="26"/>
        <v>0</v>
      </c>
      <c r="BP18" s="169">
        <f t="shared" si="27"/>
        <v>0</v>
      </c>
      <c r="BQ18" s="169">
        <f t="shared" si="28"/>
        <v>3336.8340233225322</v>
      </c>
      <c r="BR18" s="169">
        <f t="shared" si="29"/>
        <v>12961.345280358977</v>
      </c>
      <c r="BS18" s="169">
        <f t="shared" si="30"/>
        <v>0</v>
      </c>
      <c r="BT18" s="169">
        <f t="shared" si="31"/>
        <v>0</v>
      </c>
      <c r="BU18" s="169">
        <f t="shared" si="32"/>
        <v>0</v>
      </c>
      <c r="BV18" s="347">
        <f>'[1]Margin Calculation'!P24/$CV$84</f>
        <v>1894.4267</v>
      </c>
      <c r="BW18" s="164"/>
      <c r="BX18" s="161">
        <v>853.50519879098886</v>
      </c>
      <c r="BY18" s="160">
        <v>0</v>
      </c>
      <c r="BZ18" s="160">
        <v>0</v>
      </c>
      <c r="CA18" s="160">
        <v>1848.8233448260473</v>
      </c>
      <c r="CB18" s="160">
        <v>1500.960385285141</v>
      </c>
      <c r="CC18" s="160">
        <v>0</v>
      </c>
      <c r="CD18" s="348">
        <v>0</v>
      </c>
      <c r="CE18" s="348">
        <v>0</v>
      </c>
      <c r="CF18" s="164"/>
      <c r="CG18" s="168">
        <f t="shared" si="33"/>
        <v>853.50519879098886</v>
      </c>
      <c r="CH18" s="167">
        <f t="shared" si="34"/>
        <v>0</v>
      </c>
      <c r="CI18" s="167">
        <f t="shared" si="35"/>
        <v>0</v>
      </c>
      <c r="CJ18" s="167">
        <f t="shared" si="36"/>
        <v>4806.9406965477228</v>
      </c>
      <c r="CK18" s="167">
        <f t="shared" si="37"/>
        <v>25216.134472790371</v>
      </c>
      <c r="CL18" s="167">
        <f t="shared" si="66"/>
        <v>0</v>
      </c>
      <c r="CM18" s="349">
        <f t="shared" si="67"/>
        <v>0</v>
      </c>
      <c r="CN18" s="349">
        <f t="shared" si="68"/>
        <v>0</v>
      </c>
      <c r="CT18" s="181" t="s">
        <v>2</v>
      </c>
      <c r="CU18" s="181" t="s">
        <v>179</v>
      </c>
      <c r="CV18" s="186">
        <f>'[1]Margin Calculation'!AF26</f>
        <v>898.60038999999995</v>
      </c>
    </row>
    <row r="19" spans="2:100" x14ac:dyDescent="0.25">
      <c r="B19" s="170">
        <v>402</v>
      </c>
      <c r="C19" s="168">
        <f t="shared" si="38"/>
        <v>868.210142097161</v>
      </c>
      <c r="D19" s="169">
        <f t="shared" si="39"/>
        <v>0</v>
      </c>
      <c r="E19" s="169">
        <f t="shared" si="0"/>
        <v>0</v>
      </c>
      <c r="F19" s="169">
        <f t="shared" si="40"/>
        <v>639.45431031824728</v>
      </c>
      <c r="G19" s="169">
        <f t="shared" si="41"/>
        <v>0</v>
      </c>
      <c r="H19" s="169">
        <f t="shared" si="42"/>
        <v>0</v>
      </c>
      <c r="I19" s="169">
        <f t="shared" si="43"/>
        <v>0</v>
      </c>
      <c r="J19" s="169">
        <f t="shared" si="44"/>
        <v>0</v>
      </c>
      <c r="K19" s="169">
        <f>'[1]Margin Calculation'!P25/$CV$4</f>
        <v>477.8492318685245</v>
      </c>
      <c r="L19" s="168">
        <f t="shared" si="45"/>
        <v>972.04807509198133</v>
      </c>
      <c r="M19" s="169">
        <f t="shared" si="1"/>
        <v>0</v>
      </c>
      <c r="N19" s="169">
        <f t="shared" si="45"/>
        <v>0</v>
      </c>
      <c r="O19" s="169">
        <f t="shared" si="46"/>
        <v>715.9334277959988</v>
      </c>
      <c r="P19" s="169">
        <f t="shared" si="47"/>
        <v>0</v>
      </c>
      <c r="Q19" s="169">
        <f t="shared" si="48"/>
        <v>0</v>
      </c>
      <c r="R19" s="169">
        <f t="shared" si="49"/>
        <v>0</v>
      </c>
      <c r="S19" s="169">
        <f t="shared" si="2"/>
        <v>0</v>
      </c>
      <c r="T19" s="169">
        <f>'[1]Margin Calculation'!P25</f>
        <v>535</v>
      </c>
      <c r="U19" s="168">
        <f t="shared" si="50"/>
        <v>725.32879901223123</v>
      </c>
      <c r="V19" s="169">
        <f t="shared" si="51"/>
        <v>0</v>
      </c>
      <c r="W19" s="169">
        <f t="shared" si="50"/>
        <v>0</v>
      </c>
      <c r="X19" s="169">
        <f t="shared" si="52"/>
        <v>534.21920217577429</v>
      </c>
      <c r="Y19" s="169">
        <f t="shared" si="53"/>
        <v>0</v>
      </c>
      <c r="Z19" s="169">
        <f t="shared" si="54"/>
        <v>0</v>
      </c>
      <c r="AA19" s="169">
        <f t="shared" si="55"/>
        <v>0</v>
      </c>
      <c r="AB19" s="169">
        <f t="shared" si="56"/>
        <v>0</v>
      </c>
      <c r="AC19" s="169">
        <f>'[1]Margin Calculation'!P25/$CV$24</f>
        <v>399.21164999999996</v>
      </c>
      <c r="AD19" s="168">
        <f t="shared" si="3"/>
        <v>6816.4046466190202</v>
      </c>
      <c r="AE19" s="169">
        <f t="shared" si="4"/>
        <v>0</v>
      </c>
      <c r="AF19" s="169">
        <f t="shared" si="5"/>
        <v>0</v>
      </c>
      <c r="AG19" s="169">
        <f t="shared" si="6"/>
        <v>5020.4325555196037</v>
      </c>
      <c r="AH19" s="169">
        <f t="shared" si="7"/>
        <v>0</v>
      </c>
      <c r="AI19" s="169">
        <f t="shared" si="8"/>
        <v>0</v>
      </c>
      <c r="AJ19" s="169">
        <f t="shared" si="57"/>
        <v>0</v>
      </c>
      <c r="AK19" s="169">
        <f t="shared" si="9"/>
        <v>0</v>
      </c>
      <c r="AL19" s="169">
        <f>'[1]Margin Calculation'!P25/$CV$64</f>
        <v>3751.6447000000003</v>
      </c>
      <c r="AM19" s="168">
        <f t="shared" si="58"/>
        <v>19086.905405892408</v>
      </c>
      <c r="AN19" s="169">
        <f t="shared" si="59"/>
        <v>0</v>
      </c>
      <c r="AO19" s="169">
        <f t="shared" si="58"/>
        <v>0</v>
      </c>
      <c r="AP19" s="169">
        <f t="shared" si="60"/>
        <v>14057.884353513382</v>
      </c>
      <c r="AQ19" s="169">
        <f t="shared" si="61"/>
        <v>0</v>
      </c>
      <c r="AR19" s="169">
        <f t="shared" si="62"/>
        <v>0</v>
      </c>
      <c r="AS19" s="169">
        <f t="shared" si="63"/>
        <v>0</v>
      </c>
      <c r="AT19" s="169">
        <f t="shared" si="64"/>
        <v>0</v>
      </c>
      <c r="AU19" s="169">
        <f>'[1]Margin Calculation'!P25/$CV$34</f>
        <v>10505.131600000001</v>
      </c>
      <c r="AV19" s="168">
        <f t="shared" si="10"/>
        <v>5253.0186437446628</v>
      </c>
      <c r="AW19" s="169">
        <f t="shared" si="11"/>
        <v>0</v>
      </c>
      <c r="AX19" s="169">
        <f t="shared" si="12"/>
        <v>0</v>
      </c>
      <c r="AY19" s="169">
        <f t="shared" si="65"/>
        <v>3868.954359149523</v>
      </c>
      <c r="AZ19" s="169">
        <f t="shared" si="13"/>
        <v>0</v>
      </c>
      <c r="BA19" s="169">
        <f t="shared" si="14"/>
        <v>0</v>
      </c>
      <c r="BB19" s="169">
        <f t="shared" si="15"/>
        <v>0</v>
      </c>
      <c r="BC19" s="169">
        <f t="shared" si="16"/>
        <v>0</v>
      </c>
      <c r="BD19" s="347">
        <f>'[1]Margin Calculation'!P25/$CV$44</f>
        <v>2891.1774499999997</v>
      </c>
      <c r="BE19" s="168">
        <f t="shared" si="17"/>
        <v>9810.7746056979195</v>
      </c>
      <c r="BF19" s="169">
        <f t="shared" si="18"/>
        <v>0</v>
      </c>
      <c r="BG19" s="169">
        <f t="shared" si="19"/>
        <v>0</v>
      </c>
      <c r="BH19" s="169">
        <f t="shared" si="20"/>
        <v>7225.8526088656063</v>
      </c>
      <c r="BI19" s="169">
        <f t="shared" si="21"/>
        <v>0</v>
      </c>
      <c r="BJ19" s="169">
        <f t="shared" si="22"/>
        <v>0</v>
      </c>
      <c r="BK19" s="169">
        <f t="shared" si="23"/>
        <v>0</v>
      </c>
      <c r="BL19" s="169">
        <f t="shared" si="24"/>
        <v>0</v>
      </c>
      <c r="BM19" s="347">
        <f>'[1]Margin Calculation'!P25/$CV$74</f>
        <v>5399.6961500000007</v>
      </c>
      <c r="BN19" s="168">
        <f t="shared" si="25"/>
        <v>3646.4825968080763</v>
      </c>
      <c r="BO19" s="169">
        <f t="shared" si="26"/>
        <v>0</v>
      </c>
      <c r="BP19" s="169">
        <f t="shared" si="27"/>
        <v>0</v>
      </c>
      <c r="BQ19" s="169">
        <f t="shared" si="28"/>
        <v>2685.7120474908243</v>
      </c>
      <c r="BR19" s="169">
        <f t="shared" si="29"/>
        <v>0</v>
      </c>
      <c r="BS19" s="169">
        <f t="shared" si="30"/>
        <v>0</v>
      </c>
      <c r="BT19" s="169">
        <f t="shared" si="31"/>
        <v>0</v>
      </c>
      <c r="BU19" s="169">
        <f t="shared" si="32"/>
        <v>0</v>
      </c>
      <c r="BV19" s="347">
        <f>'[1]Margin Calculation'!P25/$CV$84</f>
        <v>2006.9669000000001</v>
      </c>
      <c r="BW19" s="164"/>
      <c r="BX19" s="161">
        <v>868.210142097161</v>
      </c>
      <c r="BY19" s="160">
        <v>0</v>
      </c>
      <c r="BZ19" s="160">
        <v>0</v>
      </c>
      <c r="CA19" s="160">
        <v>1488.0593689036627</v>
      </c>
      <c r="CB19" s="160">
        <v>0</v>
      </c>
      <c r="CC19" s="160">
        <v>0</v>
      </c>
      <c r="CD19" s="348">
        <v>0</v>
      </c>
      <c r="CE19" s="348">
        <v>0</v>
      </c>
      <c r="CF19" s="164"/>
      <c r="CG19" s="168">
        <f t="shared" si="33"/>
        <v>868.210142097161</v>
      </c>
      <c r="CH19" s="167">
        <f t="shared" si="34"/>
        <v>0</v>
      </c>
      <c r="CI19" s="167">
        <f t="shared" si="35"/>
        <v>0</v>
      </c>
      <c r="CJ19" s="167">
        <f t="shared" si="36"/>
        <v>3868.954359149523</v>
      </c>
      <c r="CK19" s="167">
        <f t="shared" si="37"/>
        <v>0</v>
      </c>
      <c r="CL19" s="167">
        <f t="shared" si="66"/>
        <v>0</v>
      </c>
      <c r="CM19" s="349">
        <f t="shared" si="67"/>
        <v>0</v>
      </c>
      <c r="CN19" s="349">
        <f t="shared" si="68"/>
        <v>0</v>
      </c>
      <c r="CT19" s="182" t="s">
        <v>2</v>
      </c>
      <c r="CU19" s="182" t="s">
        <v>352</v>
      </c>
      <c r="CV19" s="185">
        <f>'[1]Margin Calculation'!AF27</f>
        <v>7.0124199999999997</v>
      </c>
    </row>
    <row r="20" spans="2:100" x14ac:dyDescent="0.25">
      <c r="B20" s="170">
        <v>403</v>
      </c>
      <c r="C20" s="168">
        <f t="shared" si="38"/>
        <v>1053.7743001448357</v>
      </c>
      <c r="D20" s="169">
        <f t="shared" si="39"/>
        <v>0</v>
      </c>
      <c r="E20" s="169">
        <f t="shared" si="0"/>
        <v>1577.4889276018657</v>
      </c>
      <c r="F20" s="169">
        <f t="shared" si="40"/>
        <v>0</v>
      </c>
      <c r="G20" s="169">
        <f t="shared" si="41"/>
        <v>0</v>
      </c>
      <c r="H20" s="169">
        <f t="shared" si="42"/>
        <v>0</v>
      </c>
      <c r="I20" s="169">
        <f t="shared" si="43"/>
        <v>0</v>
      </c>
      <c r="J20" s="169">
        <f t="shared" si="44"/>
        <v>0</v>
      </c>
      <c r="K20" s="169">
        <f>'[1]Margin Calculation'!P26/$CV$4</f>
        <v>0</v>
      </c>
      <c r="L20" s="168">
        <f t="shared" si="45"/>
        <v>1179.805706442158</v>
      </c>
      <c r="M20" s="169">
        <f t="shared" si="1"/>
        <v>0</v>
      </c>
      <c r="N20" s="169">
        <f t="shared" si="45"/>
        <v>1766.1566033430486</v>
      </c>
      <c r="O20" s="169">
        <f t="shared" si="46"/>
        <v>0</v>
      </c>
      <c r="P20" s="169">
        <f t="shared" si="47"/>
        <v>0</v>
      </c>
      <c r="Q20" s="169">
        <f t="shared" si="48"/>
        <v>0</v>
      </c>
      <c r="R20" s="169">
        <f t="shared" si="49"/>
        <v>0</v>
      </c>
      <c r="S20" s="169">
        <f t="shared" si="2"/>
        <v>0</v>
      </c>
      <c r="T20" s="169">
        <f>'[1]Margin Calculation'!P26</f>
        <v>0</v>
      </c>
      <c r="U20" s="168">
        <f t="shared" si="50"/>
        <v>880.35466357000018</v>
      </c>
      <c r="V20" s="169">
        <f t="shared" si="51"/>
        <v>0</v>
      </c>
      <c r="W20" s="169">
        <f t="shared" si="50"/>
        <v>1317.8815747864269</v>
      </c>
      <c r="X20" s="169">
        <f t="shared" si="52"/>
        <v>0</v>
      </c>
      <c r="Y20" s="169">
        <f t="shared" si="53"/>
        <v>0</v>
      </c>
      <c r="Z20" s="169">
        <f t="shared" si="54"/>
        <v>0</v>
      </c>
      <c r="AA20" s="169">
        <f t="shared" si="55"/>
        <v>0</v>
      </c>
      <c r="AB20" s="169">
        <f t="shared" si="56"/>
        <v>0</v>
      </c>
      <c r="AC20" s="169">
        <f>'[1]Margin Calculation'!P26/$CV$24</f>
        <v>0</v>
      </c>
      <c r="AD20" s="168">
        <f t="shared" si="3"/>
        <v>8273.2874078671193</v>
      </c>
      <c r="AE20" s="169">
        <f t="shared" si="4"/>
        <v>0</v>
      </c>
      <c r="AF20" s="169">
        <f t="shared" si="5"/>
        <v>12385.023319495007</v>
      </c>
      <c r="AG20" s="169">
        <f t="shared" si="6"/>
        <v>0</v>
      </c>
      <c r="AH20" s="169">
        <f t="shared" si="7"/>
        <v>0</v>
      </c>
      <c r="AI20" s="169">
        <f t="shared" si="8"/>
        <v>0</v>
      </c>
      <c r="AJ20" s="169">
        <f t="shared" si="57"/>
        <v>0</v>
      </c>
      <c r="AK20" s="169">
        <f t="shared" si="9"/>
        <v>0</v>
      </c>
      <c r="AL20" s="169">
        <f>'[1]Margin Calculation'!P26/$CV$64</f>
        <v>0</v>
      </c>
      <c r="AM20" s="168">
        <f t="shared" si="58"/>
        <v>23166.3849692441</v>
      </c>
      <c r="AN20" s="169">
        <f t="shared" si="59"/>
        <v>0</v>
      </c>
      <c r="AO20" s="169">
        <f t="shared" si="58"/>
        <v>34679.832082184941</v>
      </c>
      <c r="AP20" s="169">
        <f t="shared" si="60"/>
        <v>0</v>
      </c>
      <c r="AQ20" s="169">
        <f t="shared" si="61"/>
        <v>0</v>
      </c>
      <c r="AR20" s="169">
        <f t="shared" si="62"/>
        <v>0</v>
      </c>
      <c r="AS20" s="169">
        <f t="shared" si="63"/>
        <v>0</v>
      </c>
      <c r="AT20" s="169">
        <f t="shared" si="64"/>
        <v>0</v>
      </c>
      <c r="AU20" s="169">
        <f>'[1]Margin Calculation'!P26/$CV$34</f>
        <v>0</v>
      </c>
      <c r="AV20" s="168">
        <f t="shared" si="10"/>
        <v>6375.7560255963144</v>
      </c>
      <c r="AW20" s="169">
        <f t="shared" si="11"/>
        <v>0</v>
      </c>
      <c r="AX20" s="169">
        <f t="shared" si="12"/>
        <v>9544.4390075623287</v>
      </c>
      <c r="AY20" s="169">
        <f t="shared" si="65"/>
        <v>0</v>
      </c>
      <c r="AZ20" s="169">
        <f t="shared" si="13"/>
        <v>0</v>
      </c>
      <c r="BA20" s="169">
        <f t="shared" si="14"/>
        <v>0</v>
      </c>
      <c r="BB20" s="169">
        <f t="shared" si="15"/>
        <v>0</v>
      </c>
      <c r="BC20" s="169">
        <f t="shared" si="16"/>
        <v>0</v>
      </c>
      <c r="BD20" s="347">
        <f>'[1]Margin Calculation'!P26/$CV$44</f>
        <v>0</v>
      </c>
      <c r="BE20" s="168">
        <f t="shared" si="17"/>
        <v>11907.649591636644</v>
      </c>
      <c r="BF20" s="169">
        <f t="shared" si="18"/>
        <v>0</v>
      </c>
      <c r="BG20" s="169">
        <f t="shared" si="19"/>
        <v>17825.624881901083</v>
      </c>
      <c r="BH20" s="169">
        <f t="shared" si="20"/>
        <v>0</v>
      </c>
      <c r="BI20" s="169">
        <f t="shared" si="21"/>
        <v>0</v>
      </c>
      <c r="BJ20" s="169">
        <f t="shared" si="22"/>
        <v>0</v>
      </c>
      <c r="BK20" s="169">
        <f t="shared" si="23"/>
        <v>0</v>
      </c>
      <c r="BL20" s="169">
        <f t="shared" si="24"/>
        <v>0</v>
      </c>
      <c r="BM20" s="347">
        <f>'[1]Margin Calculation'!P26/$CV$74</f>
        <v>0</v>
      </c>
      <c r="BN20" s="168">
        <f t="shared" si="25"/>
        <v>4425.8520606083102</v>
      </c>
      <c r="BO20" s="169">
        <f t="shared" si="26"/>
        <v>0</v>
      </c>
      <c r="BP20" s="169">
        <f t="shared" si="27"/>
        <v>6625.4534959278362</v>
      </c>
      <c r="BQ20" s="169">
        <f t="shared" si="28"/>
        <v>0</v>
      </c>
      <c r="BR20" s="169">
        <f t="shared" si="29"/>
        <v>0</v>
      </c>
      <c r="BS20" s="169">
        <f t="shared" si="30"/>
        <v>0</v>
      </c>
      <c r="BT20" s="169">
        <f t="shared" si="31"/>
        <v>0</v>
      </c>
      <c r="BU20" s="169">
        <f t="shared" si="32"/>
        <v>0</v>
      </c>
      <c r="BV20" s="347">
        <f>'[1]Margin Calculation'!P26/$CV$84</f>
        <v>0</v>
      </c>
      <c r="BW20" s="164"/>
      <c r="BX20" s="161">
        <v>1053.7743001448357</v>
      </c>
      <c r="BY20" s="160">
        <v>0</v>
      </c>
      <c r="BZ20" s="160">
        <v>1577.4889276018657</v>
      </c>
      <c r="CA20" s="160">
        <v>0</v>
      </c>
      <c r="CB20" s="160">
        <v>0</v>
      </c>
      <c r="CC20" s="160">
        <v>0</v>
      </c>
      <c r="CD20" s="348">
        <v>0</v>
      </c>
      <c r="CE20" s="348">
        <v>0</v>
      </c>
      <c r="CF20" s="164"/>
      <c r="CG20" s="168">
        <f t="shared" si="33"/>
        <v>1053.7743001448357</v>
      </c>
      <c r="CH20" s="167">
        <f t="shared" si="34"/>
        <v>0</v>
      </c>
      <c r="CI20" s="167">
        <f t="shared" si="35"/>
        <v>1577.4889276018657</v>
      </c>
      <c r="CJ20" s="167">
        <f t="shared" si="36"/>
        <v>0</v>
      </c>
      <c r="CK20" s="167">
        <f t="shared" si="37"/>
        <v>0</v>
      </c>
      <c r="CL20" s="167">
        <f t="shared" si="66"/>
        <v>0</v>
      </c>
      <c r="CM20" s="349">
        <f t="shared" si="67"/>
        <v>0</v>
      </c>
      <c r="CN20" s="349">
        <f t="shared" si="68"/>
        <v>0</v>
      </c>
      <c r="CT20" s="181" t="s">
        <v>2</v>
      </c>
      <c r="CU20" s="181" t="s">
        <v>426</v>
      </c>
      <c r="CV20" s="186">
        <f>'[1]Margin Calculation'!AF28</f>
        <v>0.84306999999999999</v>
      </c>
    </row>
    <row r="21" spans="2:100" x14ac:dyDescent="0.25">
      <c r="B21" s="170">
        <v>501</v>
      </c>
      <c r="C21" s="168">
        <f t="shared" si="38"/>
        <v>1098.5141035366321</v>
      </c>
      <c r="D21" s="169">
        <f t="shared" si="39"/>
        <v>0</v>
      </c>
      <c r="E21" s="169">
        <f t="shared" si="0"/>
        <v>0</v>
      </c>
      <c r="F21" s="169">
        <f t="shared" si="40"/>
        <v>0</v>
      </c>
      <c r="G21" s="169">
        <f t="shared" si="41"/>
        <v>0</v>
      </c>
      <c r="H21" s="169">
        <f t="shared" si="42"/>
        <v>0</v>
      </c>
      <c r="I21" s="169">
        <f t="shared" si="43"/>
        <v>0</v>
      </c>
      <c r="J21" s="169">
        <f t="shared" si="44"/>
        <v>0</v>
      </c>
      <c r="K21" s="169">
        <f>'[1]Margin Calculation'!P27/$CV$4</f>
        <v>0</v>
      </c>
      <c r="L21" s="168">
        <f t="shared" si="45"/>
        <v>1229.8963903196131</v>
      </c>
      <c r="M21" s="169">
        <f t="shared" si="1"/>
        <v>0</v>
      </c>
      <c r="N21" s="169">
        <f t="shared" si="45"/>
        <v>0</v>
      </c>
      <c r="O21" s="169">
        <f t="shared" si="46"/>
        <v>0</v>
      </c>
      <c r="P21" s="169">
        <f t="shared" si="47"/>
        <v>0</v>
      </c>
      <c r="Q21" s="169">
        <f t="shared" si="48"/>
        <v>0</v>
      </c>
      <c r="R21" s="169">
        <f t="shared" si="49"/>
        <v>0</v>
      </c>
      <c r="S21" s="169">
        <f t="shared" si="2"/>
        <v>0</v>
      </c>
      <c r="T21" s="169">
        <f>'[1]Margin Calculation'!P27</f>
        <v>0</v>
      </c>
      <c r="U21" s="168">
        <f t="shared" si="50"/>
        <v>917.73163751760865</v>
      </c>
      <c r="V21" s="169">
        <f t="shared" si="51"/>
        <v>0</v>
      </c>
      <c r="W21" s="169">
        <f t="shared" si="50"/>
        <v>0</v>
      </c>
      <c r="X21" s="169">
        <f t="shared" si="52"/>
        <v>0</v>
      </c>
      <c r="Y21" s="169">
        <f t="shared" si="53"/>
        <v>0</v>
      </c>
      <c r="Z21" s="169">
        <f t="shared" si="54"/>
        <v>0</v>
      </c>
      <c r="AA21" s="169">
        <f t="shared" si="55"/>
        <v>0</v>
      </c>
      <c r="AB21" s="169">
        <f t="shared" si="56"/>
        <v>0</v>
      </c>
      <c r="AC21" s="169">
        <f>'[1]Margin Calculation'!P27/$CV$24</f>
        <v>0</v>
      </c>
      <c r="AD21" s="168">
        <f t="shared" si="3"/>
        <v>8624.5440782764508</v>
      </c>
      <c r="AE21" s="169">
        <f t="shared" si="4"/>
        <v>0</v>
      </c>
      <c r="AF21" s="169">
        <f t="shared" si="5"/>
        <v>0</v>
      </c>
      <c r="AG21" s="169">
        <f t="shared" si="6"/>
        <v>0</v>
      </c>
      <c r="AH21" s="169">
        <f t="shared" si="7"/>
        <v>0</v>
      </c>
      <c r="AI21" s="169">
        <f t="shared" si="8"/>
        <v>0</v>
      </c>
      <c r="AJ21" s="169">
        <f t="shared" si="57"/>
        <v>0</v>
      </c>
      <c r="AK21" s="169">
        <f t="shared" si="9"/>
        <v>0</v>
      </c>
      <c r="AL21" s="169">
        <f>'[1]Margin Calculation'!P27/$CV$64</f>
        <v>0</v>
      </c>
      <c r="AM21" s="168">
        <f t="shared" si="58"/>
        <v>24149.953754970029</v>
      </c>
      <c r="AN21" s="169">
        <f t="shared" si="59"/>
        <v>0</v>
      </c>
      <c r="AO21" s="169">
        <f t="shared" si="58"/>
        <v>0</v>
      </c>
      <c r="AP21" s="169">
        <f t="shared" si="60"/>
        <v>0</v>
      </c>
      <c r="AQ21" s="169">
        <f t="shared" si="61"/>
        <v>0</v>
      </c>
      <c r="AR21" s="169">
        <f t="shared" si="62"/>
        <v>0</v>
      </c>
      <c r="AS21" s="169">
        <f t="shared" si="63"/>
        <v>0</v>
      </c>
      <c r="AT21" s="169">
        <f t="shared" si="64"/>
        <v>0</v>
      </c>
      <c r="AU21" s="169">
        <f>'[1]Margin Calculation'!P27/$CV$34</f>
        <v>0</v>
      </c>
      <c r="AV21" s="168">
        <f t="shared" si="10"/>
        <v>6646.4497320380387</v>
      </c>
      <c r="AW21" s="169">
        <f t="shared" si="11"/>
        <v>0</v>
      </c>
      <c r="AX21" s="169">
        <f t="shared" si="12"/>
        <v>0</v>
      </c>
      <c r="AY21" s="169">
        <f t="shared" si="65"/>
        <v>0</v>
      </c>
      <c r="AZ21" s="169">
        <f t="shared" si="13"/>
        <v>0</v>
      </c>
      <c r="BA21" s="169">
        <f t="shared" si="14"/>
        <v>0</v>
      </c>
      <c r="BB21" s="169">
        <f t="shared" si="15"/>
        <v>0</v>
      </c>
      <c r="BC21" s="169">
        <f t="shared" si="16"/>
        <v>0</v>
      </c>
      <c r="BD21" s="347">
        <f>'[1]Margin Calculation'!P27/$CV$44</f>
        <v>0</v>
      </c>
      <c r="BE21" s="168">
        <f t="shared" si="17"/>
        <v>12413.209369963943</v>
      </c>
      <c r="BF21" s="169">
        <f t="shared" si="18"/>
        <v>0</v>
      </c>
      <c r="BG21" s="169">
        <f t="shared" si="19"/>
        <v>0</v>
      </c>
      <c r="BH21" s="169">
        <f t="shared" si="20"/>
        <v>0</v>
      </c>
      <c r="BI21" s="169">
        <f t="shared" si="21"/>
        <v>0</v>
      </c>
      <c r="BJ21" s="169">
        <f t="shared" si="22"/>
        <v>0</v>
      </c>
      <c r="BK21" s="169">
        <f t="shared" si="23"/>
        <v>0</v>
      </c>
      <c r="BL21" s="169">
        <f t="shared" si="24"/>
        <v>0</v>
      </c>
      <c r="BM21" s="347">
        <f>'[1]Margin Calculation'!P27/$CV$74</f>
        <v>0</v>
      </c>
      <c r="BN21" s="168">
        <f t="shared" si="25"/>
        <v>4613.7592348538547</v>
      </c>
      <c r="BO21" s="169">
        <f t="shared" si="26"/>
        <v>0</v>
      </c>
      <c r="BP21" s="169">
        <f t="shared" si="27"/>
        <v>0</v>
      </c>
      <c r="BQ21" s="169">
        <f t="shared" si="28"/>
        <v>0</v>
      </c>
      <c r="BR21" s="169">
        <f t="shared" si="29"/>
        <v>0</v>
      </c>
      <c r="BS21" s="169">
        <f t="shared" si="30"/>
        <v>0</v>
      </c>
      <c r="BT21" s="169">
        <f t="shared" si="31"/>
        <v>0</v>
      </c>
      <c r="BU21" s="169">
        <f t="shared" si="32"/>
        <v>0</v>
      </c>
      <c r="BV21" s="347">
        <f>'[1]Margin Calculation'!P27/$CV$84</f>
        <v>0</v>
      </c>
      <c r="BW21" s="164"/>
      <c r="BX21" s="161">
        <v>1098.5141035366321</v>
      </c>
      <c r="BY21" s="160">
        <v>0</v>
      </c>
      <c r="BZ21" s="160">
        <v>0</v>
      </c>
      <c r="CA21" s="160">
        <v>0</v>
      </c>
      <c r="CB21" s="160">
        <v>0</v>
      </c>
      <c r="CC21" s="160">
        <v>0</v>
      </c>
      <c r="CD21" s="348">
        <v>0</v>
      </c>
      <c r="CE21" s="348">
        <v>0</v>
      </c>
      <c r="CF21" s="164"/>
      <c r="CG21" s="168">
        <f t="shared" si="33"/>
        <v>1098.5141035366321</v>
      </c>
      <c r="CH21" s="167">
        <f t="shared" si="34"/>
        <v>0</v>
      </c>
      <c r="CI21" s="167">
        <f t="shared" si="35"/>
        <v>0</v>
      </c>
      <c r="CJ21" s="167">
        <f t="shared" si="36"/>
        <v>0</v>
      </c>
      <c r="CK21" s="167">
        <f t="shared" si="37"/>
        <v>0</v>
      </c>
      <c r="CL21" s="167">
        <f t="shared" si="66"/>
        <v>0</v>
      </c>
      <c r="CM21" s="349">
        <f t="shared" si="67"/>
        <v>0</v>
      </c>
      <c r="CN21" s="349">
        <f t="shared" si="68"/>
        <v>0</v>
      </c>
      <c r="CT21" s="182" t="s">
        <v>2</v>
      </c>
      <c r="CU21" s="182" t="s">
        <v>427</v>
      </c>
      <c r="CV21" s="185">
        <f>'[1]Margin Calculation'!AF29</f>
        <v>10.092890000000001</v>
      </c>
    </row>
    <row r="22" spans="2:100" x14ac:dyDescent="0.25">
      <c r="B22" s="170">
        <v>502</v>
      </c>
      <c r="C22" s="168">
        <f t="shared" si="38"/>
        <v>1438.8303945322377</v>
      </c>
      <c r="D22" s="169">
        <f t="shared" si="39"/>
        <v>0</v>
      </c>
      <c r="E22" s="169">
        <f t="shared" si="0"/>
        <v>0</v>
      </c>
      <c r="F22" s="169">
        <f t="shared" si="40"/>
        <v>0</v>
      </c>
      <c r="G22" s="169">
        <f t="shared" si="41"/>
        <v>0</v>
      </c>
      <c r="H22" s="169">
        <f t="shared" si="42"/>
        <v>0</v>
      </c>
      <c r="I22" s="169">
        <f t="shared" si="43"/>
        <v>0</v>
      </c>
      <c r="J22" s="169">
        <f t="shared" si="44"/>
        <v>0</v>
      </c>
      <c r="K22" s="169">
        <f>'[1]Margin Calculation'!P28/$CV$4</f>
        <v>0</v>
      </c>
      <c r="L22" s="168">
        <f t="shared" si="45"/>
        <v>1610.9145097182932</v>
      </c>
      <c r="M22" s="169">
        <f t="shared" si="1"/>
        <v>0</v>
      </c>
      <c r="N22" s="169">
        <f t="shared" si="45"/>
        <v>0</v>
      </c>
      <c r="O22" s="169">
        <f t="shared" si="46"/>
        <v>0</v>
      </c>
      <c r="P22" s="169">
        <f t="shared" si="47"/>
        <v>0</v>
      </c>
      <c r="Q22" s="169">
        <f t="shared" si="48"/>
        <v>0</v>
      </c>
      <c r="R22" s="169">
        <f t="shared" si="49"/>
        <v>0</v>
      </c>
      <c r="S22" s="169">
        <f t="shared" si="2"/>
        <v>0</v>
      </c>
      <c r="T22" s="169">
        <f>'[1]Margin Calculation'!P28</f>
        <v>0</v>
      </c>
      <c r="U22" s="168">
        <f t="shared" si="50"/>
        <v>1202.0420765040674</v>
      </c>
      <c r="V22" s="169">
        <f t="shared" si="51"/>
        <v>0</v>
      </c>
      <c r="W22" s="169">
        <f t="shared" si="50"/>
        <v>0</v>
      </c>
      <c r="X22" s="169">
        <f t="shared" si="52"/>
        <v>0</v>
      </c>
      <c r="Y22" s="169">
        <f t="shared" si="53"/>
        <v>0</v>
      </c>
      <c r="Z22" s="169">
        <f t="shared" si="54"/>
        <v>0</v>
      </c>
      <c r="AA22" s="169">
        <f t="shared" si="55"/>
        <v>0</v>
      </c>
      <c r="AB22" s="169">
        <f t="shared" si="56"/>
        <v>0</v>
      </c>
      <c r="AC22" s="169">
        <f>'[1]Margin Calculation'!P28/$CV$24</f>
        <v>0</v>
      </c>
      <c r="AD22" s="168">
        <f t="shared" si="3"/>
        <v>11296.40131051205</v>
      </c>
      <c r="AE22" s="169">
        <f t="shared" si="4"/>
        <v>0</v>
      </c>
      <c r="AF22" s="169">
        <f t="shared" si="5"/>
        <v>0</v>
      </c>
      <c r="AG22" s="169">
        <f t="shared" si="6"/>
        <v>0</v>
      </c>
      <c r="AH22" s="169">
        <f t="shared" si="7"/>
        <v>0</v>
      </c>
      <c r="AI22" s="169">
        <f t="shared" si="8"/>
        <v>0</v>
      </c>
      <c r="AJ22" s="169">
        <f t="shared" si="57"/>
        <v>0</v>
      </c>
      <c r="AK22" s="169">
        <f t="shared" si="9"/>
        <v>0</v>
      </c>
      <c r="AL22" s="169">
        <f>'[1]Margin Calculation'!P28/$CV$64</f>
        <v>0</v>
      </c>
      <c r="AM22" s="168">
        <f t="shared" si="58"/>
        <v>31631.535159475621</v>
      </c>
      <c r="AN22" s="169">
        <f t="shared" si="59"/>
        <v>0</v>
      </c>
      <c r="AO22" s="169">
        <f t="shared" si="58"/>
        <v>0</v>
      </c>
      <c r="AP22" s="169">
        <f t="shared" si="60"/>
        <v>0</v>
      </c>
      <c r="AQ22" s="169">
        <f t="shared" si="61"/>
        <v>0</v>
      </c>
      <c r="AR22" s="169">
        <f t="shared" si="62"/>
        <v>0</v>
      </c>
      <c r="AS22" s="169">
        <f t="shared" si="63"/>
        <v>0</v>
      </c>
      <c r="AT22" s="169">
        <f t="shared" si="64"/>
        <v>0</v>
      </c>
      <c r="AU22" s="169">
        <f>'[1]Margin Calculation'!P28/$CV$34</f>
        <v>0</v>
      </c>
      <c r="AV22" s="168">
        <f t="shared" si="10"/>
        <v>8705.4994190778507</v>
      </c>
      <c r="AW22" s="169">
        <f t="shared" si="11"/>
        <v>0</v>
      </c>
      <c r="AX22" s="169">
        <f t="shared" si="12"/>
        <v>0</v>
      </c>
      <c r="AY22" s="169">
        <f t="shared" si="65"/>
        <v>0</v>
      </c>
      <c r="AZ22" s="169">
        <f t="shared" si="13"/>
        <v>0</v>
      </c>
      <c r="BA22" s="169">
        <f t="shared" si="14"/>
        <v>0</v>
      </c>
      <c r="BB22" s="169">
        <f t="shared" si="15"/>
        <v>0</v>
      </c>
      <c r="BC22" s="169">
        <f t="shared" si="16"/>
        <v>0</v>
      </c>
      <c r="BD22" s="347">
        <f>'[1]Margin Calculation'!P28/$CV$44</f>
        <v>0</v>
      </c>
      <c r="BE22" s="168">
        <f t="shared" si="17"/>
        <v>16258.783458214286</v>
      </c>
      <c r="BF22" s="169">
        <f t="shared" si="18"/>
        <v>0</v>
      </c>
      <c r="BG22" s="169">
        <f t="shared" si="19"/>
        <v>0</v>
      </c>
      <c r="BH22" s="169">
        <f t="shared" si="20"/>
        <v>0</v>
      </c>
      <c r="BI22" s="169">
        <f t="shared" si="21"/>
        <v>0</v>
      </c>
      <c r="BJ22" s="169">
        <f t="shared" si="22"/>
        <v>0</v>
      </c>
      <c r="BK22" s="169">
        <f t="shared" si="23"/>
        <v>0</v>
      </c>
      <c r="BL22" s="169">
        <f t="shared" si="24"/>
        <v>0</v>
      </c>
      <c r="BM22" s="347">
        <f>'[1]Margin Calculation'!P28/$CV$74</f>
        <v>0</v>
      </c>
      <c r="BN22" s="168">
        <f t="shared" si="25"/>
        <v>6043.0876570353985</v>
      </c>
      <c r="BO22" s="169">
        <f t="shared" si="26"/>
        <v>0</v>
      </c>
      <c r="BP22" s="169">
        <f t="shared" si="27"/>
        <v>0</v>
      </c>
      <c r="BQ22" s="169">
        <f t="shared" si="28"/>
        <v>0</v>
      </c>
      <c r="BR22" s="169">
        <f t="shared" si="29"/>
        <v>0</v>
      </c>
      <c r="BS22" s="169">
        <f t="shared" si="30"/>
        <v>0</v>
      </c>
      <c r="BT22" s="169">
        <f t="shared" si="31"/>
        <v>0</v>
      </c>
      <c r="BU22" s="169">
        <f t="shared" si="32"/>
        <v>0</v>
      </c>
      <c r="BV22" s="347">
        <f>'[1]Margin Calculation'!P28/$CV$84</f>
        <v>0</v>
      </c>
      <c r="BW22" s="164"/>
      <c r="BX22" s="161">
        <v>1438.8303945322377</v>
      </c>
      <c r="BY22" s="160">
        <v>0</v>
      </c>
      <c r="BZ22" s="160">
        <v>0</v>
      </c>
      <c r="CA22" s="160">
        <v>0</v>
      </c>
      <c r="CB22" s="160">
        <v>0</v>
      </c>
      <c r="CC22" s="160">
        <v>0</v>
      </c>
      <c r="CD22" s="348">
        <v>0</v>
      </c>
      <c r="CE22" s="348">
        <v>0</v>
      </c>
      <c r="CF22" s="164"/>
      <c r="CG22" s="168">
        <f t="shared" si="33"/>
        <v>1438.8303945322377</v>
      </c>
      <c r="CH22" s="167">
        <f t="shared" si="34"/>
        <v>0</v>
      </c>
      <c r="CI22" s="167">
        <f t="shared" si="35"/>
        <v>0</v>
      </c>
      <c r="CJ22" s="167">
        <f t="shared" si="36"/>
        <v>0</v>
      </c>
      <c r="CK22" s="167">
        <f t="shared" si="37"/>
        <v>0</v>
      </c>
      <c r="CL22" s="167">
        <f t="shared" si="66"/>
        <v>0</v>
      </c>
      <c r="CM22" s="349">
        <f t="shared" si="67"/>
        <v>0</v>
      </c>
      <c r="CN22" s="349">
        <f t="shared" si="68"/>
        <v>0</v>
      </c>
      <c r="CT22" s="181" t="s">
        <v>2</v>
      </c>
      <c r="CU22" s="181" t="s">
        <v>429</v>
      </c>
      <c r="CV22" s="186">
        <f>'[1]Margin Calculation'!AF30</f>
        <v>3.7513399999999999</v>
      </c>
    </row>
    <row r="23" spans="2:100" ht="13" thickBot="1" x14ac:dyDescent="0.3">
      <c r="B23" s="166">
        <v>601</v>
      </c>
      <c r="C23" s="163">
        <f t="shared" si="38"/>
        <v>0</v>
      </c>
      <c r="D23" s="165">
        <f t="shared" si="39"/>
        <v>0</v>
      </c>
      <c r="E23" s="165">
        <f t="shared" si="0"/>
        <v>0</v>
      </c>
      <c r="F23" s="165">
        <f t="shared" si="40"/>
        <v>0</v>
      </c>
      <c r="G23" s="165">
        <f t="shared" si="41"/>
        <v>0</v>
      </c>
      <c r="H23" s="165">
        <f t="shared" si="42"/>
        <v>0</v>
      </c>
      <c r="I23" s="165">
        <f t="shared" si="43"/>
        <v>0</v>
      </c>
      <c r="J23" s="165">
        <f t="shared" si="44"/>
        <v>0</v>
      </c>
      <c r="K23" s="165">
        <f>'[1]Margin Calculation'!P29/$CV$4</f>
        <v>0</v>
      </c>
      <c r="L23" s="163">
        <f t="shared" si="45"/>
        <v>0</v>
      </c>
      <c r="M23" s="165">
        <f t="shared" si="1"/>
        <v>0</v>
      </c>
      <c r="N23" s="165">
        <f t="shared" si="45"/>
        <v>0</v>
      </c>
      <c r="O23" s="165">
        <f t="shared" si="46"/>
        <v>0</v>
      </c>
      <c r="P23" s="165">
        <f t="shared" si="47"/>
        <v>0</v>
      </c>
      <c r="Q23" s="165">
        <f t="shared" si="48"/>
        <v>0</v>
      </c>
      <c r="R23" s="165">
        <f t="shared" si="49"/>
        <v>0</v>
      </c>
      <c r="S23" s="165">
        <f t="shared" si="2"/>
        <v>0</v>
      </c>
      <c r="T23" s="165">
        <f>'[1]Margin Calculation'!P28</f>
        <v>0</v>
      </c>
      <c r="U23" s="163">
        <f t="shared" si="50"/>
        <v>0</v>
      </c>
      <c r="V23" s="165">
        <f t="shared" si="51"/>
        <v>0</v>
      </c>
      <c r="W23" s="165">
        <f t="shared" si="50"/>
        <v>0</v>
      </c>
      <c r="X23" s="165">
        <f t="shared" si="52"/>
        <v>0</v>
      </c>
      <c r="Y23" s="165">
        <f t="shared" si="53"/>
        <v>0</v>
      </c>
      <c r="Z23" s="165">
        <f t="shared" si="54"/>
        <v>0</v>
      </c>
      <c r="AA23" s="165">
        <f t="shared" si="55"/>
        <v>0</v>
      </c>
      <c r="AB23" s="165">
        <f t="shared" si="56"/>
        <v>0</v>
      </c>
      <c r="AC23" s="165">
        <f>'[1]Margin Calculation'!P29/$CV$24</f>
        <v>0</v>
      </c>
      <c r="AD23" s="163">
        <f t="shared" si="3"/>
        <v>0</v>
      </c>
      <c r="AE23" s="165">
        <f t="shared" si="4"/>
        <v>0</v>
      </c>
      <c r="AF23" s="165">
        <f t="shared" si="5"/>
        <v>0</v>
      </c>
      <c r="AG23" s="165">
        <f t="shared" si="6"/>
        <v>0</v>
      </c>
      <c r="AH23" s="165">
        <f t="shared" si="7"/>
        <v>0</v>
      </c>
      <c r="AI23" s="165">
        <f t="shared" si="8"/>
        <v>0</v>
      </c>
      <c r="AJ23" s="165">
        <f t="shared" si="57"/>
        <v>0</v>
      </c>
      <c r="AK23" s="165">
        <f t="shared" si="9"/>
        <v>0</v>
      </c>
      <c r="AL23" s="165">
        <f>'[1]Margin Calculation'!P29/$CV$64</f>
        <v>0</v>
      </c>
      <c r="AM23" s="163">
        <f t="shared" si="58"/>
        <v>0</v>
      </c>
      <c r="AN23" s="165">
        <f t="shared" si="59"/>
        <v>0</v>
      </c>
      <c r="AO23" s="165">
        <f t="shared" si="58"/>
        <v>0</v>
      </c>
      <c r="AP23" s="165">
        <f t="shared" si="60"/>
        <v>0</v>
      </c>
      <c r="AQ23" s="165">
        <f t="shared" si="61"/>
        <v>0</v>
      </c>
      <c r="AR23" s="165">
        <f t="shared" si="62"/>
        <v>0</v>
      </c>
      <c r="AS23" s="165">
        <f t="shared" si="63"/>
        <v>0</v>
      </c>
      <c r="AT23" s="165">
        <f t="shared" si="64"/>
        <v>0</v>
      </c>
      <c r="AU23" s="165">
        <f>'[1]Margin Calculation'!P29/$CV$34</f>
        <v>0</v>
      </c>
      <c r="AV23" s="163">
        <f t="shared" si="10"/>
        <v>0</v>
      </c>
      <c r="AW23" s="165">
        <f t="shared" si="11"/>
        <v>0</v>
      </c>
      <c r="AX23" s="165">
        <f t="shared" si="12"/>
        <v>0</v>
      </c>
      <c r="AY23" s="165">
        <f t="shared" si="65"/>
        <v>0</v>
      </c>
      <c r="AZ23" s="165">
        <f t="shared" si="13"/>
        <v>0</v>
      </c>
      <c r="BA23" s="165">
        <f t="shared" si="14"/>
        <v>0</v>
      </c>
      <c r="BB23" s="165">
        <f t="shared" si="15"/>
        <v>0</v>
      </c>
      <c r="BC23" s="165">
        <f t="shared" si="16"/>
        <v>0</v>
      </c>
      <c r="BD23" s="350">
        <f>'[1]Margin Calculation'!P29/$CV$44</f>
        <v>0</v>
      </c>
      <c r="BE23" s="163">
        <f t="shared" si="17"/>
        <v>0</v>
      </c>
      <c r="BF23" s="165">
        <f t="shared" si="18"/>
        <v>0</v>
      </c>
      <c r="BG23" s="165">
        <f t="shared" si="19"/>
        <v>0</v>
      </c>
      <c r="BH23" s="165">
        <f t="shared" si="20"/>
        <v>0</v>
      </c>
      <c r="BI23" s="165">
        <f t="shared" si="21"/>
        <v>0</v>
      </c>
      <c r="BJ23" s="165">
        <f t="shared" si="22"/>
        <v>0</v>
      </c>
      <c r="BK23" s="165">
        <f t="shared" si="23"/>
        <v>0</v>
      </c>
      <c r="BL23" s="165">
        <f t="shared" si="24"/>
        <v>0</v>
      </c>
      <c r="BM23" s="350">
        <f>'[1]Margin Calculation'!P29/$CV$74</f>
        <v>0</v>
      </c>
      <c r="BN23" s="163">
        <f t="shared" si="25"/>
        <v>0</v>
      </c>
      <c r="BO23" s="165">
        <f t="shared" si="26"/>
        <v>0</v>
      </c>
      <c r="BP23" s="165">
        <f t="shared" si="27"/>
        <v>0</v>
      </c>
      <c r="BQ23" s="165">
        <f t="shared" si="28"/>
        <v>0</v>
      </c>
      <c r="BR23" s="165">
        <f t="shared" si="29"/>
        <v>0</v>
      </c>
      <c r="BS23" s="165">
        <f t="shared" si="30"/>
        <v>0</v>
      </c>
      <c r="BT23" s="165">
        <f t="shared" si="31"/>
        <v>0</v>
      </c>
      <c r="BU23" s="165">
        <f t="shared" si="32"/>
        <v>0</v>
      </c>
      <c r="BV23" s="350">
        <f>'[1]Margin Calculation'!P29/$CV$84</f>
        <v>0</v>
      </c>
      <c r="BW23" s="164"/>
      <c r="BX23" s="159">
        <v>0</v>
      </c>
      <c r="BY23" s="158">
        <v>0</v>
      </c>
      <c r="BZ23" s="158">
        <v>0</v>
      </c>
      <c r="CA23" s="158">
        <v>0</v>
      </c>
      <c r="CB23" s="158">
        <v>0</v>
      </c>
      <c r="CC23" s="158">
        <v>0</v>
      </c>
      <c r="CD23" s="351">
        <v>0</v>
      </c>
      <c r="CE23" s="351">
        <v>0</v>
      </c>
      <c r="CF23" s="164"/>
      <c r="CG23" s="163">
        <f t="shared" si="33"/>
        <v>0</v>
      </c>
      <c r="CH23" s="162">
        <f t="shared" si="34"/>
        <v>0</v>
      </c>
      <c r="CI23" s="162">
        <f t="shared" si="35"/>
        <v>0</v>
      </c>
      <c r="CJ23" s="162">
        <f t="shared" si="36"/>
        <v>0</v>
      </c>
      <c r="CK23" s="162">
        <f t="shared" si="37"/>
        <v>0</v>
      </c>
      <c r="CL23" s="162">
        <f t="shared" si="66"/>
        <v>0</v>
      </c>
      <c r="CM23" s="352">
        <f t="shared" si="67"/>
        <v>0</v>
      </c>
      <c r="CN23" s="352">
        <f t="shared" si="68"/>
        <v>0</v>
      </c>
      <c r="CT23" s="182" t="s">
        <v>259</v>
      </c>
      <c r="CU23" s="182" t="s">
        <v>1</v>
      </c>
      <c r="CV23" s="185">
        <f>'[1]Margin Calculation'!AF31</f>
        <v>1.1969883772428569</v>
      </c>
    </row>
    <row r="24" spans="2:100" x14ac:dyDescent="0.25">
      <c r="BX24" s="164"/>
      <c r="BZ24" s="164"/>
      <c r="CA24" s="164"/>
      <c r="CT24" s="181" t="s">
        <v>259</v>
      </c>
      <c r="CU24" s="181" t="s">
        <v>2</v>
      </c>
      <c r="CV24" s="186">
        <f>'[1]Margin Calculation'!AF32</f>
        <v>1.3401412508878436</v>
      </c>
    </row>
    <row r="25" spans="2:100" x14ac:dyDescent="0.25">
      <c r="BX25" s="353"/>
      <c r="BY25" s="353"/>
      <c r="BZ25" s="353"/>
      <c r="CA25" s="353"/>
      <c r="CB25" s="353"/>
      <c r="CC25" s="353"/>
      <c r="CD25" s="353"/>
      <c r="CE25" s="353"/>
      <c r="CF25" s="353"/>
      <c r="CN25" s="353"/>
      <c r="CT25" s="182" t="s">
        <v>259</v>
      </c>
      <c r="CU25" s="182" t="s">
        <v>259</v>
      </c>
      <c r="CV25" s="185">
        <f>'[1]Margin Calculation'!AF33</f>
        <v>1</v>
      </c>
    </row>
    <row r="26" spans="2:100" x14ac:dyDescent="0.25"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4"/>
      <c r="AE26" s="164"/>
      <c r="AF26" s="164"/>
      <c r="AG26" s="164"/>
      <c r="AH26" s="164"/>
      <c r="AI26" s="164"/>
      <c r="AJ26" s="164"/>
      <c r="AK26" s="164"/>
      <c r="AL26" s="164"/>
      <c r="AM26" s="164"/>
      <c r="AN26" s="164"/>
      <c r="AO26" s="164"/>
      <c r="AP26" s="164"/>
      <c r="AQ26" s="164"/>
      <c r="AR26" s="164"/>
      <c r="AS26" s="164"/>
      <c r="AT26" s="164"/>
      <c r="AU26" s="164"/>
      <c r="AV26" s="164"/>
      <c r="AW26" s="164"/>
      <c r="AX26" s="164"/>
      <c r="AY26" s="164"/>
      <c r="AZ26" s="164"/>
      <c r="BA26" s="164"/>
      <c r="BB26" s="164"/>
      <c r="BC26" s="164"/>
      <c r="BD26" s="164"/>
      <c r="BE26" s="164"/>
      <c r="BF26" s="164"/>
      <c r="BG26" s="164"/>
      <c r="BH26" s="164"/>
      <c r="BI26" s="164"/>
      <c r="BJ26" s="164"/>
      <c r="BK26" s="164"/>
      <c r="BL26" s="164"/>
      <c r="BX26" s="353"/>
      <c r="BY26" s="353"/>
      <c r="BZ26" s="353"/>
      <c r="CA26" s="353"/>
      <c r="CB26" s="353"/>
      <c r="CC26" s="353"/>
      <c r="CD26" s="353"/>
      <c r="CE26" s="353"/>
      <c r="CF26" s="353"/>
      <c r="CN26" s="353"/>
      <c r="CT26" s="181" t="s">
        <v>259</v>
      </c>
      <c r="CU26" s="181" t="s">
        <v>85</v>
      </c>
      <c r="CV26" s="186">
        <f>'[1]Margin Calculation'!AF34</f>
        <v>7.2422599999999999</v>
      </c>
    </row>
    <row r="27" spans="2:100" x14ac:dyDescent="0.25">
      <c r="C27" s="164"/>
      <c r="D27" s="164"/>
      <c r="E27" s="164"/>
      <c r="F27" s="164"/>
      <c r="G27" s="16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4"/>
      <c r="AE27" s="164"/>
      <c r="AF27" s="164"/>
      <c r="AG27" s="164"/>
      <c r="AH27" s="164"/>
      <c r="AI27" s="164"/>
      <c r="AJ27" s="164"/>
      <c r="AK27" s="164"/>
      <c r="AL27" s="164"/>
      <c r="AM27" s="164"/>
      <c r="AN27" s="164"/>
      <c r="AO27" s="164"/>
      <c r="AP27" s="164"/>
      <c r="AQ27" s="164"/>
      <c r="AR27" s="164"/>
      <c r="AS27" s="164"/>
      <c r="AT27" s="164"/>
      <c r="AU27" s="164"/>
      <c r="AV27" s="164"/>
      <c r="AW27" s="164"/>
      <c r="AX27" s="164"/>
      <c r="AY27" s="164"/>
      <c r="AZ27" s="164"/>
      <c r="BA27" s="164"/>
      <c r="BB27" s="164"/>
      <c r="BC27" s="164"/>
      <c r="BD27" s="164"/>
      <c r="BE27" s="164"/>
      <c r="BF27" s="164"/>
      <c r="BG27" s="164"/>
      <c r="BH27" s="164"/>
      <c r="BI27" s="164"/>
      <c r="BJ27" s="164"/>
      <c r="BK27" s="164"/>
      <c r="BL27" s="164"/>
      <c r="BX27" s="353"/>
      <c r="BY27" s="353"/>
      <c r="BZ27" s="353"/>
      <c r="CA27" s="353"/>
      <c r="CB27" s="353"/>
      <c r="CC27" s="353"/>
      <c r="CD27" s="353"/>
      <c r="CE27" s="353"/>
      <c r="CF27" s="353"/>
      <c r="CN27" s="353"/>
      <c r="CT27" s="182" t="s">
        <v>259</v>
      </c>
      <c r="CU27" s="182" t="s">
        <v>101</v>
      </c>
      <c r="CV27" s="185">
        <f>'[1]Margin Calculation'!AF35</f>
        <v>26.314830000000001</v>
      </c>
    </row>
    <row r="28" spans="2:100" x14ac:dyDescent="0.25"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64"/>
      <c r="Y28" s="164"/>
      <c r="Z28" s="164"/>
      <c r="AA28" s="164"/>
      <c r="AB28" s="164"/>
      <c r="AC28" s="164"/>
      <c r="AD28" s="164"/>
      <c r="AE28" s="164"/>
      <c r="AF28" s="164"/>
      <c r="AG28" s="164"/>
      <c r="AH28" s="164"/>
      <c r="AI28" s="164"/>
      <c r="AJ28" s="164"/>
      <c r="AK28" s="164"/>
      <c r="AL28" s="164"/>
      <c r="AM28" s="164"/>
      <c r="AN28" s="164"/>
      <c r="AO28" s="164"/>
      <c r="AP28" s="164"/>
      <c r="AQ28" s="164"/>
      <c r="AR28" s="164"/>
      <c r="AS28" s="164"/>
      <c r="AT28" s="164"/>
      <c r="AU28" s="164"/>
      <c r="AV28" s="164"/>
      <c r="AW28" s="164"/>
      <c r="AX28" s="164"/>
      <c r="AY28" s="164"/>
      <c r="AZ28" s="164"/>
      <c r="BA28" s="164"/>
      <c r="BB28" s="164"/>
      <c r="BC28" s="164"/>
      <c r="BD28" s="164"/>
      <c r="BE28" s="164"/>
      <c r="BF28" s="164"/>
      <c r="BG28" s="164"/>
      <c r="BH28" s="164"/>
      <c r="BI28" s="164"/>
      <c r="BJ28" s="164"/>
      <c r="BK28" s="164"/>
      <c r="BL28" s="164"/>
      <c r="BX28" s="353"/>
      <c r="BY28" s="353"/>
      <c r="BZ28" s="353"/>
      <c r="CA28" s="353"/>
      <c r="CB28" s="353"/>
      <c r="CC28" s="353"/>
      <c r="CD28" s="353"/>
      <c r="CE28" s="353"/>
      <c r="CF28" s="353"/>
      <c r="CN28" s="353"/>
      <c r="CT28" s="181" t="s">
        <v>259</v>
      </c>
      <c r="CU28" s="181" t="s">
        <v>179</v>
      </c>
      <c r="CV28" s="186">
        <f>'[1]Margin Calculation'!AF36</f>
        <v>1204.2576899999999</v>
      </c>
    </row>
    <row r="29" spans="2:100" x14ac:dyDescent="0.25"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64"/>
      <c r="X29" s="164"/>
      <c r="Y29" s="164"/>
      <c r="Z29" s="164"/>
      <c r="AA29" s="164"/>
      <c r="AB29" s="164"/>
      <c r="AC29" s="164"/>
      <c r="AD29" s="164"/>
      <c r="AE29" s="164"/>
      <c r="AF29" s="164"/>
      <c r="AG29" s="164"/>
      <c r="AH29" s="164"/>
      <c r="AI29" s="164"/>
      <c r="AJ29" s="164"/>
      <c r="AK29" s="164"/>
      <c r="AL29" s="164"/>
      <c r="AM29" s="164"/>
      <c r="AN29" s="164"/>
      <c r="AO29" s="164"/>
      <c r="AP29" s="164"/>
      <c r="AQ29" s="164"/>
      <c r="AR29" s="164"/>
      <c r="AS29" s="164"/>
      <c r="AT29" s="164"/>
      <c r="AU29" s="164"/>
      <c r="AV29" s="164"/>
      <c r="AW29" s="164"/>
      <c r="AX29" s="164"/>
      <c r="AY29" s="164"/>
      <c r="AZ29" s="164"/>
      <c r="BA29" s="164"/>
      <c r="BB29" s="164"/>
      <c r="BC29" s="164"/>
      <c r="BD29" s="164"/>
      <c r="BE29" s="164"/>
      <c r="BF29" s="164"/>
      <c r="BG29" s="164"/>
      <c r="BH29" s="164"/>
      <c r="BI29" s="164"/>
      <c r="BJ29" s="164"/>
      <c r="BK29" s="164"/>
      <c r="BL29" s="164"/>
      <c r="BX29" s="353"/>
      <c r="BY29" s="353"/>
      <c r="BZ29" s="353"/>
      <c r="CA29" s="353"/>
      <c r="CB29" s="353"/>
      <c r="CC29" s="353"/>
      <c r="CD29" s="353"/>
      <c r="CE29" s="353"/>
      <c r="CF29" s="353"/>
      <c r="CN29" s="353"/>
      <c r="CT29" s="182" t="s">
        <v>259</v>
      </c>
      <c r="CU29" s="182" t="s">
        <v>352</v>
      </c>
      <c r="CV29" s="185">
        <f>'[1]Margin Calculation'!AF37</f>
        <v>9.3976799999999994</v>
      </c>
    </row>
    <row r="30" spans="2:100" x14ac:dyDescent="0.25"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4"/>
      <c r="AE30" s="164"/>
      <c r="AF30" s="164"/>
      <c r="AG30" s="164"/>
      <c r="AH30" s="164"/>
      <c r="AI30" s="164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X30" s="353"/>
      <c r="BY30" s="353"/>
      <c r="BZ30" s="353"/>
      <c r="CA30" s="353"/>
      <c r="CB30" s="353"/>
      <c r="CC30" s="353"/>
      <c r="CD30" s="353"/>
      <c r="CE30" s="353"/>
      <c r="CF30" s="353"/>
      <c r="CN30" s="353"/>
      <c r="CT30" s="181" t="s">
        <v>259</v>
      </c>
      <c r="CU30" s="181" t="s">
        <v>426</v>
      </c>
      <c r="CV30" s="186">
        <f>'[1]Margin Calculation'!AF38</f>
        <v>1.12984</v>
      </c>
    </row>
    <row r="31" spans="2:100" x14ac:dyDescent="0.25"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164"/>
      <c r="AG31" s="164"/>
      <c r="AH31" s="164"/>
      <c r="AI31" s="164"/>
      <c r="AJ31" s="164"/>
      <c r="AK31" s="164"/>
      <c r="AL31" s="164"/>
      <c r="AM31" s="164"/>
      <c r="AN31" s="164"/>
      <c r="AO31" s="164"/>
      <c r="AP31" s="164"/>
      <c r="AQ31" s="164"/>
      <c r="AR31" s="164"/>
      <c r="AS31" s="164"/>
      <c r="AT31" s="164"/>
      <c r="AU31" s="164"/>
      <c r="AV31" s="164"/>
      <c r="AW31" s="164"/>
      <c r="AX31" s="164"/>
      <c r="AY31" s="164"/>
      <c r="AZ31" s="164"/>
      <c r="BA31" s="164"/>
      <c r="BB31" s="164"/>
      <c r="BC31" s="164"/>
      <c r="BD31" s="164"/>
      <c r="BE31" s="164"/>
      <c r="BF31" s="164"/>
      <c r="BG31" s="164"/>
      <c r="BH31" s="164"/>
      <c r="BI31" s="164"/>
      <c r="BJ31" s="164"/>
      <c r="BK31" s="164"/>
      <c r="BL31" s="164"/>
      <c r="BX31" s="353"/>
      <c r="BY31" s="353"/>
      <c r="BZ31" s="353"/>
      <c r="CA31" s="353"/>
      <c r="CB31" s="353"/>
      <c r="CC31" s="353"/>
      <c r="CD31" s="353"/>
      <c r="CE31" s="353"/>
      <c r="CF31" s="353"/>
      <c r="CN31" s="353"/>
      <c r="CT31" s="182" t="s">
        <v>259</v>
      </c>
      <c r="CU31" s="182" t="s">
        <v>427</v>
      </c>
      <c r="CV31" s="185">
        <f>'[1]Margin Calculation'!AF39</f>
        <v>13.525969999999999</v>
      </c>
    </row>
    <row r="32" spans="2:100" x14ac:dyDescent="0.25"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  <c r="AW32" s="164"/>
      <c r="AX32" s="164"/>
      <c r="AY32" s="164"/>
      <c r="AZ32" s="164"/>
      <c r="BA32" s="164"/>
      <c r="BB32" s="164"/>
      <c r="BC32" s="164"/>
      <c r="BD32" s="164"/>
      <c r="BE32" s="164"/>
      <c r="BF32" s="164"/>
      <c r="BG32" s="164"/>
      <c r="BH32" s="164"/>
      <c r="BI32" s="164"/>
      <c r="BJ32" s="164"/>
      <c r="BK32" s="164"/>
      <c r="BL32" s="164"/>
      <c r="BX32" s="353"/>
      <c r="BY32" s="353"/>
      <c r="BZ32" s="353"/>
      <c r="CA32" s="353"/>
      <c r="CB32" s="353"/>
      <c r="CC32" s="353"/>
      <c r="CD32" s="353"/>
      <c r="CE32" s="353"/>
      <c r="CF32" s="353"/>
      <c r="CN32" s="353"/>
      <c r="CT32" s="181" t="s">
        <v>259</v>
      </c>
      <c r="CU32" s="181" t="s">
        <v>429</v>
      </c>
      <c r="CV32" s="186">
        <f>'[1]Margin Calculation'!AF40</f>
        <v>5.0273500000000002</v>
      </c>
    </row>
    <row r="33" spans="3:100" x14ac:dyDescent="0.25"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164"/>
      <c r="AO33" s="164"/>
      <c r="AP33" s="164"/>
      <c r="AQ33" s="164"/>
      <c r="AR33" s="164"/>
      <c r="AS33" s="164"/>
      <c r="AT33" s="164"/>
      <c r="AU33" s="164"/>
      <c r="AV33" s="164"/>
      <c r="AW33" s="164"/>
      <c r="AX33" s="164"/>
      <c r="AY33" s="164"/>
      <c r="AZ33" s="164"/>
      <c r="BA33" s="164"/>
      <c r="BB33" s="164"/>
      <c r="BC33" s="164"/>
      <c r="BD33" s="164"/>
      <c r="BE33" s="164"/>
      <c r="BF33" s="164"/>
      <c r="BG33" s="164"/>
      <c r="BH33" s="164"/>
      <c r="BI33" s="164"/>
      <c r="BJ33" s="164"/>
      <c r="BK33" s="164"/>
      <c r="BL33" s="164"/>
      <c r="BX33" s="353"/>
      <c r="BY33" s="353"/>
      <c r="BZ33" s="353"/>
      <c r="CA33" s="353"/>
      <c r="CB33" s="353"/>
      <c r="CC33" s="353"/>
      <c r="CD33" s="353"/>
      <c r="CE33" s="353"/>
      <c r="CF33" s="353"/>
      <c r="CN33" s="353"/>
      <c r="CT33" s="182" t="s">
        <v>101</v>
      </c>
      <c r="CU33" s="182" t="s">
        <v>1</v>
      </c>
      <c r="CV33" s="185">
        <f>'[1]Margin Calculation'!AF41</f>
        <v>4.5487213544272702E-2</v>
      </c>
    </row>
    <row r="34" spans="3:100" x14ac:dyDescent="0.25"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4"/>
      <c r="AE34" s="164"/>
      <c r="AF34" s="164"/>
      <c r="AG34" s="164"/>
      <c r="AH34" s="164"/>
      <c r="AI34" s="164"/>
      <c r="AJ34" s="164"/>
      <c r="AK34" s="164"/>
      <c r="AL34" s="164"/>
      <c r="AM34" s="164"/>
      <c r="AN34" s="164"/>
      <c r="AO34" s="164"/>
      <c r="AP34" s="164"/>
      <c r="AQ34" s="164"/>
      <c r="AR34" s="164"/>
      <c r="AS34" s="164"/>
      <c r="AT34" s="164"/>
      <c r="AU34" s="164"/>
      <c r="AV34" s="164"/>
      <c r="AW34" s="164"/>
      <c r="AX34" s="164"/>
      <c r="AY34" s="164"/>
      <c r="AZ34" s="164"/>
      <c r="BA34" s="164"/>
      <c r="BB34" s="164"/>
      <c r="BC34" s="164"/>
      <c r="BD34" s="164"/>
      <c r="BE34" s="164"/>
      <c r="BF34" s="164"/>
      <c r="BG34" s="164"/>
      <c r="BH34" s="164"/>
      <c r="BI34" s="164"/>
      <c r="BJ34" s="164"/>
      <c r="BK34" s="164"/>
      <c r="BL34" s="164"/>
      <c r="BX34" s="353"/>
      <c r="BY34" s="353"/>
      <c r="BZ34" s="353"/>
      <c r="CA34" s="353"/>
      <c r="CB34" s="353"/>
      <c r="CC34" s="353"/>
      <c r="CD34" s="353"/>
      <c r="CE34" s="353"/>
      <c r="CF34" s="353"/>
      <c r="CN34" s="353"/>
      <c r="CT34" s="181" t="s">
        <v>101</v>
      </c>
      <c r="CU34" s="181" t="s">
        <v>2</v>
      </c>
      <c r="CV34" s="186">
        <f>'[1]Margin Calculation'!AF42</f>
        <v>5.0927491474737921E-2</v>
      </c>
    </row>
    <row r="35" spans="3:100" x14ac:dyDescent="0.25"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  <c r="AF35" s="164"/>
      <c r="AG35" s="164"/>
      <c r="AH35" s="164"/>
      <c r="AI35" s="164"/>
      <c r="AJ35" s="164"/>
      <c r="AK35" s="164"/>
      <c r="AL35" s="164"/>
      <c r="AM35" s="164"/>
      <c r="AN35" s="164"/>
      <c r="AO35" s="164"/>
      <c r="AP35" s="164"/>
      <c r="AQ35" s="164"/>
      <c r="AR35" s="164"/>
      <c r="AS35" s="164"/>
      <c r="AT35" s="164"/>
      <c r="AU35" s="164"/>
      <c r="AV35" s="164"/>
      <c r="AW35" s="164"/>
      <c r="AX35" s="164"/>
      <c r="AY35" s="164"/>
      <c r="AZ35" s="164"/>
      <c r="BA35" s="164"/>
      <c r="BB35" s="164"/>
      <c r="BC35" s="164"/>
      <c r="BD35" s="164"/>
      <c r="BE35" s="164"/>
      <c r="BF35" s="164"/>
      <c r="BG35" s="164"/>
      <c r="BH35" s="164"/>
      <c r="BI35" s="164"/>
      <c r="BJ35" s="164"/>
      <c r="BK35" s="164"/>
      <c r="BL35" s="164"/>
      <c r="BX35" s="353"/>
      <c r="BY35" s="353"/>
      <c r="BZ35" s="353"/>
      <c r="CA35" s="353"/>
      <c r="CB35" s="353"/>
      <c r="CC35" s="353"/>
      <c r="CD35" s="353"/>
      <c r="CE35" s="353"/>
      <c r="CF35" s="353"/>
      <c r="CN35" s="353"/>
      <c r="CT35" s="182" t="s">
        <v>101</v>
      </c>
      <c r="CU35" s="182" t="s">
        <v>259</v>
      </c>
      <c r="CV35" s="185">
        <f>'[1]Margin Calculation'!AF43</f>
        <v>3.8001385530516442E-2</v>
      </c>
    </row>
    <row r="36" spans="3:100" x14ac:dyDescent="0.25"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4"/>
      <c r="AE36" s="164"/>
      <c r="AF36" s="164"/>
      <c r="AG36" s="164"/>
      <c r="AH36" s="164"/>
      <c r="AI36" s="164"/>
      <c r="AJ36" s="164"/>
      <c r="AK36" s="164"/>
      <c r="AL36" s="164"/>
      <c r="AM36" s="164"/>
      <c r="AN36" s="164"/>
      <c r="AO36" s="164"/>
      <c r="AP36" s="164"/>
      <c r="AQ36" s="164"/>
      <c r="AR36" s="164"/>
      <c r="AS36" s="164"/>
      <c r="AT36" s="164"/>
      <c r="AU36" s="164"/>
      <c r="AV36" s="164"/>
      <c r="AW36" s="164"/>
      <c r="AX36" s="164"/>
      <c r="AY36" s="164"/>
      <c r="AZ36" s="164"/>
      <c r="BA36" s="164"/>
      <c r="BB36" s="164"/>
      <c r="BC36" s="164"/>
      <c r="BD36" s="164"/>
      <c r="BE36" s="164"/>
      <c r="BF36" s="164"/>
      <c r="BG36" s="164"/>
      <c r="BH36" s="164"/>
      <c r="BI36" s="164"/>
      <c r="BJ36" s="164"/>
      <c r="BK36" s="164"/>
      <c r="BL36" s="164"/>
      <c r="BX36" s="353"/>
      <c r="BY36" s="353"/>
      <c r="BZ36" s="353"/>
      <c r="CA36" s="353"/>
      <c r="CB36" s="353"/>
      <c r="CC36" s="353"/>
      <c r="CD36" s="353"/>
      <c r="CE36" s="353"/>
      <c r="CF36" s="353"/>
      <c r="CN36" s="353"/>
      <c r="CT36" s="181" t="s">
        <v>101</v>
      </c>
      <c r="CU36" s="181" t="s">
        <v>85</v>
      </c>
      <c r="CV36" s="186">
        <f>'[1]Margin Calculation'!AF44</f>
        <v>0.27521597573695961</v>
      </c>
    </row>
    <row r="37" spans="3:100" x14ac:dyDescent="0.25"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AQ37" s="164"/>
      <c r="AR37" s="164"/>
      <c r="AS37" s="164"/>
      <c r="AT37" s="164"/>
      <c r="AU37" s="164"/>
      <c r="AV37" s="164"/>
      <c r="AW37" s="164"/>
      <c r="AX37" s="164"/>
      <c r="AY37" s="164"/>
      <c r="AZ37" s="164"/>
      <c r="BA37" s="164"/>
      <c r="BB37" s="164"/>
      <c r="BC37" s="164"/>
      <c r="BD37" s="164"/>
      <c r="BE37" s="164"/>
      <c r="BF37" s="164"/>
      <c r="BG37" s="164"/>
      <c r="BH37" s="164"/>
      <c r="BI37" s="164"/>
      <c r="BJ37" s="164"/>
      <c r="BK37" s="164"/>
      <c r="BL37" s="164"/>
      <c r="BX37" s="353"/>
      <c r="BY37" s="353"/>
      <c r="BZ37" s="353"/>
      <c r="CA37" s="353"/>
      <c r="CB37" s="353"/>
      <c r="CC37" s="353"/>
      <c r="CD37" s="353"/>
      <c r="CE37" s="353"/>
      <c r="CF37" s="353"/>
      <c r="CN37" s="353"/>
      <c r="CT37" s="182" t="s">
        <v>101</v>
      </c>
      <c r="CU37" s="182" t="s">
        <v>101</v>
      </c>
      <c r="CV37" s="185">
        <f>'[1]Margin Calculation'!AF45</f>
        <v>1</v>
      </c>
    </row>
    <row r="38" spans="3:100" x14ac:dyDescent="0.25">
      <c r="C38" s="164"/>
      <c r="D38" s="164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4"/>
      <c r="AL38" s="164"/>
      <c r="AM38" s="164"/>
      <c r="AN38" s="164"/>
      <c r="AO38" s="164"/>
      <c r="AP38" s="164"/>
      <c r="AQ38" s="164"/>
      <c r="AR38" s="164"/>
      <c r="AS38" s="164"/>
      <c r="AT38" s="164"/>
      <c r="AU38" s="164"/>
      <c r="AV38" s="164"/>
      <c r="AW38" s="164"/>
      <c r="AX38" s="164"/>
      <c r="AY38" s="164"/>
      <c r="AZ38" s="164"/>
      <c r="BA38" s="164"/>
      <c r="BB38" s="164"/>
      <c r="BC38" s="164"/>
      <c r="BD38" s="164"/>
      <c r="BE38" s="164"/>
      <c r="BF38" s="164"/>
      <c r="BG38" s="164"/>
      <c r="BH38" s="164"/>
      <c r="BI38" s="164"/>
      <c r="BJ38" s="164"/>
      <c r="BK38" s="164"/>
      <c r="BL38" s="164"/>
      <c r="BX38" s="354"/>
      <c r="BY38" s="354"/>
      <c r="BZ38" s="354"/>
      <c r="CA38" s="354"/>
      <c r="CB38" s="354"/>
      <c r="CC38" s="354"/>
      <c r="CD38" s="354"/>
      <c r="CE38" s="354"/>
      <c r="CN38" s="354"/>
      <c r="CT38" s="181" t="s">
        <v>101</v>
      </c>
      <c r="CU38" s="181" t="s">
        <v>179</v>
      </c>
      <c r="CV38" s="186">
        <f>'[1]Margin Calculation'!AF46</f>
        <v>45.763460000000002</v>
      </c>
    </row>
    <row r="39" spans="3:100" x14ac:dyDescent="0.25">
      <c r="C39" s="164"/>
      <c r="D39" s="164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  <c r="AW39" s="164"/>
      <c r="AX39" s="164"/>
      <c r="AY39" s="164"/>
      <c r="AZ39" s="164"/>
      <c r="BA39" s="164"/>
      <c r="BB39" s="164"/>
      <c r="BC39" s="164"/>
      <c r="BD39" s="164"/>
      <c r="BE39" s="164"/>
      <c r="BF39" s="164"/>
      <c r="BG39" s="164"/>
      <c r="BH39" s="164"/>
      <c r="BI39" s="164"/>
      <c r="BJ39" s="164"/>
      <c r="BK39" s="164"/>
      <c r="BL39" s="164"/>
      <c r="BX39" s="354"/>
      <c r="BY39" s="354"/>
      <c r="BZ39" s="354"/>
      <c r="CA39" s="354"/>
      <c r="CB39" s="354"/>
      <c r="CC39" s="354"/>
      <c r="CD39" s="354"/>
      <c r="CE39" s="354"/>
      <c r="CN39" s="354"/>
      <c r="CT39" s="182" t="s">
        <v>101</v>
      </c>
      <c r="CU39" s="182" t="s">
        <v>352</v>
      </c>
      <c r="CV39" s="185">
        <f>'[1]Margin Calculation'!AF47</f>
        <v>0.35711999999999999</v>
      </c>
    </row>
    <row r="40" spans="3:100" x14ac:dyDescent="0.25"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J40" s="164"/>
      <c r="BK40" s="164"/>
      <c r="BL40" s="164"/>
      <c r="BX40" s="354"/>
      <c r="BY40" s="354"/>
      <c r="BZ40" s="354"/>
      <c r="CA40" s="354"/>
      <c r="CB40" s="354"/>
      <c r="CC40" s="354"/>
      <c r="CD40" s="354"/>
      <c r="CE40" s="354"/>
      <c r="CN40" s="354"/>
      <c r="CT40" s="181" t="s">
        <v>101</v>
      </c>
      <c r="CU40" s="181" t="s">
        <v>426</v>
      </c>
      <c r="CV40" s="186">
        <f>'[1]Margin Calculation'!AF48</f>
        <v>4.2939999999999999E-2</v>
      </c>
    </row>
    <row r="41" spans="3:100" x14ac:dyDescent="0.25"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4"/>
      <c r="AE41" s="164"/>
      <c r="AF41" s="164"/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V41" s="164"/>
      <c r="AW41" s="164"/>
      <c r="AX41" s="164"/>
      <c r="AY41" s="164"/>
      <c r="AZ41" s="164"/>
      <c r="BA41" s="164"/>
      <c r="BB41" s="164"/>
      <c r="BC41" s="164"/>
      <c r="BD41" s="164"/>
      <c r="BE41" s="164"/>
      <c r="BF41" s="164"/>
      <c r="BG41" s="164"/>
      <c r="BH41" s="164"/>
      <c r="BI41" s="164"/>
      <c r="BJ41" s="164"/>
      <c r="BK41" s="164"/>
      <c r="BL41" s="164"/>
      <c r="BX41" s="164"/>
      <c r="BY41" s="164"/>
      <c r="BZ41" s="164"/>
      <c r="CA41" s="164"/>
      <c r="CB41" s="164"/>
      <c r="CC41" s="164"/>
      <c r="CD41" s="164"/>
      <c r="CE41" s="164"/>
      <c r="CN41" s="164"/>
      <c r="CT41" s="182" t="s">
        <v>101</v>
      </c>
      <c r="CU41" s="182" t="s">
        <v>427</v>
      </c>
      <c r="CV41" s="185">
        <f>'[1]Margin Calculation'!AF49</f>
        <v>0.51400999999999997</v>
      </c>
    </row>
    <row r="42" spans="3:100" x14ac:dyDescent="0.25"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  <c r="AV42" s="164"/>
      <c r="AW42" s="164"/>
      <c r="AX42" s="164"/>
      <c r="AY42" s="164"/>
      <c r="AZ42" s="164"/>
      <c r="BA42" s="164"/>
      <c r="BB42" s="164"/>
      <c r="BC42" s="164"/>
      <c r="BD42" s="164"/>
      <c r="BE42" s="164"/>
      <c r="BF42" s="164"/>
      <c r="BG42" s="164"/>
      <c r="BH42" s="164"/>
      <c r="BI42" s="164"/>
      <c r="BJ42" s="164"/>
      <c r="BK42" s="164"/>
      <c r="BL42" s="164"/>
      <c r="BX42" s="355"/>
      <c r="BY42" s="355"/>
      <c r="BZ42" s="355"/>
      <c r="CA42" s="355"/>
      <c r="CB42" s="355"/>
      <c r="CC42" s="355"/>
      <c r="CD42" s="355"/>
      <c r="CE42" s="355"/>
      <c r="CN42" s="355"/>
      <c r="CT42" s="181" t="s">
        <v>101</v>
      </c>
      <c r="CU42" s="181" t="s">
        <v>429</v>
      </c>
      <c r="CV42" s="186">
        <f>'[1]Margin Calculation'!AF50</f>
        <v>0.19105</v>
      </c>
    </row>
    <row r="43" spans="3:100" x14ac:dyDescent="0.25"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  <c r="AI43" s="164"/>
      <c r="AJ43" s="164"/>
      <c r="AK43" s="164"/>
      <c r="AL43" s="164"/>
      <c r="AM43" s="164"/>
      <c r="AN43" s="164"/>
      <c r="AO43" s="164"/>
      <c r="AP43" s="164"/>
      <c r="AQ43" s="164"/>
      <c r="AR43" s="164"/>
      <c r="AS43" s="164"/>
      <c r="AT43" s="164"/>
      <c r="AU43" s="164"/>
      <c r="AV43" s="164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64"/>
      <c r="BJ43" s="164"/>
      <c r="BK43" s="164"/>
      <c r="BL43" s="164"/>
      <c r="BX43" s="355"/>
      <c r="BY43" s="355"/>
      <c r="BZ43" s="355"/>
      <c r="CA43" s="355"/>
      <c r="CB43" s="355"/>
      <c r="CC43" s="355"/>
      <c r="CD43" s="355"/>
      <c r="CE43" s="355"/>
      <c r="CN43" s="355"/>
      <c r="CT43" s="182" t="s">
        <v>85</v>
      </c>
      <c r="CU43" s="182" t="s">
        <v>1</v>
      </c>
      <c r="CV43" s="185">
        <f>'[1]Margin Calculation'!AF51</f>
        <v>0.16527832870554013</v>
      </c>
    </row>
    <row r="44" spans="3:100" x14ac:dyDescent="0.25"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64"/>
      <c r="AK44" s="164"/>
      <c r="AL44" s="164"/>
      <c r="AM44" s="164"/>
      <c r="AN44" s="164"/>
      <c r="AO44" s="164"/>
      <c r="AP44" s="164"/>
      <c r="AQ44" s="164"/>
      <c r="AR44" s="164"/>
      <c r="AS44" s="164"/>
      <c r="AT44" s="164"/>
      <c r="AU44" s="164"/>
      <c r="AV44" s="164"/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I44" s="164"/>
      <c r="BJ44" s="164"/>
      <c r="BK44" s="164"/>
      <c r="BL44" s="164"/>
      <c r="BX44" s="355"/>
      <c r="BY44" s="355"/>
      <c r="BZ44" s="355"/>
      <c r="CA44" s="355"/>
      <c r="CB44" s="355"/>
      <c r="CC44" s="355"/>
      <c r="CD44" s="355"/>
      <c r="CE44" s="355"/>
      <c r="CN44" s="355"/>
      <c r="CT44" s="181" t="s">
        <v>85</v>
      </c>
      <c r="CU44" s="181" t="s">
        <v>2</v>
      </c>
      <c r="CV44" s="186">
        <f>'[1]Margin Calculation'!AF52</f>
        <v>0.18504571554402516</v>
      </c>
    </row>
    <row r="45" spans="3:100" x14ac:dyDescent="0.25"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  <c r="AI45" s="164"/>
      <c r="AJ45" s="164"/>
      <c r="AK45" s="164"/>
      <c r="AL45" s="164"/>
      <c r="AM45" s="164"/>
      <c r="AN45" s="164"/>
      <c r="AO45" s="164"/>
      <c r="AP45" s="164"/>
      <c r="AQ45" s="164"/>
      <c r="AR45" s="164"/>
      <c r="AS45" s="164"/>
      <c r="AT45" s="164"/>
      <c r="AU45" s="164"/>
      <c r="AV45" s="164"/>
      <c r="AW45" s="164"/>
      <c r="AX45" s="164"/>
      <c r="AY45" s="164"/>
      <c r="AZ45" s="164"/>
      <c r="BA45" s="164"/>
      <c r="BB45" s="164"/>
      <c r="BC45" s="164"/>
      <c r="BD45" s="164"/>
      <c r="BE45" s="164"/>
      <c r="BF45" s="164"/>
      <c r="BG45" s="164"/>
      <c r="BH45" s="164"/>
      <c r="BI45" s="164"/>
      <c r="BJ45" s="164"/>
      <c r="BK45" s="164"/>
      <c r="BL45" s="164"/>
      <c r="BX45" s="355"/>
      <c r="BY45" s="355"/>
      <c r="BZ45" s="355"/>
      <c r="CA45" s="355"/>
      <c r="CB45" s="355"/>
      <c r="CC45" s="355"/>
      <c r="CD45" s="355"/>
      <c r="CE45" s="355"/>
      <c r="CN45" s="355"/>
      <c r="CT45" s="182" t="s">
        <v>85</v>
      </c>
      <c r="CU45" s="182" t="s">
        <v>259</v>
      </c>
      <c r="CV45" s="185">
        <f>'[1]Margin Calculation'!AF53</f>
        <v>0.13807844512624512</v>
      </c>
    </row>
    <row r="46" spans="3:100" x14ac:dyDescent="0.25"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64"/>
      <c r="AK46" s="164"/>
      <c r="AL46" s="164"/>
      <c r="AM46" s="164"/>
      <c r="AN46" s="164"/>
      <c r="AO46" s="164"/>
      <c r="AP46" s="164"/>
      <c r="AQ46" s="164"/>
      <c r="AR46" s="164"/>
      <c r="AS46" s="164"/>
      <c r="AT46" s="164"/>
      <c r="AU46" s="164"/>
      <c r="AV46" s="164"/>
      <c r="AW46" s="164"/>
      <c r="AX46" s="164"/>
      <c r="AY46" s="164"/>
      <c r="AZ46" s="164"/>
      <c r="BA46" s="164"/>
      <c r="BB46" s="164"/>
      <c r="BC46" s="164"/>
      <c r="BD46" s="164"/>
      <c r="BE46" s="164"/>
      <c r="BF46" s="164"/>
      <c r="BG46" s="164"/>
      <c r="BH46" s="164"/>
      <c r="BI46" s="164"/>
      <c r="BJ46" s="164"/>
      <c r="BK46" s="164"/>
      <c r="BL46" s="164"/>
      <c r="BX46" s="355"/>
      <c r="BY46" s="355"/>
      <c r="BZ46" s="355"/>
      <c r="CA46" s="355"/>
      <c r="CB46" s="355"/>
      <c r="CC46" s="355"/>
      <c r="CD46" s="355"/>
      <c r="CE46" s="355"/>
      <c r="CN46" s="355"/>
      <c r="CT46" s="181" t="s">
        <v>85</v>
      </c>
      <c r="CU46" s="181" t="s">
        <v>85</v>
      </c>
      <c r="CV46" s="186">
        <f>'[1]Margin Calculation'!AF54</f>
        <v>1</v>
      </c>
    </row>
    <row r="47" spans="3:100" x14ac:dyDescent="0.25"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4"/>
      <c r="AE47" s="164"/>
      <c r="AF47" s="164"/>
      <c r="AG47" s="164"/>
      <c r="AH47" s="164"/>
      <c r="AI47" s="164"/>
      <c r="AJ47" s="164"/>
      <c r="AK47" s="164"/>
      <c r="AL47" s="164"/>
      <c r="AM47" s="164"/>
      <c r="AN47" s="164"/>
      <c r="AO47" s="164"/>
      <c r="AP47" s="164"/>
      <c r="AQ47" s="164"/>
      <c r="AR47" s="164"/>
      <c r="AS47" s="164"/>
      <c r="AT47" s="164"/>
      <c r="AU47" s="164"/>
      <c r="AV47" s="164"/>
      <c r="AW47" s="164"/>
      <c r="AX47" s="164"/>
      <c r="AY47" s="164"/>
      <c r="AZ47" s="164"/>
      <c r="BA47" s="164"/>
      <c r="BB47" s="164"/>
      <c r="BC47" s="164"/>
      <c r="BD47" s="164"/>
      <c r="BE47" s="164"/>
      <c r="BF47" s="164"/>
      <c r="BG47" s="164"/>
      <c r="BH47" s="164"/>
      <c r="BI47" s="164"/>
      <c r="BJ47" s="164"/>
      <c r="BK47" s="164"/>
      <c r="BL47" s="164"/>
      <c r="BX47" s="355"/>
      <c r="BY47" s="355"/>
      <c r="BZ47" s="355"/>
      <c r="CA47" s="355"/>
      <c r="CB47" s="355"/>
      <c r="CC47" s="355"/>
      <c r="CD47" s="355"/>
      <c r="CE47" s="355"/>
      <c r="CN47" s="355"/>
      <c r="CT47" s="182" t="s">
        <v>85</v>
      </c>
      <c r="CU47" s="182" t="s">
        <v>101</v>
      </c>
      <c r="CV47" s="185">
        <f>'[1]Margin Calculation'!AF55</f>
        <v>3.6335099999999998</v>
      </c>
    </row>
    <row r="48" spans="3:100" x14ac:dyDescent="0.25"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64"/>
      <c r="AK48" s="164"/>
      <c r="AL48" s="164"/>
      <c r="AM48" s="164"/>
      <c r="AN48" s="164"/>
      <c r="AO48" s="164"/>
      <c r="AP48" s="164"/>
      <c r="AQ48" s="164"/>
      <c r="AR48" s="164"/>
      <c r="AS48" s="164"/>
      <c r="AT48" s="164"/>
      <c r="AU48" s="164"/>
      <c r="AV48" s="164"/>
      <c r="AW48" s="164"/>
      <c r="AX48" s="164"/>
      <c r="AY48" s="164"/>
      <c r="AZ48" s="164"/>
      <c r="BA48" s="164"/>
      <c r="BB48" s="164"/>
      <c r="BC48" s="164"/>
      <c r="BD48" s="164"/>
      <c r="BE48" s="164"/>
      <c r="BF48" s="164"/>
      <c r="BG48" s="164"/>
      <c r="BH48" s="164"/>
      <c r="BI48" s="164"/>
      <c r="BJ48" s="164"/>
      <c r="BK48" s="164"/>
      <c r="BL48" s="164"/>
      <c r="BX48" s="355"/>
      <c r="BY48" s="355"/>
      <c r="BZ48" s="355"/>
      <c r="CA48" s="355"/>
      <c r="CB48" s="355"/>
      <c r="CC48" s="355"/>
      <c r="CD48" s="355"/>
      <c r="CE48" s="355"/>
      <c r="CN48" s="355"/>
      <c r="CT48" s="181" t="s">
        <v>85</v>
      </c>
      <c r="CU48" s="181" t="s">
        <v>179</v>
      </c>
      <c r="CV48" s="186">
        <f>'[1]Margin Calculation'!AF56</f>
        <v>166.28206</v>
      </c>
    </row>
    <row r="49" spans="3:100" x14ac:dyDescent="0.25"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164"/>
      <c r="AJ49" s="164"/>
      <c r="AK49" s="164"/>
      <c r="AL49" s="164"/>
      <c r="AM49" s="164"/>
      <c r="AN49" s="164"/>
      <c r="AO49" s="164"/>
      <c r="AP49" s="164"/>
      <c r="AQ49" s="164"/>
      <c r="AR49" s="164"/>
      <c r="AS49" s="164"/>
      <c r="AT49" s="164"/>
      <c r="AU49" s="164"/>
      <c r="AV49" s="164"/>
      <c r="AW49" s="164"/>
      <c r="AX49" s="164"/>
      <c r="AY49" s="164"/>
      <c r="AZ49" s="164"/>
      <c r="BA49" s="164"/>
      <c r="BB49" s="164"/>
      <c r="BC49" s="164"/>
      <c r="BD49" s="164"/>
      <c r="BE49" s="164"/>
      <c r="BF49" s="164"/>
      <c r="BG49" s="164"/>
      <c r="BH49" s="164"/>
      <c r="BI49" s="164"/>
      <c r="BJ49" s="164"/>
      <c r="BK49" s="164"/>
      <c r="BL49" s="164"/>
      <c r="BX49" s="355"/>
      <c r="BY49" s="355"/>
      <c r="BZ49" s="355"/>
      <c r="CA49" s="355"/>
      <c r="CB49" s="355"/>
      <c r="CC49" s="355"/>
      <c r="CD49" s="355"/>
      <c r="CE49" s="355"/>
      <c r="CN49" s="355"/>
      <c r="CT49" s="182" t="s">
        <v>85</v>
      </c>
      <c r="CU49" s="182" t="s">
        <v>352</v>
      </c>
      <c r="CV49" s="185">
        <f>'[1]Margin Calculation'!AF57</f>
        <v>1.29762</v>
      </c>
    </row>
    <row r="50" spans="3:100" x14ac:dyDescent="0.25"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  <c r="AY50" s="164"/>
      <c r="AZ50" s="164"/>
      <c r="BA50" s="164"/>
      <c r="BB50" s="164"/>
      <c r="BC50" s="164"/>
      <c r="BD50" s="164"/>
      <c r="BE50" s="164"/>
      <c r="BF50" s="164"/>
      <c r="BG50" s="164"/>
      <c r="BH50" s="164"/>
      <c r="BI50" s="164"/>
      <c r="BJ50" s="164"/>
      <c r="BK50" s="164"/>
      <c r="BL50" s="164"/>
      <c r="BX50" s="355"/>
      <c r="BY50" s="355"/>
      <c r="BZ50" s="355"/>
      <c r="CA50" s="355"/>
      <c r="CB50" s="355"/>
      <c r="CC50" s="355"/>
      <c r="CD50" s="355"/>
      <c r="CE50" s="355"/>
      <c r="CN50" s="355"/>
      <c r="CT50" s="181" t="s">
        <v>85</v>
      </c>
      <c r="CU50" s="181" t="s">
        <v>426</v>
      </c>
      <c r="CV50" s="186">
        <f>'[1]Margin Calculation'!AF58</f>
        <v>0.15601000000000001</v>
      </c>
    </row>
    <row r="51" spans="3:100" x14ac:dyDescent="0.25"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X51" s="355"/>
      <c r="BY51" s="355"/>
      <c r="BZ51" s="355"/>
      <c r="CA51" s="355"/>
      <c r="CB51" s="355"/>
      <c r="CC51" s="355"/>
      <c r="CD51" s="355"/>
      <c r="CE51" s="355"/>
      <c r="CN51" s="355"/>
      <c r="CT51" s="182" t="s">
        <v>85</v>
      </c>
      <c r="CU51" s="182" t="s">
        <v>427</v>
      </c>
      <c r="CV51" s="185">
        <f>'[1]Margin Calculation'!AF59</f>
        <v>1.86765</v>
      </c>
    </row>
    <row r="52" spans="3:100" x14ac:dyDescent="0.25"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  <c r="AY52" s="164"/>
      <c r="AZ52" s="164"/>
      <c r="BA52" s="164"/>
      <c r="BB52" s="164"/>
      <c r="BC52" s="164"/>
      <c r="BD52" s="164"/>
      <c r="BE52" s="164"/>
      <c r="BF52" s="164"/>
      <c r="BG52" s="164"/>
      <c r="BH52" s="164"/>
      <c r="BI52" s="164"/>
      <c r="BJ52" s="164"/>
      <c r="BK52" s="164"/>
      <c r="BL52" s="164"/>
      <c r="BX52" s="355"/>
      <c r="BY52" s="355"/>
      <c r="BZ52" s="355"/>
      <c r="CA52" s="355"/>
      <c r="CB52" s="355"/>
      <c r="CC52" s="355"/>
      <c r="CD52" s="355"/>
      <c r="CE52" s="355"/>
      <c r="CN52" s="355"/>
      <c r="CT52" s="181" t="s">
        <v>85</v>
      </c>
      <c r="CU52" s="181" t="s">
        <v>429</v>
      </c>
      <c r="CV52" s="186">
        <f>'[1]Margin Calculation'!AF60</f>
        <v>0.69416999999999995</v>
      </c>
    </row>
    <row r="53" spans="3:100" x14ac:dyDescent="0.25"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  <c r="AY53" s="164"/>
      <c r="AZ53" s="164"/>
      <c r="BA53" s="164"/>
      <c r="BB53" s="164"/>
      <c r="BC53" s="164"/>
      <c r="BD53" s="164"/>
      <c r="BE53" s="164"/>
      <c r="BF53" s="164"/>
      <c r="BG53" s="164"/>
      <c r="BH53" s="164"/>
      <c r="BI53" s="164"/>
      <c r="BJ53" s="164"/>
      <c r="BK53" s="164"/>
      <c r="BL53" s="164"/>
      <c r="BX53" s="355"/>
      <c r="BY53" s="355"/>
      <c r="BZ53" s="355"/>
      <c r="CA53" s="355"/>
      <c r="CB53" s="355"/>
      <c r="CC53" s="355"/>
      <c r="CD53" s="355"/>
      <c r="CE53" s="355"/>
      <c r="CN53" s="355"/>
      <c r="CT53" s="182" t="s">
        <v>179</v>
      </c>
      <c r="CU53" s="182" t="s">
        <v>1</v>
      </c>
      <c r="CV53" s="185">
        <f>'[1]Margin Calculation'!AF61</f>
        <v>9.9396365870071056E-4</v>
      </c>
    </row>
    <row r="54" spans="3:100" x14ac:dyDescent="0.25"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  <c r="AY54" s="164"/>
      <c r="AZ54" s="164"/>
      <c r="BA54" s="164"/>
      <c r="BB54" s="164"/>
      <c r="BC54" s="164"/>
      <c r="BD54" s="164"/>
      <c r="BE54" s="164"/>
      <c r="BF54" s="164"/>
      <c r="BG54" s="164"/>
      <c r="BH54" s="164"/>
      <c r="BI54" s="164"/>
      <c r="BJ54" s="164"/>
      <c r="BK54" s="164"/>
      <c r="BL54" s="164"/>
      <c r="BX54" s="355"/>
      <c r="BY54" s="355"/>
      <c r="BZ54" s="355"/>
      <c r="CA54" s="355"/>
      <c r="CB54" s="355"/>
      <c r="CC54" s="355"/>
      <c r="CD54" s="355"/>
      <c r="CE54" s="355"/>
      <c r="CN54" s="355"/>
      <c r="CT54" s="181" t="s">
        <v>179</v>
      </c>
      <c r="CU54" s="181" t="s">
        <v>2</v>
      </c>
      <c r="CV54" s="186">
        <f>'[1]Margin Calculation'!AF62</f>
        <v>1.1128417159934686E-3</v>
      </c>
    </row>
    <row r="55" spans="3:100" x14ac:dyDescent="0.25"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X55" s="355"/>
      <c r="BY55" s="355"/>
      <c r="BZ55" s="355"/>
      <c r="CA55" s="355"/>
      <c r="CB55" s="355"/>
      <c r="CC55" s="355"/>
      <c r="CD55" s="355"/>
      <c r="CE55" s="355"/>
      <c r="CN55" s="355"/>
      <c r="CT55" s="182" t="s">
        <v>179</v>
      </c>
      <c r="CU55" s="182" t="s">
        <v>259</v>
      </c>
      <c r="CV55" s="185">
        <f>'[1]Margin Calculation'!AF63</f>
        <v>8.3038705777332435E-4</v>
      </c>
    </row>
    <row r="56" spans="3:100" x14ac:dyDescent="0.25"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  <c r="AY56" s="164"/>
      <c r="AZ56" s="164"/>
      <c r="BA56" s="164"/>
      <c r="BB56" s="164"/>
      <c r="BC56" s="164"/>
      <c r="BD56" s="164"/>
      <c r="BE56" s="164"/>
      <c r="BF56" s="164"/>
      <c r="BG56" s="164"/>
      <c r="BH56" s="164"/>
      <c r="BI56" s="164"/>
      <c r="BJ56" s="164"/>
      <c r="BK56" s="164"/>
      <c r="BL56" s="164"/>
      <c r="BX56" s="355"/>
      <c r="BY56" s="355"/>
      <c r="BZ56" s="355"/>
      <c r="CA56" s="355"/>
      <c r="CB56" s="355"/>
      <c r="CC56" s="355"/>
      <c r="CD56" s="355"/>
      <c r="CE56" s="355"/>
      <c r="CN56" s="355"/>
      <c r="CT56" s="181" t="s">
        <v>179</v>
      </c>
      <c r="CU56" s="181" t="s">
        <v>85</v>
      </c>
      <c r="CV56" s="186">
        <f>'[1]Margin Calculation'!AF64</f>
        <v>6.0138778651166579E-3</v>
      </c>
    </row>
    <row r="57" spans="3:100" x14ac:dyDescent="0.25"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  <c r="AY57" s="164"/>
      <c r="AZ57" s="164"/>
      <c r="BA57" s="164"/>
      <c r="BB57" s="164"/>
      <c r="BC57" s="164"/>
      <c r="BD57" s="164"/>
      <c r="BE57" s="164"/>
      <c r="BF57" s="164"/>
      <c r="BG57" s="164"/>
      <c r="BH57" s="164"/>
      <c r="BI57" s="164"/>
      <c r="BJ57" s="164"/>
      <c r="BK57" s="164"/>
      <c r="BL57" s="164"/>
      <c r="BX57" s="355"/>
      <c r="BY57" s="355"/>
      <c r="BZ57" s="355"/>
      <c r="CA57" s="355"/>
      <c r="CB57" s="355"/>
      <c r="CC57" s="355"/>
      <c r="CD57" s="355"/>
      <c r="CE57" s="355"/>
      <c r="CN57" s="355"/>
      <c r="CT57" s="182" t="s">
        <v>179</v>
      </c>
      <c r="CU57" s="182" t="s">
        <v>101</v>
      </c>
      <c r="CV57" s="185">
        <f>'[1]Margin Calculation'!AF65</f>
        <v>2.1851494620380538E-2</v>
      </c>
    </row>
    <row r="58" spans="3:100" x14ac:dyDescent="0.25"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  <c r="AY58" s="164"/>
      <c r="AZ58" s="164"/>
      <c r="BA58" s="164"/>
      <c r="BB58" s="164"/>
      <c r="BC58" s="164"/>
      <c r="BD58" s="164"/>
      <c r="BE58" s="164"/>
      <c r="BF58" s="164"/>
      <c r="BG58" s="164"/>
      <c r="BH58" s="164"/>
      <c r="BI58" s="164"/>
      <c r="BJ58" s="164"/>
      <c r="BK58" s="164"/>
      <c r="BL58" s="164"/>
      <c r="BX58" s="355"/>
      <c r="BY58" s="355"/>
      <c r="BZ58" s="355"/>
      <c r="CA58" s="355"/>
      <c r="CB58" s="355"/>
      <c r="CC58" s="355"/>
      <c r="CD58" s="355"/>
      <c r="CE58" s="355"/>
      <c r="CN58" s="355"/>
      <c r="CT58" s="181" t="s">
        <v>179</v>
      </c>
      <c r="CU58" s="181" t="s">
        <v>179</v>
      </c>
      <c r="CV58" s="186">
        <f>'[1]Margin Calculation'!AF66</f>
        <v>1</v>
      </c>
    </row>
    <row r="59" spans="3:100" x14ac:dyDescent="0.25"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  <c r="AY59" s="164"/>
      <c r="AZ59" s="164"/>
      <c r="BA59" s="164"/>
      <c r="BB59" s="164"/>
      <c r="BC59" s="164"/>
      <c r="BD59" s="164"/>
      <c r="BE59" s="164"/>
      <c r="BF59" s="164"/>
      <c r="BG59" s="164"/>
      <c r="BH59" s="164"/>
      <c r="BI59" s="164"/>
      <c r="BJ59" s="164"/>
      <c r="BK59" s="164"/>
      <c r="BL59" s="164"/>
      <c r="BX59" s="355"/>
      <c r="BY59" s="355"/>
      <c r="BZ59" s="355"/>
      <c r="CA59" s="355"/>
      <c r="CB59" s="355"/>
      <c r="CC59" s="355"/>
      <c r="CD59" s="355"/>
      <c r="CE59" s="355"/>
      <c r="CN59" s="355"/>
      <c r="CT59" s="182" t="s">
        <v>179</v>
      </c>
      <c r="CU59" s="182" t="s">
        <v>352</v>
      </c>
      <c r="CV59" s="185">
        <f>'[1]Margin Calculation'!AF67</f>
        <v>7.7999999999999996E-3</v>
      </c>
    </row>
    <row r="60" spans="3:100" x14ac:dyDescent="0.25"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  <c r="AY60" s="164"/>
      <c r="AZ60" s="164"/>
      <c r="BA60" s="164"/>
      <c r="BB60" s="164"/>
      <c r="BC60" s="164"/>
      <c r="BD60" s="164"/>
      <c r="BE60" s="164"/>
      <c r="BF60" s="164"/>
      <c r="BG60" s="164"/>
      <c r="BH60" s="164"/>
      <c r="BI60" s="164"/>
      <c r="BJ60" s="164"/>
      <c r="BK60" s="164"/>
      <c r="BL60" s="164"/>
      <c r="BX60" s="355"/>
      <c r="BY60" s="355"/>
      <c r="BZ60" s="355"/>
      <c r="CA60" s="355"/>
      <c r="CB60" s="355"/>
      <c r="CC60" s="355"/>
      <c r="CD60" s="355"/>
      <c r="CE60" s="355"/>
      <c r="CN60" s="355"/>
      <c r="CT60" s="181" t="s">
        <v>179</v>
      </c>
      <c r="CU60" s="181" t="s">
        <v>426</v>
      </c>
      <c r="CV60" s="186">
        <f>'[1]Margin Calculation'!AF68</f>
        <v>9.3999999999999997E-4</v>
      </c>
    </row>
    <row r="61" spans="3:100" x14ac:dyDescent="0.25"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  <c r="AY61" s="164"/>
      <c r="AZ61" s="164"/>
      <c r="BA61" s="164"/>
      <c r="BB61" s="164"/>
      <c r="BC61" s="164"/>
      <c r="BD61" s="164"/>
      <c r="BE61" s="164"/>
      <c r="BF61" s="164"/>
      <c r="BG61" s="164"/>
      <c r="BH61" s="164"/>
      <c r="BI61" s="164"/>
      <c r="BJ61" s="164"/>
      <c r="BK61" s="164"/>
      <c r="BL61" s="164"/>
      <c r="BX61" s="355"/>
      <c r="BY61" s="355"/>
      <c r="BZ61" s="355"/>
      <c r="CA61" s="355"/>
      <c r="CB61" s="355"/>
      <c r="CC61" s="355"/>
      <c r="CD61" s="355"/>
      <c r="CE61" s="355"/>
      <c r="CN61" s="355"/>
      <c r="CT61" s="182" t="s">
        <v>179</v>
      </c>
      <c r="CU61" s="182" t="s">
        <v>427</v>
      </c>
      <c r="CV61" s="185">
        <f>'[1]Margin Calculation'!AF69</f>
        <v>1.123E-2</v>
      </c>
    </row>
    <row r="62" spans="3:100" x14ac:dyDescent="0.25"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  <c r="AY62" s="164"/>
      <c r="AZ62" s="164"/>
      <c r="BA62" s="164"/>
      <c r="BB62" s="164"/>
      <c r="BC62" s="164"/>
      <c r="BD62" s="164"/>
      <c r="BE62" s="164"/>
      <c r="BF62" s="164"/>
      <c r="BG62" s="164"/>
      <c r="BH62" s="164"/>
      <c r="BI62" s="164"/>
      <c r="BJ62" s="164"/>
      <c r="BK62" s="164"/>
      <c r="BL62" s="164"/>
      <c r="BX62" s="355"/>
      <c r="BY62" s="355"/>
      <c r="BZ62" s="355"/>
      <c r="CA62" s="355"/>
      <c r="CB62" s="355"/>
      <c r="CC62" s="355"/>
      <c r="CD62" s="355"/>
      <c r="CE62" s="355"/>
      <c r="CN62" s="355"/>
      <c r="CT62" s="181" t="s">
        <v>179</v>
      </c>
      <c r="CU62" s="181" t="s">
        <v>429</v>
      </c>
      <c r="CV62" s="186">
        <f>'[1]Margin Calculation'!AF70</f>
        <v>4.1700000000000001E-3</v>
      </c>
    </row>
    <row r="63" spans="3:100" x14ac:dyDescent="0.25"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  <c r="AY63" s="164"/>
      <c r="AZ63" s="164"/>
      <c r="BA63" s="164"/>
      <c r="BB63" s="164"/>
      <c r="BC63" s="164"/>
      <c r="BD63" s="164"/>
      <c r="BE63" s="164"/>
      <c r="BF63" s="164"/>
      <c r="BG63" s="164"/>
      <c r="BH63" s="164"/>
      <c r="BI63" s="164"/>
      <c r="BJ63" s="164"/>
      <c r="BK63" s="164"/>
      <c r="BL63" s="164"/>
      <c r="CT63" s="182" t="s">
        <v>352</v>
      </c>
      <c r="CU63" s="182" t="s">
        <v>1</v>
      </c>
      <c r="CV63" s="185">
        <f>'[1]Margin Calculation'!AF71</f>
        <v>0.12737068691011452</v>
      </c>
    </row>
    <row r="64" spans="3:100" x14ac:dyDescent="0.25"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164"/>
      <c r="Z64" s="164"/>
      <c r="AA64" s="164"/>
      <c r="AB64" s="164"/>
      <c r="AC64" s="164"/>
      <c r="AD64" s="164"/>
      <c r="AE64" s="164"/>
      <c r="AF64" s="164"/>
      <c r="AG64" s="164"/>
      <c r="AH64" s="164"/>
      <c r="AI64" s="164"/>
      <c r="AJ64" s="164"/>
      <c r="AK64" s="164"/>
      <c r="AL64" s="164"/>
      <c r="AM64" s="164"/>
      <c r="AN64" s="164"/>
      <c r="AO64" s="164"/>
      <c r="AP64" s="164"/>
      <c r="AQ64" s="164"/>
      <c r="AR64" s="164"/>
      <c r="AS64" s="164"/>
      <c r="AT64" s="164"/>
      <c r="AU64" s="164"/>
      <c r="AV64" s="164"/>
      <c r="AW64" s="164"/>
      <c r="AX64" s="164"/>
      <c r="AY64" s="164"/>
      <c r="AZ64" s="164"/>
      <c r="BA64" s="164"/>
      <c r="BB64" s="164"/>
      <c r="BC64" s="164"/>
      <c r="BD64" s="164"/>
      <c r="BE64" s="164"/>
      <c r="BF64" s="164"/>
      <c r="BG64" s="164"/>
      <c r="BH64" s="164"/>
      <c r="BI64" s="164"/>
      <c r="BJ64" s="164"/>
      <c r="BK64" s="164"/>
      <c r="BL64" s="164"/>
      <c r="CT64" s="181" t="s">
        <v>352</v>
      </c>
      <c r="CU64" s="181" t="s">
        <v>2</v>
      </c>
      <c r="CV64" s="186">
        <f>'[1]Margin Calculation'!AF72</f>
        <v>0.14260412239997033</v>
      </c>
    </row>
    <row r="65" spans="3:100" x14ac:dyDescent="0.25">
      <c r="C65" s="164"/>
      <c r="CT65" s="182" t="s">
        <v>352</v>
      </c>
      <c r="CU65" s="182" t="s">
        <v>259</v>
      </c>
      <c r="CV65" s="185">
        <f>'[1]Margin Calculation'!AF73</f>
        <v>0.1064092414297997</v>
      </c>
    </row>
    <row r="66" spans="3:100" x14ac:dyDescent="0.25">
      <c r="C66" s="164"/>
      <c r="CT66" s="181" t="s">
        <v>352</v>
      </c>
      <c r="CU66" s="181" t="s">
        <v>85</v>
      </c>
      <c r="CV66" s="186">
        <f>'[1]Margin Calculation'!AF74</f>
        <v>0.77064163622632209</v>
      </c>
    </row>
    <row r="67" spans="3:100" x14ac:dyDescent="0.25">
      <c r="C67" s="164"/>
      <c r="CT67" s="182" t="s">
        <v>352</v>
      </c>
      <c r="CU67" s="182" t="s">
        <v>101</v>
      </c>
      <c r="CV67" s="185">
        <f>'[1]Margin Calculation'!AF75</f>
        <v>2.8001792114695343</v>
      </c>
    </row>
    <row r="68" spans="3:100" x14ac:dyDescent="0.25">
      <c r="C68" s="164"/>
      <c r="CT68" s="181" t="s">
        <v>352</v>
      </c>
      <c r="CU68" s="181" t="s">
        <v>179</v>
      </c>
      <c r="CV68" s="186">
        <f>'[1]Margin Calculation'!AF76</f>
        <v>128.2051282051282</v>
      </c>
    </row>
    <row r="69" spans="3:100" x14ac:dyDescent="0.25">
      <c r="C69" s="164"/>
      <c r="CT69" s="182" t="s">
        <v>352</v>
      </c>
      <c r="CU69" s="182" t="s">
        <v>352</v>
      </c>
      <c r="CV69" s="185">
        <f>'[1]Margin Calculation'!AF77</f>
        <v>1</v>
      </c>
    </row>
    <row r="70" spans="3:100" x14ac:dyDescent="0.25">
      <c r="C70" s="164"/>
      <c r="CT70" s="181" t="s">
        <v>352</v>
      </c>
      <c r="CU70" s="181" t="s">
        <v>426</v>
      </c>
      <c r="CV70" s="186">
        <f>'[1]Margin Calculation'!AF78</f>
        <v>0.12023</v>
      </c>
    </row>
    <row r="71" spans="3:100" x14ac:dyDescent="0.25">
      <c r="CT71" s="182" t="s">
        <v>352</v>
      </c>
      <c r="CU71" s="182" t="s">
        <v>427</v>
      </c>
      <c r="CV71" s="185">
        <f>'[1]Margin Calculation'!AF79</f>
        <v>1.43929</v>
      </c>
    </row>
    <row r="72" spans="3:100" x14ac:dyDescent="0.25">
      <c r="CT72" s="181" t="s">
        <v>352</v>
      </c>
      <c r="CU72" s="181" t="s">
        <v>429</v>
      </c>
      <c r="CV72" s="186">
        <f>'[1]Margin Calculation'!AF80</f>
        <v>0.53495999999999999</v>
      </c>
    </row>
    <row r="73" spans="3:100" x14ac:dyDescent="0.25">
      <c r="CT73" s="182" t="s">
        <v>427</v>
      </c>
      <c r="CU73" s="182" t="s">
        <v>1</v>
      </c>
      <c r="CV73" s="185">
        <f>'[1]Margin Calculation'!AF81</f>
        <v>8.8495575221238937E-2</v>
      </c>
    </row>
    <row r="74" spans="3:100" x14ac:dyDescent="0.25">
      <c r="CT74" s="181" t="s">
        <v>427</v>
      </c>
      <c r="CU74" s="181" t="s">
        <v>2</v>
      </c>
      <c r="CV74" s="186">
        <f>'[1]Margin Calculation'!AF82</f>
        <v>9.9079649139146464E-2</v>
      </c>
    </row>
    <row r="75" spans="3:100" x14ac:dyDescent="0.25">
      <c r="CT75" s="182" t="s">
        <v>427</v>
      </c>
      <c r="CU75" s="182" t="s">
        <v>259</v>
      </c>
      <c r="CV75" s="185">
        <f>'[1]Margin Calculation'!AF83</f>
        <v>7.3931851098294615E-2</v>
      </c>
    </row>
    <row r="76" spans="3:100" x14ac:dyDescent="0.25">
      <c r="CT76" s="181" t="s">
        <v>427</v>
      </c>
      <c r="CU76" s="181" t="s">
        <v>85</v>
      </c>
      <c r="CV76" s="186">
        <f>'[1]Margin Calculation'!AF84</f>
        <v>0.53543222766578324</v>
      </c>
    </row>
    <row r="77" spans="3:100" x14ac:dyDescent="0.25">
      <c r="CT77" s="182" t="s">
        <v>427</v>
      </c>
      <c r="CU77" s="182" t="s">
        <v>101</v>
      </c>
      <c r="CV77" s="185">
        <f>'[1]Margin Calculation'!AF85</f>
        <v>1.9454874418785628</v>
      </c>
    </row>
    <row r="78" spans="3:100" x14ac:dyDescent="0.25">
      <c r="CT78" s="181" t="s">
        <v>427</v>
      </c>
      <c r="CU78" s="181" t="s">
        <v>179</v>
      </c>
      <c r="CV78" s="186">
        <f>'[1]Margin Calculation'!AF86</f>
        <v>89.047195013357083</v>
      </c>
    </row>
    <row r="79" spans="3:100" x14ac:dyDescent="0.25">
      <c r="CT79" s="182" t="s">
        <v>427</v>
      </c>
      <c r="CU79" s="182" t="s">
        <v>352</v>
      </c>
      <c r="CV79" s="185">
        <f>'[1]Margin Calculation'!AF87</f>
        <v>0.6947870130411522</v>
      </c>
    </row>
    <row r="80" spans="3:100" x14ac:dyDescent="0.25">
      <c r="CT80" s="181" t="s">
        <v>427</v>
      </c>
      <c r="CU80" s="181" t="s">
        <v>426</v>
      </c>
      <c r="CV80" s="186">
        <f>'[1]Margin Calculation'!AF88</f>
        <v>8.353095364783851E-2</v>
      </c>
    </row>
    <row r="81" spans="98:100" x14ac:dyDescent="0.25">
      <c r="CT81" s="182" t="s">
        <v>427</v>
      </c>
      <c r="CU81" s="182" t="s">
        <v>427</v>
      </c>
      <c r="CV81" s="185">
        <f>'[1]Margin Calculation'!AF89</f>
        <v>1</v>
      </c>
    </row>
    <row r="82" spans="98:100" x14ac:dyDescent="0.25">
      <c r="CT82" s="181" t="s">
        <v>427</v>
      </c>
      <c r="CU82" s="181" t="s">
        <v>429</v>
      </c>
      <c r="CV82" s="186">
        <f>'[1]Margin Calculation'!AF90</f>
        <v>0.37168000000000001</v>
      </c>
    </row>
    <row r="83" spans="98:100" x14ac:dyDescent="0.25">
      <c r="CT83" s="182" t="s">
        <v>429</v>
      </c>
      <c r="CU83" s="182" t="s">
        <v>1</v>
      </c>
      <c r="CV83" s="185">
        <f>'[1]Margin Calculation'!AF91</f>
        <v>0.23809523809523808</v>
      </c>
    </row>
    <row r="84" spans="98:100" x14ac:dyDescent="0.25">
      <c r="CT84" s="181" t="s">
        <v>429</v>
      </c>
      <c r="CU84" s="181" t="s">
        <v>2</v>
      </c>
      <c r="CV84" s="186">
        <f>'[1]Margin Calculation'!AF92</f>
        <v>0.26657141181551125</v>
      </c>
    </row>
    <row r="85" spans="98:100" x14ac:dyDescent="0.25">
      <c r="CT85" s="182" t="s">
        <v>429</v>
      </c>
      <c r="CU85" s="182" t="s">
        <v>259</v>
      </c>
      <c r="CV85" s="185">
        <f>'[1]Margin Calculation'!AF93</f>
        <v>0.19891195162461336</v>
      </c>
    </row>
    <row r="86" spans="98:100" x14ac:dyDescent="0.25">
      <c r="CT86" s="181" t="s">
        <v>429</v>
      </c>
      <c r="CU86" s="181" t="s">
        <v>85</v>
      </c>
      <c r="CV86" s="186">
        <f>'[1]Margin Calculation'!AF94</f>
        <v>1.4405693129924948</v>
      </c>
    </row>
    <row r="87" spans="98:100" x14ac:dyDescent="0.25">
      <c r="CT87" s="182" t="s">
        <v>429</v>
      </c>
      <c r="CU87" s="182" t="s">
        <v>101</v>
      </c>
      <c r="CV87" s="185">
        <f>'[1]Margin Calculation'!AF95</f>
        <v>5.2342318764721281</v>
      </c>
    </row>
    <row r="88" spans="98:100" x14ac:dyDescent="0.25">
      <c r="CT88" s="181" t="s">
        <v>429</v>
      </c>
      <c r="CU88" s="181" t="s">
        <v>179</v>
      </c>
      <c r="CV88" s="186">
        <f>'[1]Margin Calculation'!AF96</f>
        <v>239.80815347721821</v>
      </c>
    </row>
    <row r="89" spans="98:100" x14ac:dyDescent="0.25">
      <c r="CT89" s="182" t="s">
        <v>429</v>
      </c>
      <c r="CU89" s="182" t="s">
        <v>352</v>
      </c>
      <c r="CV89" s="185">
        <f>'[1]Margin Calculation'!AF97</f>
        <v>1.8692986391505908</v>
      </c>
    </row>
    <row r="90" spans="98:100" x14ac:dyDescent="0.25">
      <c r="CT90" s="181" t="s">
        <v>429</v>
      </c>
      <c r="CU90" s="181" t="s">
        <v>426</v>
      </c>
      <c r="CV90" s="186">
        <f>'[1]Margin Calculation'!AF98</f>
        <v>0.22473829225866476</v>
      </c>
    </row>
    <row r="91" spans="98:100" x14ac:dyDescent="0.25">
      <c r="CT91" s="182" t="s">
        <v>429</v>
      </c>
      <c r="CU91" s="182" t="s">
        <v>427</v>
      </c>
      <c r="CV91" s="185">
        <f>'[1]Margin Calculation'!AF99</f>
        <v>2.6904864399483426</v>
      </c>
    </row>
    <row r="92" spans="98:100" x14ac:dyDescent="0.25">
      <c r="CT92" s="181" t="s">
        <v>429</v>
      </c>
      <c r="CU92" s="181" t="s">
        <v>429</v>
      </c>
      <c r="CV92" s="186">
        <f>'[1]Margin Calculation'!AF100</f>
        <v>1</v>
      </c>
    </row>
  </sheetData>
  <sheetProtection algorithmName="SHA-512" hashValue="3ZfCqopMk7QWjGw9nY+u8pChBx31ZbTXnhmanoVohYsYDVdOmqRw0WoYKoPEVXacyyFpSGDR12aUcGc1HKFcKA==" saltValue="kmto73FD7h7H2+JN0Sg1+g==" spinCount="100000" sheet="1" objects="1" scenarios="1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K4781"/>
  <sheetViews>
    <sheetView workbookViewId="0">
      <pane ySplit="1" topLeftCell="A2" activePane="bottomLeft" state="frozen"/>
      <selection pane="bottomLeft" activeCell="M21" sqref="M21"/>
    </sheetView>
  </sheetViews>
  <sheetFormatPr defaultColWidth="8.81640625" defaultRowHeight="13" x14ac:dyDescent="0.3"/>
  <cols>
    <col min="1" max="1" width="5" style="297" bestFit="1" customWidth="1"/>
    <col min="2" max="2" width="6.453125" style="297" bestFit="1" customWidth="1"/>
    <col min="3" max="3" width="13.08984375" style="297" bestFit="1" customWidth="1"/>
    <col min="4" max="4" width="12.36328125" style="297" bestFit="1" customWidth="1"/>
    <col min="5" max="5" width="9.81640625" style="297" bestFit="1" customWidth="1"/>
    <col min="6" max="7" width="8.81640625" style="157"/>
    <col min="8" max="8" width="10.36328125" style="157" bestFit="1" customWidth="1"/>
    <col min="9" max="10" width="8.81640625" style="157"/>
    <col min="11" max="11" width="8.81640625" style="424"/>
    <col min="12" max="16384" width="8.81640625" style="157"/>
  </cols>
  <sheetData>
    <row r="1" spans="1:10" x14ac:dyDescent="0.3">
      <c r="A1" s="293" t="s">
        <v>318</v>
      </c>
      <c r="B1" s="293" t="s">
        <v>319</v>
      </c>
      <c r="C1" s="293" t="s">
        <v>320</v>
      </c>
      <c r="D1" s="293" t="s">
        <v>321</v>
      </c>
      <c r="E1" s="294" t="s">
        <v>96</v>
      </c>
    </row>
    <row r="2" spans="1:10" x14ac:dyDescent="0.3">
      <c r="A2" s="295">
        <v>2018</v>
      </c>
      <c r="B2" s="295">
        <v>1</v>
      </c>
      <c r="C2" s="295" t="s">
        <v>1</v>
      </c>
      <c r="D2" s="295" t="s">
        <v>2</v>
      </c>
      <c r="E2" s="296">
        <v>1.2457</v>
      </c>
      <c r="H2" s="427">
        <f>DATE(H5,H6,1)</f>
        <v>45809</v>
      </c>
    </row>
    <row r="3" spans="1:10" x14ac:dyDescent="0.3">
      <c r="A3" s="295">
        <v>2018</v>
      </c>
      <c r="B3" s="295">
        <v>1</v>
      </c>
      <c r="C3" s="295" t="s">
        <v>1</v>
      </c>
      <c r="D3" s="296" t="s">
        <v>259</v>
      </c>
      <c r="E3" s="296">
        <v>0.87909999999999999</v>
      </c>
      <c r="G3" s="424"/>
      <c r="H3" s="422"/>
      <c r="I3" s="424"/>
      <c r="J3" s="424"/>
    </row>
    <row r="4" spans="1:10" x14ac:dyDescent="0.3">
      <c r="A4" s="295">
        <v>2018</v>
      </c>
      <c r="B4" s="295">
        <v>1</v>
      </c>
      <c r="C4" s="295" t="s">
        <v>1</v>
      </c>
      <c r="D4" s="296" t="s">
        <v>85</v>
      </c>
      <c r="E4" s="296">
        <v>3.9367999999999999</v>
      </c>
      <c r="G4" s="424"/>
      <c r="H4" s="422"/>
      <c r="I4" s="424"/>
      <c r="J4" s="424"/>
    </row>
    <row r="5" spans="1:10" x14ac:dyDescent="0.3">
      <c r="A5" s="295">
        <v>2018</v>
      </c>
      <c r="B5" s="295">
        <v>1</v>
      </c>
      <c r="C5" s="295" t="s">
        <v>1</v>
      </c>
      <c r="D5" s="295" t="s">
        <v>101</v>
      </c>
      <c r="E5" s="296">
        <v>23.226199999999999</v>
      </c>
      <c r="G5" s="424"/>
      <c r="H5" s="422">
        <f>MAX(A:A)</f>
        <v>2025</v>
      </c>
      <c r="I5" s="424"/>
      <c r="J5" s="424"/>
    </row>
    <row r="6" spans="1:10" x14ac:dyDescent="0.3">
      <c r="A6" s="295">
        <v>2018</v>
      </c>
      <c r="B6" s="295">
        <v>1</v>
      </c>
      <c r="C6" s="295" t="s">
        <v>1</v>
      </c>
      <c r="D6" s="295" t="s">
        <v>179</v>
      </c>
      <c r="E6" s="296">
        <v>748.77800000000002</v>
      </c>
      <c r="G6" s="424"/>
      <c r="H6" s="422">
        <f>COUNTIFS(A:A,H5)/100</f>
        <v>6</v>
      </c>
      <c r="I6" s="424"/>
      <c r="J6" s="424"/>
    </row>
    <row r="7" spans="1:10" x14ac:dyDescent="0.3">
      <c r="A7" s="295">
        <v>2018</v>
      </c>
      <c r="B7" s="295">
        <v>1</v>
      </c>
      <c r="C7" s="295" t="s">
        <v>2</v>
      </c>
      <c r="D7" s="295" t="s">
        <v>1</v>
      </c>
      <c r="E7" s="296">
        <v>0.80276000000000003</v>
      </c>
      <c r="G7" s="424"/>
      <c r="H7" s="424"/>
      <c r="I7" s="424"/>
      <c r="J7" s="424"/>
    </row>
    <row r="8" spans="1:10" x14ac:dyDescent="0.3">
      <c r="A8" s="295">
        <v>2018</v>
      </c>
      <c r="B8" s="295">
        <v>1</v>
      </c>
      <c r="C8" s="295" t="s">
        <v>2</v>
      </c>
      <c r="D8" s="295" t="s">
        <v>259</v>
      </c>
      <c r="E8" s="296">
        <v>0.70570999999999995</v>
      </c>
      <c r="G8" s="424"/>
      <c r="H8" s="424"/>
      <c r="I8" s="424"/>
      <c r="J8" s="424"/>
    </row>
    <row r="9" spans="1:10" x14ac:dyDescent="0.3">
      <c r="A9" s="295">
        <v>2018</v>
      </c>
      <c r="B9" s="295">
        <v>1</v>
      </c>
      <c r="C9" s="295" t="s">
        <v>2</v>
      </c>
      <c r="D9" s="295" t="s">
        <v>85</v>
      </c>
      <c r="E9" s="296">
        <v>3.16031</v>
      </c>
      <c r="G9" s="424"/>
      <c r="H9" s="424"/>
      <c r="I9" s="424"/>
      <c r="J9" s="424"/>
    </row>
    <row r="10" spans="1:10" x14ac:dyDescent="0.3">
      <c r="A10" s="295">
        <v>2018</v>
      </c>
      <c r="B10" s="295">
        <v>1</v>
      </c>
      <c r="C10" s="295" t="s">
        <v>2</v>
      </c>
      <c r="D10" s="295" t="s">
        <v>101</v>
      </c>
      <c r="E10" s="296">
        <v>18.645099999999999</v>
      </c>
      <c r="G10" s="424"/>
      <c r="H10" s="424"/>
      <c r="I10" s="424"/>
      <c r="J10" s="424"/>
    </row>
    <row r="11" spans="1:10" x14ac:dyDescent="0.3">
      <c r="A11" s="295">
        <v>2018</v>
      </c>
      <c r="B11" s="295">
        <v>1</v>
      </c>
      <c r="C11" s="295" t="s">
        <v>2</v>
      </c>
      <c r="D11" s="295" t="s">
        <v>179</v>
      </c>
      <c r="E11" s="296">
        <v>601.09014999999999</v>
      </c>
      <c r="G11" s="424"/>
      <c r="H11" s="424"/>
      <c r="I11" s="424"/>
      <c r="J11" s="424"/>
    </row>
    <row r="12" spans="1:10" x14ac:dyDescent="0.3">
      <c r="A12" s="295">
        <v>2018</v>
      </c>
      <c r="B12" s="295">
        <v>1</v>
      </c>
      <c r="C12" s="295" t="s">
        <v>259</v>
      </c>
      <c r="D12" s="295" t="s">
        <v>1</v>
      </c>
      <c r="E12" s="296">
        <v>1.1375299999999999</v>
      </c>
      <c r="G12" s="424"/>
      <c r="H12" s="424"/>
      <c r="I12" s="424"/>
      <c r="J12" s="424"/>
    </row>
    <row r="13" spans="1:10" x14ac:dyDescent="0.3">
      <c r="A13" s="295">
        <v>2018</v>
      </c>
      <c r="B13" s="295">
        <v>1</v>
      </c>
      <c r="C13" s="295" t="s">
        <v>259</v>
      </c>
      <c r="D13" s="295" t="s">
        <v>2</v>
      </c>
      <c r="E13" s="296">
        <v>1.4170199999999999</v>
      </c>
      <c r="G13" s="424"/>
      <c r="H13" s="424"/>
      <c r="I13" s="424"/>
      <c r="J13" s="424"/>
    </row>
    <row r="14" spans="1:10" x14ac:dyDescent="0.3">
      <c r="A14" s="295">
        <v>2018</v>
      </c>
      <c r="B14" s="295">
        <v>1</v>
      </c>
      <c r="C14" s="295" t="s">
        <v>259</v>
      </c>
      <c r="D14" s="295" t="s">
        <v>85</v>
      </c>
      <c r="E14" s="296">
        <v>4.4782200000000003</v>
      </c>
    </row>
    <row r="15" spans="1:10" x14ac:dyDescent="0.3">
      <c r="A15" s="295">
        <v>2018</v>
      </c>
      <c r="B15" s="295">
        <v>1</v>
      </c>
      <c r="C15" s="295" t="s">
        <v>259</v>
      </c>
      <c r="D15" s="295" t="s">
        <v>101</v>
      </c>
      <c r="E15" s="296">
        <v>26.42043</v>
      </c>
    </row>
    <row r="16" spans="1:10" x14ac:dyDescent="0.3">
      <c r="A16" s="295">
        <v>2018</v>
      </c>
      <c r="B16" s="295">
        <v>1</v>
      </c>
      <c r="C16" s="295" t="s">
        <v>259</v>
      </c>
      <c r="D16" s="295" t="s">
        <v>179</v>
      </c>
      <c r="E16" s="296">
        <v>851.75519999999995</v>
      </c>
    </row>
    <row r="17" spans="1:5" x14ac:dyDescent="0.3">
      <c r="A17" s="295">
        <v>2018</v>
      </c>
      <c r="B17" s="295">
        <v>1</v>
      </c>
      <c r="C17" s="295" t="s">
        <v>85</v>
      </c>
      <c r="D17" s="295" t="s">
        <v>1</v>
      </c>
      <c r="E17" s="296">
        <v>0.25401000000000001</v>
      </c>
    </row>
    <row r="18" spans="1:5" x14ac:dyDescent="0.3">
      <c r="A18" s="295">
        <v>2018</v>
      </c>
      <c r="B18" s="295">
        <v>1</v>
      </c>
      <c r="C18" s="295" t="s">
        <v>85</v>
      </c>
      <c r="D18" s="295" t="s">
        <v>2</v>
      </c>
      <c r="E18" s="296">
        <v>0.31641999999999998</v>
      </c>
    </row>
    <row r="19" spans="1:5" x14ac:dyDescent="0.3">
      <c r="A19" s="295">
        <v>2018</v>
      </c>
      <c r="B19" s="295">
        <v>1</v>
      </c>
      <c r="C19" s="295" t="s">
        <v>85</v>
      </c>
      <c r="D19" s="295" t="s">
        <v>259</v>
      </c>
      <c r="E19" s="296">
        <v>0.2233</v>
      </c>
    </row>
    <row r="20" spans="1:5" x14ac:dyDescent="0.3">
      <c r="A20" s="295">
        <v>2018</v>
      </c>
      <c r="B20" s="295">
        <v>1</v>
      </c>
      <c r="C20" s="295" t="s">
        <v>85</v>
      </c>
      <c r="D20" s="295" t="s">
        <v>101</v>
      </c>
      <c r="E20" s="296">
        <v>5.8997700000000002</v>
      </c>
    </row>
    <row r="21" spans="1:5" x14ac:dyDescent="0.3">
      <c r="A21" s="295">
        <v>2018</v>
      </c>
      <c r="B21" s="295">
        <v>1</v>
      </c>
      <c r="C21" s="295" t="s">
        <v>85</v>
      </c>
      <c r="D21" s="295" t="s">
        <v>179</v>
      </c>
      <c r="E21" s="296">
        <v>190.19964999999999</v>
      </c>
    </row>
    <row r="22" spans="1:5" x14ac:dyDescent="0.3">
      <c r="A22" s="295">
        <v>2018</v>
      </c>
      <c r="B22" s="295">
        <v>1</v>
      </c>
      <c r="C22" s="295" t="s">
        <v>101</v>
      </c>
      <c r="D22" s="295" t="s">
        <v>1</v>
      </c>
      <c r="E22" s="296">
        <v>4.3049999999999998E-2</v>
      </c>
    </row>
    <row r="23" spans="1:5" x14ac:dyDescent="0.3">
      <c r="A23" s="295">
        <v>2018</v>
      </c>
      <c r="B23" s="295">
        <v>1</v>
      </c>
      <c r="C23" s="295" t="s">
        <v>101</v>
      </c>
      <c r="D23" s="295" t="s">
        <v>2</v>
      </c>
      <c r="E23" s="296">
        <v>5.3629999999999997E-2</v>
      </c>
    </row>
    <row r="24" spans="1:5" x14ac:dyDescent="0.3">
      <c r="A24" s="295">
        <v>2018</v>
      </c>
      <c r="B24" s="295">
        <v>1</v>
      </c>
      <c r="C24" s="295" t="s">
        <v>101</v>
      </c>
      <c r="D24" s="295" t="s">
        <v>259</v>
      </c>
      <c r="E24" s="296">
        <v>3.7850000000000002E-2</v>
      </c>
    </row>
    <row r="25" spans="1:5" x14ac:dyDescent="0.3">
      <c r="A25" s="295">
        <v>2018</v>
      </c>
      <c r="B25" s="295">
        <v>1</v>
      </c>
      <c r="C25" s="295" t="s">
        <v>101</v>
      </c>
      <c r="D25" s="295" t="s">
        <v>85</v>
      </c>
      <c r="E25" s="296">
        <v>0.16950000000000001</v>
      </c>
    </row>
    <row r="26" spans="1:5" x14ac:dyDescent="0.3">
      <c r="A26" s="295">
        <v>2018</v>
      </c>
      <c r="B26" s="295">
        <v>1</v>
      </c>
      <c r="C26" s="295" t="s">
        <v>101</v>
      </c>
      <c r="D26" s="295" t="s">
        <v>179</v>
      </c>
      <c r="E26" s="296">
        <v>32.238509999999998</v>
      </c>
    </row>
    <row r="27" spans="1:5" x14ac:dyDescent="0.3">
      <c r="A27" s="295">
        <v>2018</v>
      </c>
      <c r="B27" s="295">
        <v>1</v>
      </c>
      <c r="C27" s="295" t="s">
        <v>179</v>
      </c>
      <c r="D27" s="295" t="s">
        <v>1</v>
      </c>
      <c r="E27" s="296">
        <v>1.34E-3</v>
      </c>
    </row>
    <row r="28" spans="1:5" x14ac:dyDescent="0.3">
      <c r="A28" s="295">
        <v>2018</v>
      </c>
      <c r="B28" s="295">
        <v>1</v>
      </c>
      <c r="C28" s="295" t="s">
        <v>179</v>
      </c>
      <c r="D28" s="295" t="s">
        <v>2</v>
      </c>
      <c r="E28" s="296">
        <v>1.66E-3</v>
      </c>
    </row>
    <row r="29" spans="1:5" x14ac:dyDescent="0.3">
      <c r="A29" s="295">
        <v>2018</v>
      </c>
      <c r="B29" s="295">
        <v>1</v>
      </c>
      <c r="C29" s="295" t="s">
        <v>179</v>
      </c>
      <c r="D29" s="295" t="s">
        <v>259</v>
      </c>
      <c r="E29" s="296">
        <v>1.17E-3</v>
      </c>
    </row>
    <row r="30" spans="1:5" x14ac:dyDescent="0.3">
      <c r="A30" s="295">
        <v>2018</v>
      </c>
      <c r="B30" s="295">
        <v>1</v>
      </c>
      <c r="C30" s="295" t="s">
        <v>179</v>
      </c>
      <c r="D30" s="295" t="s">
        <v>85</v>
      </c>
      <c r="E30" s="296">
        <v>5.2599999999999999E-3</v>
      </c>
    </row>
    <row r="31" spans="1:5" x14ac:dyDescent="0.3">
      <c r="A31" s="295">
        <v>2018</v>
      </c>
      <c r="B31" s="295">
        <v>1</v>
      </c>
      <c r="C31" s="295" t="s">
        <v>179</v>
      </c>
      <c r="D31" s="295" t="s">
        <v>101</v>
      </c>
      <c r="E31" s="296">
        <v>3.1019999999999999E-2</v>
      </c>
    </row>
    <row r="32" spans="1:5" x14ac:dyDescent="0.3">
      <c r="A32" s="295">
        <v>2018</v>
      </c>
      <c r="B32" s="295">
        <v>2</v>
      </c>
      <c r="C32" s="295" t="s">
        <v>1</v>
      </c>
      <c r="D32" s="295" t="s">
        <v>2</v>
      </c>
      <c r="E32" s="296">
        <v>1.2214</v>
      </c>
    </row>
    <row r="33" spans="1:5" x14ac:dyDescent="0.3">
      <c r="A33" s="295">
        <v>2018</v>
      </c>
      <c r="B33" s="295">
        <v>2</v>
      </c>
      <c r="C33" s="295" t="s">
        <v>1</v>
      </c>
      <c r="D33" s="296" t="s">
        <v>259</v>
      </c>
      <c r="E33" s="296">
        <v>0.88414999999999999</v>
      </c>
    </row>
    <row r="34" spans="1:5" x14ac:dyDescent="0.3">
      <c r="A34" s="295">
        <v>2018</v>
      </c>
      <c r="B34" s="295">
        <v>2</v>
      </c>
      <c r="C34" s="295" t="s">
        <v>1</v>
      </c>
      <c r="D34" s="296" t="s">
        <v>85</v>
      </c>
      <c r="E34" s="296">
        <v>3.9615</v>
      </c>
    </row>
    <row r="35" spans="1:5" x14ac:dyDescent="0.3">
      <c r="A35" s="295">
        <v>2018</v>
      </c>
      <c r="B35" s="295">
        <v>2</v>
      </c>
      <c r="C35" s="295" t="s">
        <v>1</v>
      </c>
      <c r="D35" s="295" t="s">
        <v>101</v>
      </c>
      <c r="E35" s="296">
        <v>22.9437</v>
      </c>
    </row>
    <row r="36" spans="1:5" x14ac:dyDescent="0.3">
      <c r="A36" s="295">
        <v>2018</v>
      </c>
      <c r="B36" s="295">
        <v>2</v>
      </c>
      <c r="C36" s="295" t="s">
        <v>1</v>
      </c>
      <c r="D36" s="295" t="s">
        <v>179</v>
      </c>
      <c r="E36" s="296">
        <v>726</v>
      </c>
    </row>
    <row r="37" spans="1:5" x14ac:dyDescent="0.3">
      <c r="A37" s="295">
        <v>2018</v>
      </c>
      <c r="B37" s="295">
        <v>2</v>
      </c>
      <c r="C37" s="295" t="s">
        <v>2</v>
      </c>
      <c r="D37" s="295" t="s">
        <v>1</v>
      </c>
      <c r="E37" s="296">
        <v>0.81872999999999996</v>
      </c>
    </row>
    <row r="38" spans="1:5" x14ac:dyDescent="0.3">
      <c r="A38" s="295">
        <v>2018</v>
      </c>
      <c r="B38" s="295">
        <v>2</v>
      </c>
      <c r="C38" s="295" t="s">
        <v>2</v>
      </c>
      <c r="D38" s="295" t="s">
        <v>259</v>
      </c>
      <c r="E38" s="296">
        <v>0.72387999999999997</v>
      </c>
    </row>
    <row r="39" spans="1:5" x14ac:dyDescent="0.3">
      <c r="A39" s="295">
        <v>2018</v>
      </c>
      <c r="B39" s="295">
        <v>2</v>
      </c>
      <c r="C39" s="295" t="s">
        <v>2</v>
      </c>
      <c r="D39" s="295" t="s">
        <v>85</v>
      </c>
      <c r="E39" s="296">
        <v>3.2434099999999999</v>
      </c>
    </row>
    <row r="40" spans="1:5" x14ac:dyDescent="0.3">
      <c r="A40" s="295">
        <v>2018</v>
      </c>
      <c r="B40" s="295">
        <v>2</v>
      </c>
      <c r="C40" s="295" t="s">
        <v>2</v>
      </c>
      <c r="D40" s="295" t="s">
        <v>101</v>
      </c>
      <c r="E40" s="296">
        <v>18.784759999999999</v>
      </c>
    </row>
    <row r="41" spans="1:5" x14ac:dyDescent="0.3">
      <c r="A41" s="295">
        <v>2018</v>
      </c>
      <c r="B41" s="295">
        <v>2</v>
      </c>
      <c r="C41" s="295" t="s">
        <v>2</v>
      </c>
      <c r="D41" s="295" t="s">
        <v>179</v>
      </c>
      <c r="E41" s="296">
        <v>594.39986999999996</v>
      </c>
    </row>
    <row r="42" spans="1:5" x14ac:dyDescent="0.3">
      <c r="A42" s="295">
        <v>2018</v>
      </c>
      <c r="B42" s="295">
        <v>2</v>
      </c>
      <c r="C42" s="295" t="s">
        <v>259</v>
      </c>
      <c r="D42" s="295" t="s">
        <v>1</v>
      </c>
      <c r="E42" s="296">
        <v>1.13103</v>
      </c>
    </row>
    <row r="43" spans="1:5" x14ac:dyDescent="0.3">
      <c r="A43" s="295">
        <v>2018</v>
      </c>
      <c r="B43" s="295">
        <v>2</v>
      </c>
      <c r="C43" s="295" t="s">
        <v>259</v>
      </c>
      <c r="D43" s="295" t="s">
        <v>2</v>
      </c>
      <c r="E43" s="296">
        <v>1.38144</v>
      </c>
    </row>
    <row r="44" spans="1:5" x14ac:dyDescent="0.3">
      <c r="A44" s="295">
        <v>2018</v>
      </c>
      <c r="B44" s="295">
        <v>2</v>
      </c>
      <c r="C44" s="295" t="s">
        <v>259</v>
      </c>
      <c r="D44" s="295" t="s">
        <v>85</v>
      </c>
      <c r="E44" s="296">
        <v>4.4805700000000002</v>
      </c>
    </row>
    <row r="45" spans="1:5" x14ac:dyDescent="0.3">
      <c r="A45" s="295">
        <v>2018</v>
      </c>
      <c r="B45" s="295">
        <v>2</v>
      </c>
      <c r="C45" s="295" t="s">
        <v>259</v>
      </c>
      <c r="D45" s="295" t="s">
        <v>101</v>
      </c>
      <c r="E45" s="296">
        <v>25.950009999999999</v>
      </c>
    </row>
    <row r="46" spans="1:5" x14ac:dyDescent="0.3">
      <c r="A46" s="295">
        <v>2018</v>
      </c>
      <c r="B46" s="295">
        <v>2</v>
      </c>
      <c r="C46" s="295" t="s">
        <v>259</v>
      </c>
      <c r="D46" s="295" t="s">
        <v>179</v>
      </c>
      <c r="E46" s="296">
        <v>821.12764000000004</v>
      </c>
    </row>
    <row r="47" spans="1:5" x14ac:dyDescent="0.3">
      <c r="A47" s="295">
        <v>2018</v>
      </c>
      <c r="B47" s="295">
        <v>2</v>
      </c>
      <c r="C47" s="295" t="s">
        <v>85</v>
      </c>
      <c r="D47" s="295" t="s">
        <v>1</v>
      </c>
      <c r="E47" s="296">
        <v>0.25242999999999999</v>
      </c>
    </row>
    <row r="48" spans="1:5" x14ac:dyDescent="0.3">
      <c r="A48" s="295">
        <v>2018</v>
      </c>
      <c r="B48" s="295">
        <v>2</v>
      </c>
      <c r="C48" s="295" t="s">
        <v>85</v>
      </c>
      <c r="D48" s="295" t="s">
        <v>2</v>
      </c>
      <c r="E48" s="296">
        <v>0.30831999999999998</v>
      </c>
    </row>
    <row r="49" spans="1:5" x14ac:dyDescent="0.3">
      <c r="A49" s="295">
        <v>2018</v>
      </c>
      <c r="B49" s="295">
        <v>2</v>
      </c>
      <c r="C49" s="295" t="s">
        <v>85</v>
      </c>
      <c r="D49" s="295" t="s">
        <v>259</v>
      </c>
      <c r="E49" s="296">
        <v>0.22319</v>
      </c>
    </row>
    <row r="50" spans="1:5" x14ac:dyDescent="0.3">
      <c r="A50" s="295">
        <v>2018</v>
      </c>
      <c r="B50" s="295">
        <v>2</v>
      </c>
      <c r="C50" s="295" t="s">
        <v>85</v>
      </c>
      <c r="D50" s="295" t="s">
        <v>101</v>
      </c>
      <c r="E50" s="296">
        <v>5.7916699999999999</v>
      </c>
    </row>
    <row r="51" spans="1:5" x14ac:dyDescent="0.3">
      <c r="A51" s="295">
        <v>2018</v>
      </c>
      <c r="B51" s="295">
        <v>2</v>
      </c>
      <c r="C51" s="295" t="s">
        <v>85</v>
      </c>
      <c r="D51" s="295" t="s">
        <v>179</v>
      </c>
      <c r="E51" s="296">
        <v>183.26392000000001</v>
      </c>
    </row>
    <row r="52" spans="1:5" x14ac:dyDescent="0.3">
      <c r="A52" s="295">
        <v>2018</v>
      </c>
      <c r="B52" s="295">
        <v>2</v>
      </c>
      <c r="C52" s="295" t="s">
        <v>101</v>
      </c>
      <c r="D52" s="295" t="s">
        <v>1</v>
      </c>
      <c r="E52" s="296">
        <v>4.3580000000000001E-2</v>
      </c>
    </row>
    <row r="53" spans="1:5" x14ac:dyDescent="0.3">
      <c r="A53" s="295">
        <v>2018</v>
      </c>
      <c r="B53" s="295">
        <v>2</v>
      </c>
      <c r="C53" s="295" t="s">
        <v>101</v>
      </c>
      <c r="D53" s="295" t="s">
        <v>2</v>
      </c>
      <c r="E53" s="296">
        <v>5.323E-2</v>
      </c>
    </row>
    <row r="54" spans="1:5" x14ac:dyDescent="0.3">
      <c r="A54" s="295">
        <v>2018</v>
      </c>
      <c r="B54" s="295">
        <v>2</v>
      </c>
      <c r="C54" s="295" t="s">
        <v>101</v>
      </c>
      <c r="D54" s="295" t="s">
        <v>259</v>
      </c>
      <c r="E54" s="296">
        <v>3.8539999999999998E-2</v>
      </c>
    </row>
    <row r="55" spans="1:5" x14ac:dyDescent="0.3">
      <c r="A55" s="295">
        <v>2018</v>
      </c>
      <c r="B55" s="295">
        <v>2</v>
      </c>
      <c r="C55" s="295" t="s">
        <v>101</v>
      </c>
      <c r="D55" s="295" t="s">
        <v>85</v>
      </c>
      <c r="E55" s="296">
        <v>0.17266000000000001</v>
      </c>
    </row>
    <row r="56" spans="1:5" x14ac:dyDescent="0.3">
      <c r="A56" s="295">
        <v>2018</v>
      </c>
      <c r="B56" s="295">
        <v>2</v>
      </c>
      <c r="C56" s="295" t="s">
        <v>101</v>
      </c>
      <c r="D56" s="295" t="s">
        <v>179</v>
      </c>
      <c r="E56" s="296">
        <v>31.642669999999999</v>
      </c>
    </row>
    <row r="57" spans="1:5" x14ac:dyDescent="0.3">
      <c r="A57" s="295">
        <v>2018</v>
      </c>
      <c r="B57" s="295">
        <v>2</v>
      </c>
      <c r="C57" s="295" t="s">
        <v>179</v>
      </c>
      <c r="D57" s="295" t="s">
        <v>1</v>
      </c>
      <c r="E57" s="296">
        <v>1.3799999999999999E-3</v>
      </c>
    </row>
    <row r="58" spans="1:5" x14ac:dyDescent="0.3">
      <c r="A58" s="295">
        <v>2018</v>
      </c>
      <c r="B58" s="295">
        <v>2</v>
      </c>
      <c r="C58" s="295" t="s">
        <v>179</v>
      </c>
      <c r="D58" s="295" t="s">
        <v>2</v>
      </c>
      <c r="E58" s="296">
        <v>1.6800000000000001E-3</v>
      </c>
    </row>
    <row r="59" spans="1:5" x14ac:dyDescent="0.3">
      <c r="A59" s="295">
        <v>2018</v>
      </c>
      <c r="B59" s="295">
        <v>2</v>
      </c>
      <c r="C59" s="295" t="s">
        <v>179</v>
      </c>
      <c r="D59" s="295" t="s">
        <v>259</v>
      </c>
      <c r="E59" s="296">
        <v>1.2199999999999999E-3</v>
      </c>
    </row>
    <row r="60" spans="1:5" x14ac:dyDescent="0.3">
      <c r="A60" s="295">
        <v>2018</v>
      </c>
      <c r="B60" s="295">
        <v>2</v>
      </c>
      <c r="C60" s="295" t="s">
        <v>179</v>
      </c>
      <c r="D60" s="295" t="s">
        <v>85</v>
      </c>
      <c r="E60" s="296">
        <v>5.4599999999999996E-3</v>
      </c>
    </row>
    <row r="61" spans="1:5" x14ac:dyDescent="0.3">
      <c r="A61" s="295">
        <v>2018</v>
      </c>
      <c r="B61" s="295">
        <v>2</v>
      </c>
      <c r="C61" s="295" t="s">
        <v>179</v>
      </c>
      <c r="D61" s="295" t="s">
        <v>101</v>
      </c>
      <c r="E61" s="296">
        <v>3.1600000000000003E-2</v>
      </c>
    </row>
    <row r="62" spans="1:5" x14ac:dyDescent="0.3">
      <c r="A62" s="295">
        <v>2018</v>
      </c>
      <c r="B62" s="295">
        <v>3</v>
      </c>
      <c r="C62" s="295" t="s">
        <v>1</v>
      </c>
      <c r="D62" s="295" t="s">
        <v>2</v>
      </c>
      <c r="E62" s="296">
        <v>1.2321</v>
      </c>
    </row>
    <row r="63" spans="1:5" x14ac:dyDescent="0.3">
      <c r="A63" s="295">
        <v>2018</v>
      </c>
      <c r="B63" s="295">
        <v>3</v>
      </c>
      <c r="C63" s="295" t="s">
        <v>1</v>
      </c>
      <c r="D63" s="296" t="s">
        <v>259</v>
      </c>
      <c r="E63" s="296">
        <v>0.87490000000000001</v>
      </c>
    </row>
    <row r="64" spans="1:5" x14ac:dyDescent="0.3">
      <c r="A64" s="295">
        <v>2018</v>
      </c>
      <c r="B64" s="295">
        <v>3</v>
      </c>
      <c r="C64" s="295" t="s">
        <v>1</v>
      </c>
      <c r="D64" s="296" t="s">
        <v>85</v>
      </c>
      <c r="E64" s="296">
        <v>4.0937999999999999</v>
      </c>
    </row>
    <row r="65" spans="1:5" x14ac:dyDescent="0.3">
      <c r="A65" s="295">
        <v>2018</v>
      </c>
      <c r="B65" s="295">
        <v>3</v>
      </c>
      <c r="C65" s="295" t="s">
        <v>1</v>
      </c>
      <c r="D65" s="295" t="s">
        <v>101</v>
      </c>
      <c r="E65" s="296">
        <v>22.524899999999999</v>
      </c>
    </row>
    <row r="66" spans="1:5" x14ac:dyDescent="0.3">
      <c r="A66" s="295">
        <v>2018</v>
      </c>
      <c r="B66" s="295">
        <v>3</v>
      </c>
      <c r="C66" s="295" t="s">
        <v>1</v>
      </c>
      <c r="D66" s="295" t="s">
        <v>179</v>
      </c>
      <c r="E66" s="296">
        <v>743.14700000000005</v>
      </c>
    </row>
    <row r="67" spans="1:5" x14ac:dyDescent="0.3">
      <c r="A67" s="295">
        <v>2018</v>
      </c>
      <c r="B67" s="295">
        <v>3</v>
      </c>
      <c r="C67" s="295" t="s">
        <v>2</v>
      </c>
      <c r="D67" s="295" t="s">
        <v>1</v>
      </c>
      <c r="E67" s="296">
        <v>0.81162000000000001</v>
      </c>
    </row>
    <row r="68" spans="1:5" x14ac:dyDescent="0.3">
      <c r="A68" s="295">
        <v>2018</v>
      </c>
      <c r="B68" s="295">
        <v>3</v>
      </c>
      <c r="C68" s="295" t="s">
        <v>2</v>
      </c>
      <c r="D68" s="295" t="s">
        <v>259</v>
      </c>
      <c r="E68" s="296">
        <v>0.71009</v>
      </c>
    </row>
    <row r="69" spans="1:5" x14ac:dyDescent="0.3">
      <c r="A69" s="295">
        <v>2018</v>
      </c>
      <c r="B69" s="295">
        <v>3</v>
      </c>
      <c r="C69" s="295" t="s">
        <v>2</v>
      </c>
      <c r="D69" s="295" t="s">
        <v>85</v>
      </c>
      <c r="E69" s="296">
        <v>3.3226200000000001</v>
      </c>
    </row>
    <row r="70" spans="1:5" x14ac:dyDescent="0.3">
      <c r="A70" s="295">
        <v>2018</v>
      </c>
      <c r="B70" s="295">
        <v>3</v>
      </c>
      <c r="C70" s="295" t="s">
        <v>2</v>
      </c>
      <c r="D70" s="295" t="s">
        <v>101</v>
      </c>
      <c r="E70" s="296">
        <v>18.28171</v>
      </c>
    </row>
    <row r="71" spans="1:5" x14ac:dyDescent="0.3">
      <c r="A71" s="295">
        <v>2018</v>
      </c>
      <c r="B71" s="295">
        <v>3</v>
      </c>
      <c r="C71" s="295" t="s">
        <v>2</v>
      </c>
      <c r="D71" s="295" t="s">
        <v>179</v>
      </c>
      <c r="E71" s="296">
        <v>603.15477999999996</v>
      </c>
    </row>
    <row r="72" spans="1:5" x14ac:dyDescent="0.3">
      <c r="A72" s="295">
        <v>2018</v>
      </c>
      <c r="B72" s="295">
        <v>3</v>
      </c>
      <c r="C72" s="295" t="s">
        <v>259</v>
      </c>
      <c r="D72" s="295" t="s">
        <v>1</v>
      </c>
      <c r="E72" s="296">
        <v>1.14299</v>
      </c>
    </row>
    <row r="73" spans="1:5" x14ac:dyDescent="0.3">
      <c r="A73" s="295">
        <v>2018</v>
      </c>
      <c r="B73" s="295">
        <v>3</v>
      </c>
      <c r="C73" s="295" t="s">
        <v>259</v>
      </c>
      <c r="D73" s="295" t="s">
        <v>2</v>
      </c>
      <c r="E73" s="296">
        <v>1.40828</v>
      </c>
    </row>
    <row r="74" spans="1:5" x14ac:dyDescent="0.3">
      <c r="A74" s="295">
        <v>2018</v>
      </c>
      <c r="B74" s="295">
        <v>3</v>
      </c>
      <c r="C74" s="295" t="s">
        <v>259</v>
      </c>
      <c r="D74" s="295" t="s">
        <v>85</v>
      </c>
      <c r="E74" s="296">
        <v>4.6791600000000004</v>
      </c>
    </row>
    <row r="75" spans="1:5" x14ac:dyDescent="0.3">
      <c r="A75" s="295">
        <v>2018</v>
      </c>
      <c r="B75" s="295">
        <v>3</v>
      </c>
      <c r="C75" s="295" t="s">
        <v>259</v>
      </c>
      <c r="D75" s="295" t="s">
        <v>101</v>
      </c>
      <c r="E75" s="296">
        <v>25.74569</v>
      </c>
    </row>
    <row r="76" spans="1:5" x14ac:dyDescent="0.3">
      <c r="A76" s="295">
        <v>2018</v>
      </c>
      <c r="B76" s="295">
        <v>3</v>
      </c>
      <c r="C76" s="295" t="s">
        <v>259</v>
      </c>
      <c r="D76" s="295" t="s">
        <v>179</v>
      </c>
      <c r="E76" s="296">
        <v>849.40792999999996</v>
      </c>
    </row>
    <row r="77" spans="1:5" x14ac:dyDescent="0.3">
      <c r="A77" s="295">
        <v>2018</v>
      </c>
      <c r="B77" s="295">
        <v>3</v>
      </c>
      <c r="C77" s="295" t="s">
        <v>85</v>
      </c>
      <c r="D77" s="295" t="s">
        <v>1</v>
      </c>
      <c r="E77" s="296">
        <v>0.24426999999999999</v>
      </c>
    </row>
    <row r="78" spans="1:5" x14ac:dyDescent="0.3">
      <c r="A78" s="295">
        <v>2018</v>
      </c>
      <c r="B78" s="295">
        <v>3</v>
      </c>
      <c r="C78" s="295" t="s">
        <v>85</v>
      </c>
      <c r="D78" s="295" t="s">
        <v>2</v>
      </c>
      <c r="E78" s="296">
        <v>0.30097000000000002</v>
      </c>
    </row>
    <row r="79" spans="1:5" x14ac:dyDescent="0.3">
      <c r="A79" s="295">
        <v>2018</v>
      </c>
      <c r="B79" s="295">
        <v>3</v>
      </c>
      <c r="C79" s="295" t="s">
        <v>85</v>
      </c>
      <c r="D79" s="295" t="s">
        <v>259</v>
      </c>
      <c r="E79" s="296">
        <v>0.21371000000000001</v>
      </c>
    </row>
    <row r="80" spans="1:5" x14ac:dyDescent="0.3">
      <c r="A80" s="295">
        <v>2018</v>
      </c>
      <c r="B80" s="295">
        <v>3</v>
      </c>
      <c r="C80" s="295" t="s">
        <v>85</v>
      </c>
      <c r="D80" s="295" t="s">
        <v>101</v>
      </c>
      <c r="E80" s="296">
        <v>5.5022000000000002</v>
      </c>
    </row>
    <row r="81" spans="1:5" x14ac:dyDescent="0.3">
      <c r="A81" s="295">
        <v>2018</v>
      </c>
      <c r="B81" s="295">
        <v>3</v>
      </c>
      <c r="C81" s="295" t="s">
        <v>85</v>
      </c>
      <c r="D81" s="295" t="s">
        <v>179</v>
      </c>
      <c r="E81" s="296">
        <v>181.52986999999999</v>
      </c>
    </row>
    <row r="82" spans="1:5" x14ac:dyDescent="0.3">
      <c r="A82" s="295">
        <v>2018</v>
      </c>
      <c r="B82" s="295">
        <v>3</v>
      </c>
      <c r="C82" s="295" t="s">
        <v>101</v>
      </c>
      <c r="D82" s="295" t="s">
        <v>1</v>
      </c>
      <c r="E82" s="296">
        <v>4.4400000000000002E-2</v>
      </c>
    </row>
    <row r="83" spans="1:5" x14ac:dyDescent="0.3">
      <c r="A83" s="295">
        <v>2018</v>
      </c>
      <c r="B83" s="295">
        <v>3</v>
      </c>
      <c r="C83" s="295" t="s">
        <v>101</v>
      </c>
      <c r="D83" s="295" t="s">
        <v>2</v>
      </c>
      <c r="E83" s="296">
        <v>5.4699999999999999E-2</v>
      </c>
    </row>
    <row r="84" spans="1:5" x14ac:dyDescent="0.3">
      <c r="A84" s="295">
        <v>2018</v>
      </c>
      <c r="B84" s="295">
        <v>3</v>
      </c>
      <c r="C84" s="295" t="s">
        <v>101</v>
      </c>
      <c r="D84" s="295" t="s">
        <v>259</v>
      </c>
      <c r="E84" s="296">
        <v>3.884E-2</v>
      </c>
    </row>
    <row r="85" spans="1:5" x14ac:dyDescent="0.3">
      <c r="A85" s="295">
        <v>2018</v>
      </c>
      <c r="B85" s="295">
        <v>3</v>
      </c>
      <c r="C85" s="295" t="s">
        <v>101</v>
      </c>
      <c r="D85" s="295" t="s">
        <v>85</v>
      </c>
      <c r="E85" s="296">
        <v>0.18174999999999999</v>
      </c>
    </row>
    <row r="86" spans="1:5" x14ac:dyDescent="0.3">
      <c r="A86" s="295">
        <v>2018</v>
      </c>
      <c r="B86" s="295">
        <v>3</v>
      </c>
      <c r="C86" s="295" t="s">
        <v>101</v>
      </c>
      <c r="D86" s="295" t="s">
        <v>179</v>
      </c>
      <c r="E86" s="296">
        <v>32.992240000000002</v>
      </c>
    </row>
    <row r="87" spans="1:5" x14ac:dyDescent="0.3">
      <c r="A87" s="295">
        <v>2018</v>
      </c>
      <c r="B87" s="295">
        <v>3</v>
      </c>
      <c r="C87" s="295" t="s">
        <v>179</v>
      </c>
      <c r="D87" s="295" t="s">
        <v>1</v>
      </c>
      <c r="E87" s="296">
        <v>1.3500000000000001E-3</v>
      </c>
    </row>
    <row r="88" spans="1:5" x14ac:dyDescent="0.3">
      <c r="A88" s="295">
        <v>2018</v>
      </c>
      <c r="B88" s="295">
        <v>3</v>
      </c>
      <c r="C88" s="295" t="s">
        <v>179</v>
      </c>
      <c r="D88" s="295" t="s">
        <v>2</v>
      </c>
      <c r="E88" s="296">
        <v>1.66E-3</v>
      </c>
    </row>
    <row r="89" spans="1:5" x14ac:dyDescent="0.3">
      <c r="A89" s="295">
        <v>2018</v>
      </c>
      <c r="B89" s="295">
        <v>3</v>
      </c>
      <c r="C89" s="295" t="s">
        <v>179</v>
      </c>
      <c r="D89" s="295" t="s">
        <v>259</v>
      </c>
      <c r="E89" s="296">
        <v>1.1800000000000001E-3</v>
      </c>
    </row>
    <row r="90" spans="1:5" x14ac:dyDescent="0.3">
      <c r="A90" s="295">
        <v>2018</v>
      </c>
      <c r="B90" s="295">
        <v>3</v>
      </c>
      <c r="C90" s="295" t="s">
        <v>179</v>
      </c>
      <c r="D90" s="295" t="s">
        <v>85</v>
      </c>
      <c r="E90" s="296">
        <v>5.5100000000000001E-3</v>
      </c>
    </row>
    <row r="91" spans="1:5" x14ac:dyDescent="0.3">
      <c r="A91" s="295">
        <v>2018</v>
      </c>
      <c r="B91" s="295">
        <v>3</v>
      </c>
      <c r="C91" s="295" t="s">
        <v>179</v>
      </c>
      <c r="D91" s="295" t="s">
        <v>101</v>
      </c>
      <c r="E91" s="296">
        <v>3.031E-2</v>
      </c>
    </row>
    <row r="92" spans="1:5" x14ac:dyDescent="0.3">
      <c r="A92" s="295">
        <v>2018</v>
      </c>
      <c r="B92" s="295">
        <v>4</v>
      </c>
      <c r="C92" s="295" t="s">
        <v>1</v>
      </c>
      <c r="D92" s="295" t="s">
        <v>2</v>
      </c>
      <c r="E92" s="296">
        <v>1.2079</v>
      </c>
    </row>
    <row r="93" spans="1:5" x14ac:dyDescent="0.3">
      <c r="A93" s="295">
        <v>2018</v>
      </c>
      <c r="B93" s="295">
        <v>4</v>
      </c>
      <c r="C93" s="295" t="s">
        <v>1</v>
      </c>
      <c r="D93" s="296" t="s">
        <v>259</v>
      </c>
      <c r="E93" s="296">
        <v>0.87960000000000005</v>
      </c>
    </row>
    <row r="94" spans="1:5" x14ac:dyDescent="0.3">
      <c r="A94" s="295">
        <v>2018</v>
      </c>
      <c r="B94" s="295">
        <v>4</v>
      </c>
      <c r="C94" s="295" t="s">
        <v>1</v>
      </c>
      <c r="D94" s="296" t="s">
        <v>85</v>
      </c>
      <c r="E94" s="296">
        <v>4.1932</v>
      </c>
    </row>
    <row r="95" spans="1:5" x14ac:dyDescent="0.3">
      <c r="A95" s="295">
        <v>2018</v>
      </c>
      <c r="B95" s="295">
        <v>4</v>
      </c>
      <c r="C95" s="295" t="s">
        <v>1</v>
      </c>
      <c r="D95" s="295" t="s">
        <v>101</v>
      </c>
      <c r="E95" s="296">
        <v>22.5977</v>
      </c>
    </row>
    <row r="96" spans="1:5" x14ac:dyDescent="0.3">
      <c r="A96" s="295">
        <v>2018</v>
      </c>
      <c r="B96" s="295">
        <v>4</v>
      </c>
      <c r="C96" s="295" t="s">
        <v>1</v>
      </c>
      <c r="D96" s="295" t="s">
        <v>179</v>
      </c>
      <c r="E96" s="296">
        <v>738.98099999999999</v>
      </c>
    </row>
    <row r="97" spans="1:5" x14ac:dyDescent="0.3">
      <c r="A97" s="295">
        <v>2018</v>
      </c>
      <c r="B97" s="295">
        <v>4</v>
      </c>
      <c r="C97" s="295" t="s">
        <v>2</v>
      </c>
      <c r="D97" s="295" t="s">
        <v>1</v>
      </c>
      <c r="E97" s="296">
        <v>0.82787999999999995</v>
      </c>
    </row>
    <row r="98" spans="1:5" x14ac:dyDescent="0.3">
      <c r="A98" s="295">
        <v>2018</v>
      </c>
      <c r="B98" s="295">
        <v>4</v>
      </c>
      <c r="C98" s="295" t="s">
        <v>2</v>
      </c>
      <c r="D98" s="295" t="s">
        <v>259</v>
      </c>
      <c r="E98" s="296">
        <v>0.72821000000000002</v>
      </c>
    </row>
    <row r="99" spans="1:5" x14ac:dyDescent="0.3">
      <c r="A99" s="295">
        <v>2018</v>
      </c>
      <c r="B99" s="295">
        <v>4</v>
      </c>
      <c r="C99" s="295" t="s">
        <v>2</v>
      </c>
      <c r="D99" s="295" t="s">
        <v>85</v>
      </c>
      <c r="E99" s="296">
        <v>3.4714800000000001</v>
      </c>
    </row>
    <row r="100" spans="1:5" x14ac:dyDescent="0.3">
      <c r="A100" s="295">
        <v>2018</v>
      </c>
      <c r="B100" s="295">
        <v>4</v>
      </c>
      <c r="C100" s="295" t="s">
        <v>2</v>
      </c>
      <c r="D100" s="295" t="s">
        <v>101</v>
      </c>
      <c r="E100" s="296">
        <v>18.70825</v>
      </c>
    </row>
    <row r="101" spans="1:5" x14ac:dyDescent="0.3">
      <c r="A101" s="295">
        <v>2018</v>
      </c>
      <c r="B101" s="295">
        <v>4</v>
      </c>
      <c r="C101" s="295" t="s">
        <v>2</v>
      </c>
      <c r="D101" s="295" t="s">
        <v>179</v>
      </c>
      <c r="E101" s="296">
        <v>611.78988000000004</v>
      </c>
    </row>
    <row r="102" spans="1:5" x14ac:dyDescent="0.3">
      <c r="A102" s="295">
        <v>2018</v>
      </c>
      <c r="B102" s="295">
        <v>4</v>
      </c>
      <c r="C102" s="295" t="s">
        <v>259</v>
      </c>
      <c r="D102" s="295" t="s">
        <v>1</v>
      </c>
      <c r="E102" s="296">
        <v>1.1368799999999999</v>
      </c>
    </row>
    <row r="103" spans="1:5" x14ac:dyDescent="0.3">
      <c r="A103" s="295">
        <v>2018</v>
      </c>
      <c r="B103" s="295">
        <v>4</v>
      </c>
      <c r="C103" s="295" t="s">
        <v>259</v>
      </c>
      <c r="D103" s="295" t="s">
        <v>2</v>
      </c>
      <c r="E103" s="296">
        <v>1.37324</v>
      </c>
    </row>
    <row r="104" spans="1:5" x14ac:dyDescent="0.3">
      <c r="A104" s="295">
        <v>2018</v>
      </c>
      <c r="B104" s="295">
        <v>4</v>
      </c>
      <c r="C104" s="295" t="s">
        <v>259</v>
      </c>
      <c r="D104" s="295" t="s">
        <v>85</v>
      </c>
      <c r="E104" s="296">
        <v>4.7671700000000001</v>
      </c>
    </row>
    <row r="105" spans="1:5" x14ac:dyDescent="0.3">
      <c r="A105" s="295">
        <v>2018</v>
      </c>
      <c r="B105" s="295">
        <v>4</v>
      </c>
      <c r="C105" s="295" t="s">
        <v>259</v>
      </c>
      <c r="D105" s="295" t="s">
        <v>101</v>
      </c>
      <c r="E105" s="296">
        <v>25.69088</v>
      </c>
    </row>
    <row r="106" spans="1:5" x14ac:dyDescent="0.3">
      <c r="A106" s="295">
        <v>2018</v>
      </c>
      <c r="B106" s="295">
        <v>4</v>
      </c>
      <c r="C106" s="295" t="s">
        <v>259</v>
      </c>
      <c r="D106" s="295" t="s">
        <v>179</v>
      </c>
      <c r="E106" s="296">
        <v>840.13301999999999</v>
      </c>
    </row>
    <row r="107" spans="1:5" x14ac:dyDescent="0.3">
      <c r="A107" s="295">
        <v>2018</v>
      </c>
      <c r="B107" s="295">
        <v>4</v>
      </c>
      <c r="C107" s="295" t="s">
        <v>85</v>
      </c>
      <c r="D107" s="295" t="s">
        <v>1</v>
      </c>
      <c r="E107" s="296">
        <v>0.23848</v>
      </c>
    </row>
    <row r="108" spans="1:5" x14ac:dyDescent="0.3">
      <c r="A108" s="295">
        <v>2018</v>
      </c>
      <c r="B108" s="295">
        <v>4</v>
      </c>
      <c r="C108" s="295" t="s">
        <v>85</v>
      </c>
      <c r="D108" s="295" t="s">
        <v>2</v>
      </c>
      <c r="E108" s="296">
        <v>0.28805999999999998</v>
      </c>
    </row>
    <row r="109" spans="1:5" x14ac:dyDescent="0.3">
      <c r="A109" s="295">
        <v>2018</v>
      </c>
      <c r="B109" s="295">
        <v>4</v>
      </c>
      <c r="C109" s="295" t="s">
        <v>85</v>
      </c>
      <c r="D109" s="295" t="s">
        <v>259</v>
      </c>
      <c r="E109" s="296">
        <v>0.20977000000000001</v>
      </c>
    </row>
    <row r="110" spans="1:5" x14ac:dyDescent="0.3">
      <c r="A110" s="295">
        <v>2018</v>
      </c>
      <c r="B110" s="295">
        <v>4</v>
      </c>
      <c r="C110" s="295" t="s">
        <v>85</v>
      </c>
      <c r="D110" s="295" t="s">
        <v>101</v>
      </c>
      <c r="E110" s="296">
        <v>5.3891299999999998</v>
      </c>
    </row>
    <row r="111" spans="1:5" x14ac:dyDescent="0.3">
      <c r="A111" s="295">
        <v>2018</v>
      </c>
      <c r="B111" s="295">
        <v>4</v>
      </c>
      <c r="C111" s="295" t="s">
        <v>85</v>
      </c>
      <c r="D111" s="295" t="s">
        <v>179</v>
      </c>
      <c r="E111" s="296">
        <v>176.23319000000001</v>
      </c>
    </row>
    <row r="112" spans="1:5" x14ac:dyDescent="0.3">
      <c r="A112" s="295">
        <v>2018</v>
      </c>
      <c r="B112" s="295">
        <v>4</v>
      </c>
      <c r="C112" s="295" t="s">
        <v>101</v>
      </c>
      <c r="D112" s="295" t="s">
        <v>1</v>
      </c>
      <c r="E112" s="296">
        <v>4.4249999999999998E-2</v>
      </c>
    </row>
    <row r="113" spans="1:5" x14ac:dyDescent="0.3">
      <c r="A113" s="295">
        <v>2018</v>
      </c>
      <c r="B113" s="295">
        <v>4</v>
      </c>
      <c r="C113" s="295" t="s">
        <v>101</v>
      </c>
      <c r="D113" s="295" t="s">
        <v>2</v>
      </c>
      <c r="E113" s="296">
        <v>5.3449999999999998E-2</v>
      </c>
    </row>
    <row r="114" spans="1:5" x14ac:dyDescent="0.3">
      <c r="A114" s="295">
        <v>2018</v>
      </c>
      <c r="B114" s="295">
        <v>4</v>
      </c>
      <c r="C114" s="295" t="s">
        <v>101</v>
      </c>
      <c r="D114" s="295" t="s">
        <v>259</v>
      </c>
      <c r="E114" s="296">
        <v>3.8920000000000003E-2</v>
      </c>
    </row>
    <row r="115" spans="1:5" x14ac:dyDescent="0.3">
      <c r="A115" s="295">
        <v>2018</v>
      </c>
      <c r="B115" s="295">
        <v>4</v>
      </c>
      <c r="C115" s="295" t="s">
        <v>101</v>
      </c>
      <c r="D115" s="295" t="s">
        <v>85</v>
      </c>
      <c r="E115" s="296">
        <v>0.18556</v>
      </c>
    </row>
    <row r="116" spans="1:5" x14ac:dyDescent="0.3">
      <c r="A116" s="295">
        <v>2018</v>
      </c>
      <c r="B116" s="295">
        <v>4</v>
      </c>
      <c r="C116" s="295" t="s">
        <v>101</v>
      </c>
      <c r="D116" s="295" t="s">
        <v>179</v>
      </c>
      <c r="E116" s="296">
        <v>32.701599999999999</v>
      </c>
    </row>
    <row r="117" spans="1:5" x14ac:dyDescent="0.3">
      <c r="A117" s="295">
        <v>2018</v>
      </c>
      <c r="B117" s="295">
        <v>4</v>
      </c>
      <c r="C117" s="295" t="s">
        <v>179</v>
      </c>
      <c r="D117" s="295" t="s">
        <v>1</v>
      </c>
      <c r="E117" s="296">
        <v>1.3500000000000001E-3</v>
      </c>
    </row>
    <row r="118" spans="1:5" x14ac:dyDescent="0.3">
      <c r="A118" s="295">
        <v>2018</v>
      </c>
      <c r="B118" s="295">
        <v>4</v>
      </c>
      <c r="C118" s="295" t="s">
        <v>179</v>
      </c>
      <c r="D118" s="295" t="s">
        <v>2</v>
      </c>
      <c r="E118" s="296">
        <v>1.6299999999999999E-3</v>
      </c>
    </row>
    <row r="119" spans="1:5" x14ac:dyDescent="0.3">
      <c r="A119" s="295">
        <v>2018</v>
      </c>
      <c r="B119" s="295">
        <v>4</v>
      </c>
      <c r="C119" s="295" t="s">
        <v>179</v>
      </c>
      <c r="D119" s="295" t="s">
        <v>259</v>
      </c>
      <c r="E119" s="296">
        <v>1.1900000000000001E-3</v>
      </c>
    </row>
    <row r="120" spans="1:5" x14ac:dyDescent="0.3">
      <c r="A120" s="295">
        <v>2018</v>
      </c>
      <c r="B120" s="295">
        <v>4</v>
      </c>
      <c r="C120" s="295" t="s">
        <v>179</v>
      </c>
      <c r="D120" s="295" t="s">
        <v>85</v>
      </c>
      <c r="E120" s="296">
        <v>5.6699999999999997E-3</v>
      </c>
    </row>
    <row r="121" spans="1:5" x14ac:dyDescent="0.3">
      <c r="A121" s="295">
        <v>2018</v>
      </c>
      <c r="B121" s="295">
        <v>4</v>
      </c>
      <c r="C121" s="295" t="s">
        <v>179</v>
      </c>
      <c r="D121" s="295" t="s">
        <v>101</v>
      </c>
      <c r="E121" s="296">
        <v>3.058E-2</v>
      </c>
    </row>
    <row r="122" spans="1:5" x14ac:dyDescent="0.3">
      <c r="A122" s="295">
        <v>2018</v>
      </c>
      <c r="B122" s="295">
        <v>5</v>
      </c>
      <c r="C122" s="295" t="s">
        <v>1</v>
      </c>
      <c r="D122" s="295" t="s">
        <v>2</v>
      </c>
      <c r="E122" s="296">
        <v>1.1698999999999999</v>
      </c>
    </row>
    <row r="123" spans="1:5" x14ac:dyDescent="0.3">
      <c r="A123" s="295">
        <v>2018</v>
      </c>
      <c r="B123" s="295">
        <v>5</v>
      </c>
      <c r="C123" s="295" t="s">
        <v>1</v>
      </c>
      <c r="D123" s="295" t="s">
        <v>259</v>
      </c>
      <c r="E123" s="296">
        <v>0.87680000000000002</v>
      </c>
    </row>
    <row r="124" spans="1:5" x14ac:dyDescent="0.3">
      <c r="A124" s="295">
        <v>2018</v>
      </c>
      <c r="B124" s="295">
        <v>5</v>
      </c>
      <c r="C124" s="295" t="s">
        <v>1</v>
      </c>
      <c r="D124" s="295" t="s">
        <v>85</v>
      </c>
      <c r="E124" s="296">
        <v>4.3625999999999996</v>
      </c>
    </row>
    <row r="125" spans="1:5" x14ac:dyDescent="0.3">
      <c r="A125" s="295">
        <v>2018</v>
      </c>
      <c r="B125" s="295">
        <v>5</v>
      </c>
      <c r="C125" s="295" t="s">
        <v>1</v>
      </c>
      <c r="D125" s="295" t="s">
        <v>101</v>
      </c>
      <c r="E125" s="296">
        <v>23.246099999999998</v>
      </c>
    </row>
    <row r="126" spans="1:5" x14ac:dyDescent="0.3">
      <c r="A126" s="295">
        <v>2018</v>
      </c>
      <c r="B126" s="295">
        <v>5</v>
      </c>
      <c r="C126" s="295" t="s">
        <v>1</v>
      </c>
      <c r="D126" s="295" t="s">
        <v>179</v>
      </c>
      <c r="E126" s="296">
        <v>737.72699999999998</v>
      </c>
    </row>
    <row r="127" spans="1:5" x14ac:dyDescent="0.3">
      <c r="A127" s="295">
        <v>2018</v>
      </c>
      <c r="B127" s="295">
        <v>5</v>
      </c>
      <c r="C127" s="295" t="s">
        <v>2</v>
      </c>
      <c r="D127" s="295" t="s">
        <v>1</v>
      </c>
      <c r="E127" s="296">
        <v>0.85477000000000003</v>
      </c>
    </row>
    <row r="128" spans="1:5" x14ac:dyDescent="0.3">
      <c r="A128" s="295">
        <v>2018</v>
      </c>
      <c r="B128" s="295">
        <v>5</v>
      </c>
      <c r="C128" s="295" t="s">
        <v>2</v>
      </c>
      <c r="D128" s="295" t="s">
        <v>259</v>
      </c>
      <c r="E128" s="296">
        <v>0.74946999999999997</v>
      </c>
    </row>
    <row r="129" spans="1:5" x14ac:dyDescent="0.3">
      <c r="A129" s="295">
        <v>2018</v>
      </c>
      <c r="B129" s="295">
        <v>5</v>
      </c>
      <c r="C129" s="295" t="s">
        <v>2</v>
      </c>
      <c r="D129" s="295" t="s">
        <v>85</v>
      </c>
      <c r="E129" s="296">
        <v>3.7290399999999999</v>
      </c>
    </row>
    <row r="130" spans="1:5" x14ac:dyDescent="0.3">
      <c r="A130" s="295">
        <v>2018</v>
      </c>
      <c r="B130" s="295">
        <v>5</v>
      </c>
      <c r="C130" s="295" t="s">
        <v>2</v>
      </c>
      <c r="D130" s="295" t="s">
        <v>101</v>
      </c>
      <c r="E130" s="296">
        <v>19.870159999999998</v>
      </c>
    </row>
    <row r="131" spans="1:5" x14ac:dyDescent="0.3">
      <c r="A131" s="295">
        <v>2018</v>
      </c>
      <c r="B131" s="295">
        <v>5</v>
      </c>
      <c r="C131" s="295" t="s">
        <v>2</v>
      </c>
      <c r="D131" s="295" t="s">
        <v>179</v>
      </c>
      <c r="E131" s="296">
        <v>630.58978999999999</v>
      </c>
    </row>
    <row r="132" spans="1:5" x14ac:dyDescent="0.3">
      <c r="A132" s="295">
        <v>2018</v>
      </c>
      <c r="B132" s="295">
        <v>5</v>
      </c>
      <c r="C132" s="295" t="s">
        <v>259</v>
      </c>
      <c r="D132" s="295" t="s">
        <v>1</v>
      </c>
      <c r="E132" s="296">
        <v>1.1405099999999999</v>
      </c>
    </row>
    <row r="133" spans="1:5" x14ac:dyDescent="0.3">
      <c r="A133" s="295">
        <v>2018</v>
      </c>
      <c r="B133" s="295">
        <v>5</v>
      </c>
      <c r="C133" s="295" t="s">
        <v>259</v>
      </c>
      <c r="D133" s="295" t="s">
        <v>2</v>
      </c>
      <c r="E133" s="296">
        <v>1.3342799999999999</v>
      </c>
    </row>
    <row r="134" spans="1:5" x14ac:dyDescent="0.3">
      <c r="A134" s="295">
        <v>2018</v>
      </c>
      <c r="B134" s="295">
        <v>5</v>
      </c>
      <c r="C134" s="295" t="s">
        <v>259</v>
      </c>
      <c r="D134" s="295" t="s">
        <v>85</v>
      </c>
      <c r="E134" s="296">
        <v>4.9755900000000004</v>
      </c>
    </row>
    <row r="135" spans="1:5" x14ac:dyDescent="0.3">
      <c r="A135" s="295">
        <v>2018</v>
      </c>
      <c r="B135" s="295">
        <v>5</v>
      </c>
      <c r="C135" s="295" t="s">
        <v>259</v>
      </c>
      <c r="D135" s="295" t="s">
        <v>101</v>
      </c>
      <c r="E135" s="296">
        <v>26.512429999999998</v>
      </c>
    </row>
    <row r="136" spans="1:5" x14ac:dyDescent="0.3">
      <c r="A136" s="295">
        <v>2018</v>
      </c>
      <c r="B136" s="295">
        <v>5</v>
      </c>
      <c r="C136" s="295" t="s">
        <v>259</v>
      </c>
      <c r="D136" s="295" t="s">
        <v>179</v>
      </c>
      <c r="E136" s="296">
        <v>841.38571999999999</v>
      </c>
    </row>
    <row r="137" spans="1:5" x14ac:dyDescent="0.3">
      <c r="A137" s="295">
        <v>2018</v>
      </c>
      <c r="B137" s="295">
        <v>5</v>
      </c>
      <c r="C137" s="295" t="s">
        <v>85</v>
      </c>
      <c r="D137" s="295" t="s">
        <v>1</v>
      </c>
      <c r="E137" s="296">
        <v>0.22922000000000001</v>
      </c>
    </row>
    <row r="138" spans="1:5" x14ac:dyDescent="0.3">
      <c r="A138" s="295">
        <v>2018</v>
      </c>
      <c r="B138" s="295">
        <v>5</v>
      </c>
      <c r="C138" s="295" t="s">
        <v>85</v>
      </c>
      <c r="D138" s="295" t="s">
        <v>2</v>
      </c>
      <c r="E138" s="296">
        <v>0.26817000000000002</v>
      </c>
    </row>
    <row r="139" spans="1:5" x14ac:dyDescent="0.3">
      <c r="A139" s="295">
        <v>2018</v>
      </c>
      <c r="B139" s="295">
        <v>5</v>
      </c>
      <c r="C139" s="295" t="s">
        <v>85</v>
      </c>
      <c r="D139" s="295" t="s">
        <v>259</v>
      </c>
      <c r="E139" s="296">
        <v>0.20097999999999999</v>
      </c>
    </row>
    <row r="140" spans="1:5" x14ac:dyDescent="0.3">
      <c r="A140" s="295">
        <v>2018</v>
      </c>
      <c r="B140" s="295">
        <v>5</v>
      </c>
      <c r="C140" s="295" t="s">
        <v>85</v>
      </c>
      <c r="D140" s="295" t="s">
        <v>101</v>
      </c>
      <c r="E140" s="296">
        <v>5.3285</v>
      </c>
    </row>
    <row r="141" spans="1:5" x14ac:dyDescent="0.3">
      <c r="A141" s="295">
        <v>2018</v>
      </c>
      <c r="B141" s="295">
        <v>5</v>
      </c>
      <c r="C141" s="295" t="s">
        <v>85</v>
      </c>
      <c r="D141" s="295" t="s">
        <v>179</v>
      </c>
      <c r="E141" s="296">
        <v>169.1026</v>
      </c>
    </row>
    <row r="142" spans="1:5" x14ac:dyDescent="0.3">
      <c r="A142" s="295">
        <v>2018</v>
      </c>
      <c r="B142" s="295">
        <v>5</v>
      </c>
      <c r="C142" s="295" t="s">
        <v>101</v>
      </c>
      <c r="D142" s="295" t="s">
        <v>1</v>
      </c>
      <c r="E142" s="296">
        <v>4.3020000000000003E-2</v>
      </c>
    </row>
    <row r="143" spans="1:5" x14ac:dyDescent="0.3">
      <c r="A143" s="295">
        <v>2018</v>
      </c>
      <c r="B143" s="295">
        <v>5</v>
      </c>
      <c r="C143" s="295" t="s">
        <v>101</v>
      </c>
      <c r="D143" s="295" t="s">
        <v>2</v>
      </c>
      <c r="E143" s="296">
        <v>5.033E-2</v>
      </c>
    </row>
    <row r="144" spans="1:5" x14ac:dyDescent="0.3">
      <c r="A144" s="295">
        <v>2018</v>
      </c>
      <c r="B144" s="295">
        <v>5</v>
      </c>
      <c r="C144" s="295" t="s">
        <v>101</v>
      </c>
      <c r="D144" s="295" t="s">
        <v>259</v>
      </c>
      <c r="E144" s="296">
        <v>3.7719999999999997E-2</v>
      </c>
    </row>
    <row r="145" spans="1:5" x14ac:dyDescent="0.3">
      <c r="A145" s="295">
        <v>2018</v>
      </c>
      <c r="B145" s="295">
        <v>5</v>
      </c>
      <c r="C145" s="295" t="s">
        <v>101</v>
      </c>
      <c r="D145" s="295" t="s">
        <v>85</v>
      </c>
      <c r="E145" s="296">
        <v>0.18767</v>
      </c>
    </row>
    <row r="146" spans="1:5" x14ac:dyDescent="0.3">
      <c r="A146" s="295">
        <v>2018</v>
      </c>
      <c r="B146" s="295">
        <v>5</v>
      </c>
      <c r="C146" s="295" t="s">
        <v>101</v>
      </c>
      <c r="D146" s="295" t="s">
        <v>179</v>
      </c>
      <c r="E146" s="296">
        <v>31.735520000000001</v>
      </c>
    </row>
    <row r="147" spans="1:5" x14ac:dyDescent="0.3">
      <c r="A147" s="295">
        <v>2018</v>
      </c>
      <c r="B147" s="295">
        <v>5</v>
      </c>
      <c r="C147" s="295" t="s">
        <v>179</v>
      </c>
      <c r="D147" s="295" t="s">
        <v>1</v>
      </c>
      <c r="E147" s="296">
        <v>1.3600000000000001E-3</v>
      </c>
    </row>
    <row r="148" spans="1:5" x14ac:dyDescent="0.3">
      <c r="A148" s="295">
        <v>2018</v>
      </c>
      <c r="B148" s="295">
        <v>5</v>
      </c>
      <c r="C148" s="295" t="s">
        <v>179</v>
      </c>
      <c r="D148" s="295" t="s">
        <v>2</v>
      </c>
      <c r="E148" s="296">
        <v>1.5900000000000001E-3</v>
      </c>
    </row>
    <row r="149" spans="1:5" x14ac:dyDescent="0.3">
      <c r="A149" s="295">
        <v>2018</v>
      </c>
      <c r="B149" s="295">
        <v>5</v>
      </c>
      <c r="C149" s="295" t="s">
        <v>179</v>
      </c>
      <c r="D149" s="295" t="s">
        <v>259</v>
      </c>
      <c r="E149" s="296">
        <v>1.1900000000000001E-3</v>
      </c>
    </row>
    <row r="150" spans="1:5" x14ac:dyDescent="0.3">
      <c r="A150" s="295">
        <v>2018</v>
      </c>
      <c r="B150" s="295">
        <v>5</v>
      </c>
      <c r="C150" s="295" t="s">
        <v>179</v>
      </c>
      <c r="D150" s="295" t="s">
        <v>85</v>
      </c>
      <c r="E150" s="296">
        <v>5.9100000000000003E-3</v>
      </c>
    </row>
    <row r="151" spans="1:5" x14ac:dyDescent="0.3">
      <c r="A151" s="295">
        <v>2018</v>
      </c>
      <c r="B151" s="295">
        <v>5</v>
      </c>
      <c r="C151" s="295" t="s">
        <v>179</v>
      </c>
      <c r="D151" s="295" t="s">
        <v>101</v>
      </c>
      <c r="E151" s="296">
        <v>3.1510000000000003E-2</v>
      </c>
    </row>
    <row r="152" spans="1:5" x14ac:dyDescent="0.3">
      <c r="A152" s="295">
        <v>2018</v>
      </c>
      <c r="B152" s="295">
        <v>1</v>
      </c>
      <c r="C152" s="295" t="s">
        <v>2</v>
      </c>
      <c r="D152" s="295" t="s">
        <v>2</v>
      </c>
      <c r="E152" s="296">
        <v>1</v>
      </c>
    </row>
    <row r="153" spans="1:5" x14ac:dyDescent="0.3">
      <c r="A153" s="295">
        <v>2018</v>
      </c>
      <c r="B153" s="295">
        <v>1</v>
      </c>
      <c r="C153" s="295" t="s">
        <v>1</v>
      </c>
      <c r="D153" s="295" t="s">
        <v>1</v>
      </c>
      <c r="E153" s="296">
        <v>1</v>
      </c>
    </row>
    <row r="154" spans="1:5" x14ac:dyDescent="0.3">
      <c r="A154" s="295">
        <v>2018</v>
      </c>
      <c r="B154" s="295">
        <v>1</v>
      </c>
      <c r="C154" s="295" t="s">
        <v>259</v>
      </c>
      <c r="D154" s="295" t="s">
        <v>259</v>
      </c>
      <c r="E154" s="296">
        <v>1</v>
      </c>
    </row>
    <row r="155" spans="1:5" x14ac:dyDescent="0.3">
      <c r="A155" s="295">
        <v>2018</v>
      </c>
      <c r="B155" s="295">
        <v>1</v>
      </c>
      <c r="C155" s="295" t="s">
        <v>85</v>
      </c>
      <c r="D155" s="295" t="s">
        <v>85</v>
      </c>
      <c r="E155" s="296">
        <v>1</v>
      </c>
    </row>
    <row r="156" spans="1:5" x14ac:dyDescent="0.3">
      <c r="A156" s="295">
        <v>2018</v>
      </c>
      <c r="B156" s="295">
        <v>1</v>
      </c>
      <c r="C156" s="295" t="s">
        <v>101</v>
      </c>
      <c r="D156" s="295" t="s">
        <v>101</v>
      </c>
      <c r="E156" s="296">
        <v>1</v>
      </c>
    </row>
    <row r="157" spans="1:5" x14ac:dyDescent="0.3">
      <c r="A157" s="295">
        <v>2018</v>
      </c>
      <c r="B157" s="295">
        <v>1</v>
      </c>
      <c r="C157" s="295" t="s">
        <v>179</v>
      </c>
      <c r="D157" s="295" t="s">
        <v>179</v>
      </c>
      <c r="E157" s="296">
        <v>1</v>
      </c>
    </row>
    <row r="158" spans="1:5" x14ac:dyDescent="0.3">
      <c r="A158" s="295">
        <v>2018</v>
      </c>
      <c r="B158" s="295">
        <v>2</v>
      </c>
      <c r="C158" s="295" t="s">
        <v>2</v>
      </c>
      <c r="D158" s="295" t="s">
        <v>2</v>
      </c>
      <c r="E158" s="296">
        <v>1</v>
      </c>
    </row>
    <row r="159" spans="1:5" x14ac:dyDescent="0.3">
      <c r="A159" s="295">
        <v>2018</v>
      </c>
      <c r="B159" s="295">
        <v>2</v>
      </c>
      <c r="C159" s="295" t="s">
        <v>1</v>
      </c>
      <c r="D159" s="295" t="s">
        <v>1</v>
      </c>
      <c r="E159" s="296">
        <v>1</v>
      </c>
    </row>
    <row r="160" spans="1:5" x14ac:dyDescent="0.3">
      <c r="A160" s="295">
        <v>2018</v>
      </c>
      <c r="B160" s="295">
        <v>2</v>
      </c>
      <c r="C160" s="295" t="s">
        <v>259</v>
      </c>
      <c r="D160" s="295" t="s">
        <v>259</v>
      </c>
      <c r="E160" s="296">
        <v>1</v>
      </c>
    </row>
    <row r="161" spans="1:5" x14ac:dyDescent="0.3">
      <c r="A161" s="295">
        <v>2018</v>
      </c>
      <c r="B161" s="295">
        <v>2</v>
      </c>
      <c r="C161" s="295" t="s">
        <v>85</v>
      </c>
      <c r="D161" s="295" t="s">
        <v>85</v>
      </c>
      <c r="E161" s="296">
        <v>1</v>
      </c>
    </row>
    <row r="162" spans="1:5" x14ac:dyDescent="0.3">
      <c r="A162" s="295">
        <v>2018</v>
      </c>
      <c r="B162" s="295">
        <v>2</v>
      </c>
      <c r="C162" s="295" t="s">
        <v>101</v>
      </c>
      <c r="D162" s="295" t="s">
        <v>101</v>
      </c>
      <c r="E162" s="296">
        <v>1</v>
      </c>
    </row>
    <row r="163" spans="1:5" x14ac:dyDescent="0.3">
      <c r="A163" s="295">
        <v>2018</v>
      </c>
      <c r="B163" s="295">
        <v>2</v>
      </c>
      <c r="C163" s="295" t="s">
        <v>179</v>
      </c>
      <c r="D163" s="295" t="s">
        <v>179</v>
      </c>
      <c r="E163" s="296">
        <v>1</v>
      </c>
    </row>
    <row r="164" spans="1:5" x14ac:dyDescent="0.3">
      <c r="A164" s="295">
        <v>2018</v>
      </c>
      <c r="B164" s="295">
        <v>3</v>
      </c>
      <c r="C164" s="295" t="s">
        <v>2</v>
      </c>
      <c r="D164" s="295" t="s">
        <v>2</v>
      </c>
      <c r="E164" s="296">
        <v>1</v>
      </c>
    </row>
    <row r="165" spans="1:5" x14ac:dyDescent="0.3">
      <c r="A165" s="295">
        <v>2018</v>
      </c>
      <c r="B165" s="295">
        <v>3</v>
      </c>
      <c r="C165" s="295" t="s">
        <v>1</v>
      </c>
      <c r="D165" s="295" t="s">
        <v>1</v>
      </c>
      <c r="E165" s="296">
        <v>1</v>
      </c>
    </row>
    <row r="166" spans="1:5" x14ac:dyDescent="0.3">
      <c r="A166" s="295">
        <v>2018</v>
      </c>
      <c r="B166" s="295">
        <v>3</v>
      </c>
      <c r="C166" s="295" t="s">
        <v>259</v>
      </c>
      <c r="D166" s="295" t="s">
        <v>259</v>
      </c>
      <c r="E166" s="296">
        <v>1</v>
      </c>
    </row>
    <row r="167" spans="1:5" x14ac:dyDescent="0.3">
      <c r="A167" s="295">
        <v>2018</v>
      </c>
      <c r="B167" s="295">
        <v>3</v>
      </c>
      <c r="C167" s="295" t="s">
        <v>85</v>
      </c>
      <c r="D167" s="295" t="s">
        <v>85</v>
      </c>
      <c r="E167" s="296">
        <v>1</v>
      </c>
    </row>
    <row r="168" spans="1:5" x14ac:dyDescent="0.3">
      <c r="A168" s="295">
        <v>2018</v>
      </c>
      <c r="B168" s="295">
        <v>3</v>
      </c>
      <c r="C168" s="295" t="s">
        <v>101</v>
      </c>
      <c r="D168" s="295" t="s">
        <v>101</v>
      </c>
      <c r="E168" s="296">
        <v>1</v>
      </c>
    </row>
    <row r="169" spans="1:5" x14ac:dyDescent="0.3">
      <c r="A169" s="295">
        <v>2018</v>
      </c>
      <c r="B169" s="295">
        <v>3</v>
      </c>
      <c r="C169" s="295" t="s">
        <v>179</v>
      </c>
      <c r="D169" s="295" t="s">
        <v>179</v>
      </c>
      <c r="E169" s="296">
        <v>1</v>
      </c>
    </row>
    <row r="170" spans="1:5" x14ac:dyDescent="0.3">
      <c r="A170" s="295">
        <v>2018</v>
      </c>
      <c r="B170" s="295">
        <v>4</v>
      </c>
      <c r="C170" s="295" t="s">
        <v>2</v>
      </c>
      <c r="D170" s="295" t="s">
        <v>2</v>
      </c>
      <c r="E170" s="296">
        <v>1</v>
      </c>
    </row>
    <row r="171" spans="1:5" x14ac:dyDescent="0.3">
      <c r="A171" s="295">
        <v>2018</v>
      </c>
      <c r="B171" s="295">
        <v>4</v>
      </c>
      <c r="C171" s="295" t="s">
        <v>1</v>
      </c>
      <c r="D171" s="295" t="s">
        <v>1</v>
      </c>
      <c r="E171" s="296">
        <v>1</v>
      </c>
    </row>
    <row r="172" spans="1:5" x14ac:dyDescent="0.3">
      <c r="A172" s="295">
        <v>2018</v>
      </c>
      <c r="B172" s="295">
        <v>4</v>
      </c>
      <c r="C172" s="295" t="s">
        <v>259</v>
      </c>
      <c r="D172" s="295" t="s">
        <v>259</v>
      </c>
      <c r="E172" s="296">
        <v>1</v>
      </c>
    </row>
    <row r="173" spans="1:5" x14ac:dyDescent="0.3">
      <c r="A173" s="295">
        <v>2018</v>
      </c>
      <c r="B173" s="295">
        <v>4</v>
      </c>
      <c r="C173" s="295" t="s">
        <v>85</v>
      </c>
      <c r="D173" s="295" t="s">
        <v>85</v>
      </c>
      <c r="E173" s="296">
        <v>1</v>
      </c>
    </row>
    <row r="174" spans="1:5" x14ac:dyDescent="0.3">
      <c r="A174" s="295">
        <v>2018</v>
      </c>
      <c r="B174" s="295">
        <v>4</v>
      </c>
      <c r="C174" s="295" t="s">
        <v>101</v>
      </c>
      <c r="D174" s="295" t="s">
        <v>101</v>
      </c>
      <c r="E174" s="296">
        <v>1</v>
      </c>
    </row>
    <row r="175" spans="1:5" x14ac:dyDescent="0.3">
      <c r="A175" s="295">
        <v>2018</v>
      </c>
      <c r="B175" s="295">
        <v>4</v>
      </c>
      <c r="C175" s="295" t="s">
        <v>179</v>
      </c>
      <c r="D175" s="295" t="s">
        <v>179</v>
      </c>
      <c r="E175" s="296">
        <v>1</v>
      </c>
    </row>
    <row r="176" spans="1:5" x14ac:dyDescent="0.3">
      <c r="A176" s="295">
        <v>2018</v>
      </c>
      <c r="B176" s="295">
        <v>5</v>
      </c>
      <c r="C176" s="295" t="s">
        <v>2</v>
      </c>
      <c r="D176" s="295" t="s">
        <v>2</v>
      </c>
      <c r="E176" s="296">
        <v>1</v>
      </c>
    </row>
    <row r="177" spans="1:5" x14ac:dyDescent="0.3">
      <c r="A177" s="295">
        <v>2018</v>
      </c>
      <c r="B177" s="295">
        <v>5</v>
      </c>
      <c r="C177" s="295" t="s">
        <v>1</v>
      </c>
      <c r="D177" s="295" t="s">
        <v>1</v>
      </c>
      <c r="E177" s="296">
        <v>1</v>
      </c>
    </row>
    <row r="178" spans="1:5" x14ac:dyDescent="0.3">
      <c r="A178" s="295">
        <v>2018</v>
      </c>
      <c r="B178" s="295">
        <v>5</v>
      </c>
      <c r="C178" s="295" t="s">
        <v>259</v>
      </c>
      <c r="D178" s="295" t="s">
        <v>259</v>
      </c>
      <c r="E178" s="296">
        <v>1</v>
      </c>
    </row>
    <row r="179" spans="1:5" x14ac:dyDescent="0.3">
      <c r="A179" s="295">
        <v>2018</v>
      </c>
      <c r="B179" s="295">
        <v>5</v>
      </c>
      <c r="C179" s="295" t="s">
        <v>85</v>
      </c>
      <c r="D179" s="295" t="s">
        <v>85</v>
      </c>
      <c r="E179" s="296">
        <v>1</v>
      </c>
    </row>
    <row r="180" spans="1:5" x14ac:dyDescent="0.3">
      <c r="A180" s="295">
        <v>2018</v>
      </c>
      <c r="B180" s="295">
        <v>5</v>
      </c>
      <c r="C180" s="295" t="s">
        <v>101</v>
      </c>
      <c r="D180" s="295" t="s">
        <v>101</v>
      </c>
      <c r="E180" s="296">
        <v>1</v>
      </c>
    </row>
    <row r="181" spans="1:5" x14ac:dyDescent="0.3">
      <c r="A181" s="295">
        <v>2018</v>
      </c>
      <c r="B181" s="295">
        <v>5</v>
      </c>
      <c r="C181" s="295" t="s">
        <v>179</v>
      </c>
      <c r="D181" s="295" t="s">
        <v>179</v>
      </c>
      <c r="E181" s="296">
        <v>1</v>
      </c>
    </row>
    <row r="182" spans="1:5" x14ac:dyDescent="0.3">
      <c r="A182" s="295">
        <v>2018</v>
      </c>
      <c r="B182" s="295">
        <v>6</v>
      </c>
      <c r="C182" s="295" t="s">
        <v>2</v>
      </c>
      <c r="D182" s="295" t="s">
        <v>2</v>
      </c>
      <c r="E182" s="296">
        <v>1</v>
      </c>
    </row>
    <row r="183" spans="1:5" x14ac:dyDescent="0.3">
      <c r="A183" s="295">
        <v>2018</v>
      </c>
      <c r="B183" s="295">
        <v>6</v>
      </c>
      <c r="C183" s="295" t="s">
        <v>1</v>
      </c>
      <c r="D183" s="295" t="s">
        <v>1</v>
      </c>
      <c r="E183" s="296">
        <v>1</v>
      </c>
    </row>
    <row r="184" spans="1:5" x14ac:dyDescent="0.3">
      <c r="A184" s="295">
        <v>2018</v>
      </c>
      <c r="B184" s="295">
        <v>6</v>
      </c>
      <c r="C184" s="295" t="s">
        <v>259</v>
      </c>
      <c r="D184" s="295" t="s">
        <v>259</v>
      </c>
      <c r="E184" s="296">
        <v>1</v>
      </c>
    </row>
    <row r="185" spans="1:5" x14ac:dyDescent="0.3">
      <c r="A185" s="295">
        <v>2018</v>
      </c>
      <c r="B185" s="295">
        <v>6</v>
      </c>
      <c r="C185" s="295" t="s">
        <v>85</v>
      </c>
      <c r="D185" s="295" t="s">
        <v>85</v>
      </c>
      <c r="E185" s="296">
        <v>1</v>
      </c>
    </row>
    <row r="186" spans="1:5" x14ac:dyDescent="0.3">
      <c r="A186" s="295">
        <v>2018</v>
      </c>
      <c r="B186" s="295">
        <v>6</v>
      </c>
      <c r="C186" s="295" t="s">
        <v>101</v>
      </c>
      <c r="D186" s="295" t="s">
        <v>101</v>
      </c>
      <c r="E186" s="296">
        <v>1</v>
      </c>
    </row>
    <row r="187" spans="1:5" x14ac:dyDescent="0.3">
      <c r="A187" s="295">
        <v>2018</v>
      </c>
      <c r="B187" s="295">
        <v>6</v>
      </c>
      <c r="C187" s="295" t="s">
        <v>179</v>
      </c>
      <c r="D187" s="295" t="s">
        <v>179</v>
      </c>
      <c r="E187" s="296">
        <v>1</v>
      </c>
    </row>
    <row r="188" spans="1:5" x14ac:dyDescent="0.3">
      <c r="A188" s="295">
        <v>2018</v>
      </c>
      <c r="B188" s="295">
        <v>6</v>
      </c>
      <c r="C188" s="295" t="s">
        <v>1</v>
      </c>
      <c r="D188" s="295" t="s">
        <v>2</v>
      </c>
      <c r="E188" s="296">
        <v>1.1657999999999999</v>
      </c>
    </row>
    <row r="189" spans="1:5" x14ac:dyDescent="0.3">
      <c r="A189" s="295">
        <v>2018</v>
      </c>
      <c r="B189" s="295">
        <v>6</v>
      </c>
      <c r="C189" s="295" t="s">
        <v>1</v>
      </c>
      <c r="D189" s="295" t="s">
        <v>259</v>
      </c>
      <c r="E189" s="296">
        <v>0.88605</v>
      </c>
    </row>
    <row r="190" spans="1:5" x14ac:dyDescent="0.3">
      <c r="A190" s="295">
        <v>2018</v>
      </c>
      <c r="B190" s="295">
        <v>6</v>
      </c>
      <c r="C190" s="295" t="s">
        <v>1</v>
      </c>
      <c r="D190" s="295" t="s">
        <v>85</v>
      </c>
      <c r="E190" s="296">
        <v>4.4875999999999996</v>
      </c>
    </row>
    <row r="191" spans="1:5" x14ac:dyDescent="0.3">
      <c r="A191" s="295">
        <v>2018</v>
      </c>
      <c r="B191" s="295">
        <v>6</v>
      </c>
      <c r="C191" s="295" t="s">
        <v>1</v>
      </c>
      <c r="D191" s="295" t="s">
        <v>101</v>
      </c>
      <c r="E191" s="296">
        <v>22.881699999999999</v>
      </c>
    </row>
    <row r="192" spans="1:5" x14ac:dyDescent="0.3">
      <c r="A192" s="295">
        <v>2018</v>
      </c>
      <c r="B192" s="295">
        <v>6</v>
      </c>
      <c r="C192" s="295" t="s">
        <v>1</v>
      </c>
      <c r="D192" s="295" t="s">
        <v>179</v>
      </c>
      <c r="E192" s="296">
        <v>763.16200000000003</v>
      </c>
    </row>
    <row r="193" spans="1:5" x14ac:dyDescent="0.3">
      <c r="A193" s="295">
        <v>2018</v>
      </c>
      <c r="B193" s="295">
        <v>6</v>
      </c>
      <c r="C193" s="295" t="s">
        <v>2</v>
      </c>
      <c r="D193" s="295" t="s">
        <v>1</v>
      </c>
      <c r="E193" s="296">
        <v>0.85777999999999999</v>
      </c>
    </row>
    <row r="194" spans="1:5" x14ac:dyDescent="0.3">
      <c r="A194" s="295">
        <v>2018</v>
      </c>
      <c r="B194" s="295">
        <v>6</v>
      </c>
      <c r="C194" s="295" t="s">
        <v>2</v>
      </c>
      <c r="D194" s="295" t="s">
        <v>259</v>
      </c>
      <c r="E194" s="296">
        <v>0.76004000000000005</v>
      </c>
    </row>
    <row r="195" spans="1:5" x14ac:dyDescent="0.3">
      <c r="A195" s="295">
        <v>2018</v>
      </c>
      <c r="B195" s="295">
        <v>6</v>
      </c>
      <c r="C195" s="295" t="s">
        <v>2</v>
      </c>
      <c r="D195" s="295" t="s">
        <v>85</v>
      </c>
      <c r="E195" s="296">
        <v>3.84937</v>
      </c>
    </row>
    <row r="196" spans="1:5" x14ac:dyDescent="0.3">
      <c r="A196" s="295">
        <v>2018</v>
      </c>
      <c r="B196" s="295">
        <v>6</v>
      </c>
      <c r="C196" s="295" t="s">
        <v>2</v>
      </c>
      <c r="D196" s="295" t="s">
        <v>101</v>
      </c>
      <c r="E196" s="296">
        <v>19.627469999999999</v>
      </c>
    </row>
    <row r="197" spans="1:5" x14ac:dyDescent="0.3">
      <c r="A197" s="295">
        <v>2018</v>
      </c>
      <c r="B197" s="295">
        <v>6</v>
      </c>
      <c r="C197" s="295" t="s">
        <v>2</v>
      </c>
      <c r="D197" s="295" t="s">
        <v>179</v>
      </c>
      <c r="E197" s="296">
        <v>654.62514999999996</v>
      </c>
    </row>
    <row r="198" spans="1:5" x14ac:dyDescent="0.3">
      <c r="A198" s="295">
        <v>2018</v>
      </c>
      <c r="B198" s="295">
        <v>6</v>
      </c>
      <c r="C198" s="295" t="s">
        <v>259</v>
      </c>
      <c r="D198" s="295" t="s">
        <v>1</v>
      </c>
      <c r="E198" s="296">
        <v>1.1286</v>
      </c>
    </row>
    <row r="199" spans="1:5" x14ac:dyDescent="0.3">
      <c r="A199" s="295">
        <v>2018</v>
      </c>
      <c r="B199" s="295">
        <v>6</v>
      </c>
      <c r="C199" s="295" t="s">
        <v>259</v>
      </c>
      <c r="D199" s="295" t="s">
        <v>2</v>
      </c>
      <c r="E199" s="296">
        <v>1.3157300000000001</v>
      </c>
    </row>
    <row r="200" spans="1:5" x14ac:dyDescent="0.3">
      <c r="A200" s="295">
        <v>2018</v>
      </c>
      <c r="B200" s="295">
        <v>6</v>
      </c>
      <c r="C200" s="295" t="s">
        <v>259</v>
      </c>
      <c r="D200" s="295" t="s">
        <v>85</v>
      </c>
      <c r="E200" s="296">
        <v>5.06473</v>
      </c>
    </row>
    <row r="201" spans="1:5" x14ac:dyDescent="0.3">
      <c r="A201" s="295">
        <v>2018</v>
      </c>
      <c r="B201" s="295">
        <v>6</v>
      </c>
      <c r="C201" s="295" t="s">
        <v>259</v>
      </c>
      <c r="D201" s="295" t="s">
        <v>101</v>
      </c>
      <c r="E201" s="296">
        <v>25.824390000000001</v>
      </c>
    </row>
    <row r="202" spans="1:5" x14ac:dyDescent="0.3">
      <c r="A202" s="295">
        <v>2018</v>
      </c>
      <c r="B202" s="295">
        <v>6</v>
      </c>
      <c r="C202" s="295" t="s">
        <v>259</v>
      </c>
      <c r="D202" s="295" t="s">
        <v>179</v>
      </c>
      <c r="E202" s="296">
        <v>861.30804999999998</v>
      </c>
    </row>
    <row r="203" spans="1:5" x14ac:dyDescent="0.3">
      <c r="A203" s="295">
        <v>2018</v>
      </c>
      <c r="B203" s="295">
        <v>6</v>
      </c>
      <c r="C203" s="295" t="s">
        <v>85</v>
      </c>
      <c r="D203" s="295" t="s">
        <v>1</v>
      </c>
      <c r="E203" s="296">
        <v>0.22284000000000001</v>
      </c>
    </row>
    <row r="204" spans="1:5" x14ac:dyDescent="0.3">
      <c r="A204" s="295">
        <v>2018</v>
      </c>
      <c r="B204" s="295">
        <v>6</v>
      </c>
      <c r="C204" s="295" t="s">
        <v>85</v>
      </c>
      <c r="D204" s="295" t="s">
        <v>2</v>
      </c>
      <c r="E204" s="296">
        <v>0.25978000000000001</v>
      </c>
    </row>
    <row r="205" spans="1:5" x14ac:dyDescent="0.3">
      <c r="A205" s="295">
        <v>2018</v>
      </c>
      <c r="B205" s="295">
        <v>6</v>
      </c>
      <c r="C205" s="295" t="s">
        <v>85</v>
      </c>
      <c r="D205" s="295" t="s">
        <v>259</v>
      </c>
      <c r="E205" s="296">
        <v>0.19744</v>
      </c>
    </row>
    <row r="206" spans="1:5" x14ac:dyDescent="0.3">
      <c r="A206" s="295">
        <v>2018</v>
      </c>
      <c r="B206" s="295">
        <v>6</v>
      </c>
      <c r="C206" s="295" t="s">
        <v>85</v>
      </c>
      <c r="D206" s="295" t="s">
        <v>101</v>
      </c>
      <c r="E206" s="296">
        <v>5.0988699999999998</v>
      </c>
    </row>
    <row r="207" spans="1:5" x14ac:dyDescent="0.3">
      <c r="A207" s="295">
        <v>2018</v>
      </c>
      <c r="B207" s="295">
        <v>6</v>
      </c>
      <c r="C207" s="295" t="s">
        <v>85</v>
      </c>
      <c r="D207" s="295" t="s">
        <v>179</v>
      </c>
      <c r="E207" s="296">
        <v>170.06017</v>
      </c>
    </row>
    <row r="208" spans="1:5" x14ac:dyDescent="0.3">
      <c r="A208" s="295">
        <v>2018</v>
      </c>
      <c r="B208" s="295">
        <v>6</v>
      </c>
      <c r="C208" s="295" t="s">
        <v>101</v>
      </c>
      <c r="D208" s="295" t="s">
        <v>1</v>
      </c>
      <c r="E208" s="296">
        <v>4.3700000000000003E-2</v>
      </c>
    </row>
    <row r="209" spans="1:5" x14ac:dyDescent="0.3">
      <c r="A209" s="295">
        <v>2018</v>
      </c>
      <c r="B209" s="295">
        <v>6</v>
      </c>
      <c r="C209" s="295" t="s">
        <v>101</v>
      </c>
      <c r="D209" s="295" t="s">
        <v>2</v>
      </c>
      <c r="E209" s="296">
        <v>5.0950000000000002E-2</v>
      </c>
    </row>
    <row r="210" spans="1:5" x14ac:dyDescent="0.3">
      <c r="A210" s="295">
        <v>2018</v>
      </c>
      <c r="B210" s="295">
        <v>6</v>
      </c>
      <c r="C210" s="295" t="s">
        <v>101</v>
      </c>
      <c r="D210" s="295" t="s">
        <v>259</v>
      </c>
      <c r="E210" s="296">
        <v>3.8719999999999997E-2</v>
      </c>
    </row>
    <row r="211" spans="1:5" x14ac:dyDescent="0.3">
      <c r="A211" s="295">
        <v>2018</v>
      </c>
      <c r="B211" s="295">
        <v>6</v>
      </c>
      <c r="C211" s="295" t="s">
        <v>101</v>
      </c>
      <c r="D211" s="295" t="s">
        <v>85</v>
      </c>
      <c r="E211" s="296">
        <v>0.19611999999999999</v>
      </c>
    </row>
    <row r="212" spans="1:5" x14ac:dyDescent="0.3">
      <c r="A212" s="295">
        <v>2018</v>
      </c>
      <c r="B212" s="295">
        <v>6</v>
      </c>
      <c r="C212" s="295" t="s">
        <v>101</v>
      </c>
      <c r="D212" s="295" t="s">
        <v>179</v>
      </c>
      <c r="E212" s="296">
        <v>33.352499999999999</v>
      </c>
    </row>
    <row r="213" spans="1:5" x14ac:dyDescent="0.3">
      <c r="A213" s="295">
        <v>2018</v>
      </c>
      <c r="B213" s="295">
        <v>6</v>
      </c>
      <c r="C213" s="295" t="s">
        <v>179</v>
      </c>
      <c r="D213" s="295" t="s">
        <v>1</v>
      </c>
      <c r="E213" s="296">
        <v>1.31E-3</v>
      </c>
    </row>
    <row r="214" spans="1:5" x14ac:dyDescent="0.3">
      <c r="A214" s="295">
        <v>2018</v>
      </c>
      <c r="B214" s="295">
        <v>6</v>
      </c>
      <c r="C214" s="295" t="s">
        <v>179</v>
      </c>
      <c r="D214" s="295" t="s">
        <v>2</v>
      </c>
      <c r="E214" s="296">
        <v>1.5299999999999999E-3</v>
      </c>
    </row>
    <row r="215" spans="1:5" x14ac:dyDescent="0.3">
      <c r="A215" s="295">
        <v>2018</v>
      </c>
      <c r="B215" s="295">
        <v>6</v>
      </c>
      <c r="C215" s="295" t="s">
        <v>179</v>
      </c>
      <c r="D215" s="295" t="s">
        <v>259</v>
      </c>
      <c r="E215" s="296">
        <v>1.16E-3</v>
      </c>
    </row>
    <row r="216" spans="1:5" x14ac:dyDescent="0.3">
      <c r="A216" s="295">
        <v>2018</v>
      </c>
      <c r="B216" s="295">
        <v>6</v>
      </c>
      <c r="C216" s="295" t="s">
        <v>179</v>
      </c>
      <c r="D216" s="295" t="s">
        <v>85</v>
      </c>
      <c r="E216" s="296">
        <v>5.8799999999999998E-3</v>
      </c>
    </row>
    <row r="217" spans="1:5" x14ac:dyDescent="0.3">
      <c r="A217" s="295">
        <v>2018</v>
      </c>
      <c r="B217" s="295">
        <v>6</v>
      </c>
      <c r="C217" s="295" t="s">
        <v>179</v>
      </c>
      <c r="D217" s="295" t="s">
        <v>101</v>
      </c>
      <c r="E217" s="296">
        <v>2.998E-2</v>
      </c>
    </row>
    <row r="218" spans="1:5" x14ac:dyDescent="0.3">
      <c r="A218" s="295">
        <v>2018</v>
      </c>
      <c r="B218" s="295">
        <v>7</v>
      </c>
      <c r="C218" s="295" t="s">
        <v>1</v>
      </c>
      <c r="D218" s="295" t="s">
        <v>2</v>
      </c>
      <c r="E218" s="296">
        <v>1.1736</v>
      </c>
    </row>
    <row r="219" spans="1:5" x14ac:dyDescent="0.3">
      <c r="A219" s="295">
        <v>2018</v>
      </c>
      <c r="B219" s="295">
        <v>7</v>
      </c>
      <c r="C219" s="295" t="s">
        <v>1</v>
      </c>
      <c r="D219" s="295" t="s">
        <v>259</v>
      </c>
      <c r="E219" s="296">
        <v>0.89219999999999999</v>
      </c>
    </row>
    <row r="220" spans="1:5" x14ac:dyDescent="0.3">
      <c r="A220" s="295">
        <v>2018</v>
      </c>
      <c r="B220" s="295">
        <v>7</v>
      </c>
      <c r="C220" s="295" t="s">
        <v>1</v>
      </c>
      <c r="D220" s="295" t="s">
        <v>85</v>
      </c>
      <c r="E220" s="296">
        <v>4.3818000000000001</v>
      </c>
    </row>
    <row r="221" spans="1:5" x14ac:dyDescent="0.3">
      <c r="A221" s="295">
        <v>2018</v>
      </c>
      <c r="B221" s="295">
        <v>7</v>
      </c>
      <c r="C221" s="295" t="s">
        <v>1</v>
      </c>
      <c r="D221" s="295" t="s">
        <v>101</v>
      </c>
      <c r="E221" s="296">
        <v>21.782</v>
      </c>
    </row>
    <row r="222" spans="1:5" x14ac:dyDescent="0.3">
      <c r="A222" s="295">
        <v>2018</v>
      </c>
      <c r="B222" s="295">
        <v>7</v>
      </c>
      <c r="C222" s="295" t="s">
        <v>1</v>
      </c>
      <c r="D222" s="295" t="s">
        <v>179</v>
      </c>
      <c r="E222" s="296">
        <v>750.96299999999997</v>
      </c>
    </row>
    <row r="223" spans="1:5" x14ac:dyDescent="0.3">
      <c r="A223" s="295">
        <v>2018</v>
      </c>
      <c r="B223" s="295">
        <v>7</v>
      </c>
      <c r="C223" s="295" t="s">
        <v>2</v>
      </c>
      <c r="D223" s="295" t="s">
        <v>1</v>
      </c>
      <c r="E223" s="296">
        <v>0.85207999999999995</v>
      </c>
    </row>
    <row r="224" spans="1:5" x14ac:dyDescent="0.3">
      <c r="A224" s="295">
        <v>2018</v>
      </c>
      <c r="B224" s="295">
        <v>7</v>
      </c>
      <c r="C224" s="295" t="s">
        <v>2</v>
      </c>
      <c r="D224" s="295" t="s">
        <v>259</v>
      </c>
      <c r="E224" s="296">
        <v>0.76022000000000001</v>
      </c>
    </row>
    <row r="225" spans="1:5" x14ac:dyDescent="0.3">
      <c r="A225" s="295">
        <v>2018</v>
      </c>
      <c r="B225" s="295">
        <v>7</v>
      </c>
      <c r="C225" s="295" t="s">
        <v>2</v>
      </c>
      <c r="D225" s="295" t="s">
        <v>85</v>
      </c>
      <c r="E225" s="296">
        <v>3.7336399999999998</v>
      </c>
    </row>
    <row r="226" spans="1:5" x14ac:dyDescent="0.3">
      <c r="A226" s="295">
        <v>2018</v>
      </c>
      <c r="B226" s="295">
        <v>7</v>
      </c>
      <c r="C226" s="295" t="s">
        <v>2</v>
      </c>
      <c r="D226" s="295" t="s">
        <v>101</v>
      </c>
      <c r="E226" s="296">
        <v>18.559989999999999</v>
      </c>
    </row>
    <row r="227" spans="1:5" x14ac:dyDescent="0.3">
      <c r="A227" s="295">
        <v>2018</v>
      </c>
      <c r="B227" s="295">
        <v>7</v>
      </c>
      <c r="C227" s="295" t="s">
        <v>2</v>
      </c>
      <c r="D227" s="295" t="s">
        <v>179</v>
      </c>
      <c r="E227" s="296">
        <v>639.87986000000001</v>
      </c>
    </row>
    <row r="228" spans="1:5" x14ac:dyDescent="0.3">
      <c r="A228" s="295">
        <v>2018</v>
      </c>
      <c r="B228" s="295">
        <v>7</v>
      </c>
      <c r="C228" s="295" t="s">
        <v>259</v>
      </c>
      <c r="D228" s="295" t="s">
        <v>1</v>
      </c>
      <c r="E228" s="296">
        <v>1.1208199999999999</v>
      </c>
    </row>
    <row r="229" spans="1:5" x14ac:dyDescent="0.3">
      <c r="A229" s="295">
        <v>2018</v>
      </c>
      <c r="B229" s="295">
        <v>7</v>
      </c>
      <c r="C229" s="295" t="s">
        <v>259</v>
      </c>
      <c r="D229" s="295" t="s">
        <v>2</v>
      </c>
      <c r="E229" s="296">
        <v>1.3153999999999999</v>
      </c>
    </row>
    <row r="230" spans="1:5" x14ac:dyDescent="0.3">
      <c r="A230" s="295">
        <v>2018</v>
      </c>
      <c r="B230" s="295">
        <v>7</v>
      </c>
      <c r="C230" s="295" t="s">
        <v>259</v>
      </c>
      <c r="D230" s="295" t="s">
        <v>85</v>
      </c>
      <c r="E230" s="296">
        <v>4.9112299999999998</v>
      </c>
    </row>
    <row r="231" spans="1:5" x14ac:dyDescent="0.3">
      <c r="A231" s="295">
        <v>2018</v>
      </c>
      <c r="B231" s="295">
        <v>7</v>
      </c>
      <c r="C231" s="295" t="s">
        <v>259</v>
      </c>
      <c r="D231" s="295" t="s">
        <v>101</v>
      </c>
      <c r="E231" s="296">
        <v>24.413810000000002</v>
      </c>
    </row>
    <row r="232" spans="1:5" x14ac:dyDescent="0.3">
      <c r="A232" s="295">
        <v>2018</v>
      </c>
      <c r="B232" s="295">
        <v>7</v>
      </c>
      <c r="C232" s="295" t="s">
        <v>259</v>
      </c>
      <c r="D232" s="295" t="s">
        <v>179</v>
      </c>
      <c r="E232" s="296">
        <v>841.69804999999997</v>
      </c>
    </row>
    <row r="233" spans="1:5" x14ac:dyDescent="0.3">
      <c r="A233" s="295">
        <v>2018</v>
      </c>
      <c r="B233" s="295">
        <v>7</v>
      </c>
      <c r="C233" s="295" t="s">
        <v>85</v>
      </c>
      <c r="D233" s="295" t="s">
        <v>1</v>
      </c>
      <c r="E233" s="296">
        <v>0.22822000000000001</v>
      </c>
    </row>
    <row r="234" spans="1:5" x14ac:dyDescent="0.3">
      <c r="A234" s="295">
        <v>2018</v>
      </c>
      <c r="B234" s="295">
        <v>7</v>
      </c>
      <c r="C234" s="295" t="s">
        <v>85</v>
      </c>
      <c r="D234" s="295" t="s">
        <v>2</v>
      </c>
      <c r="E234" s="296">
        <v>0.26784000000000002</v>
      </c>
    </row>
    <row r="235" spans="1:5" x14ac:dyDescent="0.3">
      <c r="A235" s="295">
        <v>2018</v>
      </c>
      <c r="B235" s="295">
        <v>7</v>
      </c>
      <c r="C235" s="295" t="s">
        <v>85</v>
      </c>
      <c r="D235" s="295" t="s">
        <v>259</v>
      </c>
      <c r="E235" s="296">
        <v>0.20361000000000001</v>
      </c>
    </row>
    <row r="236" spans="1:5" x14ac:dyDescent="0.3">
      <c r="A236" s="295">
        <v>2018</v>
      </c>
      <c r="B236" s="295">
        <v>7</v>
      </c>
      <c r="C236" s="295" t="s">
        <v>85</v>
      </c>
      <c r="D236" s="295" t="s">
        <v>101</v>
      </c>
      <c r="E236" s="296">
        <v>4.9710200000000002</v>
      </c>
    </row>
    <row r="237" spans="1:5" x14ac:dyDescent="0.3">
      <c r="A237" s="295">
        <v>2018</v>
      </c>
      <c r="B237" s="295">
        <v>7</v>
      </c>
      <c r="C237" s="295" t="s">
        <v>85</v>
      </c>
      <c r="D237" s="295" t="s">
        <v>179</v>
      </c>
      <c r="E237" s="296">
        <v>171.38230999999999</v>
      </c>
    </row>
    <row r="238" spans="1:5" x14ac:dyDescent="0.3">
      <c r="A238" s="295">
        <v>2018</v>
      </c>
      <c r="B238" s="295">
        <v>7</v>
      </c>
      <c r="C238" s="295" t="s">
        <v>101</v>
      </c>
      <c r="D238" s="295" t="s">
        <v>1</v>
      </c>
      <c r="E238" s="296">
        <v>4.5909999999999999E-2</v>
      </c>
    </row>
    <row r="239" spans="1:5" x14ac:dyDescent="0.3">
      <c r="A239" s="295">
        <v>2018</v>
      </c>
      <c r="B239" s="295">
        <v>7</v>
      </c>
      <c r="C239" s="295" t="s">
        <v>101</v>
      </c>
      <c r="D239" s="295" t="s">
        <v>2</v>
      </c>
      <c r="E239" s="296">
        <v>5.3879999999999997E-2</v>
      </c>
    </row>
    <row r="240" spans="1:5" x14ac:dyDescent="0.3">
      <c r="A240" s="295">
        <v>2018</v>
      </c>
      <c r="B240" s="295">
        <v>7</v>
      </c>
      <c r="C240" s="295" t="s">
        <v>101</v>
      </c>
      <c r="D240" s="295" t="s">
        <v>259</v>
      </c>
      <c r="E240" s="296">
        <v>4.0960000000000003E-2</v>
      </c>
    </row>
    <row r="241" spans="1:5" x14ac:dyDescent="0.3">
      <c r="A241" s="295">
        <v>2018</v>
      </c>
      <c r="B241" s="295">
        <v>7</v>
      </c>
      <c r="C241" s="295" t="s">
        <v>101</v>
      </c>
      <c r="D241" s="295" t="s">
        <v>85</v>
      </c>
      <c r="E241" s="296">
        <v>0.20116999999999999</v>
      </c>
    </row>
    <row r="242" spans="1:5" x14ac:dyDescent="0.3">
      <c r="A242" s="295">
        <v>2018</v>
      </c>
      <c r="B242" s="295">
        <v>7</v>
      </c>
      <c r="C242" s="295" t="s">
        <v>101</v>
      </c>
      <c r="D242" s="295" t="s">
        <v>179</v>
      </c>
      <c r="E242" s="296">
        <v>34.476309999999998</v>
      </c>
    </row>
    <row r="243" spans="1:5" x14ac:dyDescent="0.3">
      <c r="A243" s="295">
        <v>2018</v>
      </c>
      <c r="B243" s="295">
        <v>7</v>
      </c>
      <c r="C243" s="295" t="s">
        <v>179</v>
      </c>
      <c r="D243" s="295" t="s">
        <v>1</v>
      </c>
      <c r="E243" s="296">
        <v>1.33E-3</v>
      </c>
    </row>
    <row r="244" spans="1:5" x14ac:dyDescent="0.3">
      <c r="A244" s="295">
        <v>2018</v>
      </c>
      <c r="B244" s="295">
        <v>7</v>
      </c>
      <c r="C244" s="295" t="s">
        <v>179</v>
      </c>
      <c r="D244" s="295" t="s">
        <v>2</v>
      </c>
      <c r="E244" s="296">
        <v>1.56E-3</v>
      </c>
    </row>
    <row r="245" spans="1:5" x14ac:dyDescent="0.3">
      <c r="A245" s="295">
        <v>2018</v>
      </c>
      <c r="B245" s="295">
        <v>7</v>
      </c>
      <c r="C245" s="295" t="s">
        <v>179</v>
      </c>
      <c r="D245" s="295" t="s">
        <v>259</v>
      </c>
      <c r="E245" s="296">
        <v>1.1900000000000001E-3</v>
      </c>
    </row>
    <row r="246" spans="1:5" x14ac:dyDescent="0.3">
      <c r="A246" s="295">
        <v>2018</v>
      </c>
      <c r="B246" s="295">
        <v>7</v>
      </c>
      <c r="C246" s="295" t="s">
        <v>179</v>
      </c>
      <c r="D246" s="295" t="s">
        <v>85</v>
      </c>
      <c r="E246" s="296">
        <v>5.8300000000000001E-3</v>
      </c>
    </row>
    <row r="247" spans="1:5" x14ac:dyDescent="0.3">
      <c r="A247" s="295">
        <v>2018</v>
      </c>
      <c r="B247" s="295">
        <v>7</v>
      </c>
      <c r="C247" s="295" t="s">
        <v>179</v>
      </c>
      <c r="D247" s="295" t="s">
        <v>101</v>
      </c>
      <c r="E247" s="296">
        <v>2.9010000000000001E-2</v>
      </c>
    </row>
    <row r="248" spans="1:5" x14ac:dyDescent="0.3">
      <c r="A248" s="295">
        <v>2018</v>
      </c>
      <c r="B248" s="295">
        <v>7</v>
      </c>
      <c r="C248" s="295" t="s">
        <v>2</v>
      </c>
      <c r="D248" s="295" t="s">
        <v>2</v>
      </c>
      <c r="E248" s="296">
        <v>1</v>
      </c>
    </row>
    <row r="249" spans="1:5" x14ac:dyDescent="0.3">
      <c r="A249" s="295">
        <v>2018</v>
      </c>
      <c r="B249" s="295">
        <v>7</v>
      </c>
      <c r="C249" s="295" t="s">
        <v>1</v>
      </c>
      <c r="D249" s="295" t="s">
        <v>1</v>
      </c>
      <c r="E249" s="296">
        <v>1</v>
      </c>
    </row>
    <row r="250" spans="1:5" x14ac:dyDescent="0.3">
      <c r="A250" s="295">
        <v>2018</v>
      </c>
      <c r="B250" s="295">
        <v>7</v>
      </c>
      <c r="C250" s="295" t="s">
        <v>259</v>
      </c>
      <c r="D250" s="295" t="s">
        <v>259</v>
      </c>
      <c r="E250" s="296">
        <v>1</v>
      </c>
    </row>
    <row r="251" spans="1:5" x14ac:dyDescent="0.3">
      <c r="A251" s="295">
        <v>2018</v>
      </c>
      <c r="B251" s="295">
        <v>7</v>
      </c>
      <c r="C251" s="295" t="s">
        <v>85</v>
      </c>
      <c r="D251" s="295" t="s">
        <v>85</v>
      </c>
      <c r="E251" s="296">
        <v>1</v>
      </c>
    </row>
    <row r="252" spans="1:5" x14ac:dyDescent="0.3">
      <c r="A252" s="295">
        <v>2018</v>
      </c>
      <c r="B252" s="295">
        <v>7</v>
      </c>
      <c r="C252" s="295" t="s">
        <v>101</v>
      </c>
      <c r="D252" s="295" t="s">
        <v>101</v>
      </c>
      <c r="E252" s="296">
        <v>1</v>
      </c>
    </row>
    <row r="253" spans="1:5" x14ac:dyDescent="0.3">
      <c r="A253" s="295">
        <v>2018</v>
      </c>
      <c r="B253" s="295">
        <v>7</v>
      </c>
      <c r="C253" s="295" t="s">
        <v>179</v>
      </c>
      <c r="D253" s="295" t="s">
        <v>179</v>
      </c>
      <c r="E253" s="296">
        <v>1</v>
      </c>
    </row>
    <row r="254" spans="1:5" x14ac:dyDescent="0.3">
      <c r="A254" s="295">
        <v>2018</v>
      </c>
      <c r="B254" s="295">
        <v>8</v>
      </c>
      <c r="C254" s="295" t="s">
        <v>1</v>
      </c>
      <c r="D254" s="295" t="s">
        <v>2</v>
      </c>
      <c r="E254" s="296">
        <v>1.1651</v>
      </c>
    </row>
    <row r="255" spans="1:5" x14ac:dyDescent="0.3">
      <c r="A255" s="295">
        <v>2018</v>
      </c>
      <c r="B255" s="295">
        <v>8</v>
      </c>
      <c r="C255" s="295" t="s">
        <v>1</v>
      </c>
      <c r="D255" s="295" t="s">
        <v>259</v>
      </c>
      <c r="E255" s="296">
        <v>0.89739999999999998</v>
      </c>
    </row>
    <row r="256" spans="1:5" x14ac:dyDescent="0.3">
      <c r="A256" s="295">
        <v>2018</v>
      </c>
      <c r="B256" s="295">
        <v>8</v>
      </c>
      <c r="C256" s="295" t="s">
        <v>1</v>
      </c>
      <c r="D256" s="295" t="s">
        <v>85</v>
      </c>
      <c r="E256" s="296">
        <v>4.8590999999999998</v>
      </c>
    </row>
    <row r="257" spans="1:5" x14ac:dyDescent="0.3">
      <c r="A257" s="295">
        <v>2018</v>
      </c>
      <c r="B257" s="295">
        <v>8</v>
      </c>
      <c r="C257" s="295" t="s">
        <v>1</v>
      </c>
      <c r="D257" s="295" t="s">
        <v>101</v>
      </c>
      <c r="E257" s="296">
        <v>22.3628</v>
      </c>
    </row>
    <row r="258" spans="1:5" x14ac:dyDescent="0.3">
      <c r="A258" s="295">
        <v>2018</v>
      </c>
      <c r="B258" s="295">
        <v>8</v>
      </c>
      <c r="C258" s="295" t="s">
        <v>1</v>
      </c>
      <c r="D258" s="295" t="s">
        <v>179</v>
      </c>
      <c r="E258" s="296">
        <v>789.36699999999996</v>
      </c>
    </row>
    <row r="259" spans="1:5" x14ac:dyDescent="0.3">
      <c r="A259" s="295">
        <v>2018</v>
      </c>
      <c r="B259" s="295">
        <v>8</v>
      </c>
      <c r="C259" s="295" t="s">
        <v>2</v>
      </c>
      <c r="D259" s="295" t="s">
        <v>1</v>
      </c>
      <c r="E259" s="296">
        <v>0.85829999999999995</v>
      </c>
    </row>
    <row r="260" spans="1:5" x14ac:dyDescent="0.3">
      <c r="A260" s="295">
        <v>2018</v>
      </c>
      <c r="B260" s="295">
        <v>8</v>
      </c>
      <c r="C260" s="295" t="s">
        <v>2</v>
      </c>
      <c r="D260" s="295" t="s">
        <v>259</v>
      </c>
      <c r="E260" s="296">
        <v>0.77022999999999997</v>
      </c>
    </row>
    <row r="261" spans="1:5" x14ac:dyDescent="0.3">
      <c r="A261" s="295">
        <v>2018</v>
      </c>
      <c r="B261" s="295">
        <v>8</v>
      </c>
      <c r="C261" s="295" t="s">
        <v>2</v>
      </c>
      <c r="D261" s="295" t="s">
        <v>85</v>
      </c>
      <c r="E261" s="296">
        <v>4.1705399999999999</v>
      </c>
    </row>
    <row r="262" spans="1:5" x14ac:dyDescent="0.3">
      <c r="A262" s="295">
        <v>2018</v>
      </c>
      <c r="B262" s="295">
        <v>8</v>
      </c>
      <c r="C262" s="295" t="s">
        <v>2</v>
      </c>
      <c r="D262" s="295" t="s">
        <v>101</v>
      </c>
      <c r="E262" s="296">
        <v>19.19389</v>
      </c>
    </row>
    <row r="263" spans="1:5" x14ac:dyDescent="0.3">
      <c r="A263" s="295">
        <v>2018</v>
      </c>
      <c r="B263" s="295">
        <v>8</v>
      </c>
      <c r="C263" s="295" t="s">
        <v>2</v>
      </c>
      <c r="D263" s="295" t="s">
        <v>179</v>
      </c>
      <c r="E263" s="296">
        <v>677.51008000000002</v>
      </c>
    </row>
    <row r="264" spans="1:5" x14ac:dyDescent="0.3">
      <c r="A264" s="295">
        <v>2018</v>
      </c>
      <c r="B264" s="295">
        <v>8</v>
      </c>
      <c r="C264" s="295" t="s">
        <v>259</v>
      </c>
      <c r="D264" s="295" t="s">
        <v>1</v>
      </c>
      <c r="E264" s="296">
        <v>0.89739999999999998</v>
      </c>
    </row>
    <row r="265" spans="1:5" x14ac:dyDescent="0.3">
      <c r="A265" s="295">
        <v>2018</v>
      </c>
      <c r="B265" s="295">
        <v>8</v>
      </c>
      <c r="C265" s="295" t="s">
        <v>259</v>
      </c>
      <c r="D265" s="295" t="s">
        <v>2</v>
      </c>
      <c r="E265" s="296">
        <v>1.2983100000000001</v>
      </c>
    </row>
    <row r="266" spans="1:5" x14ac:dyDescent="0.3">
      <c r="A266" s="295">
        <v>2018</v>
      </c>
      <c r="B266" s="295">
        <v>8</v>
      </c>
      <c r="C266" s="295" t="s">
        <v>259</v>
      </c>
      <c r="D266" s="295" t="s">
        <v>85</v>
      </c>
      <c r="E266" s="296">
        <v>5.4146400000000003</v>
      </c>
    </row>
    <row r="267" spans="1:5" x14ac:dyDescent="0.3">
      <c r="A267" s="295">
        <v>2018</v>
      </c>
      <c r="B267" s="295">
        <v>8</v>
      </c>
      <c r="C267" s="295" t="s">
        <v>259</v>
      </c>
      <c r="D267" s="295" t="s">
        <v>101</v>
      </c>
      <c r="E267" s="296">
        <v>24.919550000000001</v>
      </c>
    </row>
    <row r="268" spans="1:5" x14ac:dyDescent="0.3">
      <c r="A268" s="295">
        <v>2018</v>
      </c>
      <c r="B268" s="295">
        <v>8</v>
      </c>
      <c r="C268" s="295" t="s">
        <v>259</v>
      </c>
      <c r="D268" s="295" t="s">
        <v>179</v>
      </c>
      <c r="E268" s="296">
        <v>1.2983100000000001</v>
      </c>
    </row>
    <row r="269" spans="1:5" x14ac:dyDescent="0.3">
      <c r="A269" s="295">
        <v>2018</v>
      </c>
      <c r="B269" s="295">
        <v>8</v>
      </c>
      <c r="C269" s="295" t="s">
        <v>85</v>
      </c>
      <c r="D269" s="295" t="s">
        <v>1</v>
      </c>
      <c r="E269" s="296">
        <v>0.20580000000000001</v>
      </c>
    </row>
    <row r="270" spans="1:5" x14ac:dyDescent="0.3">
      <c r="A270" s="295">
        <v>2018</v>
      </c>
      <c r="B270" s="295">
        <v>8</v>
      </c>
      <c r="C270" s="295" t="s">
        <v>85</v>
      </c>
      <c r="D270" s="295" t="s">
        <v>2</v>
      </c>
      <c r="E270" s="296">
        <v>0.23977999999999999</v>
      </c>
    </row>
    <row r="271" spans="1:5" x14ac:dyDescent="0.3">
      <c r="A271" s="295">
        <v>2018</v>
      </c>
      <c r="B271" s="295">
        <v>8</v>
      </c>
      <c r="C271" s="295" t="s">
        <v>85</v>
      </c>
      <c r="D271" s="295" t="s">
        <v>259</v>
      </c>
      <c r="E271" s="296">
        <v>0.18468000000000001</v>
      </c>
    </row>
    <row r="272" spans="1:5" x14ac:dyDescent="0.3">
      <c r="A272" s="295">
        <v>2018</v>
      </c>
      <c r="B272" s="295">
        <v>8</v>
      </c>
      <c r="C272" s="295" t="s">
        <v>85</v>
      </c>
      <c r="D272" s="295" t="s">
        <v>101</v>
      </c>
      <c r="E272" s="296">
        <v>4.6022499999999997</v>
      </c>
    </row>
    <row r="273" spans="1:5" x14ac:dyDescent="0.3">
      <c r="A273" s="295">
        <v>2018</v>
      </c>
      <c r="B273" s="295">
        <v>8</v>
      </c>
      <c r="C273" s="295" t="s">
        <v>85</v>
      </c>
      <c r="D273" s="295" t="s">
        <v>179</v>
      </c>
      <c r="E273" s="296">
        <v>162.45128</v>
      </c>
    </row>
    <row r="274" spans="1:5" x14ac:dyDescent="0.3">
      <c r="A274" s="295">
        <v>2018</v>
      </c>
      <c r="B274" s="295">
        <v>8</v>
      </c>
      <c r="C274" s="295" t="s">
        <v>101</v>
      </c>
      <c r="D274" s="295" t="s">
        <v>1</v>
      </c>
      <c r="E274" s="296">
        <v>4.4720000000000003E-2</v>
      </c>
    </row>
    <row r="275" spans="1:5" x14ac:dyDescent="0.3">
      <c r="A275" s="295">
        <v>2018</v>
      </c>
      <c r="B275" s="295">
        <v>8</v>
      </c>
      <c r="C275" s="295" t="s">
        <v>101</v>
      </c>
      <c r="D275" s="295" t="s">
        <v>2</v>
      </c>
      <c r="E275" s="296">
        <v>5.21E-2</v>
      </c>
    </row>
    <row r="276" spans="1:5" x14ac:dyDescent="0.3">
      <c r="A276" s="295">
        <v>2018</v>
      </c>
      <c r="B276" s="295">
        <v>8</v>
      </c>
      <c r="C276" s="295" t="s">
        <v>101</v>
      </c>
      <c r="D276" s="295" t="s">
        <v>259</v>
      </c>
      <c r="E276" s="296">
        <v>4.0129999999999999E-2</v>
      </c>
    </row>
    <row r="277" spans="1:5" x14ac:dyDescent="0.3">
      <c r="A277" s="295">
        <v>2018</v>
      </c>
      <c r="B277" s="295">
        <v>8</v>
      </c>
      <c r="C277" s="295" t="s">
        <v>101</v>
      </c>
      <c r="D277" s="295" t="s">
        <v>85</v>
      </c>
      <c r="E277" s="296">
        <v>0.21728</v>
      </c>
    </row>
    <row r="278" spans="1:5" x14ac:dyDescent="0.3">
      <c r="A278" s="295">
        <v>2018</v>
      </c>
      <c r="B278" s="295">
        <v>8</v>
      </c>
      <c r="C278" s="295" t="s">
        <v>101</v>
      </c>
      <c r="D278" s="295" t="s">
        <v>179</v>
      </c>
      <c r="E278" s="296">
        <v>35.298220000000001</v>
      </c>
    </row>
    <row r="279" spans="1:5" x14ac:dyDescent="0.3">
      <c r="A279" s="295">
        <v>2018</v>
      </c>
      <c r="B279" s="295">
        <v>8</v>
      </c>
      <c r="C279" s="295" t="s">
        <v>179</v>
      </c>
      <c r="D279" s="295" t="s">
        <v>1</v>
      </c>
      <c r="E279" s="296">
        <v>1.2700000000000001E-3</v>
      </c>
    </row>
    <row r="280" spans="1:5" x14ac:dyDescent="0.3">
      <c r="A280" s="295">
        <v>2018</v>
      </c>
      <c r="B280" s="295">
        <v>8</v>
      </c>
      <c r="C280" s="295" t="s">
        <v>179</v>
      </c>
      <c r="D280" s="295" t="s">
        <v>2</v>
      </c>
      <c r="E280" s="296">
        <v>1.48E-3</v>
      </c>
    </row>
    <row r="281" spans="1:5" x14ac:dyDescent="0.3">
      <c r="A281" s="295">
        <v>2018</v>
      </c>
      <c r="B281" s="295">
        <v>8</v>
      </c>
      <c r="C281" s="295" t="s">
        <v>179</v>
      </c>
      <c r="D281" s="295" t="s">
        <v>259</v>
      </c>
      <c r="E281" s="296">
        <v>1.14E-3</v>
      </c>
    </row>
    <row r="282" spans="1:5" x14ac:dyDescent="0.3">
      <c r="A282" s="295">
        <v>2018</v>
      </c>
      <c r="B282" s="295">
        <v>8</v>
      </c>
      <c r="C282" s="295" t="s">
        <v>179</v>
      </c>
      <c r="D282" s="295" t="s">
        <v>85</v>
      </c>
      <c r="E282" s="296">
        <v>6.1599999999999997E-3</v>
      </c>
    </row>
    <row r="283" spans="1:5" x14ac:dyDescent="0.3">
      <c r="A283" s="295">
        <v>2018</v>
      </c>
      <c r="B283" s="295">
        <v>8</v>
      </c>
      <c r="C283" s="295" t="s">
        <v>179</v>
      </c>
      <c r="D283" s="295" t="s">
        <v>101</v>
      </c>
      <c r="E283" s="296">
        <v>2.8330000000000001E-2</v>
      </c>
    </row>
    <row r="284" spans="1:5" x14ac:dyDescent="0.3">
      <c r="A284" s="295">
        <v>2018</v>
      </c>
      <c r="B284" s="295">
        <v>8</v>
      </c>
      <c r="C284" s="295" t="s">
        <v>2</v>
      </c>
      <c r="D284" s="295" t="s">
        <v>2</v>
      </c>
      <c r="E284" s="296">
        <v>1</v>
      </c>
    </row>
    <row r="285" spans="1:5" x14ac:dyDescent="0.3">
      <c r="A285" s="295">
        <v>2018</v>
      </c>
      <c r="B285" s="295">
        <v>8</v>
      </c>
      <c r="C285" s="295" t="s">
        <v>1</v>
      </c>
      <c r="D285" s="295" t="s">
        <v>1</v>
      </c>
      <c r="E285" s="296">
        <v>1</v>
      </c>
    </row>
    <row r="286" spans="1:5" x14ac:dyDescent="0.3">
      <c r="A286" s="295">
        <v>2018</v>
      </c>
      <c r="B286" s="295">
        <v>8</v>
      </c>
      <c r="C286" s="295" t="s">
        <v>259</v>
      </c>
      <c r="D286" s="295" t="s">
        <v>259</v>
      </c>
      <c r="E286" s="296">
        <v>1</v>
      </c>
    </row>
    <row r="287" spans="1:5" x14ac:dyDescent="0.3">
      <c r="A287" s="295">
        <v>2018</v>
      </c>
      <c r="B287" s="295">
        <v>8</v>
      </c>
      <c r="C287" s="295" t="s">
        <v>85</v>
      </c>
      <c r="D287" s="295" t="s">
        <v>85</v>
      </c>
      <c r="E287" s="296">
        <v>1</v>
      </c>
    </row>
    <row r="288" spans="1:5" x14ac:dyDescent="0.3">
      <c r="A288" s="295">
        <v>2018</v>
      </c>
      <c r="B288" s="295">
        <v>8</v>
      </c>
      <c r="C288" s="295" t="s">
        <v>101</v>
      </c>
      <c r="D288" s="295" t="s">
        <v>101</v>
      </c>
      <c r="E288" s="296">
        <v>1</v>
      </c>
    </row>
    <row r="289" spans="1:5" x14ac:dyDescent="0.3">
      <c r="A289" s="295">
        <v>2018</v>
      </c>
      <c r="B289" s="295">
        <v>8</v>
      </c>
      <c r="C289" s="295" t="s">
        <v>179</v>
      </c>
      <c r="D289" s="295" t="s">
        <v>179</v>
      </c>
      <c r="E289" s="296">
        <v>1</v>
      </c>
    </row>
    <row r="290" spans="1:5" x14ac:dyDescent="0.3">
      <c r="A290" s="295">
        <v>2018</v>
      </c>
      <c r="B290" s="295">
        <v>9</v>
      </c>
      <c r="C290" s="295" t="s">
        <v>1</v>
      </c>
      <c r="D290" s="295" t="s">
        <v>2</v>
      </c>
      <c r="E290" s="296">
        <v>1.1576</v>
      </c>
    </row>
    <row r="291" spans="1:5" x14ac:dyDescent="0.3">
      <c r="A291" s="295">
        <v>2018</v>
      </c>
      <c r="B291" s="295">
        <v>9</v>
      </c>
      <c r="C291" s="295" t="s">
        <v>1</v>
      </c>
      <c r="D291" s="295" t="s">
        <v>259</v>
      </c>
      <c r="E291" s="296">
        <v>0.88729999999999998</v>
      </c>
    </row>
    <row r="292" spans="1:5" x14ac:dyDescent="0.3">
      <c r="A292" s="295">
        <v>2018</v>
      </c>
      <c r="B292" s="295">
        <v>9</v>
      </c>
      <c r="C292" s="295" t="s">
        <v>1</v>
      </c>
      <c r="D292" s="295" t="s">
        <v>85</v>
      </c>
      <c r="E292" s="296">
        <v>4.6535000000000002</v>
      </c>
    </row>
    <row r="293" spans="1:5" x14ac:dyDescent="0.3">
      <c r="A293" s="295">
        <v>2018</v>
      </c>
      <c r="B293" s="295">
        <v>9</v>
      </c>
      <c r="C293" s="295" t="s">
        <v>1</v>
      </c>
      <c r="D293" s="295" t="s">
        <v>101</v>
      </c>
      <c r="E293" s="296">
        <v>21.78</v>
      </c>
    </row>
    <row r="294" spans="1:5" x14ac:dyDescent="0.3">
      <c r="A294" s="295">
        <v>2018</v>
      </c>
      <c r="B294" s="295">
        <v>9</v>
      </c>
      <c r="C294" s="295" t="s">
        <v>1</v>
      </c>
      <c r="D294" s="295" t="s">
        <v>179</v>
      </c>
      <c r="E294" s="296">
        <v>766.21500000000003</v>
      </c>
    </row>
    <row r="295" spans="1:5" x14ac:dyDescent="0.3">
      <c r="A295" s="295">
        <v>2018</v>
      </c>
      <c r="B295" s="295">
        <v>9</v>
      </c>
      <c r="C295" s="295" t="s">
        <v>2</v>
      </c>
      <c r="D295" s="295" t="s">
        <v>1</v>
      </c>
      <c r="E295" s="296">
        <v>0.86385999999999996</v>
      </c>
    </row>
    <row r="296" spans="1:5" x14ac:dyDescent="0.3">
      <c r="A296" s="295">
        <v>2018</v>
      </c>
      <c r="B296" s="295">
        <v>9</v>
      </c>
      <c r="C296" s="295" t="s">
        <v>2</v>
      </c>
      <c r="D296" s="295" t="s">
        <v>259</v>
      </c>
      <c r="E296" s="296">
        <v>0.76649999999999996</v>
      </c>
    </row>
    <row r="297" spans="1:5" x14ac:dyDescent="0.3">
      <c r="A297" s="295">
        <v>2018</v>
      </c>
      <c r="B297" s="295">
        <v>9</v>
      </c>
      <c r="C297" s="295" t="s">
        <v>2</v>
      </c>
      <c r="D297" s="295" t="s">
        <v>85</v>
      </c>
      <c r="E297" s="296">
        <v>4.0199600000000002</v>
      </c>
    </row>
    <row r="298" spans="1:5" x14ac:dyDescent="0.3">
      <c r="A298" s="295">
        <v>2018</v>
      </c>
      <c r="B298" s="295">
        <v>9</v>
      </c>
      <c r="C298" s="295" t="s">
        <v>2</v>
      </c>
      <c r="D298" s="295" t="s">
        <v>101</v>
      </c>
      <c r="E298" s="296">
        <v>18.814789999999999</v>
      </c>
    </row>
    <row r="299" spans="1:5" x14ac:dyDescent="0.3">
      <c r="A299" s="295">
        <v>2018</v>
      </c>
      <c r="B299" s="295">
        <v>9</v>
      </c>
      <c r="C299" s="295" t="s">
        <v>2</v>
      </c>
      <c r="D299" s="295" t="s">
        <v>179</v>
      </c>
      <c r="E299" s="296">
        <v>661.89962000000003</v>
      </c>
    </row>
    <row r="300" spans="1:5" x14ac:dyDescent="0.3">
      <c r="A300" s="295">
        <v>2018</v>
      </c>
      <c r="B300" s="295">
        <v>9</v>
      </c>
      <c r="C300" s="295" t="s">
        <v>259</v>
      </c>
      <c r="D300" s="295" t="s">
        <v>1</v>
      </c>
      <c r="E300" s="296">
        <v>1.1270100000000001</v>
      </c>
    </row>
    <row r="301" spans="1:5" x14ac:dyDescent="0.3">
      <c r="A301" s="295">
        <v>2018</v>
      </c>
      <c r="B301" s="295">
        <v>9</v>
      </c>
      <c r="C301" s="295" t="s">
        <v>259</v>
      </c>
      <c r="D301" s="295" t="s">
        <v>2</v>
      </c>
      <c r="E301" s="296">
        <v>1.30463</v>
      </c>
    </row>
    <row r="302" spans="1:5" x14ac:dyDescent="0.3">
      <c r="A302" s="295">
        <v>2018</v>
      </c>
      <c r="B302" s="295">
        <v>9</v>
      </c>
      <c r="C302" s="295" t="s">
        <v>259</v>
      </c>
      <c r="D302" s="295" t="s">
        <v>85</v>
      </c>
      <c r="E302" s="296">
        <v>5.2445599999999999</v>
      </c>
    </row>
    <row r="303" spans="1:5" x14ac:dyDescent="0.3">
      <c r="A303" s="295">
        <v>2018</v>
      </c>
      <c r="B303" s="295">
        <v>9</v>
      </c>
      <c r="C303" s="295" t="s">
        <v>259</v>
      </c>
      <c r="D303" s="295" t="s">
        <v>101</v>
      </c>
      <c r="E303" s="296">
        <v>24.546379999999999</v>
      </c>
    </row>
    <row r="304" spans="1:5" x14ac:dyDescent="0.3">
      <c r="A304" s="295">
        <v>2018</v>
      </c>
      <c r="B304" s="295">
        <v>9</v>
      </c>
      <c r="C304" s="295" t="s">
        <v>259</v>
      </c>
      <c r="D304" s="295" t="s">
        <v>179</v>
      </c>
      <c r="E304" s="296">
        <v>863.53543999999999</v>
      </c>
    </row>
    <row r="305" spans="1:5" x14ac:dyDescent="0.3">
      <c r="A305" s="295">
        <v>2018</v>
      </c>
      <c r="B305" s="295">
        <v>9</v>
      </c>
      <c r="C305" s="295" t="s">
        <v>85</v>
      </c>
      <c r="D305" s="295" t="s">
        <v>1</v>
      </c>
      <c r="E305" s="296">
        <v>0.21489</v>
      </c>
    </row>
    <row r="306" spans="1:5" x14ac:dyDescent="0.3">
      <c r="A306" s="295">
        <v>2018</v>
      </c>
      <c r="B306" s="295">
        <v>9</v>
      </c>
      <c r="C306" s="295" t="s">
        <v>85</v>
      </c>
      <c r="D306" s="295" t="s">
        <v>2</v>
      </c>
      <c r="E306" s="296">
        <v>0.24876000000000001</v>
      </c>
    </row>
    <row r="307" spans="1:5" x14ac:dyDescent="0.3">
      <c r="A307" s="295">
        <v>2018</v>
      </c>
      <c r="B307" s="295">
        <v>9</v>
      </c>
      <c r="C307" s="295" t="s">
        <v>85</v>
      </c>
      <c r="D307" s="295" t="s">
        <v>259</v>
      </c>
      <c r="E307" s="296">
        <v>0.19067000000000001</v>
      </c>
    </row>
    <row r="308" spans="1:5" x14ac:dyDescent="0.3">
      <c r="A308" s="295">
        <v>2018</v>
      </c>
      <c r="B308" s="295">
        <v>9</v>
      </c>
      <c r="C308" s="295" t="s">
        <v>85</v>
      </c>
      <c r="D308" s="295" t="s">
        <v>101</v>
      </c>
      <c r="E308" s="296">
        <v>4.6803499999999998</v>
      </c>
    </row>
    <row r="309" spans="1:5" x14ac:dyDescent="0.3">
      <c r="A309" s="295">
        <v>2018</v>
      </c>
      <c r="B309" s="295">
        <v>9</v>
      </c>
      <c r="C309" s="295" t="s">
        <v>85</v>
      </c>
      <c r="D309" s="295" t="s">
        <v>179</v>
      </c>
      <c r="E309" s="296">
        <v>164.65349000000001</v>
      </c>
    </row>
    <row r="310" spans="1:5" x14ac:dyDescent="0.3">
      <c r="A310" s="295">
        <v>2018</v>
      </c>
      <c r="B310" s="295">
        <v>9</v>
      </c>
      <c r="C310" s="295" t="s">
        <v>101</v>
      </c>
      <c r="D310" s="295" t="s">
        <v>1</v>
      </c>
      <c r="E310" s="296">
        <v>4.5909999999999999E-2</v>
      </c>
    </row>
    <row r="311" spans="1:5" x14ac:dyDescent="0.3">
      <c r="A311" s="295">
        <v>2018</v>
      </c>
      <c r="B311" s="295">
        <v>9</v>
      </c>
      <c r="C311" s="295" t="s">
        <v>101</v>
      </c>
      <c r="D311" s="295" t="s">
        <v>2</v>
      </c>
      <c r="E311" s="296">
        <v>5.3150000000000003E-2</v>
      </c>
    </row>
    <row r="312" spans="1:5" x14ac:dyDescent="0.3">
      <c r="A312" s="295">
        <v>2018</v>
      </c>
      <c r="B312" s="295">
        <v>9</v>
      </c>
      <c r="C312" s="295" t="s">
        <v>101</v>
      </c>
      <c r="D312" s="295" t="s">
        <v>259</v>
      </c>
      <c r="E312" s="296">
        <v>4.0739999999999998E-2</v>
      </c>
    </row>
    <row r="313" spans="1:5" x14ac:dyDescent="0.3">
      <c r="A313" s="295">
        <v>2018</v>
      </c>
      <c r="B313" s="295">
        <v>9</v>
      </c>
      <c r="C313" s="295" t="s">
        <v>101</v>
      </c>
      <c r="D313" s="295" t="s">
        <v>85</v>
      </c>
      <c r="E313" s="296">
        <v>0.21365999999999999</v>
      </c>
    </row>
    <row r="314" spans="1:5" x14ac:dyDescent="0.3">
      <c r="A314" s="295">
        <v>2018</v>
      </c>
      <c r="B314" s="295">
        <v>9</v>
      </c>
      <c r="C314" s="295" t="s">
        <v>101</v>
      </c>
      <c r="D314" s="295" t="s">
        <v>179</v>
      </c>
      <c r="E314" s="296">
        <v>35.179749999999999</v>
      </c>
    </row>
    <row r="315" spans="1:5" x14ac:dyDescent="0.3">
      <c r="A315" s="295">
        <v>2018</v>
      </c>
      <c r="B315" s="295">
        <v>9</v>
      </c>
      <c r="C315" s="295" t="s">
        <v>179</v>
      </c>
      <c r="D315" s="295" t="s">
        <v>1</v>
      </c>
      <c r="E315" s="296">
        <v>1.31E-3</v>
      </c>
    </row>
    <row r="316" spans="1:5" x14ac:dyDescent="0.3">
      <c r="A316" s="295">
        <v>2018</v>
      </c>
      <c r="B316" s="295">
        <v>9</v>
      </c>
      <c r="C316" s="295" t="s">
        <v>179</v>
      </c>
      <c r="D316" s="295" t="s">
        <v>2</v>
      </c>
      <c r="E316" s="296">
        <v>1.5100000000000001E-3</v>
      </c>
    </row>
    <row r="317" spans="1:5" x14ac:dyDescent="0.3">
      <c r="A317" s="295">
        <v>2018</v>
      </c>
      <c r="B317" s="295">
        <v>9</v>
      </c>
      <c r="C317" s="295" t="s">
        <v>179</v>
      </c>
      <c r="D317" s="295" t="s">
        <v>259</v>
      </c>
      <c r="E317" s="296">
        <v>1.16E-3</v>
      </c>
    </row>
    <row r="318" spans="1:5" x14ac:dyDescent="0.3">
      <c r="A318" s="295">
        <v>2018</v>
      </c>
      <c r="B318" s="295">
        <v>9</v>
      </c>
      <c r="C318" s="295" t="s">
        <v>179</v>
      </c>
      <c r="D318" s="295" t="s">
        <v>85</v>
      </c>
      <c r="E318" s="296">
        <v>6.0699999999999999E-3</v>
      </c>
    </row>
    <row r="319" spans="1:5" x14ac:dyDescent="0.3">
      <c r="A319" s="295">
        <v>2018</v>
      </c>
      <c r="B319" s="295">
        <v>9</v>
      </c>
      <c r="C319" s="295" t="s">
        <v>179</v>
      </c>
      <c r="D319" s="295" t="s">
        <v>101</v>
      </c>
      <c r="E319" s="296">
        <v>2.843E-2</v>
      </c>
    </row>
    <row r="320" spans="1:5" x14ac:dyDescent="0.3">
      <c r="A320" s="295">
        <v>2018</v>
      </c>
      <c r="B320" s="295">
        <v>9</v>
      </c>
      <c r="C320" s="295" t="s">
        <v>2</v>
      </c>
      <c r="D320" s="295" t="s">
        <v>2</v>
      </c>
      <c r="E320" s="296">
        <v>1</v>
      </c>
    </row>
    <row r="321" spans="1:5" x14ac:dyDescent="0.3">
      <c r="A321" s="295">
        <v>2018</v>
      </c>
      <c r="B321" s="295">
        <v>9</v>
      </c>
      <c r="C321" s="295" t="s">
        <v>1</v>
      </c>
      <c r="D321" s="295" t="s">
        <v>1</v>
      </c>
      <c r="E321" s="296">
        <v>1</v>
      </c>
    </row>
    <row r="322" spans="1:5" x14ac:dyDescent="0.3">
      <c r="A322" s="295">
        <v>2018</v>
      </c>
      <c r="B322" s="295">
        <v>9</v>
      </c>
      <c r="C322" s="295" t="s">
        <v>259</v>
      </c>
      <c r="D322" s="295" t="s">
        <v>259</v>
      </c>
      <c r="E322" s="296">
        <v>1</v>
      </c>
    </row>
    <row r="323" spans="1:5" x14ac:dyDescent="0.3">
      <c r="A323" s="295">
        <v>2018</v>
      </c>
      <c r="B323" s="295">
        <v>9</v>
      </c>
      <c r="C323" s="295" t="s">
        <v>85</v>
      </c>
      <c r="D323" s="295" t="s">
        <v>85</v>
      </c>
      <c r="E323" s="296">
        <v>1</v>
      </c>
    </row>
    <row r="324" spans="1:5" x14ac:dyDescent="0.3">
      <c r="A324" s="295">
        <v>2018</v>
      </c>
      <c r="B324" s="295">
        <v>9</v>
      </c>
      <c r="C324" s="295" t="s">
        <v>101</v>
      </c>
      <c r="D324" s="295" t="s">
        <v>101</v>
      </c>
      <c r="E324" s="296">
        <v>1</v>
      </c>
    </row>
    <row r="325" spans="1:5" x14ac:dyDescent="0.3">
      <c r="A325" s="295">
        <v>2018</v>
      </c>
      <c r="B325" s="295">
        <v>9</v>
      </c>
      <c r="C325" s="295" t="s">
        <v>179</v>
      </c>
      <c r="D325" s="295" t="s">
        <v>179</v>
      </c>
      <c r="E325" s="296">
        <v>1</v>
      </c>
    </row>
    <row r="326" spans="1:5" x14ac:dyDescent="0.3">
      <c r="A326" s="295">
        <v>2018</v>
      </c>
      <c r="B326" s="295">
        <v>10</v>
      </c>
      <c r="C326" s="295" t="s">
        <v>1</v>
      </c>
      <c r="D326" s="295" t="s">
        <v>2</v>
      </c>
      <c r="E326" s="296">
        <v>1.1317999999999999</v>
      </c>
    </row>
    <row r="327" spans="1:5" x14ac:dyDescent="0.3">
      <c r="A327" s="295">
        <v>2018</v>
      </c>
      <c r="B327" s="295">
        <v>10</v>
      </c>
      <c r="C327" s="295" t="s">
        <v>1</v>
      </c>
      <c r="D327" s="295" t="s">
        <v>322</v>
      </c>
      <c r="E327" s="296">
        <v>0.88870000000000005</v>
      </c>
    </row>
    <row r="328" spans="1:5" x14ac:dyDescent="0.3">
      <c r="A328" s="295">
        <v>2018</v>
      </c>
      <c r="B328" s="295">
        <v>10</v>
      </c>
      <c r="C328" s="295" t="s">
        <v>1</v>
      </c>
      <c r="D328" s="295" t="s">
        <v>323</v>
      </c>
      <c r="E328" s="296">
        <v>4.1943000000000001</v>
      </c>
    </row>
    <row r="329" spans="1:5" x14ac:dyDescent="0.3">
      <c r="A329" s="295">
        <v>2018</v>
      </c>
      <c r="B329" s="295">
        <v>10</v>
      </c>
      <c r="C329" s="295" t="s">
        <v>1</v>
      </c>
      <c r="D329" s="295" t="s">
        <v>101</v>
      </c>
      <c r="E329" s="296">
        <v>22.902899999999999</v>
      </c>
    </row>
    <row r="330" spans="1:5" x14ac:dyDescent="0.3">
      <c r="A330" s="295">
        <v>2018</v>
      </c>
      <c r="B330" s="295">
        <v>10</v>
      </c>
      <c r="C330" s="295" t="s">
        <v>1</v>
      </c>
      <c r="D330" s="295" t="s">
        <v>179</v>
      </c>
      <c r="E330" s="296">
        <v>788.58199999999999</v>
      </c>
    </row>
    <row r="331" spans="1:5" x14ac:dyDescent="0.3">
      <c r="A331" s="295">
        <v>2018</v>
      </c>
      <c r="B331" s="295">
        <v>10</v>
      </c>
      <c r="C331" s="295" t="s">
        <v>2</v>
      </c>
      <c r="D331" s="295" t="s">
        <v>1</v>
      </c>
      <c r="E331" s="296">
        <v>0.88360000000000005</v>
      </c>
    </row>
    <row r="332" spans="1:5" x14ac:dyDescent="0.3">
      <c r="A332" s="295">
        <v>2018</v>
      </c>
      <c r="B332" s="295">
        <v>10</v>
      </c>
      <c r="C332" s="295" t="s">
        <v>2</v>
      </c>
      <c r="D332" s="295" t="s">
        <v>259</v>
      </c>
      <c r="E332" s="296">
        <v>0.78520000000000001</v>
      </c>
    </row>
    <row r="333" spans="1:5" x14ac:dyDescent="0.3">
      <c r="A333" s="295">
        <v>2018</v>
      </c>
      <c r="B333" s="295">
        <v>10</v>
      </c>
      <c r="C333" s="295" t="s">
        <v>2</v>
      </c>
      <c r="D333" s="295" t="s">
        <v>85</v>
      </c>
      <c r="E333" s="296">
        <v>3.7059000000000002</v>
      </c>
    </row>
    <row r="334" spans="1:5" x14ac:dyDescent="0.3">
      <c r="A334" s="295">
        <v>2018</v>
      </c>
      <c r="B334" s="295">
        <v>10</v>
      </c>
      <c r="C334" s="295" t="s">
        <v>2</v>
      </c>
      <c r="D334" s="295" t="s">
        <v>101</v>
      </c>
      <c r="E334" s="296">
        <v>20.235800000000001</v>
      </c>
    </row>
    <row r="335" spans="1:5" x14ac:dyDescent="0.3">
      <c r="A335" s="295">
        <v>2018</v>
      </c>
      <c r="B335" s="295">
        <v>10</v>
      </c>
      <c r="C335" s="295" t="s">
        <v>2</v>
      </c>
      <c r="D335" s="295" t="s">
        <v>179</v>
      </c>
      <c r="E335" s="296">
        <v>696.75030000000004</v>
      </c>
    </row>
    <row r="336" spans="1:5" x14ac:dyDescent="0.3">
      <c r="A336" s="295">
        <v>2018</v>
      </c>
      <c r="B336" s="295">
        <v>10</v>
      </c>
      <c r="C336" s="295" t="s">
        <v>259</v>
      </c>
      <c r="D336" s="295" t="s">
        <v>1</v>
      </c>
      <c r="E336" s="296">
        <v>1.1252</v>
      </c>
    </row>
    <row r="337" spans="1:5" x14ac:dyDescent="0.3">
      <c r="A337" s="295">
        <v>2018</v>
      </c>
      <c r="B337" s="295">
        <v>10</v>
      </c>
      <c r="C337" s="295" t="s">
        <v>259</v>
      </c>
      <c r="D337" s="295" t="s">
        <v>2</v>
      </c>
      <c r="E337" s="296">
        <v>1.2735000000000001</v>
      </c>
    </row>
    <row r="338" spans="1:5" x14ac:dyDescent="0.3">
      <c r="A338" s="295">
        <v>2018</v>
      </c>
      <c r="B338" s="295">
        <v>10</v>
      </c>
      <c r="C338" s="295" t="s">
        <v>259</v>
      </c>
      <c r="D338" s="295" t="s">
        <v>85</v>
      </c>
      <c r="E338" s="296">
        <v>4.7194000000000003</v>
      </c>
    </row>
    <row r="339" spans="1:5" x14ac:dyDescent="0.3">
      <c r="A339" s="295">
        <v>2018</v>
      </c>
      <c r="B339" s="295">
        <v>10</v>
      </c>
      <c r="C339" s="295" t="s">
        <v>259</v>
      </c>
      <c r="D339" s="295" t="s">
        <v>101</v>
      </c>
      <c r="E339" s="296">
        <v>25.770399999999999</v>
      </c>
    </row>
    <row r="340" spans="1:5" x14ac:dyDescent="0.3">
      <c r="A340" s="295">
        <v>2018</v>
      </c>
      <c r="B340" s="295">
        <v>10</v>
      </c>
      <c r="C340" s="295" t="s">
        <v>259</v>
      </c>
      <c r="D340" s="295" t="s">
        <v>179</v>
      </c>
      <c r="E340" s="296">
        <v>887.3134</v>
      </c>
    </row>
    <row r="341" spans="1:5" x14ac:dyDescent="0.3">
      <c r="A341" s="295">
        <v>2018</v>
      </c>
      <c r="B341" s="295">
        <v>10</v>
      </c>
      <c r="C341" s="295" t="s">
        <v>85</v>
      </c>
      <c r="D341" s="295" t="s">
        <v>1</v>
      </c>
      <c r="E341" s="296">
        <v>0.2384</v>
      </c>
    </row>
    <row r="342" spans="1:5" x14ac:dyDescent="0.3">
      <c r="A342" s="295">
        <v>2018</v>
      </c>
      <c r="B342" s="295">
        <v>10</v>
      </c>
      <c r="C342" s="295" t="s">
        <v>85</v>
      </c>
      <c r="D342" s="295" t="s">
        <v>2</v>
      </c>
      <c r="E342" s="296">
        <v>0.26979999999999998</v>
      </c>
    </row>
    <row r="343" spans="1:5" x14ac:dyDescent="0.3">
      <c r="A343" s="295">
        <v>2018</v>
      </c>
      <c r="B343" s="295">
        <v>10</v>
      </c>
      <c r="C343" s="295" t="s">
        <v>85</v>
      </c>
      <c r="D343" s="295" t="s">
        <v>259</v>
      </c>
      <c r="E343" s="296">
        <v>0.21190000000000001</v>
      </c>
    </row>
    <row r="344" spans="1:5" x14ac:dyDescent="0.3">
      <c r="A344" s="295">
        <v>2018</v>
      </c>
      <c r="B344" s="295">
        <v>10</v>
      </c>
      <c r="C344" s="295" t="s">
        <v>85</v>
      </c>
      <c r="D344" s="295" t="s">
        <v>101</v>
      </c>
      <c r="E344" s="296">
        <v>5.4604999999999997</v>
      </c>
    </row>
    <row r="345" spans="1:5" x14ac:dyDescent="0.3">
      <c r="A345" s="295">
        <v>2018</v>
      </c>
      <c r="B345" s="295">
        <v>10</v>
      </c>
      <c r="C345" s="295" t="s">
        <v>85</v>
      </c>
      <c r="D345" s="295" t="s">
        <v>179</v>
      </c>
      <c r="E345" s="296">
        <v>188.0128</v>
      </c>
    </row>
    <row r="346" spans="1:5" x14ac:dyDescent="0.3">
      <c r="A346" s="295">
        <v>2018</v>
      </c>
      <c r="B346" s="295">
        <v>10</v>
      </c>
      <c r="C346" s="295" t="s">
        <v>101</v>
      </c>
      <c r="D346" s="295" t="s">
        <v>1</v>
      </c>
      <c r="E346" s="296">
        <v>4.3700000000000003E-2</v>
      </c>
    </row>
    <row r="347" spans="1:5" x14ac:dyDescent="0.3">
      <c r="A347" s="295">
        <v>2018</v>
      </c>
      <c r="B347" s="295">
        <v>10</v>
      </c>
      <c r="C347" s="295" t="s">
        <v>101</v>
      </c>
      <c r="D347" s="295" t="s">
        <v>2</v>
      </c>
      <c r="E347" s="296">
        <v>4.9399999999999999E-2</v>
      </c>
    </row>
    <row r="348" spans="1:5" x14ac:dyDescent="0.3">
      <c r="A348" s="295">
        <v>2018</v>
      </c>
      <c r="B348" s="295">
        <v>10</v>
      </c>
      <c r="C348" s="295" t="s">
        <v>101</v>
      </c>
      <c r="D348" s="295" t="s">
        <v>259</v>
      </c>
      <c r="E348" s="296">
        <v>3.8800000000000001E-2</v>
      </c>
    </row>
    <row r="349" spans="1:5" x14ac:dyDescent="0.3">
      <c r="A349" s="295">
        <v>2018</v>
      </c>
      <c r="B349" s="295">
        <v>10</v>
      </c>
      <c r="C349" s="295" t="s">
        <v>101</v>
      </c>
      <c r="D349" s="295" t="s">
        <v>85</v>
      </c>
      <c r="E349" s="296">
        <v>0.18310000000000001</v>
      </c>
    </row>
    <row r="350" spans="1:5" x14ac:dyDescent="0.3">
      <c r="A350" s="295">
        <v>2018</v>
      </c>
      <c r="B350" s="295">
        <v>10</v>
      </c>
      <c r="C350" s="295" t="s">
        <v>101</v>
      </c>
      <c r="D350" s="295" t="s">
        <v>179</v>
      </c>
      <c r="E350" s="296">
        <v>34.4315</v>
      </c>
    </row>
    <row r="351" spans="1:5" x14ac:dyDescent="0.3">
      <c r="A351" s="295">
        <v>2018</v>
      </c>
      <c r="B351" s="295">
        <v>10</v>
      </c>
      <c r="C351" s="295" t="s">
        <v>179</v>
      </c>
      <c r="D351" s="295" t="s">
        <v>1</v>
      </c>
      <c r="E351" s="296">
        <v>1.2999999999999999E-3</v>
      </c>
    </row>
    <row r="352" spans="1:5" x14ac:dyDescent="0.3">
      <c r="A352" s="295">
        <v>2018</v>
      </c>
      <c r="B352" s="295">
        <v>10</v>
      </c>
      <c r="C352" s="295" t="s">
        <v>179</v>
      </c>
      <c r="D352" s="295" t="s">
        <v>2</v>
      </c>
      <c r="E352" s="296">
        <v>1.4E-3</v>
      </c>
    </row>
    <row r="353" spans="1:5" x14ac:dyDescent="0.3">
      <c r="A353" s="295">
        <v>2018</v>
      </c>
      <c r="B353" s="295">
        <v>10</v>
      </c>
      <c r="C353" s="295" t="s">
        <v>179</v>
      </c>
      <c r="D353" s="295" t="s">
        <v>259</v>
      </c>
      <c r="E353" s="296">
        <v>1.1000000000000001E-3</v>
      </c>
    </row>
    <row r="354" spans="1:5" x14ac:dyDescent="0.3">
      <c r="A354" s="295">
        <v>2018</v>
      </c>
      <c r="B354" s="295">
        <v>10</v>
      </c>
      <c r="C354" s="295" t="s">
        <v>179</v>
      </c>
      <c r="D354" s="295" t="s">
        <v>85</v>
      </c>
      <c r="E354" s="296">
        <v>5.3E-3</v>
      </c>
    </row>
    <row r="355" spans="1:5" x14ac:dyDescent="0.3">
      <c r="A355" s="295">
        <v>2018</v>
      </c>
      <c r="B355" s="295">
        <v>10</v>
      </c>
      <c r="C355" s="295" t="s">
        <v>179</v>
      </c>
      <c r="D355" s="295" t="s">
        <v>101</v>
      </c>
      <c r="E355" s="296">
        <v>2.9000000000000001E-2</v>
      </c>
    </row>
    <row r="356" spans="1:5" x14ac:dyDescent="0.3">
      <c r="A356" s="295">
        <v>2018</v>
      </c>
      <c r="B356" s="295">
        <v>10</v>
      </c>
      <c r="C356" s="295" t="s">
        <v>2</v>
      </c>
      <c r="D356" s="295" t="s">
        <v>2</v>
      </c>
      <c r="E356" s="296">
        <v>1</v>
      </c>
    </row>
    <row r="357" spans="1:5" x14ac:dyDescent="0.3">
      <c r="A357" s="295">
        <v>2018</v>
      </c>
      <c r="B357" s="295">
        <v>10</v>
      </c>
      <c r="C357" s="295" t="s">
        <v>1</v>
      </c>
      <c r="D357" s="295" t="s">
        <v>1</v>
      </c>
      <c r="E357" s="296">
        <v>1</v>
      </c>
    </row>
    <row r="358" spans="1:5" x14ac:dyDescent="0.3">
      <c r="A358" s="295">
        <v>2018</v>
      </c>
      <c r="B358" s="295">
        <v>10</v>
      </c>
      <c r="C358" s="295" t="s">
        <v>259</v>
      </c>
      <c r="D358" s="295" t="s">
        <v>259</v>
      </c>
      <c r="E358" s="296">
        <v>1</v>
      </c>
    </row>
    <row r="359" spans="1:5" x14ac:dyDescent="0.3">
      <c r="A359" s="295">
        <v>2018</v>
      </c>
      <c r="B359" s="295">
        <v>10</v>
      </c>
      <c r="C359" s="295" t="s">
        <v>85</v>
      </c>
      <c r="D359" s="295" t="s">
        <v>85</v>
      </c>
      <c r="E359" s="296">
        <v>1</v>
      </c>
    </row>
    <row r="360" spans="1:5" x14ac:dyDescent="0.3">
      <c r="A360" s="295">
        <v>2018</v>
      </c>
      <c r="B360" s="295">
        <v>10</v>
      </c>
      <c r="C360" s="295" t="s">
        <v>101</v>
      </c>
      <c r="D360" s="295" t="s">
        <v>101</v>
      </c>
      <c r="E360" s="296">
        <v>1</v>
      </c>
    </row>
    <row r="361" spans="1:5" x14ac:dyDescent="0.3">
      <c r="A361" s="295">
        <v>2018</v>
      </c>
      <c r="B361" s="295">
        <v>10</v>
      </c>
      <c r="C361" s="295" t="s">
        <v>179</v>
      </c>
      <c r="D361" s="295" t="s">
        <v>179</v>
      </c>
      <c r="E361" s="296">
        <v>1</v>
      </c>
    </row>
    <row r="362" spans="1:5" x14ac:dyDescent="0.3">
      <c r="A362" s="295">
        <v>2018</v>
      </c>
      <c r="B362" s="295">
        <v>11</v>
      </c>
      <c r="C362" s="295" t="s">
        <v>1</v>
      </c>
      <c r="D362" s="295" t="s">
        <v>2</v>
      </c>
      <c r="E362" s="296">
        <v>1.1358999999999999</v>
      </c>
    </row>
    <row r="363" spans="1:5" x14ac:dyDescent="0.3">
      <c r="A363" s="295">
        <v>2018</v>
      </c>
      <c r="B363" s="295">
        <v>11</v>
      </c>
      <c r="C363" s="295" t="s">
        <v>1</v>
      </c>
      <c r="D363" s="295" t="s">
        <v>259</v>
      </c>
      <c r="E363" s="296">
        <v>0.89068000000000003</v>
      </c>
    </row>
    <row r="364" spans="1:5" x14ac:dyDescent="0.3">
      <c r="A364" s="295">
        <v>2018</v>
      </c>
      <c r="B364" s="295">
        <v>11</v>
      </c>
      <c r="C364" s="295" t="s">
        <v>1</v>
      </c>
      <c r="D364" s="295" t="s">
        <v>85</v>
      </c>
      <c r="E364" s="296">
        <v>4.3842999999999996</v>
      </c>
    </row>
    <row r="365" spans="1:5" x14ac:dyDescent="0.3">
      <c r="A365" s="295">
        <v>2018</v>
      </c>
      <c r="B365" s="295">
        <v>11</v>
      </c>
      <c r="C365" s="295" t="s">
        <v>1</v>
      </c>
      <c r="D365" s="295" t="s">
        <v>101</v>
      </c>
      <c r="E365" s="296">
        <v>23.091000000000001</v>
      </c>
    </row>
    <row r="366" spans="1:5" x14ac:dyDescent="0.3">
      <c r="A366" s="295">
        <v>2018</v>
      </c>
      <c r="B366" s="295">
        <v>11</v>
      </c>
      <c r="C366" s="295" t="s">
        <v>1</v>
      </c>
      <c r="D366" s="295" t="s">
        <v>179</v>
      </c>
      <c r="E366" s="296">
        <v>762.78</v>
      </c>
    </row>
    <row r="367" spans="1:5" x14ac:dyDescent="0.3">
      <c r="A367" s="295">
        <v>2018</v>
      </c>
      <c r="B367" s="295">
        <v>11</v>
      </c>
      <c r="C367" s="295" t="s">
        <v>2</v>
      </c>
      <c r="D367" s="295" t="s">
        <v>1</v>
      </c>
      <c r="E367" s="296">
        <v>0.88036000000000003</v>
      </c>
    </row>
    <row r="368" spans="1:5" x14ac:dyDescent="0.3">
      <c r="A368" s="295">
        <v>2018</v>
      </c>
      <c r="B368" s="295">
        <v>11</v>
      </c>
      <c r="C368" s="295" t="s">
        <v>2</v>
      </c>
      <c r="D368" s="295" t="s">
        <v>259</v>
      </c>
      <c r="E368" s="296">
        <v>0.78412000000000004</v>
      </c>
    </row>
    <row r="369" spans="1:5" x14ac:dyDescent="0.3">
      <c r="A369" s="295">
        <v>2018</v>
      </c>
      <c r="B369" s="295">
        <v>11</v>
      </c>
      <c r="C369" s="295" t="s">
        <v>2</v>
      </c>
      <c r="D369" s="295" t="s">
        <v>85</v>
      </c>
      <c r="E369" s="296">
        <v>3.8597600000000001</v>
      </c>
    </row>
    <row r="370" spans="1:5" x14ac:dyDescent="0.3">
      <c r="A370" s="295">
        <v>2018</v>
      </c>
      <c r="B370" s="295">
        <v>11</v>
      </c>
      <c r="C370" s="295" t="s">
        <v>2</v>
      </c>
      <c r="D370" s="295" t="s">
        <v>101</v>
      </c>
      <c r="E370" s="296">
        <v>20.32837</v>
      </c>
    </row>
    <row r="371" spans="1:5" x14ac:dyDescent="0.3">
      <c r="A371" s="295">
        <v>2018</v>
      </c>
      <c r="B371" s="295">
        <v>11</v>
      </c>
      <c r="C371" s="295" t="s">
        <v>2</v>
      </c>
      <c r="D371" s="295" t="s">
        <v>179</v>
      </c>
      <c r="E371" s="296">
        <v>671.52038000000005</v>
      </c>
    </row>
    <row r="372" spans="1:5" x14ac:dyDescent="0.3">
      <c r="A372" s="295">
        <v>2018</v>
      </c>
      <c r="B372" s="295">
        <v>11</v>
      </c>
      <c r="C372" s="295" t="s">
        <v>259</v>
      </c>
      <c r="D372" s="295" t="s">
        <v>1</v>
      </c>
      <c r="E372" s="296">
        <v>1.1227400000000001</v>
      </c>
    </row>
    <row r="373" spans="1:5" x14ac:dyDescent="0.3">
      <c r="A373" s="295">
        <v>2018</v>
      </c>
      <c r="B373" s="295">
        <v>11</v>
      </c>
      <c r="C373" s="295" t="s">
        <v>259</v>
      </c>
      <c r="D373" s="295" t="s">
        <v>2</v>
      </c>
      <c r="E373" s="296">
        <v>1.27532</v>
      </c>
    </row>
    <row r="374" spans="1:5" x14ac:dyDescent="0.3">
      <c r="A374" s="295">
        <v>2018</v>
      </c>
      <c r="B374" s="295">
        <v>11</v>
      </c>
      <c r="C374" s="295" t="s">
        <v>259</v>
      </c>
      <c r="D374" s="295" t="s">
        <v>85</v>
      </c>
      <c r="E374" s="296">
        <v>4.9224199999999998</v>
      </c>
    </row>
    <row r="375" spans="1:5" x14ac:dyDescent="0.3">
      <c r="A375" s="295">
        <v>2018</v>
      </c>
      <c r="B375" s="295">
        <v>11</v>
      </c>
      <c r="C375" s="295" t="s">
        <v>259</v>
      </c>
      <c r="D375" s="295" t="s">
        <v>101</v>
      </c>
      <c r="E375" s="296">
        <v>25.925139999999999</v>
      </c>
    </row>
    <row r="376" spans="1:5" x14ac:dyDescent="0.3">
      <c r="A376" s="295">
        <v>2018</v>
      </c>
      <c r="B376" s="295">
        <v>11</v>
      </c>
      <c r="C376" s="295" t="s">
        <v>259</v>
      </c>
      <c r="D376" s="295" t="s">
        <v>179</v>
      </c>
      <c r="E376" s="296">
        <v>856.40184999999997</v>
      </c>
    </row>
    <row r="377" spans="1:5" x14ac:dyDescent="0.3">
      <c r="A377" s="295">
        <v>2018</v>
      </c>
      <c r="B377" s="295">
        <v>11</v>
      </c>
      <c r="C377" s="295" t="s">
        <v>85</v>
      </c>
      <c r="D377" s="295" t="s">
        <v>1</v>
      </c>
      <c r="E377" s="296">
        <v>0.22808999999999999</v>
      </c>
    </row>
    <row r="378" spans="1:5" x14ac:dyDescent="0.3">
      <c r="A378" s="295">
        <v>2018</v>
      </c>
      <c r="B378" s="295">
        <v>11</v>
      </c>
      <c r="C378" s="295" t="s">
        <v>85</v>
      </c>
      <c r="D378" s="295" t="s">
        <v>2</v>
      </c>
      <c r="E378" s="296">
        <v>0.25907999999999998</v>
      </c>
    </row>
    <row r="379" spans="1:5" x14ac:dyDescent="0.3">
      <c r="A379" s="295">
        <v>2018</v>
      </c>
      <c r="B379" s="295">
        <v>11</v>
      </c>
      <c r="C379" s="295" t="s">
        <v>85</v>
      </c>
      <c r="D379" s="295" t="s">
        <v>259</v>
      </c>
      <c r="E379" s="296">
        <v>0.20315</v>
      </c>
    </row>
    <row r="380" spans="1:5" x14ac:dyDescent="0.3">
      <c r="A380" s="295">
        <v>2018</v>
      </c>
      <c r="B380" s="295">
        <v>11</v>
      </c>
      <c r="C380" s="295" t="s">
        <v>85</v>
      </c>
      <c r="D380" s="295" t="s">
        <v>101</v>
      </c>
      <c r="E380" s="296">
        <v>5.26675</v>
      </c>
    </row>
    <row r="381" spans="1:5" x14ac:dyDescent="0.3">
      <c r="A381" s="295">
        <v>2018</v>
      </c>
      <c r="B381" s="295">
        <v>11</v>
      </c>
      <c r="C381" s="295" t="s">
        <v>85</v>
      </c>
      <c r="D381" s="295" t="s">
        <v>179</v>
      </c>
      <c r="E381" s="296">
        <v>173.97988000000001</v>
      </c>
    </row>
    <row r="382" spans="1:5" x14ac:dyDescent="0.3">
      <c r="A382" s="295">
        <v>2018</v>
      </c>
      <c r="B382" s="295">
        <v>11</v>
      </c>
      <c r="C382" s="295" t="s">
        <v>101</v>
      </c>
      <c r="D382" s="295" t="s">
        <v>1</v>
      </c>
      <c r="E382" s="296">
        <v>4.3310000000000001E-2</v>
      </c>
    </row>
    <row r="383" spans="1:5" x14ac:dyDescent="0.3">
      <c r="A383" s="295">
        <v>2018</v>
      </c>
      <c r="B383" s="295">
        <v>11</v>
      </c>
      <c r="C383" s="295" t="s">
        <v>101</v>
      </c>
      <c r="D383" s="295" t="s">
        <v>2</v>
      </c>
      <c r="E383" s="296">
        <v>4.9189999999999998E-2</v>
      </c>
    </row>
    <row r="384" spans="1:5" x14ac:dyDescent="0.3">
      <c r="A384" s="295">
        <v>2018</v>
      </c>
      <c r="B384" s="295">
        <v>11</v>
      </c>
      <c r="C384" s="295" t="s">
        <v>101</v>
      </c>
      <c r="D384" s="295" t="s">
        <v>259</v>
      </c>
      <c r="E384" s="296">
        <v>3.857E-2</v>
      </c>
    </row>
    <row r="385" spans="1:5" x14ac:dyDescent="0.3">
      <c r="A385" s="295">
        <v>2018</v>
      </c>
      <c r="B385" s="295">
        <v>11</v>
      </c>
      <c r="C385" s="295" t="s">
        <v>101</v>
      </c>
      <c r="D385" s="295" t="s">
        <v>85</v>
      </c>
      <c r="E385" s="296">
        <v>0.18987000000000001</v>
      </c>
    </row>
    <row r="386" spans="1:5" x14ac:dyDescent="0.3">
      <c r="A386" s="295">
        <v>2018</v>
      </c>
      <c r="B386" s="295">
        <v>11</v>
      </c>
      <c r="C386" s="295" t="s">
        <v>101</v>
      </c>
      <c r="D386" s="295" t="s">
        <v>179</v>
      </c>
      <c r="E386" s="296">
        <v>33.033650000000002</v>
      </c>
    </row>
    <row r="387" spans="1:5" x14ac:dyDescent="0.3">
      <c r="A387" s="295">
        <v>2018</v>
      </c>
      <c r="B387" s="295">
        <v>11</v>
      </c>
      <c r="C387" s="295" t="s">
        <v>179</v>
      </c>
      <c r="D387" s="295" t="s">
        <v>1</v>
      </c>
      <c r="E387" s="296">
        <v>1.31E-3</v>
      </c>
    </row>
    <row r="388" spans="1:5" x14ac:dyDescent="0.3">
      <c r="A388" s="295">
        <v>2018</v>
      </c>
      <c r="B388" s="295">
        <v>11</v>
      </c>
      <c r="C388" s="295" t="s">
        <v>179</v>
      </c>
      <c r="D388" s="295" t="s">
        <v>2</v>
      </c>
      <c r="E388" s="296">
        <v>1.49E-3</v>
      </c>
    </row>
    <row r="389" spans="1:5" x14ac:dyDescent="0.3">
      <c r="A389" s="295">
        <v>2018</v>
      </c>
      <c r="B389" s="295">
        <v>11</v>
      </c>
      <c r="C389" s="295" t="s">
        <v>179</v>
      </c>
      <c r="D389" s="295" t="s">
        <v>259</v>
      </c>
      <c r="E389" s="296">
        <v>1.17E-3</v>
      </c>
    </row>
    <row r="390" spans="1:5" x14ac:dyDescent="0.3">
      <c r="A390" s="295">
        <v>2018</v>
      </c>
      <c r="B390" s="295">
        <v>11</v>
      </c>
      <c r="C390" s="295" t="s">
        <v>179</v>
      </c>
      <c r="D390" s="295" t="s">
        <v>85</v>
      </c>
      <c r="E390" s="296">
        <v>5.7499999999999999E-3</v>
      </c>
    </row>
    <row r="391" spans="1:5" x14ac:dyDescent="0.3">
      <c r="A391" s="295">
        <v>2018</v>
      </c>
      <c r="B391" s="295">
        <v>11</v>
      </c>
      <c r="C391" s="295" t="s">
        <v>179</v>
      </c>
      <c r="D391" s="295" t="s">
        <v>101</v>
      </c>
      <c r="E391" s="296">
        <v>3.0269999999999998E-2</v>
      </c>
    </row>
    <row r="392" spans="1:5" x14ac:dyDescent="0.3">
      <c r="A392" s="295">
        <v>2018</v>
      </c>
      <c r="B392" s="295">
        <v>11</v>
      </c>
      <c r="C392" s="295" t="s">
        <v>2</v>
      </c>
      <c r="D392" s="295" t="s">
        <v>2</v>
      </c>
      <c r="E392" s="296">
        <v>1</v>
      </c>
    </row>
    <row r="393" spans="1:5" x14ac:dyDescent="0.3">
      <c r="A393" s="295">
        <v>2018</v>
      </c>
      <c r="B393" s="295">
        <v>11</v>
      </c>
      <c r="C393" s="295" t="s">
        <v>1</v>
      </c>
      <c r="D393" s="295" t="s">
        <v>1</v>
      </c>
      <c r="E393" s="296">
        <v>1</v>
      </c>
    </row>
    <row r="394" spans="1:5" x14ac:dyDescent="0.3">
      <c r="A394" s="295">
        <v>2018</v>
      </c>
      <c r="B394" s="295">
        <v>11</v>
      </c>
      <c r="C394" s="295" t="s">
        <v>259</v>
      </c>
      <c r="D394" s="295" t="s">
        <v>259</v>
      </c>
      <c r="E394" s="296">
        <v>1</v>
      </c>
    </row>
    <row r="395" spans="1:5" x14ac:dyDescent="0.3">
      <c r="A395" s="295">
        <v>2018</v>
      </c>
      <c r="B395" s="295">
        <v>11</v>
      </c>
      <c r="C395" s="295" t="s">
        <v>85</v>
      </c>
      <c r="D395" s="295" t="s">
        <v>85</v>
      </c>
      <c r="E395" s="296">
        <v>1</v>
      </c>
    </row>
    <row r="396" spans="1:5" x14ac:dyDescent="0.3">
      <c r="A396" s="295">
        <v>2018</v>
      </c>
      <c r="B396" s="295">
        <v>11</v>
      </c>
      <c r="C396" s="295" t="s">
        <v>101</v>
      </c>
      <c r="D396" s="295" t="s">
        <v>101</v>
      </c>
      <c r="E396" s="296">
        <v>1</v>
      </c>
    </row>
    <row r="397" spans="1:5" x14ac:dyDescent="0.3">
      <c r="A397" s="295">
        <v>2018</v>
      </c>
      <c r="B397" s="295">
        <v>11</v>
      </c>
      <c r="C397" s="295" t="s">
        <v>179</v>
      </c>
      <c r="D397" s="295" t="s">
        <v>179</v>
      </c>
      <c r="E397" s="296">
        <v>1</v>
      </c>
    </row>
    <row r="398" spans="1:5" x14ac:dyDescent="0.3">
      <c r="A398" s="321">
        <v>2018</v>
      </c>
      <c r="B398" s="321">
        <v>12</v>
      </c>
      <c r="C398" s="321" t="s">
        <v>1</v>
      </c>
      <c r="D398" s="321" t="s">
        <v>2</v>
      </c>
      <c r="E398" s="322">
        <v>1.145</v>
      </c>
    </row>
    <row r="399" spans="1:5" x14ac:dyDescent="0.3">
      <c r="A399" s="321">
        <v>2018</v>
      </c>
      <c r="B399" s="321">
        <v>12</v>
      </c>
      <c r="C399" s="321" t="s">
        <v>1</v>
      </c>
      <c r="D399" s="322" t="s">
        <v>259</v>
      </c>
      <c r="E399" s="322">
        <v>0.89453000000000005</v>
      </c>
    </row>
    <row r="400" spans="1:5" x14ac:dyDescent="0.3">
      <c r="A400" s="321">
        <v>2018</v>
      </c>
      <c r="B400" s="321">
        <v>12</v>
      </c>
      <c r="C400" s="321" t="s">
        <v>1</v>
      </c>
      <c r="D400" s="322" t="s">
        <v>85</v>
      </c>
      <c r="E400" s="322">
        <v>4.444</v>
      </c>
    </row>
    <row r="401" spans="1:5" x14ac:dyDescent="0.3">
      <c r="A401" s="321">
        <v>2018</v>
      </c>
      <c r="B401" s="321">
        <v>12</v>
      </c>
      <c r="C401" s="321" t="s">
        <v>1</v>
      </c>
      <c r="D401" s="321" t="s">
        <v>101</v>
      </c>
      <c r="E401" s="322">
        <v>22.492100000000001</v>
      </c>
    </row>
    <row r="402" spans="1:5" x14ac:dyDescent="0.3">
      <c r="A402" s="321">
        <v>2018</v>
      </c>
      <c r="B402" s="321">
        <v>12</v>
      </c>
      <c r="C402" s="321" t="s">
        <v>1</v>
      </c>
      <c r="D402" s="321" t="s">
        <v>179</v>
      </c>
      <c r="E402" s="322">
        <v>794.63</v>
      </c>
    </row>
    <row r="403" spans="1:5" x14ac:dyDescent="0.3">
      <c r="A403" s="321">
        <v>2018</v>
      </c>
      <c r="B403" s="321">
        <v>12</v>
      </c>
      <c r="C403" s="321" t="s">
        <v>2</v>
      </c>
      <c r="D403" s="321" t="s">
        <v>1</v>
      </c>
      <c r="E403" s="322">
        <v>0.87336000000000003</v>
      </c>
    </row>
    <row r="404" spans="1:5" x14ac:dyDescent="0.3">
      <c r="A404" s="321">
        <v>2018</v>
      </c>
      <c r="B404" s="321">
        <v>12</v>
      </c>
      <c r="C404" s="321" t="s">
        <v>2</v>
      </c>
      <c r="D404" s="321" t="s">
        <v>259</v>
      </c>
      <c r="E404" s="322">
        <v>0.78125</v>
      </c>
    </row>
    <row r="405" spans="1:5" x14ac:dyDescent="0.3">
      <c r="A405" s="321">
        <v>2018</v>
      </c>
      <c r="B405" s="321">
        <v>12</v>
      </c>
      <c r="C405" s="321" t="s">
        <v>2</v>
      </c>
      <c r="D405" s="321" t="s">
        <v>85</v>
      </c>
      <c r="E405" s="322">
        <v>3.8812199999999999</v>
      </c>
    </row>
    <row r="406" spans="1:5" x14ac:dyDescent="0.3">
      <c r="A406" s="321">
        <v>2018</v>
      </c>
      <c r="B406" s="321">
        <v>12</v>
      </c>
      <c r="C406" s="321" t="s">
        <v>2</v>
      </c>
      <c r="D406" s="321" t="s">
        <v>101</v>
      </c>
      <c r="E406" s="322">
        <v>19.64376</v>
      </c>
    </row>
    <row r="407" spans="1:5" x14ac:dyDescent="0.3">
      <c r="A407" s="321">
        <v>2018</v>
      </c>
      <c r="B407" s="321">
        <v>12</v>
      </c>
      <c r="C407" s="321" t="s">
        <v>2</v>
      </c>
      <c r="D407" s="321" t="s">
        <v>179</v>
      </c>
      <c r="E407" s="322">
        <v>694</v>
      </c>
    </row>
    <row r="408" spans="1:5" x14ac:dyDescent="0.3">
      <c r="A408" s="321">
        <v>2018</v>
      </c>
      <c r="B408" s="321">
        <v>12</v>
      </c>
      <c r="C408" s="321" t="s">
        <v>259</v>
      </c>
      <c r="D408" s="321" t="s">
        <v>1</v>
      </c>
      <c r="E408" s="322">
        <v>1.11791</v>
      </c>
    </row>
    <row r="409" spans="1:5" x14ac:dyDescent="0.3">
      <c r="A409" s="321">
        <v>2018</v>
      </c>
      <c r="B409" s="321">
        <v>12</v>
      </c>
      <c r="C409" s="321" t="s">
        <v>259</v>
      </c>
      <c r="D409" s="321" t="s">
        <v>2</v>
      </c>
      <c r="E409" s="322">
        <v>1.28</v>
      </c>
    </row>
    <row r="410" spans="1:5" x14ac:dyDescent="0.3">
      <c r="A410" s="321">
        <v>2018</v>
      </c>
      <c r="B410" s="321">
        <v>12</v>
      </c>
      <c r="C410" s="321" t="s">
        <v>259</v>
      </c>
      <c r="D410" s="321" t="s">
        <v>85</v>
      </c>
      <c r="E410" s="322">
        <v>4.9679700000000002</v>
      </c>
    </row>
    <row r="411" spans="1:5" x14ac:dyDescent="0.3">
      <c r="A411" s="321">
        <v>2018</v>
      </c>
      <c r="B411" s="321">
        <v>12</v>
      </c>
      <c r="C411" s="321" t="s">
        <v>259</v>
      </c>
      <c r="D411" s="321" t="s">
        <v>101</v>
      </c>
      <c r="E411" s="322">
        <v>25.14404</v>
      </c>
    </row>
    <row r="412" spans="1:5" x14ac:dyDescent="0.3">
      <c r="A412" s="321">
        <v>2018</v>
      </c>
      <c r="B412" s="321">
        <v>12</v>
      </c>
      <c r="C412" s="321" t="s">
        <v>259</v>
      </c>
      <c r="D412" s="321" t="s">
        <v>179</v>
      </c>
      <c r="E412" s="322">
        <v>888.32123999999999</v>
      </c>
    </row>
    <row r="413" spans="1:5" x14ac:dyDescent="0.3">
      <c r="A413" s="321">
        <v>2018</v>
      </c>
      <c r="B413" s="321">
        <v>12</v>
      </c>
      <c r="C413" s="321" t="s">
        <v>85</v>
      </c>
      <c r="D413" s="321" t="s">
        <v>1</v>
      </c>
      <c r="E413" s="322">
        <v>0.22502</v>
      </c>
    </row>
    <row r="414" spans="1:5" x14ac:dyDescent="0.3">
      <c r="A414" s="321">
        <v>2018</v>
      </c>
      <c r="B414" s="321">
        <v>12</v>
      </c>
      <c r="C414" s="321" t="s">
        <v>85</v>
      </c>
      <c r="D414" s="321" t="s">
        <v>2</v>
      </c>
      <c r="E414" s="322">
        <v>0.25764999999999999</v>
      </c>
    </row>
    <row r="415" spans="1:5" x14ac:dyDescent="0.3">
      <c r="A415" s="321">
        <v>2018</v>
      </c>
      <c r="B415" s="321">
        <v>12</v>
      </c>
      <c r="C415" s="321" t="s">
        <v>85</v>
      </c>
      <c r="D415" s="321" t="s">
        <v>259</v>
      </c>
      <c r="E415" s="322">
        <v>0.20129</v>
      </c>
    </row>
    <row r="416" spans="1:5" x14ac:dyDescent="0.3">
      <c r="A416" s="321">
        <v>2018</v>
      </c>
      <c r="B416" s="321">
        <v>12</v>
      </c>
      <c r="C416" s="321" t="s">
        <v>85</v>
      </c>
      <c r="D416" s="321" t="s">
        <v>101</v>
      </c>
      <c r="E416" s="322">
        <v>5.0612300000000001</v>
      </c>
    </row>
    <row r="417" spans="1:5" x14ac:dyDescent="0.3">
      <c r="A417" s="321">
        <v>2018</v>
      </c>
      <c r="B417" s="321">
        <v>12</v>
      </c>
      <c r="C417" s="321" t="s">
        <v>85</v>
      </c>
      <c r="D417" s="321" t="s">
        <v>179</v>
      </c>
      <c r="E417" s="322">
        <v>178.80963</v>
      </c>
    </row>
    <row r="418" spans="1:5" x14ac:dyDescent="0.3">
      <c r="A418" s="321">
        <v>2018</v>
      </c>
      <c r="B418" s="321">
        <v>12</v>
      </c>
      <c r="C418" s="321" t="s">
        <v>101</v>
      </c>
      <c r="D418" s="321" t="s">
        <v>1</v>
      </c>
      <c r="E418" s="322">
        <v>4.446E-2</v>
      </c>
    </row>
    <row r="419" spans="1:5" x14ac:dyDescent="0.3">
      <c r="A419" s="321">
        <v>2018</v>
      </c>
      <c r="B419" s="321">
        <v>12</v>
      </c>
      <c r="C419" s="321" t="s">
        <v>101</v>
      </c>
      <c r="D419" s="321" t="s">
        <v>2</v>
      </c>
      <c r="E419" s="322">
        <v>5.0909999999999997E-2</v>
      </c>
    </row>
    <row r="420" spans="1:5" x14ac:dyDescent="0.3">
      <c r="A420" s="321">
        <v>2018</v>
      </c>
      <c r="B420" s="321">
        <v>12</v>
      </c>
      <c r="C420" s="321" t="s">
        <v>101</v>
      </c>
      <c r="D420" s="321" t="s">
        <v>259</v>
      </c>
      <c r="E420" s="322">
        <v>3.977E-2</v>
      </c>
    </row>
    <row r="421" spans="1:5" x14ac:dyDescent="0.3">
      <c r="A421" s="321">
        <v>2018</v>
      </c>
      <c r="B421" s="321">
        <v>12</v>
      </c>
      <c r="C421" s="321" t="s">
        <v>101</v>
      </c>
      <c r="D421" s="321" t="s">
        <v>85</v>
      </c>
      <c r="E421" s="322">
        <v>0.19758000000000001</v>
      </c>
    </row>
    <row r="422" spans="1:5" x14ac:dyDescent="0.3">
      <c r="A422" s="321">
        <v>2018</v>
      </c>
      <c r="B422" s="321">
        <v>12</v>
      </c>
      <c r="C422" s="321" t="s">
        <v>101</v>
      </c>
      <c r="D422" s="321" t="s">
        <v>179</v>
      </c>
      <c r="E422" s="322">
        <v>35.32929</v>
      </c>
    </row>
    <row r="423" spans="1:5" x14ac:dyDescent="0.3">
      <c r="A423" s="321">
        <v>2018</v>
      </c>
      <c r="B423" s="321">
        <v>12</v>
      </c>
      <c r="C423" s="321" t="s">
        <v>179</v>
      </c>
      <c r="D423" s="321" t="s">
        <v>1</v>
      </c>
      <c r="E423" s="322">
        <v>1.2600000000000001E-3</v>
      </c>
    </row>
    <row r="424" spans="1:5" x14ac:dyDescent="0.3">
      <c r="A424" s="321">
        <v>2018</v>
      </c>
      <c r="B424" s="321">
        <v>12</v>
      </c>
      <c r="C424" s="321" t="s">
        <v>179</v>
      </c>
      <c r="D424" s="321" t="s">
        <v>2</v>
      </c>
      <c r="E424" s="322">
        <v>1.4400000000000001E-3</v>
      </c>
    </row>
    <row r="425" spans="1:5" x14ac:dyDescent="0.3">
      <c r="A425" s="321">
        <v>2018</v>
      </c>
      <c r="B425" s="321">
        <v>12</v>
      </c>
      <c r="C425" s="321" t="s">
        <v>179</v>
      </c>
      <c r="D425" s="321" t="s">
        <v>259</v>
      </c>
      <c r="E425" s="322">
        <v>1.1299999999999999E-3</v>
      </c>
    </row>
    <row r="426" spans="1:5" x14ac:dyDescent="0.3">
      <c r="A426" s="321">
        <v>2018</v>
      </c>
      <c r="B426" s="321">
        <v>12</v>
      </c>
      <c r="C426" s="321" t="s">
        <v>179</v>
      </c>
      <c r="D426" s="321" t="s">
        <v>85</v>
      </c>
      <c r="E426" s="322">
        <v>5.5900000000000004E-3</v>
      </c>
    </row>
    <row r="427" spans="1:5" x14ac:dyDescent="0.3">
      <c r="A427" s="321">
        <v>2018</v>
      </c>
      <c r="B427" s="321">
        <v>12</v>
      </c>
      <c r="C427" s="321" t="s">
        <v>179</v>
      </c>
      <c r="D427" s="321" t="s">
        <v>101</v>
      </c>
      <c r="E427" s="322">
        <v>2.8309999999999998E-2</v>
      </c>
    </row>
    <row r="428" spans="1:5" x14ac:dyDescent="0.3">
      <c r="A428" s="295">
        <v>2018</v>
      </c>
      <c r="B428" s="321">
        <v>12</v>
      </c>
      <c r="C428" s="295" t="s">
        <v>2</v>
      </c>
      <c r="D428" s="295" t="s">
        <v>2</v>
      </c>
      <c r="E428" s="296">
        <v>1</v>
      </c>
    </row>
    <row r="429" spans="1:5" x14ac:dyDescent="0.3">
      <c r="A429" s="295">
        <v>2018</v>
      </c>
      <c r="B429" s="321">
        <v>12</v>
      </c>
      <c r="C429" s="295" t="s">
        <v>1</v>
      </c>
      <c r="D429" s="295" t="s">
        <v>1</v>
      </c>
      <c r="E429" s="296">
        <v>1</v>
      </c>
    </row>
    <row r="430" spans="1:5" x14ac:dyDescent="0.3">
      <c r="A430" s="295">
        <v>2018</v>
      </c>
      <c r="B430" s="321">
        <v>12</v>
      </c>
      <c r="C430" s="295" t="s">
        <v>259</v>
      </c>
      <c r="D430" s="295" t="s">
        <v>259</v>
      </c>
      <c r="E430" s="296">
        <v>1</v>
      </c>
    </row>
    <row r="431" spans="1:5" x14ac:dyDescent="0.3">
      <c r="A431" s="295">
        <v>2018</v>
      </c>
      <c r="B431" s="321">
        <v>12</v>
      </c>
      <c r="C431" s="295" t="s">
        <v>85</v>
      </c>
      <c r="D431" s="295" t="s">
        <v>85</v>
      </c>
      <c r="E431" s="296">
        <v>1</v>
      </c>
    </row>
    <row r="432" spans="1:5" x14ac:dyDescent="0.3">
      <c r="A432" s="295">
        <v>2018</v>
      </c>
      <c r="B432" s="321">
        <v>12</v>
      </c>
      <c r="C432" s="295" t="s">
        <v>101</v>
      </c>
      <c r="D432" s="295" t="s">
        <v>101</v>
      </c>
      <c r="E432" s="296">
        <v>1</v>
      </c>
    </row>
    <row r="433" spans="1:5" x14ac:dyDescent="0.3">
      <c r="A433" s="295">
        <v>2018</v>
      </c>
      <c r="B433" s="321">
        <v>12</v>
      </c>
      <c r="C433" s="295" t="s">
        <v>179</v>
      </c>
      <c r="D433" s="295" t="s">
        <v>179</v>
      </c>
      <c r="E433" s="296">
        <v>1</v>
      </c>
    </row>
    <row r="434" spans="1:5" x14ac:dyDescent="0.3">
      <c r="A434" s="323">
        <v>2019</v>
      </c>
      <c r="B434" s="323">
        <v>1</v>
      </c>
      <c r="C434" s="323" t="s">
        <v>1</v>
      </c>
      <c r="D434" s="323" t="s">
        <v>2</v>
      </c>
      <c r="E434" s="324">
        <v>1.1488</v>
      </c>
    </row>
    <row r="435" spans="1:5" x14ac:dyDescent="0.3">
      <c r="A435" s="323">
        <v>2019</v>
      </c>
      <c r="B435" s="323">
        <v>1</v>
      </c>
      <c r="C435" s="323" t="s">
        <v>1</v>
      </c>
      <c r="D435" s="324" t="s">
        <v>259</v>
      </c>
      <c r="E435" s="324">
        <v>0.87578</v>
      </c>
    </row>
    <row r="436" spans="1:5" x14ac:dyDescent="0.3">
      <c r="A436" s="323">
        <v>2019</v>
      </c>
      <c r="B436" s="323">
        <v>1</v>
      </c>
      <c r="C436" s="323" t="s">
        <v>1</v>
      </c>
      <c r="D436" s="324" t="s">
        <v>85</v>
      </c>
      <c r="E436" s="324">
        <v>4.2041000000000004</v>
      </c>
    </row>
    <row r="437" spans="1:5" x14ac:dyDescent="0.3">
      <c r="A437" s="323">
        <v>2019</v>
      </c>
      <c r="B437" s="323">
        <v>1</v>
      </c>
      <c r="C437" s="323" t="s">
        <v>1</v>
      </c>
      <c r="D437" s="323" t="s">
        <v>101</v>
      </c>
      <c r="E437" s="324">
        <v>21.899899999999999</v>
      </c>
    </row>
    <row r="438" spans="1:5" x14ac:dyDescent="0.3">
      <c r="A438" s="323">
        <v>2019</v>
      </c>
      <c r="B438" s="323">
        <v>1</v>
      </c>
      <c r="C438" s="323" t="s">
        <v>1</v>
      </c>
      <c r="D438" s="323" t="s">
        <v>179</v>
      </c>
      <c r="E438" s="324">
        <v>752.29200000000003</v>
      </c>
    </row>
    <row r="439" spans="1:5" x14ac:dyDescent="0.3">
      <c r="A439" s="323">
        <v>2019</v>
      </c>
      <c r="B439" s="323">
        <v>1</v>
      </c>
      <c r="C439" s="323" t="s">
        <v>2</v>
      </c>
      <c r="D439" s="323" t="s">
        <v>1</v>
      </c>
      <c r="E439" s="324">
        <v>0.87046999999999997</v>
      </c>
    </row>
    <row r="440" spans="1:5" x14ac:dyDescent="0.3">
      <c r="A440" s="323">
        <v>2019</v>
      </c>
      <c r="B440" s="323">
        <v>1</v>
      </c>
      <c r="C440" s="323" t="s">
        <v>2</v>
      </c>
      <c r="D440" s="323" t="s">
        <v>259</v>
      </c>
      <c r="E440" s="324">
        <v>0.76234000000000002</v>
      </c>
    </row>
    <row r="441" spans="1:5" x14ac:dyDescent="0.3">
      <c r="A441" s="323">
        <v>2019</v>
      </c>
      <c r="B441" s="323">
        <v>1</v>
      </c>
      <c r="C441" s="323" t="s">
        <v>2</v>
      </c>
      <c r="D441" s="323" t="s">
        <v>85</v>
      </c>
      <c r="E441" s="324">
        <v>3.6595599999999999</v>
      </c>
    </row>
    <row r="442" spans="1:5" x14ac:dyDescent="0.3">
      <c r="A442" s="323">
        <v>2019</v>
      </c>
      <c r="B442" s="323">
        <v>1</v>
      </c>
      <c r="C442" s="323" t="s">
        <v>2</v>
      </c>
      <c r="D442" s="323" t="s">
        <v>101</v>
      </c>
      <c r="E442" s="324">
        <v>19.063279999999999</v>
      </c>
    </row>
    <row r="443" spans="1:5" x14ac:dyDescent="0.3">
      <c r="A443" s="323">
        <v>2019</v>
      </c>
      <c r="B443" s="323">
        <v>1</v>
      </c>
      <c r="C443" s="323" t="s">
        <v>2</v>
      </c>
      <c r="D443" s="323" t="s">
        <v>179</v>
      </c>
      <c r="E443" s="324">
        <v>654.85028</v>
      </c>
    </row>
    <row r="444" spans="1:5" x14ac:dyDescent="0.3">
      <c r="A444" s="323">
        <v>2019</v>
      </c>
      <c r="B444" s="323">
        <v>1</v>
      </c>
      <c r="C444" s="323" t="s">
        <v>259</v>
      </c>
      <c r="D444" s="323" t="s">
        <v>1</v>
      </c>
      <c r="E444" s="324">
        <v>1.14184</v>
      </c>
    </row>
    <row r="445" spans="1:5" x14ac:dyDescent="0.3">
      <c r="A445" s="323">
        <v>2019</v>
      </c>
      <c r="B445" s="323">
        <v>1</v>
      </c>
      <c r="C445" s="323" t="s">
        <v>259</v>
      </c>
      <c r="D445" s="323" t="s">
        <v>2</v>
      </c>
      <c r="E445" s="324">
        <v>1.3117399999999999</v>
      </c>
    </row>
    <row r="446" spans="1:5" x14ac:dyDescent="0.3">
      <c r="A446" s="323">
        <v>2019</v>
      </c>
      <c r="B446" s="323">
        <v>1</v>
      </c>
      <c r="C446" s="323" t="s">
        <v>259</v>
      </c>
      <c r="D446" s="323" t="s">
        <v>85</v>
      </c>
      <c r="E446" s="324">
        <v>4.8004100000000003</v>
      </c>
    </row>
    <row r="447" spans="1:5" x14ac:dyDescent="0.3">
      <c r="A447" s="323">
        <v>2019</v>
      </c>
      <c r="B447" s="323">
        <v>1</v>
      </c>
      <c r="C447" s="323" t="s">
        <v>259</v>
      </c>
      <c r="D447" s="323" t="s">
        <v>101</v>
      </c>
      <c r="E447" s="324">
        <v>25.006170000000001</v>
      </c>
    </row>
    <row r="448" spans="1:5" x14ac:dyDescent="0.3">
      <c r="A448" s="323">
        <v>2019</v>
      </c>
      <c r="B448" s="323">
        <v>1</v>
      </c>
      <c r="C448" s="323" t="s">
        <v>259</v>
      </c>
      <c r="D448" s="323" t="s">
        <v>179</v>
      </c>
      <c r="E448" s="324">
        <v>858.99654999999996</v>
      </c>
    </row>
    <row r="449" spans="1:5" x14ac:dyDescent="0.3">
      <c r="A449" s="323">
        <v>2019</v>
      </c>
      <c r="B449" s="323">
        <v>1</v>
      </c>
      <c r="C449" s="323" t="s">
        <v>85</v>
      </c>
      <c r="D449" s="323" t="s">
        <v>1</v>
      </c>
      <c r="E449" s="324">
        <v>0.23785999999999999</v>
      </c>
    </row>
    <row r="450" spans="1:5" x14ac:dyDescent="0.3">
      <c r="A450" s="323">
        <v>2019</v>
      </c>
      <c r="B450" s="323">
        <v>1</v>
      </c>
      <c r="C450" s="323" t="s">
        <v>85</v>
      </c>
      <c r="D450" s="323" t="s">
        <v>2</v>
      </c>
      <c r="E450" s="324">
        <v>0.27326</v>
      </c>
    </row>
    <row r="451" spans="1:5" x14ac:dyDescent="0.3">
      <c r="A451" s="323">
        <v>2019</v>
      </c>
      <c r="B451" s="323">
        <v>1</v>
      </c>
      <c r="C451" s="323" t="s">
        <v>85</v>
      </c>
      <c r="D451" s="323" t="s">
        <v>259</v>
      </c>
      <c r="E451" s="324">
        <v>0.20832000000000001</v>
      </c>
    </row>
    <row r="452" spans="1:5" x14ac:dyDescent="0.3">
      <c r="A452" s="323">
        <v>2019</v>
      </c>
      <c r="B452" s="323">
        <v>1</v>
      </c>
      <c r="C452" s="323" t="s">
        <v>85</v>
      </c>
      <c r="D452" s="323" t="s">
        <v>101</v>
      </c>
      <c r="E452" s="324">
        <v>5.2091799999999999</v>
      </c>
    </row>
    <row r="453" spans="1:5" x14ac:dyDescent="0.3">
      <c r="A453" s="323">
        <v>2019</v>
      </c>
      <c r="B453" s="323">
        <v>1</v>
      </c>
      <c r="C453" s="323" t="s">
        <v>85</v>
      </c>
      <c r="D453" s="323" t="s">
        <v>179</v>
      </c>
      <c r="E453" s="324">
        <v>178.94246000000001</v>
      </c>
    </row>
    <row r="454" spans="1:5" x14ac:dyDescent="0.3">
      <c r="A454" s="323">
        <v>2019</v>
      </c>
      <c r="B454" s="323">
        <v>1</v>
      </c>
      <c r="C454" s="323" t="s">
        <v>101</v>
      </c>
      <c r="D454" s="323" t="s">
        <v>1</v>
      </c>
      <c r="E454" s="324">
        <v>4.5659999999999999E-2</v>
      </c>
    </row>
    <row r="455" spans="1:5" x14ac:dyDescent="0.3">
      <c r="A455" s="323">
        <v>2019</v>
      </c>
      <c r="B455" s="323">
        <v>1</v>
      </c>
      <c r="C455" s="323" t="s">
        <v>101</v>
      </c>
      <c r="D455" s="323" t="s">
        <v>2</v>
      </c>
      <c r="E455" s="324">
        <v>5.246E-2</v>
      </c>
    </row>
    <row r="456" spans="1:5" x14ac:dyDescent="0.3">
      <c r="A456" s="323">
        <v>2019</v>
      </c>
      <c r="B456" s="323">
        <v>1</v>
      </c>
      <c r="C456" s="323" t="s">
        <v>101</v>
      </c>
      <c r="D456" s="323" t="s">
        <v>259</v>
      </c>
      <c r="E456" s="324">
        <v>3.9989999999999998E-2</v>
      </c>
    </row>
    <row r="457" spans="1:5" x14ac:dyDescent="0.3">
      <c r="A457" s="323">
        <v>2019</v>
      </c>
      <c r="B457" s="323">
        <v>1</v>
      </c>
      <c r="C457" s="323" t="s">
        <v>101</v>
      </c>
      <c r="D457" s="323" t="s">
        <v>85</v>
      </c>
      <c r="E457" s="324">
        <v>0.19197</v>
      </c>
    </row>
    <row r="458" spans="1:5" x14ac:dyDescent="0.3">
      <c r="A458" s="323">
        <v>2019</v>
      </c>
      <c r="B458" s="323">
        <v>1</v>
      </c>
      <c r="C458" s="323" t="s">
        <v>101</v>
      </c>
      <c r="D458" s="323" t="s">
        <v>179</v>
      </c>
      <c r="E458" s="324">
        <v>34.351390000000002</v>
      </c>
    </row>
    <row r="459" spans="1:5" x14ac:dyDescent="0.3">
      <c r="A459" s="323">
        <v>2019</v>
      </c>
      <c r="B459" s="323">
        <v>1</v>
      </c>
      <c r="C459" s="323" t="s">
        <v>179</v>
      </c>
      <c r="D459" s="323" t="s">
        <v>1</v>
      </c>
      <c r="E459" s="324">
        <v>1.33E-3</v>
      </c>
    </row>
    <row r="460" spans="1:5" x14ac:dyDescent="0.3">
      <c r="A460" s="323">
        <v>2019</v>
      </c>
      <c r="B460" s="323">
        <v>1</v>
      </c>
      <c r="C460" s="323" t="s">
        <v>179</v>
      </c>
      <c r="D460" s="323" t="s">
        <v>2</v>
      </c>
      <c r="E460" s="324">
        <v>1.5299999999999999E-3</v>
      </c>
    </row>
    <row r="461" spans="1:5" x14ac:dyDescent="0.3">
      <c r="A461" s="323">
        <v>2019</v>
      </c>
      <c r="B461" s="323">
        <v>1</v>
      </c>
      <c r="C461" s="323" t="s">
        <v>179</v>
      </c>
      <c r="D461" s="323" t="s">
        <v>259</v>
      </c>
      <c r="E461" s="324">
        <v>1.16E-3</v>
      </c>
    </row>
    <row r="462" spans="1:5" x14ac:dyDescent="0.3">
      <c r="A462" s="323">
        <v>2019</v>
      </c>
      <c r="B462" s="323">
        <v>1</v>
      </c>
      <c r="C462" s="323" t="s">
        <v>179</v>
      </c>
      <c r="D462" s="323" t="s">
        <v>85</v>
      </c>
      <c r="E462" s="324">
        <v>5.5900000000000004E-3</v>
      </c>
    </row>
    <row r="463" spans="1:5" x14ac:dyDescent="0.3">
      <c r="A463" s="323">
        <v>2019</v>
      </c>
      <c r="B463" s="323">
        <v>1</v>
      </c>
      <c r="C463" s="323" t="s">
        <v>179</v>
      </c>
      <c r="D463" s="323" t="s">
        <v>101</v>
      </c>
      <c r="E463" s="324">
        <v>2.911E-2</v>
      </c>
    </row>
    <row r="464" spans="1:5" x14ac:dyDescent="0.3">
      <c r="A464" s="323">
        <v>2019</v>
      </c>
      <c r="B464" s="323">
        <v>1</v>
      </c>
      <c r="C464" s="295" t="s">
        <v>2</v>
      </c>
      <c r="D464" s="295" t="s">
        <v>2</v>
      </c>
      <c r="E464" s="296">
        <v>1</v>
      </c>
    </row>
    <row r="465" spans="1:5" x14ac:dyDescent="0.3">
      <c r="A465" s="323">
        <v>2019</v>
      </c>
      <c r="B465" s="323">
        <v>1</v>
      </c>
      <c r="C465" s="295" t="s">
        <v>1</v>
      </c>
      <c r="D465" s="295" t="s">
        <v>1</v>
      </c>
      <c r="E465" s="296">
        <v>1</v>
      </c>
    </row>
    <row r="466" spans="1:5" x14ac:dyDescent="0.3">
      <c r="A466" s="323">
        <v>2019</v>
      </c>
      <c r="B466" s="323">
        <v>1</v>
      </c>
      <c r="C466" s="295" t="s">
        <v>259</v>
      </c>
      <c r="D466" s="295" t="s">
        <v>259</v>
      </c>
      <c r="E466" s="296">
        <v>1</v>
      </c>
    </row>
    <row r="467" spans="1:5" x14ac:dyDescent="0.3">
      <c r="A467" s="323">
        <v>2019</v>
      </c>
      <c r="B467" s="323">
        <v>1</v>
      </c>
      <c r="C467" s="295" t="s">
        <v>85</v>
      </c>
      <c r="D467" s="295" t="s">
        <v>85</v>
      </c>
      <c r="E467" s="296">
        <v>1</v>
      </c>
    </row>
    <row r="468" spans="1:5" x14ac:dyDescent="0.3">
      <c r="A468" s="323">
        <v>2019</v>
      </c>
      <c r="B468" s="323">
        <v>1</v>
      </c>
      <c r="C468" s="295" t="s">
        <v>101</v>
      </c>
      <c r="D468" s="295" t="s">
        <v>101</v>
      </c>
      <c r="E468" s="296">
        <v>1</v>
      </c>
    </row>
    <row r="469" spans="1:5" x14ac:dyDescent="0.3">
      <c r="A469" s="323">
        <v>2019</v>
      </c>
      <c r="B469" s="323">
        <v>1</v>
      </c>
      <c r="C469" s="295" t="s">
        <v>179</v>
      </c>
      <c r="D469" s="295" t="s">
        <v>179</v>
      </c>
      <c r="E469" s="296">
        <v>1</v>
      </c>
    </row>
    <row r="470" spans="1:5" x14ac:dyDescent="0.3">
      <c r="A470" s="323">
        <v>2019</v>
      </c>
      <c r="B470" s="323">
        <v>2</v>
      </c>
      <c r="C470" s="323" t="s">
        <v>1</v>
      </c>
      <c r="D470" s="323" t="s">
        <v>2</v>
      </c>
      <c r="E470" s="324">
        <v>1.1415999999999999</v>
      </c>
    </row>
    <row r="471" spans="1:5" x14ac:dyDescent="0.3">
      <c r="A471" s="323">
        <v>2019</v>
      </c>
      <c r="B471" s="323">
        <v>2</v>
      </c>
      <c r="C471" s="323" t="s">
        <v>1</v>
      </c>
      <c r="D471" s="324" t="s">
        <v>259</v>
      </c>
      <c r="E471" s="324">
        <v>0.85834999999999995</v>
      </c>
    </row>
    <row r="472" spans="1:5" x14ac:dyDescent="0.3">
      <c r="A472" s="323">
        <v>2019</v>
      </c>
      <c r="B472" s="323">
        <v>2</v>
      </c>
      <c r="C472" s="323" t="s">
        <v>1</v>
      </c>
      <c r="D472" s="324" t="s">
        <v>85</v>
      </c>
      <c r="E472" s="324">
        <v>4.2687999999999997</v>
      </c>
    </row>
    <row r="473" spans="1:5" x14ac:dyDescent="0.3">
      <c r="A473" s="323">
        <v>2019</v>
      </c>
      <c r="B473" s="323">
        <v>2</v>
      </c>
      <c r="C473" s="323" t="s">
        <v>1</v>
      </c>
      <c r="D473" s="323" t="s">
        <v>101</v>
      </c>
      <c r="E473" s="324">
        <v>21.907299999999999</v>
      </c>
    </row>
    <row r="474" spans="1:5" x14ac:dyDescent="0.3">
      <c r="A474" s="323">
        <v>2019</v>
      </c>
      <c r="B474" s="323">
        <v>2</v>
      </c>
      <c r="C474" s="323" t="s">
        <v>1</v>
      </c>
      <c r="D474" s="323" t="s">
        <v>179</v>
      </c>
      <c r="E474" s="324">
        <v>747.91899999999998</v>
      </c>
    </row>
    <row r="475" spans="1:5" x14ac:dyDescent="0.3">
      <c r="A475" s="323">
        <v>2019</v>
      </c>
      <c r="B475" s="323">
        <v>2</v>
      </c>
      <c r="C475" s="323" t="s">
        <v>2</v>
      </c>
      <c r="D475" s="323" t="s">
        <v>1</v>
      </c>
      <c r="E475" s="324">
        <v>0.87595999999999996</v>
      </c>
    </row>
    <row r="476" spans="1:5" x14ac:dyDescent="0.3">
      <c r="A476" s="323">
        <v>2019</v>
      </c>
      <c r="B476" s="323">
        <v>2</v>
      </c>
      <c r="C476" s="323" t="s">
        <v>2</v>
      </c>
      <c r="D476" s="323" t="s">
        <v>259</v>
      </c>
      <c r="E476" s="324">
        <v>0.75187999999999999</v>
      </c>
    </row>
    <row r="477" spans="1:5" x14ac:dyDescent="0.3">
      <c r="A477" s="323">
        <v>2019</v>
      </c>
      <c r="B477" s="323">
        <v>2</v>
      </c>
      <c r="C477" s="323" t="s">
        <v>2</v>
      </c>
      <c r="D477" s="323" t="s">
        <v>85</v>
      </c>
      <c r="E477" s="324">
        <v>3.7393100000000001</v>
      </c>
    </row>
    <row r="478" spans="1:5" x14ac:dyDescent="0.3">
      <c r="A478" s="323">
        <v>2019</v>
      </c>
      <c r="B478" s="323">
        <v>2</v>
      </c>
      <c r="C478" s="323" t="s">
        <v>2</v>
      </c>
      <c r="D478" s="323" t="s">
        <v>101</v>
      </c>
      <c r="E478" s="324">
        <v>19.190000000000001</v>
      </c>
    </row>
    <row r="479" spans="1:5" x14ac:dyDescent="0.3">
      <c r="A479" s="323">
        <v>2019</v>
      </c>
      <c r="B479" s="323">
        <v>2</v>
      </c>
      <c r="C479" s="323" t="s">
        <v>2</v>
      </c>
      <c r="D479" s="323" t="s">
        <v>179</v>
      </c>
      <c r="E479" s="324">
        <v>655.14979000000005</v>
      </c>
    </row>
    <row r="480" spans="1:5" x14ac:dyDescent="0.3">
      <c r="A480" s="323">
        <v>2019</v>
      </c>
      <c r="B480" s="323">
        <v>2</v>
      </c>
      <c r="C480" s="323" t="s">
        <v>259</v>
      </c>
      <c r="D480" s="323" t="s">
        <v>1</v>
      </c>
      <c r="E480" s="324">
        <v>1.16503</v>
      </c>
    </row>
    <row r="481" spans="1:5" x14ac:dyDescent="0.3">
      <c r="A481" s="323">
        <v>2019</v>
      </c>
      <c r="B481" s="323">
        <v>2</v>
      </c>
      <c r="C481" s="323" t="s">
        <v>259</v>
      </c>
      <c r="D481" s="323" t="s">
        <v>2</v>
      </c>
      <c r="E481" s="324">
        <v>1.32999</v>
      </c>
    </row>
    <row r="482" spans="1:5" x14ac:dyDescent="0.3">
      <c r="A482" s="323">
        <v>2019</v>
      </c>
      <c r="B482" s="323">
        <v>2</v>
      </c>
      <c r="C482" s="323" t="s">
        <v>259</v>
      </c>
      <c r="D482" s="323" t="s">
        <v>85</v>
      </c>
      <c r="E482" s="324">
        <v>4.9732599999999998</v>
      </c>
    </row>
    <row r="483" spans="1:5" x14ac:dyDescent="0.3">
      <c r="A483" s="323">
        <v>2019</v>
      </c>
      <c r="B483" s="323">
        <v>2</v>
      </c>
      <c r="C483" s="323" t="s">
        <v>259</v>
      </c>
      <c r="D483" s="323" t="s">
        <v>101</v>
      </c>
      <c r="E483" s="324">
        <v>25.522570000000002</v>
      </c>
    </row>
    <row r="484" spans="1:5" x14ac:dyDescent="0.3">
      <c r="A484" s="323">
        <v>2019</v>
      </c>
      <c r="B484" s="323">
        <v>2</v>
      </c>
      <c r="C484" s="323" t="s">
        <v>259</v>
      </c>
      <c r="D484" s="323" t="s">
        <v>179</v>
      </c>
      <c r="E484" s="324">
        <v>871.34501999999998</v>
      </c>
    </row>
    <row r="485" spans="1:5" x14ac:dyDescent="0.3">
      <c r="A485" s="323">
        <v>2019</v>
      </c>
      <c r="B485" s="323">
        <v>2</v>
      </c>
      <c r="C485" s="323" t="s">
        <v>85</v>
      </c>
      <c r="D485" s="323" t="s">
        <v>1</v>
      </c>
      <c r="E485" s="324">
        <v>0.23426</v>
      </c>
    </row>
    <row r="486" spans="1:5" x14ac:dyDescent="0.3">
      <c r="A486" s="323">
        <v>2019</v>
      </c>
      <c r="B486" s="323">
        <v>2</v>
      </c>
      <c r="C486" s="323" t="s">
        <v>85</v>
      </c>
      <c r="D486" s="323" t="s">
        <v>2</v>
      </c>
      <c r="E486" s="324">
        <v>0.26743</v>
      </c>
    </row>
    <row r="487" spans="1:5" x14ac:dyDescent="0.3">
      <c r="A487" s="323">
        <v>2019</v>
      </c>
      <c r="B487" s="323">
        <v>2</v>
      </c>
      <c r="C487" s="323" t="s">
        <v>85</v>
      </c>
      <c r="D487" s="323" t="s">
        <v>259</v>
      </c>
      <c r="E487" s="324">
        <v>0.20108000000000001</v>
      </c>
    </row>
    <row r="488" spans="1:5" x14ac:dyDescent="0.3">
      <c r="A488" s="323">
        <v>2019</v>
      </c>
      <c r="B488" s="323">
        <v>2</v>
      </c>
      <c r="C488" s="323" t="s">
        <v>85</v>
      </c>
      <c r="D488" s="323" t="s">
        <v>101</v>
      </c>
      <c r="E488" s="324">
        <v>5.1319600000000003</v>
      </c>
    </row>
    <row r="489" spans="1:5" x14ac:dyDescent="0.3">
      <c r="A489" s="323">
        <v>2019</v>
      </c>
      <c r="B489" s="323">
        <v>2</v>
      </c>
      <c r="C489" s="323" t="s">
        <v>85</v>
      </c>
      <c r="D489" s="323" t="s">
        <v>179</v>
      </c>
      <c r="E489" s="324">
        <v>175.20590999999999</v>
      </c>
    </row>
    <row r="490" spans="1:5" x14ac:dyDescent="0.3">
      <c r="A490" s="323">
        <v>2019</v>
      </c>
      <c r="B490" s="323">
        <v>2</v>
      </c>
      <c r="C490" s="323" t="s">
        <v>101</v>
      </c>
      <c r="D490" s="323" t="s">
        <v>1</v>
      </c>
      <c r="E490" s="324">
        <v>4.5650000000000003E-2</v>
      </c>
    </row>
    <row r="491" spans="1:5" x14ac:dyDescent="0.3">
      <c r="A491" s="323">
        <v>2019</v>
      </c>
      <c r="B491" s="323">
        <v>2</v>
      </c>
      <c r="C491" s="323" t="s">
        <v>101</v>
      </c>
      <c r="D491" s="323" t="s">
        <v>2</v>
      </c>
      <c r="E491" s="324">
        <v>5.2109999999999997E-2</v>
      </c>
    </row>
    <row r="492" spans="1:5" x14ac:dyDescent="0.3">
      <c r="A492" s="323">
        <v>2019</v>
      </c>
      <c r="B492" s="323">
        <v>2</v>
      </c>
      <c r="C492" s="323" t="s">
        <v>101</v>
      </c>
      <c r="D492" s="323" t="s">
        <v>259</v>
      </c>
      <c r="E492" s="324">
        <v>3.918E-2</v>
      </c>
    </row>
    <row r="493" spans="1:5" x14ac:dyDescent="0.3">
      <c r="A493" s="323">
        <v>2019</v>
      </c>
      <c r="B493" s="323">
        <v>2</v>
      </c>
      <c r="C493" s="323" t="s">
        <v>101</v>
      </c>
      <c r="D493" s="323" t="s">
        <v>85</v>
      </c>
      <c r="E493" s="324">
        <v>0.19486000000000001</v>
      </c>
    </row>
    <row r="494" spans="1:5" x14ac:dyDescent="0.3">
      <c r="A494" s="323">
        <v>2019</v>
      </c>
      <c r="B494" s="323">
        <v>2</v>
      </c>
      <c r="C494" s="323" t="s">
        <v>101</v>
      </c>
      <c r="D494" s="323" t="s">
        <v>179</v>
      </c>
      <c r="E494" s="324">
        <v>34.140169999999998</v>
      </c>
    </row>
    <row r="495" spans="1:5" x14ac:dyDescent="0.3">
      <c r="A495" s="323">
        <v>2019</v>
      </c>
      <c r="B495" s="323">
        <v>2</v>
      </c>
      <c r="C495" s="323" t="s">
        <v>179</v>
      </c>
      <c r="D495" s="323" t="s">
        <v>1</v>
      </c>
      <c r="E495" s="324">
        <v>1.34E-3</v>
      </c>
    </row>
    <row r="496" spans="1:5" x14ac:dyDescent="0.3">
      <c r="A496" s="323">
        <v>2019</v>
      </c>
      <c r="B496" s="323">
        <v>2</v>
      </c>
      <c r="C496" s="323" t="s">
        <v>179</v>
      </c>
      <c r="D496" s="323" t="s">
        <v>2</v>
      </c>
      <c r="E496" s="324">
        <v>1.5299999999999999E-3</v>
      </c>
    </row>
    <row r="497" spans="1:5" x14ac:dyDescent="0.3">
      <c r="A497" s="323">
        <v>2019</v>
      </c>
      <c r="B497" s="323">
        <v>2</v>
      </c>
      <c r="C497" s="323" t="s">
        <v>179</v>
      </c>
      <c r="D497" s="323" t="s">
        <v>259</v>
      </c>
      <c r="E497" s="324">
        <v>1.15E-3</v>
      </c>
    </row>
    <row r="498" spans="1:5" x14ac:dyDescent="0.3">
      <c r="A498" s="323">
        <v>2019</v>
      </c>
      <c r="B498" s="323">
        <v>2</v>
      </c>
      <c r="C498" s="323" t="s">
        <v>179</v>
      </c>
      <c r="D498" s="323" t="s">
        <v>85</v>
      </c>
      <c r="E498" s="324">
        <v>5.7099999999999998E-3</v>
      </c>
    </row>
    <row r="499" spans="1:5" x14ac:dyDescent="0.3">
      <c r="A499" s="323">
        <v>2019</v>
      </c>
      <c r="B499" s="323">
        <v>2</v>
      </c>
      <c r="C499" s="323" t="s">
        <v>179</v>
      </c>
      <c r="D499" s="323" t="s">
        <v>101</v>
      </c>
      <c r="E499" s="324">
        <v>2.929E-2</v>
      </c>
    </row>
    <row r="500" spans="1:5" x14ac:dyDescent="0.3">
      <c r="A500" s="323">
        <v>2019</v>
      </c>
      <c r="B500" s="323">
        <v>2</v>
      </c>
      <c r="C500" s="295" t="s">
        <v>2</v>
      </c>
      <c r="D500" s="295" t="s">
        <v>2</v>
      </c>
      <c r="E500" s="296">
        <v>1</v>
      </c>
    </row>
    <row r="501" spans="1:5" x14ac:dyDescent="0.3">
      <c r="A501" s="323">
        <v>2019</v>
      </c>
      <c r="B501" s="323">
        <v>2</v>
      </c>
      <c r="C501" s="295" t="s">
        <v>1</v>
      </c>
      <c r="D501" s="295" t="s">
        <v>1</v>
      </c>
      <c r="E501" s="296">
        <v>1</v>
      </c>
    </row>
    <row r="502" spans="1:5" x14ac:dyDescent="0.3">
      <c r="A502" s="323">
        <v>2019</v>
      </c>
      <c r="B502" s="323">
        <v>2</v>
      </c>
      <c r="C502" s="295" t="s">
        <v>259</v>
      </c>
      <c r="D502" s="295" t="s">
        <v>259</v>
      </c>
      <c r="E502" s="296">
        <v>1</v>
      </c>
    </row>
    <row r="503" spans="1:5" x14ac:dyDescent="0.3">
      <c r="A503" s="323">
        <v>2019</v>
      </c>
      <c r="B503" s="323">
        <v>2</v>
      </c>
      <c r="C503" s="295" t="s">
        <v>85</v>
      </c>
      <c r="D503" s="295" t="s">
        <v>85</v>
      </c>
      <c r="E503" s="296">
        <v>1</v>
      </c>
    </row>
    <row r="504" spans="1:5" x14ac:dyDescent="0.3">
      <c r="A504" s="323">
        <v>2019</v>
      </c>
      <c r="B504" s="323">
        <v>2</v>
      </c>
      <c r="C504" s="295" t="s">
        <v>101</v>
      </c>
      <c r="D504" s="295" t="s">
        <v>101</v>
      </c>
      <c r="E504" s="296">
        <v>1</v>
      </c>
    </row>
    <row r="505" spans="1:5" x14ac:dyDescent="0.3">
      <c r="A505" s="323">
        <v>2019</v>
      </c>
      <c r="B505" s="323">
        <v>2</v>
      </c>
      <c r="C505" s="295" t="s">
        <v>179</v>
      </c>
      <c r="D505" s="295" t="s">
        <v>179</v>
      </c>
      <c r="E505" s="296">
        <v>1</v>
      </c>
    </row>
    <row r="506" spans="1:5" x14ac:dyDescent="0.3">
      <c r="A506" s="323">
        <v>2019</v>
      </c>
      <c r="B506" s="323">
        <v>3</v>
      </c>
      <c r="C506" s="295" t="s">
        <v>1</v>
      </c>
      <c r="D506" s="295" t="s">
        <v>2</v>
      </c>
      <c r="E506" s="296">
        <v>1.1234999999999999</v>
      </c>
    </row>
    <row r="507" spans="1:5" x14ac:dyDescent="0.3">
      <c r="A507" s="323">
        <v>2019</v>
      </c>
      <c r="B507" s="323">
        <v>3</v>
      </c>
      <c r="C507" s="295" t="s">
        <v>1</v>
      </c>
      <c r="D507" s="295" t="s">
        <v>259</v>
      </c>
      <c r="E507" s="296">
        <v>0.85829999999999995</v>
      </c>
    </row>
    <row r="508" spans="1:5" x14ac:dyDescent="0.3">
      <c r="A508" s="323">
        <v>2019</v>
      </c>
      <c r="B508" s="323">
        <v>3</v>
      </c>
      <c r="C508" s="295" t="s">
        <v>1</v>
      </c>
      <c r="D508" s="295" t="s">
        <v>85</v>
      </c>
      <c r="E508" s="296">
        <v>4.3864999999999998</v>
      </c>
    </row>
    <row r="509" spans="1:5" x14ac:dyDescent="0.3">
      <c r="A509" s="323">
        <v>2019</v>
      </c>
      <c r="B509" s="323">
        <v>3</v>
      </c>
      <c r="C509" s="295" t="s">
        <v>1</v>
      </c>
      <c r="D509" s="295" t="s">
        <v>101</v>
      </c>
      <c r="E509" s="296">
        <v>21.690999999999999</v>
      </c>
    </row>
    <row r="510" spans="1:5" x14ac:dyDescent="0.3">
      <c r="A510" s="323">
        <v>2019</v>
      </c>
      <c r="B510" s="323">
        <v>3</v>
      </c>
      <c r="C510" s="295" t="s">
        <v>1</v>
      </c>
      <c r="D510" s="295" t="s">
        <v>179</v>
      </c>
      <c r="E510" s="296">
        <v>764.03599999999994</v>
      </c>
    </row>
    <row r="511" spans="1:5" x14ac:dyDescent="0.3">
      <c r="A511" s="323">
        <v>2019</v>
      </c>
      <c r="B511" s="323">
        <v>3</v>
      </c>
      <c r="C511" s="295" t="s">
        <v>2</v>
      </c>
      <c r="D511" s="295" t="s">
        <v>1</v>
      </c>
      <c r="E511" s="296">
        <v>0.89007999999999998</v>
      </c>
    </row>
    <row r="512" spans="1:5" x14ac:dyDescent="0.3">
      <c r="A512" s="323">
        <v>2019</v>
      </c>
      <c r="B512" s="323">
        <v>3</v>
      </c>
      <c r="C512" s="295" t="s">
        <v>2</v>
      </c>
      <c r="D512" s="295" t="s">
        <v>259</v>
      </c>
      <c r="E512" s="296">
        <v>0.76395000000000002</v>
      </c>
    </row>
    <row r="513" spans="1:5" x14ac:dyDescent="0.3">
      <c r="A513" s="323">
        <v>2019</v>
      </c>
      <c r="B513" s="323">
        <v>3</v>
      </c>
      <c r="C513" s="295" t="s">
        <v>2</v>
      </c>
      <c r="D513" s="295" t="s">
        <v>85</v>
      </c>
      <c r="E513" s="296">
        <v>3.9043199999999998</v>
      </c>
    </row>
    <row r="514" spans="1:5" x14ac:dyDescent="0.3">
      <c r="A514" s="323">
        <v>2019</v>
      </c>
      <c r="B514" s="323">
        <v>3</v>
      </c>
      <c r="C514" s="295" t="s">
        <v>2</v>
      </c>
      <c r="D514" s="295" t="s">
        <v>101</v>
      </c>
      <c r="E514" s="296">
        <v>19.306629999999998</v>
      </c>
    </row>
    <row r="515" spans="1:5" x14ac:dyDescent="0.3">
      <c r="A515" s="323">
        <v>2019</v>
      </c>
      <c r="B515" s="323">
        <v>3</v>
      </c>
      <c r="C515" s="295" t="s">
        <v>2</v>
      </c>
      <c r="D515" s="295" t="s">
        <v>179</v>
      </c>
      <c r="E515" s="296">
        <v>680.04984000000002</v>
      </c>
    </row>
    <row r="516" spans="1:5" x14ac:dyDescent="0.3">
      <c r="A516" s="323">
        <v>2019</v>
      </c>
      <c r="B516" s="323">
        <v>3</v>
      </c>
      <c r="C516" s="295" t="s">
        <v>259</v>
      </c>
      <c r="D516" s="295" t="s">
        <v>1</v>
      </c>
      <c r="E516" s="296">
        <v>1.16509</v>
      </c>
    </row>
    <row r="517" spans="1:5" x14ac:dyDescent="0.3">
      <c r="A517" s="323">
        <v>2019</v>
      </c>
      <c r="B517" s="323">
        <v>3</v>
      </c>
      <c r="C517" s="295" t="s">
        <v>259</v>
      </c>
      <c r="D517" s="295" t="s">
        <v>2</v>
      </c>
      <c r="E517" s="296">
        <v>1.30898</v>
      </c>
    </row>
    <row r="518" spans="1:5" x14ac:dyDescent="0.3">
      <c r="A518" s="323">
        <v>2019</v>
      </c>
      <c r="B518" s="323">
        <v>3</v>
      </c>
      <c r="C518" s="295" t="s">
        <v>259</v>
      </c>
      <c r="D518" s="295" t="s">
        <v>85</v>
      </c>
      <c r="E518" s="296">
        <v>5.1106800000000003</v>
      </c>
    </row>
    <row r="519" spans="1:5" x14ac:dyDescent="0.3">
      <c r="A519" s="323">
        <v>2019</v>
      </c>
      <c r="B519" s="323">
        <v>3</v>
      </c>
      <c r="C519" s="295" t="s">
        <v>259</v>
      </c>
      <c r="D519" s="295" t="s">
        <v>101</v>
      </c>
      <c r="E519" s="296">
        <v>25.27205</v>
      </c>
    </row>
    <row r="520" spans="1:5" x14ac:dyDescent="0.3">
      <c r="A520" s="323">
        <v>2019</v>
      </c>
      <c r="B520" s="323">
        <v>3</v>
      </c>
      <c r="C520" s="295" t="s">
        <v>259</v>
      </c>
      <c r="D520" s="295" t="s">
        <v>179</v>
      </c>
      <c r="E520" s="296">
        <v>890.17359999999996</v>
      </c>
    </row>
    <row r="521" spans="1:5" x14ac:dyDescent="0.3">
      <c r="A521" s="323">
        <v>2019</v>
      </c>
      <c r="B521" s="323">
        <v>3</v>
      </c>
      <c r="C521" s="295" t="s">
        <v>85</v>
      </c>
      <c r="D521" s="295" t="s">
        <v>1</v>
      </c>
      <c r="E521" s="296">
        <v>0.22797000000000001</v>
      </c>
    </row>
    <row r="522" spans="1:5" x14ac:dyDescent="0.3">
      <c r="A522" s="323">
        <v>2019</v>
      </c>
      <c r="B522" s="323">
        <v>3</v>
      </c>
      <c r="C522" s="295" t="s">
        <v>85</v>
      </c>
      <c r="D522" s="295" t="s">
        <v>2</v>
      </c>
      <c r="E522" s="296">
        <v>0.25613000000000002</v>
      </c>
    </row>
    <row r="523" spans="1:5" x14ac:dyDescent="0.3">
      <c r="A523" s="323">
        <v>2019</v>
      </c>
      <c r="B523" s="323">
        <v>3</v>
      </c>
      <c r="C523" s="295" t="s">
        <v>85</v>
      </c>
      <c r="D523" s="295" t="s">
        <v>259</v>
      </c>
      <c r="E523" s="296">
        <v>0.19567000000000001</v>
      </c>
    </row>
    <row r="524" spans="1:5" x14ac:dyDescent="0.3">
      <c r="A524" s="323">
        <v>2019</v>
      </c>
      <c r="B524" s="323">
        <v>3</v>
      </c>
      <c r="C524" s="295" t="s">
        <v>85</v>
      </c>
      <c r="D524" s="295" t="s">
        <v>101</v>
      </c>
      <c r="E524" s="296">
        <v>4.9449399999999999</v>
      </c>
    </row>
    <row r="525" spans="1:5" x14ac:dyDescent="0.3">
      <c r="A525" s="323">
        <v>2019</v>
      </c>
      <c r="B525" s="323">
        <v>3</v>
      </c>
      <c r="C525" s="295" t="s">
        <v>85</v>
      </c>
      <c r="D525" s="295" t="s">
        <v>179</v>
      </c>
      <c r="E525" s="296">
        <v>174.17895999999999</v>
      </c>
    </row>
    <row r="526" spans="1:5" x14ac:dyDescent="0.3">
      <c r="A526" s="323">
        <v>2019</v>
      </c>
      <c r="B526" s="323">
        <v>3</v>
      </c>
      <c r="C526" s="295" t="s">
        <v>101</v>
      </c>
      <c r="D526" s="295" t="s">
        <v>1</v>
      </c>
      <c r="E526" s="296">
        <v>4.6100000000000002E-2</v>
      </c>
    </row>
    <row r="527" spans="1:5" x14ac:dyDescent="0.3">
      <c r="A527" s="323">
        <v>2019</v>
      </c>
      <c r="B527" s="323">
        <v>3</v>
      </c>
      <c r="C527" s="295" t="s">
        <v>101</v>
      </c>
      <c r="D527" s="295" t="s">
        <v>2</v>
      </c>
      <c r="E527" s="296">
        <v>5.1799999999999999E-2</v>
      </c>
    </row>
    <row r="528" spans="1:5" x14ac:dyDescent="0.3">
      <c r="A528" s="323">
        <v>2019</v>
      </c>
      <c r="B528" s="323">
        <v>3</v>
      </c>
      <c r="C528" s="295" t="s">
        <v>101</v>
      </c>
      <c r="D528" s="295" t="s">
        <v>259</v>
      </c>
      <c r="E528" s="296">
        <v>3.9570000000000001E-2</v>
      </c>
    </row>
    <row r="529" spans="1:5" x14ac:dyDescent="0.3">
      <c r="A529" s="323">
        <v>2019</v>
      </c>
      <c r="B529" s="323">
        <v>3</v>
      </c>
      <c r="C529" s="295" t="s">
        <v>101</v>
      </c>
      <c r="D529" s="295" t="s">
        <v>85</v>
      </c>
      <c r="E529" s="296">
        <v>0.20222999999999999</v>
      </c>
    </row>
    <row r="530" spans="1:5" x14ac:dyDescent="0.3">
      <c r="A530" s="323">
        <v>2019</v>
      </c>
      <c r="B530" s="323">
        <v>3</v>
      </c>
      <c r="C530" s="295" t="s">
        <v>101</v>
      </c>
      <c r="D530" s="295" t="s">
        <v>179</v>
      </c>
      <c r="E530" s="296">
        <v>35.223640000000003</v>
      </c>
    </row>
    <row r="531" spans="1:5" x14ac:dyDescent="0.3">
      <c r="A531" s="323">
        <v>2019</v>
      </c>
      <c r="B531" s="323">
        <v>3</v>
      </c>
      <c r="C531" s="295" t="s">
        <v>179</v>
      </c>
      <c r="D531" s="295" t="s">
        <v>1</v>
      </c>
      <c r="E531" s="296">
        <v>1.31E-3</v>
      </c>
    </row>
    <row r="532" spans="1:5" x14ac:dyDescent="0.3">
      <c r="A532" s="323">
        <v>2019</v>
      </c>
      <c r="B532" s="323">
        <v>3</v>
      </c>
      <c r="C532" s="295" t="s">
        <v>179</v>
      </c>
      <c r="D532" s="295" t="s">
        <v>2</v>
      </c>
      <c r="E532" s="296">
        <v>1.47E-3</v>
      </c>
    </row>
    <row r="533" spans="1:5" x14ac:dyDescent="0.3">
      <c r="A533" s="323">
        <v>2019</v>
      </c>
      <c r="B533" s="323">
        <v>3</v>
      </c>
      <c r="C533" s="295" t="s">
        <v>179</v>
      </c>
      <c r="D533" s="295" t="s">
        <v>259</v>
      </c>
      <c r="E533" s="296">
        <v>1.1199999999999999E-3</v>
      </c>
    </row>
    <row r="534" spans="1:5" x14ac:dyDescent="0.3">
      <c r="A534" s="323">
        <v>2019</v>
      </c>
      <c r="B534" s="323">
        <v>3</v>
      </c>
      <c r="C534" s="295" t="s">
        <v>179</v>
      </c>
      <c r="D534" s="295" t="s">
        <v>85</v>
      </c>
      <c r="E534" s="296">
        <v>5.7400000000000003E-3</v>
      </c>
    </row>
    <row r="535" spans="1:5" x14ac:dyDescent="0.3">
      <c r="A535" s="323">
        <v>2019</v>
      </c>
      <c r="B535" s="323">
        <v>3</v>
      </c>
      <c r="C535" s="295" t="s">
        <v>179</v>
      </c>
      <c r="D535" s="295" t="s">
        <v>101</v>
      </c>
      <c r="E535" s="296">
        <v>2.8389999999999999E-2</v>
      </c>
    </row>
    <row r="536" spans="1:5" x14ac:dyDescent="0.3">
      <c r="A536" s="323">
        <v>2019</v>
      </c>
      <c r="B536" s="323">
        <v>3</v>
      </c>
      <c r="C536" s="295" t="s">
        <v>2</v>
      </c>
      <c r="D536" s="295" t="s">
        <v>2</v>
      </c>
      <c r="E536" s="296">
        <v>1</v>
      </c>
    </row>
    <row r="537" spans="1:5" x14ac:dyDescent="0.3">
      <c r="A537" s="323">
        <v>2019</v>
      </c>
      <c r="B537" s="323">
        <v>3</v>
      </c>
      <c r="C537" s="295" t="s">
        <v>1</v>
      </c>
      <c r="D537" s="295" t="s">
        <v>1</v>
      </c>
      <c r="E537" s="296">
        <v>1</v>
      </c>
    </row>
    <row r="538" spans="1:5" x14ac:dyDescent="0.3">
      <c r="A538" s="323">
        <v>2019</v>
      </c>
      <c r="B538" s="323">
        <v>3</v>
      </c>
      <c r="C538" s="295" t="s">
        <v>259</v>
      </c>
      <c r="D538" s="295" t="s">
        <v>259</v>
      </c>
      <c r="E538" s="296">
        <v>1</v>
      </c>
    </row>
    <row r="539" spans="1:5" x14ac:dyDescent="0.3">
      <c r="A539" s="323">
        <v>2019</v>
      </c>
      <c r="B539" s="323">
        <v>3</v>
      </c>
      <c r="C539" s="295" t="s">
        <v>85</v>
      </c>
      <c r="D539" s="295" t="s">
        <v>85</v>
      </c>
      <c r="E539" s="296">
        <v>1</v>
      </c>
    </row>
    <row r="540" spans="1:5" x14ac:dyDescent="0.3">
      <c r="A540" s="323">
        <v>2019</v>
      </c>
      <c r="B540" s="323">
        <v>3</v>
      </c>
      <c r="C540" s="295" t="s">
        <v>101</v>
      </c>
      <c r="D540" s="295" t="s">
        <v>101</v>
      </c>
      <c r="E540" s="296">
        <v>1</v>
      </c>
    </row>
    <row r="541" spans="1:5" x14ac:dyDescent="0.3">
      <c r="A541" s="323">
        <v>2019</v>
      </c>
      <c r="B541" s="323">
        <v>3</v>
      </c>
      <c r="C541" s="295" t="s">
        <v>179</v>
      </c>
      <c r="D541" s="295" t="s">
        <v>179</v>
      </c>
      <c r="E541" s="296">
        <v>1</v>
      </c>
    </row>
    <row r="542" spans="1:5" x14ac:dyDescent="0.3">
      <c r="A542" s="323">
        <v>2019</v>
      </c>
      <c r="B542" s="323">
        <v>4</v>
      </c>
      <c r="C542" s="295" t="s">
        <v>1</v>
      </c>
      <c r="D542" s="295" t="s">
        <v>2</v>
      </c>
      <c r="E542" s="296">
        <v>1.1217999999999999</v>
      </c>
    </row>
    <row r="543" spans="1:5" x14ac:dyDescent="0.3">
      <c r="A543" s="323">
        <v>2019</v>
      </c>
      <c r="B543" s="323">
        <v>4</v>
      </c>
      <c r="C543" s="295" t="s">
        <v>1</v>
      </c>
      <c r="D543" s="295" t="s">
        <v>259</v>
      </c>
      <c r="E543" s="296">
        <v>0.86248000000000002</v>
      </c>
    </row>
    <row r="544" spans="1:5" x14ac:dyDescent="0.3">
      <c r="A544" s="323">
        <v>2019</v>
      </c>
      <c r="B544" s="323">
        <v>4</v>
      </c>
      <c r="C544" s="295" t="s">
        <v>1</v>
      </c>
      <c r="D544" s="295" t="s">
        <v>85</v>
      </c>
      <c r="E544" s="296">
        <v>4.4050000000000002</v>
      </c>
    </row>
    <row r="545" spans="1:5" x14ac:dyDescent="0.3">
      <c r="A545" s="323">
        <v>2019</v>
      </c>
      <c r="B545" s="323">
        <v>4</v>
      </c>
      <c r="C545" s="295" t="s">
        <v>1</v>
      </c>
      <c r="D545" s="295" t="s">
        <v>101</v>
      </c>
      <c r="E545" s="296">
        <v>21.282900000000001</v>
      </c>
    </row>
    <row r="546" spans="1:5" x14ac:dyDescent="0.3">
      <c r="A546" s="323">
        <v>2019</v>
      </c>
      <c r="B546" s="323">
        <v>4</v>
      </c>
      <c r="C546" s="295" t="s">
        <v>1</v>
      </c>
      <c r="D546" s="295" t="s">
        <v>179</v>
      </c>
      <c r="E546" s="296">
        <v>759.84</v>
      </c>
    </row>
    <row r="547" spans="1:5" x14ac:dyDescent="0.3">
      <c r="A547" s="323">
        <v>2019</v>
      </c>
      <c r="B547" s="323">
        <v>4</v>
      </c>
      <c r="C547" s="295" t="s">
        <v>2</v>
      </c>
      <c r="D547" s="295" t="s">
        <v>1</v>
      </c>
      <c r="E547" s="296">
        <v>0.89141999999999999</v>
      </c>
    </row>
    <row r="548" spans="1:5" x14ac:dyDescent="0.3">
      <c r="A548" s="323">
        <v>2019</v>
      </c>
      <c r="B548" s="323">
        <v>4</v>
      </c>
      <c r="C548" s="295" t="s">
        <v>2</v>
      </c>
      <c r="D548" s="295" t="s">
        <v>259</v>
      </c>
      <c r="E548" s="296">
        <v>0.76883999999999997</v>
      </c>
    </row>
    <row r="549" spans="1:5" x14ac:dyDescent="0.3">
      <c r="A549" s="323">
        <v>2019</v>
      </c>
      <c r="B549" s="323">
        <v>4</v>
      </c>
      <c r="C549" s="295" t="s">
        <v>2</v>
      </c>
      <c r="D549" s="295" t="s">
        <v>85</v>
      </c>
      <c r="E549" s="296">
        <v>3.92672</v>
      </c>
    </row>
    <row r="550" spans="1:5" x14ac:dyDescent="0.3">
      <c r="A550" s="323">
        <v>2019</v>
      </c>
      <c r="B550" s="323">
        <v>4</v>
      </c>
      <c r="C550" s="295" t="s">
        <v>2</v>
      </c>
      <c r="D550" s="295" t="s">
        <v>101</v>
      </c>
      <c r="E550" s="296">
        <v>18.972100000000001</v>
      </c>
    </row>
    <row r="551" spans="1:5" x14ac:dyDescent="0.3">
      <c r="A551" s="323">
        <v>2019</v>
      </c>
      <c r="B551" s="323">
        <v>4</v>
      </c>
      <c r="C551" s="295" t="s">
        <v>2</v>
      </c>
      <c r="D551" s="295" t="s">
        <v>179</v>
      </c>
      <c r="E551" s="296">
        <v>677.33998999999994</v>
      </c>
    </row>
    <row r="552" spans="1:5" x14ac:dyDescent="0.3">
      <c r="A552" s="323">
        <v>2019</v>
      </c>
      <c r="B552" s="323">
        <v>4</v>
      </c>
      <c r="C552" s="295" t="s">
        <v>259</v>
      </c>
      <c r="D552" s="295" t="s">
        <v>1</v>
      </c>
      <c r="E552" s="296">
        <v>1.1594500000000001</v>
      </c>
    </row>
    <row r="553" spans="1:5" x14ac:dyDescent="0.3">
      <c r="A553" s="323">
        <v>2019</v>
      </c>
      <c r="B553" s="323">
        <v>4</v>
      </c>
      <c r="C553" s="295" t="s">
        <v>259</v>
      </c>
      <c r="D553" s="295" t="s">
        <v>2</v>
      </c>
      <c r="E553" s="296">
        <v>1.30067</v>
      </c>
    </row>
    <row r="554" spans="1:5" x14ac:dyDescent="0.3">
      <c r="A554" s="323">
        <v>2019</v>
      </c>
      <c r="B554" s="323">
        <v>4</v>
      </c>
      <c r="C554" s="295" t="s">
        <v>259</v>
      </c>
      <c r="D554" s="295" t="s">
        <v>85</v>
      </c>
      <c r="E554" s="296">
        <v>5.1073599999999999</v>
      </c>
    </row>
    <row r="555" spans="1:5" x14ac:dyDescent="0.3">
      <c r="A555" s="323">
        <v>2019</v>
      </c>
      <c r="B555" s="323">
        <v>4</v>
      </c>
      <c r="C555" s="295" t="s">
        <v>259</v>
      </c>
      <c r="D555" s="295" t="s">
        <v>101</v>
      </c>
      <c r="E555" s="296">
        <v>24.676400000000001</v>
      </c>
    </row>
    <row r="556" spans="1:5" x14ac:dyDescent="0.3">
      <c r="A556" s="323">
        <v>2019</v>
      </c>
      <c r="B556" s="323">
        <v>4</v>
      </c>
      <c r="C556" s="295" t="s">
        <v>259</v>
      </c>
      <c r="D556" s="295" t="s">
        <v>179</v>
      </c>
      <c r="E556" s="296">
        <v>880.99433999999997</v>
      </c>
    </row>
    <row r="557" spans="1:5" x14ac:dyDescent="0.3">
      <c r="A557" s="323">
        <v>2019</v>
      </c>
      <c r="B557" s="323">
        <v>4</v>
      </c>
      <c r="C557" s="295" t="s">
        <v>85</v>
      </c>
      <c r="D557" s="295" t="s">
        <v>1</v>
      </c>
      <c r="E557" s="296">
        <v>0.22700999999999999</v>
      </c>
    </row>
    <row r="558" spans="1:5" x14ac:dyDescent="0.3">
      <c r="A558" s="323">
        <v>2019</v>
      </c>
      <c r="B558" s="323">
        <v>4</v>
      </c>
      <c r="C558" s="295" t="s">
        <v>85</v>
      </c>
      <c r="D558" s="295" t="s">
        <v>2</v>
      </c>
      <c r="E558" s="296">
        <v>0.25467000000000001</v>
      </c>
    </row>
    <row r="559" spans="1:5" x14ac:dyDescent="0.3">
      <c r="A559" s="323">
        <v>2019</v>
      </c>
      <c r="B559" s="323">
        <v>4</v>
      </c>
      <c r="C559" s="295" t="s">
        <v>85</v>
      </c>
      <c r="D559" s="295" t="s">
        <v>259</v>
      </c>
      <c r="E559" s="296">
        <v>0.1958</v>
      </c>
    </row>
    <row r="560" spans="1:5" x14ac:dyDescent="0.3">
      <c r="A560" s="323">
        <v>2019</v>
      </c>
      <c r="B560" s="323">
        <v>4</v>
      </c>
      <c r="C560" s="295" t="s">
        <v>85</v>
      </c>
      <c r="D560" s="295" t="s">
        <v>101</v>
      </c>
      <c r="E560" s="296">
        <v>4.8315299999999999</v>
      </c>
    </row>
    <row r="561" spans="1:5" x14ac:dyDescent="0.3">
      <c r="A561" s="323">
        <v>2019</v>
      </c>
      <c r="B561" s="323">
        <v>4</v>
      </c>
      <c r="C561" s="295" t="s">
        <v>85</v>
      </c>
      <c r="D561" s="295" t="s">
        <v>179</v>
      </c>
      <c r="E561" s="296">
        <v>172.49489</v>
      </c>
    </row>
    <row r="562" spans="1:5" x14ac:dyDescent="0.3">
      <c r="A562" s="323">
        <v>2019</v>
      </c>
      <c r="B562" s="323">
        <v>4</v>
      </c>
      <c r="C562" s="295" t="s">
        <v>101</v>
      </c>
      <c r="D562" s="295" t="s">
        <v>1</v>
      </c>
      <c r="E562" s="296">
        <v>4.6989999999999997E-2</v>
      </c>
    </row>
    <row r="563" spans="1:5" x14ac:dyDescent="0.3">
      <c r="A563" s="323">
        <v>2019</v>
      </c>
      <c r="B563" s="323">
        <v>4</v>
      </c>
      <c r="C563" s="295" t="s">
        <v>101</v>
      </c>
      <c r="D563" s="295" t="s">
        <v>2</v>
      </c>
      <c r="E563" s="296">
        <v>5.271E-2</v>
      </c>
    </row>
    <row r="564" spans="1:5" x14ac:dyDescent="0.3">
      <c r="A564" s="323">
        <v>2019</v>
      </c>
      <c r="B564" s="323">
        <v>4</v>
      </c>
      <c r="C564" s="295" t="s">
        <v>101</v>
      </c>
      <c r="D564" s="295" t="s">
        <v>259</v>
      </c>
      <c r="E564" s="296">
        <v>4.052E-2</v>
      </c>
    </row>
    <row r="565" spans="1:5" x14ac:dyDescent="0.3">
      <c r="A565" s="323">
        <v>2019</v>
      </c>
      <c r="B565" s="323">
        <v>4</v>
      </c>
      <c r="C565" s="295" t="s">
        <v>101</v>
      </c>
      <c r="D565" s="295" t="s">
        <v>85</v>
      </c>
      <c r="E565" s="296">
        <v>0.20696999999999999</v>
      </c>
    </row>
    <row r="566" spans="1:5" x14ac:dyDescent="0.3">
      <c r="A566" s="323">
        <v>2019</v>
      </c>
      <c r="B566" s="323">
        <v>4</v>
      </c>
      <c r="C566" s="295" t="s">
        <v>101</v>
      </c>
      <c r="D566" s="295" t="s">
        <v>179</v>
      </c>
      <c r="E566" s="296">
        <v>35.701900000000002</v>
      </c>
    </row>
    <row r="567" spans="1:5" x14ac:dyDescent="0.3">
      <c r="A567" s="323">
        <v>2019</v>
      </c>
      <c r="B567" s="323">
        <v>4</v>
      </c>
      <c r="C567" s="295" t="s">
        <v>179</v>
      </c>
      <c r="D567" s="295" t="s">
        <v>1</v>
      </c>
      <c r="E567" s="296">
        <v>1.32E-3</v>
      </c>
    </row>
    <row r="568" spans="1:5" x14ac:dyDescent="0.3">
      <c r="A568" s="323">
        <v>2019</v>
      </c>
      <c r="B568" s="323">
        <v>4</v>
      </c>
      <c r="C568" s="295" t="s">
        <v>179</v>
      </c>
      <c r="D568" s="295" t="s">
        <v>2</v>
      </c>
      <c r="E568" s="296">
        <v>1.48E-3</v>
      </c>
    </row>
    <row r="569" spans="1:5" x14ac:dyDescent="0.3">
      <c r="A569" s="323">
        <v>2019</v>
      </c>
      <c r="B569" s="323">
        <v>4</v>
      </c>
      <c r="C569" s="295" t="s">
        <v>179</v>
      </c>
      <c r="D569" s="295" t="s">
        <v>259</v>
      </c>
      <c r="E569" s="296">
        <v>1.14E-3</v>
      </c>
    </row>
    <row r="570" spans="1:5" x14ac:dyDescent="0.3">
      <c r="A570" s="323">
        <v>2019</v>
      </c>
      <c r="B570" s="323">
        <v>4</v>
      </c>
      <c r="C570" s="295" t="s">
        <v>179</v>
      </c>
      <c r="D570" s="295" t="s">
        <v>85</v>
      </c>
      <c r="E570" s="296">
        <v>5.7999999999999996E-3</v>
      </c>
    </row>
    <row r="571" spans="1:5" x14ac:dyDescent="0.3">
      <c r="A571" s="323">
        <v>2019</v>
      </c>
      <c r="B571" s="323">
        <v>4</v>
      </c>
      <c r="C571" s="295" t="s">
        <v>179</v>
      </c>
      <c r="D571" s="295" t="s">
        <v>101</v>
      </c>
      <c r="E571" s="296">
        <v>2.801E-2</v>
      </c>
    </row>
    <row r="572" spans="1:5" x14ac:dyDescent="0.3">
      <c r="A572" s="323">
        <v>2019</v>
      </c>
      <c r="B572" s="323">
        <v>4</v>
      </c>
      <c r="C572" s="295" t="s">
        <v>2</v>
      </c>
      <c r="D572" s="295" t="s">
        <v>2</v>
      </c>
      <c r="E572" s="296">
        <v>1</v>
      </c>
    </row>
    <row r="573" spans="1:5" x14ac:dyDescent="0.3">
      <c r="A573" s="323">
        <v>2019</v>
      </c>
      <c r="B573" s="323">
        <v>4</v>
      </c>
      <c r="C573" s="295" t="s">
        <v>1</v>
      </c>
      <c r="D573" s="295" t="s">
        <v>1</v>
      </c>
      <c r="E573" s="296">
        <v>1</v>
      </c>
    </row>
    <row r="574" spans="1:5" x14ac:dyDescent="0.3">
      <c r="A574" s="323">
        <v>2019</v>
      </c>
      <c r="B574" s="323">
        <v>4</v>
      </c>
      <c r="C574" s="295" t="s">
        <v>259</v>
      </c>
      <c r="D574" s="295" t="s">
        <v>259</v>
      </c>
      <c r="E574" s="296">
        <v>1</v>
      </c>
    </row>
    <row r="575" spans="1:5" x14ac:dyDescent="0.3">
      <c r="A575" s="323">
        <v>2019</v>
      </c>
      <c r="B575" s="323">
        <v>4</v>
      </c>
      <c r="C575" s="295" t="s">
        <v>85</v>
      </c>
      <c r="D575" s="295" t="s">
        <v>85</v>
      </c>
      <c r="E575" s="296">
        <v>1</v>
      </c>
    </row>
    <row r="576" spans="1:5" x14ac:dyDescent="0.3">
      <c r="A576" s="323">
        <v>2019</v>
      </c>
      <c r="B576" s="323">
        <v>4</v>
      </c>
      <c r="C576" s="295" t="s">
        <v>101</v>
      </c>
      <c r="D576" s="295" t="s">
        <v>101</v>
      </c>
      <c r="E576" s="296">
        <v>1</v>
      </c>
    </row>
    <row r="577" spans="1:5" x14ac:dyDescent="0.3">
      <c r="A577" s="323">
        <v>2019</v>
      </c>
      <c r="B577" s="323">
        <v>4</v>
      </c>
      <c r="C577" s="295" t="s">
        <v>179</v>
      </c>
      <c r="D577" s="295" t="s">
        <v>179</v>
      </c>
      <c r="E577" s="296">
        <v>1</v>
      </c>
    </row>
    <row r="578" spans="1:5" x14ac:dyDescent="0.3">
      <c r="A578" s="323">
        <v>2019</v>
      </c>
      <c r="B578" s="323">
        <v>5</v>
      </c>
      <c r="C578" s="295" t="s">
        <v>1</v>
      </c>
      <c r="D578" s="295" t="s">
        <v>2</v>
      </c>
      <c r="E578" s="296">
        <v>1.1151</v>
      </c>
    </row>
    <row r="579" spans="1:5" x14ac:dyDescent="0.3">
      <c r="A579" s="323">
        <v>2019</v>
      </c>
      <c r="B579" s="323">
        <v>5</v>
      </c>
      <c r="C579" s="295" t="s">
        <v>1</v>
      </c>
      <c r="D579" s="295" t="s">
        <v>259</v>
      </c>
      <c r="E579" s="296">
        <v>0.88693</v>
      </c>
    </row>
    <row r="580" spans="1:5" x14ac:dyDescent="0.3">
      <c r="A580" s="323">
        <v>2019</v>
      </c>
      <c r="B580" s="323">
        <v>5</v>
      </c>
      <c r="C580" s="295" t="s">
        <v>1</v>
      </c>
      <c r="D580" s="295" t="s">
        <v>85</v>
      </c>
      <c r="E580" s="296">
        <v>4.4462000000000002</v>
      </c>
    </row>
    <row r="581" spans="1:5" x14ac:dyDescent="0.3">
      <c r="A581" s="323">
        <v>2019</v>
      </c>
      <c r="B581" s="323">
        <v>5</v>
      </c>
      <c r="C581" s="295" t="s">
        <v>1</v>
      </c>
      <c r="D581" s="295" t="s">
        <v>101</v>
      </c>
      <c r="E581" s="296">
        <v>21.892199999999999</v>
      </c>
    </row>
    <row r="582" spans="1:5" x14ac:dyDescent="0.3">
      <c r="A582" s="323">
        <v>2019</v>
      </c>
      <c r="B582" s="323">
        <v>5</v>
      </c>
      <c r="C582" s="295" t="s">
        <v>1</v>
      </c>
      <c r="D582" s="295" t="s">
        <v>179</v>
      </c>
      <c r="E582" s="296">
        <v>791.11900000000003</v>
      </c>
    </row>
    <row r="583" spans="1:5" x14ac:dyDescent="0.3">
      <c r="A583" s="323">
        <v>2019</v>
      </c>
      <c r="B583" s="323">
        <v>5</v>
      </c>
      <c r="C583" s="295" t="s">
        <v>2</v>
      </c>
      <c r="D583" s="295" t="s">
        <v>1</v>
      </c>
      <c r="E583" s="296">
        <v>0.89678000000000002</v>
      </c>
    </row>
    <row r="584" spans="1:5" x14ac:dyDescent="0.3">
      <c r="A584" s="323">
        <v>2019</v>
      </c>
      <c r="B584" s="323">
        <v>5</v>
      </c>
      <c r="C584" s="295" t="s">
        <v>2</v>
      </c>
      <c r="D584" s="295" t="s">
        <v>259</v>
      </c>
      <c r="E584" s="296">
        <v>0.79537999999999998</v>
      </c>
    </row>
    <row r="585" spans="1:5" x14ac:dyDescent="0.3">
      <c r="A585" s="323">
        <v>2019</v>
      </c>
      <c r="B585" s="323">
        <v>5</v>
      </c>
      <c r="C585" s="295" t="s">
        <v>2</v>
      </c>
      <c r="D585" s="295" t="s">
        <v>85</v>
      </c>
      <c r="E585" s="296">
        <v>3.9872700000000001</v>
      </c>
    </row>
    <row r="586" spans="1:5" x14ac:dyDescent="0.3">
      <c r="A586" s="323">
        <v>2019</v>
      </c>
      <c r="B586" s="323">
        <v>5</v>
      </c>
      <c r="C586" s="295" t="s">
        <v>2</v>
      </c>
      <c r="D586" s="295" t="s">
        <v>101</v>
      </c>
      <c r="E586" s="296">
        <v>19.6325</v>
      </c>
    </row>
    <row r="587" spans="1:5" x14ac:dyDescent="0.3">
      <c r="A587" s="323">
        <v>2019</v>
      </c>
      <c r="B587" s="323">
        <v>5</v>
      </c>
      <c r="C587" s="295" t="s">
        <v>2</v>
      </c>
      <c r="D587" s="295" t="s">
        <v>179</v>
      </c>
      <c r="E587" s="296">
        <v>709.46014000000002</v>
      </c>
    </row>
    <row r="588" spans="1:5" x14ac:dyDescent="0.3">
      <c r="A588" s="323">
        <v>2019</v>
      </c>
      <c r="B588" s="323">
        <v>5</v>
      </c>
      <c r="C588" s="295" t="s">
        <v>259</v>
      </c>
      <c r="D588" s="295" t="s">
        <v>1</v>
      </c>
      <c r="E588" s="296">
        <v>1.12748</v>
      </c>
    </row>
    <row r="589" spans="1:5" x14ac:dyDescent="0.3">
      <c r="A589" s="323">
        <v>2019</v>
      </c>
      <c r="B589" s="323">
        <v>5</v>
      </c>
      <c r="C589" s="295" t="s">
        <v>259</v>
      </c>
      <c r="D589" s="295" t="s">
        <v>2</v>
      </c>
      <c r="E589" s="296">
        <v>1.25726</v>
      </c>
    </row>
    <row r="590" spans="1:5" x14ac:dyDescent="0.3">
      <c r="A590" s="323">
        <v>2019</v>
      </c>
      <c r="B590" s="323">
        <v>5</v>
      </c>
      <c r="C590" s="295" t="s">
        <v>259</v>
      </c>
      <c r="D590" s="295" t="s">
        <v>85</v>
      </c>
      <c r="E590" s="296">
        <v>5.01302</v>
      </c>
    </row>
    <row r="591" spans="1:5" x14ac:dyDescent="0.3">
      <c r="A591" s="323">
        <v>2019</v>
      </c>
      <c r="B591" s="323">
        <v>5</v>
      </c>
      <c r="C591" s="295" t="s">
        <v>259</v>
      </c>
      <c r="D591" s="295" t="s">
        <v>101</v>
      </c>
      <c r="E591" s="296">
        <v>24.683119999999999</v>
      </c>
    </row>
    <row r="592" spans="1:5" x14ac:dyDescent="0.3">
      <c r="A592" s="323">
        <v>2019</v>
      </c>
      <c r="B592" s="323">
        <v>5</v>
      </c>
      <c r="C592" s="295" t="s">
        <v>259</v>
      </c>
      <c r="D592" s="295" t="s">
        <v>179</v>
      </c>
      <c r="E592" s="296">
        <v>891.97456</v>
      </c>
    </row>
    <row r="593" spans="1:5" x14ac:dyDescent="0.3">
      <c r="A593" s="323">
        <v>2019</v>
      </c>
      <c r="B593" s="323">
        <v>5</v>
      </c>
      <c r="C593" s="295" t="s">
        <v>85</v>
      </c>
      <c r="D593" s="295" t="s">
        <v>1</v>
      </c>
      <c r="E593" s="296">
        <v>0.22491</v>
      </c>
    </row>
    <row r="594" spans="1:5" x14ac:dyDescent="0.3">
      <c r="A594" s="323">
        <v>2019</v>
      </c>
      <c r="B594" s="323">
        <v>5</v>
      </c>
      <c r="C594" s="295" t="s">
        <v>85</v>
      </c>
      <c r="D594" s="295" t="s">
        <v>2</v>
      </c>
      <c r="E594" s="296">
        <v>0.25080000000000002</v>
      </c>
    </row>
    <row r="595" spans="1:5" x14ac:dyDescent="0.3">
      <c r="A595" s="323">
        <v>2019</v>
      </c>
      <c r="B595" s="323">
        <v>5</v>
      </c>
      <c r="C595" s="295" t="s">
        <v>85</v>
      </c>
      <c r="D595" s="295" t="s">
        <v>259</v>
      </c>
      <c r="E595" s="296">
        <v>0.19947999999999999</v>
      </c>
    </row>
    <row r="596" spans="1:5" x14ac:dyDescent="0.3">
      <c r="A596" s="323">
        <v>2019</v>
      </c>
      <c r="B596" s="323">
        <v>5</v>
      </c>
      <c r="C596" s="295" t="s">
        <v>85</v>
      </c>
      <c r="D596" s="295" t="s">
        <v>101</v>
      </c>
      <c r="E596" s="296">
        <v>4.9238</v>
      </c>
    </row>
    <row r="597" spans="1:5" x14ac:dyDescent="0.3">
      <c r="A597" s="323">
        <v>2019</v>
      </c>
      <c r="B597" s="323">
        <v>5</v>
      </c>
      <c r="C597" s="295" t="s">
        <v>85</v>
      </c>
      <c r="D597" s="295" t="s">
        <v>179</v>
      </c>
      <c r="E597" s="296">
        <v>177.93149</v>
      </c>
    </row>
    <row r="598" spans="1:5" x14ac:dyDescent="0.3">
      <c r="A598" s="323">
        <v>2019</v>
      </c>
      <c r="B598" s="323">
        <v>5</v>
      </c>
      <c r="C598" s="295" t="s">
        <v>101</v>
      </c>
      <c r="D598" s="295" t="s">
        <v>1</v>
      </c>
      <c r="E598" s="296">
        <v>4.5679999999999998E-2</v>
      </c>
    </row>
    <row r="599" spans="1:5" x14ac:dyDescent="0.3">
      <c r="A599" s="323">
        <v>2019</v>
      </c>
      <c r="B599" s="323">
        <v>5</v>
      </c>
      <c r="C599" s="295" t="s">
        <v>101</v>
      </c>
      <c r="D599" s="295" t="s">
        <v>2</v>
      </c>
      <c r="E599" s="296">
        <v>5.0939999999999999E-2</v>
      </c>
    </row>
    <row r="600" spans="1:5" x14ac:dyDescent="0.3">
      <c r="A600" s="323">
        <v>2019</v>
      </c>
      <c r="B600" s="323">
        <v>5</v>
      </c>
      <c r="C600" s="295" t="s">
        <v>101</v>
      </c>
      <c r="D600" s="295" t="s">
        <v>259</v>
      </c>
      <c r="E600" s="296">
        <v>4.0509999999999997E-2</v>
      </c>
    </row>
    <row r="601" spans="1:5" x14ac:dyDescent="0.3">
      <c r="A601" s="323">
        <v>2019</v>
      </c>
      <c r="B601" s="323">
        <v>5</v>
      </c>
      <c r="C601" s="295" t="s">
        <v>101</v>
      </c>
      <c r="D601" s="295" t="s">
        <v>85</v>
      </c>
      <c r="E601" s="296">
        <v>0.2031</v>
      </c>
    </row>
    <row r="602" spans="1:5" x14ac:dyDescent="0.3">
      <c r="A602" s="323">
        <v>2019</v>
      </c>
      <c r="B602" s="323">
        <v>5</v>
      </c>
      <c r="C602" s="295" t="s">
        <v>101</v>
      </c>
      <c r="D602" s="295" t="s">
        <v>179</v>
      </c>
      <c r="E602" s="296">
        <v>36.137030000000003</v>
      </c>
    </row>
    <row r="603" spans="1:5" x14ac:dyDescent="0.3">
      <c r="A603" s="323">
        <v>2019</v>
      </c>
      <c r="B603" s="323">
        <v>5</v>
      </c>
      <c r="C603" s="295" t="s">
        <v>179</v>
      </c>
      <c r="D603" s="295" t="s">
        <v>1</v>
      </c>
      <c r="E603" s="296">
        <v>1.2600000000000001E-3</v>
      </c>
    </row>
    <row r="604" spans="1:5" x14ac:dyDescent="0.3">
      <c r="A604" s="323">
        <v>2019</v>
      </c>
      <c r="B604" s="323">
        <v>5</v>
      </c>
      <c r="C604" s="295" t="s">
        <v>179</v>
      </c>
      <c r="D604" s="295" t="s">
        <v>2</v>
      </c>
      <c r="E604" s="296">
        <v>1.41E-3</v>
      </c>
    </row>
    <row r="605" spans="1:5" x14ac:dyDescent="0.3">
      <c r="A605" s="323">
        <v>2019</v>
      </c>
      <c r="B605" s="323">
        <v>5</v>
      </c>
      <c r="C605" s="295" t="s">
        <v>179</v>
      </c>
      <c r="D605" s="295" t="s">
        <v>259</v>
      </c>
      <c r="E605" s="296">
        <v>1.1199999999999999E-3</v>
      </c>
    </row>
    <row r="606" spans="1:5" x14ac:dyDescent="0.3">
      <c r="A606" s="323">
        <v>2019</v>
      </c>
      <c r="B606" s="323">
        <v>5</v>
      </c>
      <c r="C606" s="295" t="s">
        <v>179</v>
      </c>
      <c r="D606" s="295" t="s">
        <v>85</v>
      </c>
      <c r="E606" s="296">
        <v>5.62E-3</v>
      </c>
    </row>
    <row r="607" spans="1:5" x14ac:dyDescent="0.3">
      <c r="A607" s="323">
        <v>2019</v>
      </c>
      <c r="B607" s="323">
        <v>5</v>
      </c>
      <c r="C607" s="295" t="s">
        <v>179</v>
      </c>
      <c r="D607" s="295" t="s">
        <v>101</v>
      </c>
      <c r="E607" s="296">
        <v>2.767E-2</v>
      </c>
    </row>
    <row r="608" spans="1:5" x14ac:dyDescent="0.3">
      <c r="A608" s="323">
        <v>2019</v>
      </c>
      <c r="B608" s="323">
        <v>5</v>
      </c>
      <c r="C608" s="295" t="s">
        <v>2</v>
      </c>
      <c r="D608" s="295" t="s">
        <v>2</v>
      </c>
      <c r="E608" s="296">
        <v>1</v>
      </c>
    </row>
    <row r="609" spans="1:5" x14ac:dyDescent="0.3">
      <c r="A609" s="323">
        <v>2019</v>
      </c>
      <c r="B609" s="323">
        <v>5</v>
      </c>
      <c r="C609" s="295" t="s">
        <v>1</v>
      </c>
      <c r="D609" s="295" t="s">
        <v>1</v>
      </c>
      <c r="E609" s="296">
        <v>1</v>
      </c>
    </row>
    <row r="610" spans="1:5" x14ac:dyDescent="0.3">
      <c r="A610" s="323">
        <v>2019</v>
      </c>
      <c r="B610" s="323">
        <v>5</v>
      </c>
      <c r="C610" s="295" t="s">
        <v>259</v>
      </c>
      <c r="D610" s="295" t="s">
        <v>259</v>
      </c>
      <c r="E610" s="296">
        <v>1</v>
      </c>
    </row>
    <row r="611" spans="1:5" x14ac:dyDescent="0.3">
      <c r="A611" s="323">
        <v>2019</v>
      </c>
      <c r="B611" s="323">
        <v>5</v>
      </c>
      <c r="C611" s="295" t="s">
        <v>85</v>
      </c>
      <c r="D611" s="295" t="s">
        <v>85</v>
      </c>
      <c r="E611" s="296">
        <v>1</v>
      </c>
    </row>
    <row r="612" spans="1:5" x14ac:dyDescent="0.3">
      <c r="A612" s="323">
        <v>2019</v>
      </c>
      <c r="B612" s="323">
        <v>5</v>
      </c>
      <c r="C612" s="295" t="s">
        <v>101</v>
      </c>
      <c r="D612" s="295" t="s">
        <v>101</v>
      </c>
      <c r="E612" s="296">
        <v>1</v>
      </c>
    </row>
    <row r="613" spans="1:5" x14ac:dyDescent="0.3">
      <c r="A613" s="323">
        <v>2019</v>
      </c>
      <c r="B613" s="323">
        <v>5</v>
      </c>
      <c r="C613" s="295" t="s">
        <v>179</v>
      </c>
      <c r="D613" s="295" t="s">
        <v>179</v>
      </c>
      <c r="E613" s="296">
        <v>1</v>
      </c>
    </row>
    <row r="614" spans="1:5" x14ac:dyDescent="0.3">
      <c r="A614" s="323">
        <v>2019</v>
      </c>
      <c r="B614" s="323">
        <v>6</v>
      </c>
      <c r="C614" s="295" t="s">
        <v>1</v>
      </c>
      <c r="D614" s="295" t="s">
        <v>2</v>
      </c>
      <c r="E614" s="296">
        <v>1.1379999999999999</v>
      </c>
    </row>
    <row r="615" spans="1:5" x14ac:dyDescent="0.3">
      <c r="A615" s="323">
        <v>2019</v>
      </c>
      <c r="B615" s="323">
        <v>6</v>
      </c>
      <c r="C615" s="295" t="s">
        <v>1</v>
      </c>
      <c r="D615" s="295" t="s">
        <v>259</v>
      </c>
      <c r="E615" s="296">
        <v>0.89654999999999996</v>
      </c>
    </row>
    <row r="616" spans="1:5" x14ac:dyDescent="0.3">
      <c r="A616" s="323">
        <v>2019</v>
      </c>
      <c r="B616" s="323">
        <v>6</v>
      </c>
      <c r="C616" s="295" t="s">
        <v>1</v>
      </c>
      <c r="D616" s="295" t="s">
        <v>85</v>
      </c>
      <c r="E616" s="296">
        <v>4.3510999999999997</v>
      </c>
    </row>
    <row r="617" spans="1:5" x14ac:dyDescent="0.3">
      <c r="A617" s="323">
        <v>2019</v>
      </c>
      <c r="B617" s="323">
        <v>6</v>
      </c>
      <c r="C617" s="295" t="s">
        <v>1</v>
      </c>
      <c r="D617" s="295" t="s">
        <v>101</v>
      </c>
      <c r="E617" s="296">
        <v>21.8201</v>
      </c>
    </row>
    <row r="618" spans="1:5" x14ac:dyDescent="0.3">
      <c r="A618" s="323">
        <v>2019</v>
      </c>
      <c r="B618" s="323">
        <v>6</v>
      </c>
      <c r="C618" s="295" t="s">
        <v>1</v>
      </c>
      <c r="D618" s="295" t="s">
        <v>179</v>
      </c>
      <c r="E618" s="296">
        <v>770.59699999999998</v>
      </c>
    </row>
    <row r="619" spans="1:5" x14ac:dyDescent="0.3">
      <c r="A619" s="323">
        <v>2019</v>
      </c>
      <c r="B619" s="323">
        <v>6</v>
      </c>
      <c r="C619" s="295" t="s">
        <v>2</v>
      </c>
      <c r="D619" s="295" t="s">
        <v>1</v>
      </c>
      <c r="E619" s="296">
        <v>0.87873000000000001</v>
      </c>
    </row>
    <row r="620" spans="1:5" x14ac:dyDescent="0.3">
      <c r="A620" s="323">
        <v>2019</v>
      </c>
      <c r="B620" s="323">
        <v>6</v>
      </c>
      <c r="C620" s="295" t="s">
        <v>2</v>
      </c>
      <c r="D620" s="295" t="s">
        <v>259</v>
      </c>
      <c r="E620" s="296">
        <v>0.78783000000000003</v>
      </c>
    </row>
    <row r="621" spans="1:5" x14ac:dyDescent="0.3">
      <c r="A621" s="323">
        <v>2019</v>
      </c>
      <c r="B621" s="323">
        <v>6</v>
      </c>
      <c r="C621" s="295" t="s">
        <v>2</v>
      </c>
      <c r="D621" s="295" t="s">
        <v>85</v>
      </c>
      <c r="E621" s="296">
        <v>3.8234599999999999</v>
      </c>
    </row>
    <row r="622" spans="1:5" x14ac:dyDescent="0.3">
      <c r="A622" s="323">
        <v>2019</v>
      </c>
      <c r="B622" s="323">
        <v>6</v>
      </c>
      <c r="C622" s="295" t="s">
        <v>2</v>
      </c>
      <c r="D622" s="295" t="s">
        <v>101</v>
      </c>
      <c r="E622" s="296">
        <v>19.17408</v>
      </c>
    </row>
    <row r="623" spans="1:5" x14ac:dyDescent="0.3">
      <c r="A623" s="323">
        <v>2019</v>
      </c>
      <c r="B623" s="323">
        <v>6</v>
      </c>
      <c r="C623" s="295" t="s">
        <v>2</v>
      </c>
      <c r="D623" s="295" t="s">
        <v>179</v>
      </c>
      <c r="E623" s="296">
        <v>677.15026</v>
      </c>
    </row>
    <row r="624" spans="1:5" x14ac:dyDescent="0.3">
      <c r="A624" s="323">
        <v>2019</v>
      </c>
      <c r="B624" s="323">
        <v>6</v>
      </c>
      <c r="C624" s="295" t="s">
        <v>259</v>
      </c>
      <c r="D624" s="295" t="s">
        <v>1</v>
      </c>
      <c r="E624" s="296">
        <v>1.1153900000000001</v>
      </c>
    </row>
    <row r="625" spans="1:5" x14ac:dyDescent="0.3">
      <c r="A625" s="323">
        <v>2019</v>
      </c>
      <c r="B625" s="323">
        <v>6</v>
      </c>
      <c r="C625" s="295" t="s">
        <v>259</v>
      </c>
      <c r="D625" s="295" t="s">
        <v>2</v>
      </c>
      <c r="E625" s="296">
        <v>1.2693099999999999</v>
      </c>
    </row>
    <row r="626" spans="1:5" x14ac:dyDescent="0.3">
      <c r="A626" s="323">
        <v>2019</v>
      </c>
      <c r="B626" s="323">
        <v>6</v>
      </c>
      <c r="C626" s="295" t="s">
        <v>259</v>
      </c>
      <c r="D626" s="295" t="s">
        <v>85</v>
      </c>
      <c r="E626" s="296">
        <v>4.8531599999999999</v>
      </c>
    </row>
    <row r="627" spans="1:5" x14ac:dyDescent="0.3">
      <c r="A627" s="323">
        <v>2019</v>
      </c>
      <c r="B627" s="323">
        <v>6</v>
      </c>
      <c r="C627" s="295" t="s">
        <v>259</v>
      </c>
      <c r="D627" s="295" t="s">
        <v>101</v>
      </c>
      <c r="E627" s="296">
        <v>24.33785</v>
      </c>
    </row>
    <row r="628" spans="1:5" x14ac:dyDescent="0.3">
      <c r="A628" s="323">
        <v>2019</v>
      </c>
      <c r="B628" s="323">
        <v>6</v>
      </c>
      <c r="C628" s="295" t="s">
        <v>259</v>
      </c>
      <c r="D628" s="295" t="s">
        <v>179</v>
      </c>
      <c r="E628" s="296">
        <v>859.51369</v>
      </c>
    </row>
    <row r="629" spans="1:5" x14ac:dyDescent="0.3">
      <c r="A629" s="323">
        <v>2019</v>
      </c>
      <c r="B629" s="323">
        <v>6</v>
      </c>
      <c r="C629" s="295" t="s">
        <v>85</v>
      </c>
      <c r="D629" s="295" t="s">
        <v>1</v>
      </c>
      <c r="E629" s="296">
        <v>0.22983000000000001</v>
      </c>
    </row>
    <row r="630" spans="1:5" x14ac:dyDescent="0.3">
      <c r="A630" s="323">
        <v>2019</v>
      </c>
      <c r="B630" s="323">
        <v>6</v>
      </c>
      <c r="C630" s="295" t="s">
        <v>85</v>
      </c>
      <c r="D630" s="295" t="s">
        <v>2</v>
      </c>
      <c r="E630" s="296">
        <v>0.26153999999999999</v>
      </c>
    </row>
    <row r="631" spans="1:5" x14ac:dyDescent="0.3">
      <c r="A631" s="323">
        <v>2019</v>
      </c>
      <c r="B631" s="323">
        <v>6</v>
      </c>
      <c r="C631" s="295" t="s">
        <v>85</v>
      </c>
      <c r="D631" s="295" t="s">
        <v>259</v>
      </c>
      <c r="E631" s="296">
        <v>0.20605000000000001</v>
      </c>
    </row>
    <row r="632" spans="1:5" x14ac:dyDescent="0.3">
      <c r="A632" s="323">
        <v>2019</v>
      </c>
      <c r="B632" s="323">
        <v>6</v>
      </c>
      <c r="C632" s="295" t="s">
        <v>85</v>
      </c>
      <c r="D632" s="295" t="s">
        <v>101</v>
      </c>
      <c r="E632" s="296">
        <v>5.01485</v>
      </c>
    </row>
    <row r="633" spans="1:5" x14ac:dyDescent="0.3">
      <c r="A633" s="323">
        <v>2019</v>
      </c>
      <c r="B633" s="323">
        <v>6</v>
      </c>
      <c r="C633" s="295" t="s">
        <v>85</v>
      </c>
      <c r="D633" s="295" t="s">
        <v>179</v>
      </c>
      <c r="E633" s="296">
        <v>177.10395</v>
      </c>
    </row>
    <row r="634" spans="1:5" x14ac:dyDescent="0.3">
      <c r="A634" s="323">
        <v>2019</v>
      </c>
      <c r="B634" s="323">
        <v>6</v>
      </c>
      <c r="C634" s="295" t="s">
        <v>101</v>
      </c>
      <c r="D634" s="295" t="s">
        <v>1</v>
      </c>
      <c r="E634" s="296">
        <v>4.5830000000000003E-2</v>
      </c>
    </row>
    <row r="635" spans="1:5" x14ac:dyDescent="0.3">
      <c r="A635" s="323">
        <v>2019</v>
      </c>
      <c r="B635" s="323">
        <v>6</v>
      </c>
      <c r="C635" s="295" t="s">
        <v>101</v>
      </c>
      <c r="D635" s="295" t="s">
        <v>2</v>
      </c>
      <c r="E635" s="296">
        <v>5.2150000000000002E-2</v>
      </c>
    </row>
    <row r="636" spans="1:5" x14ac:dyDescent="0.3">
      <c r="A636" s="323">
        <v>2019</v>
      </c>
      <c r="B636" s="323">
        <v>6</v>
      </c>
      <c r="C636" s="295" t="s">
        <v>101</v>
      </c>
      <c r="D636" s="295" t="s">
        <v>259</v>
      </c>
      <c r="E636" s="296">
        <v>4.1090000000000002E-2</v>
      </c>
    </row>
    <row r="637" spans="1:5" x14ac:dyDescent="0.3">
      <c r="A637" s="323">
        <v>2019</v>
      </c>
      <c r="B637" s="323">
        <v>6</v>
      </c>
      <c r="C637" s="295" t="s">
        <v>101</v>
      </c>
      <c r="D637" s="295" t="s">
        <v>85</v>
      </c>
      <c r="E637" s="296">
        <v>0.19941</v>
      </c>
    </row>
    <row r="638" spans="1:5" x14ac:dyDescent="0.3">
      <c r="A638" s="323">
        <v>2019</v>
      </c>
      <c r="B638" s="323">
        <v>6</v>
      </c>
      <c r="C638" s="295" t="s">
        <v>101</v>
      </c>
      <c r="D638" s="295" t="s">
        <v>179</v>
      </c>
      <c r="E638" s="296">
        <v>35.315919999999998</v>
      </c>
    </row>
    <row r="639" spans="1:5" x14ac:dyDescent="0.3">
      <c r="A639" s="323">
        <v>2019</v>
      </c>
      <c r="B639" s="323">
        <v>6</v>
      </c>
      <c r="C639" s="295" t="s">
        <v>179</v>
      </c>
      <c r="D639" s="295" t="s">
        <v>1</v>
      </c>
      <c r="E639" s="296">
        <v>1.2999999999999999E-3</v>
      </c>
    </row>
    <row r="640" spans="1:5" x14ac:dyDescent="0.3">
      <c r="A640" s="323">
        <v>2019</v>
      </c>
      <c r="B640" s="323">
        <v>6</v>
      </c>
      <c r="C640" s="295" t="s">
        <v>179</v>
      </c>
      <c r="D640" s="295" t="s">
        <v>2</v>
      </c>
      <c r="E640" s="296">
        <v>1.48E-3</v>
      </c>
    </row>
    <row r="641" spans="1:5" x14ac:dyDescent="0.3">
      <c r="A641" s="323">
        <v>2019</v>
      </c>
      <c r="B641" s="323">
        <v>6</v>
      </c>
      <c r="C641" s="295" t="s">
        <v>179</v>
      </c>
      <c r="D641" s="295" t="s">
        <v>259</v>
      </c>
      <c r="E641" s="296">
        <v>1.16E-3</v>
      </c>
    </row>
    <row r="642" spans="1:5" x14ac:dyDescent="0.3">
      <c r="A642" s="323">
        <v>2019</v>
      </c>
      <c r="B642" s="323">
        <v>6</v>
      </c>
      <c r="C642" s="295" t="s">
        <v>179</v>
      </c>
      <c r="D642" s="295" t="s">
        <v>85</v>
      </c>
      <c r="E642" s="296">
        <v>5.6499999999999996E-3</v>
      </c>
    </row>
    <row r="643" spans="1:5" x14ac:dyDescent="0.3">
      <c r="A643" s="323">
        <v>2019</v>
      </c>
      <c r="B643" s="323">
        <v>6</v>
      </c>
      <c r="C643" s="295" t="s">
        <v>179</v>
      </c>
      <c r="D643" s="295" t="s">
        <v>101</v>
      </c>
      <c r="E643" s="296">
        <v>2.8320000000000001E-2</v>
      </c>
    </row>
    <row r="644" spans="1:5" x14ac:dyDescent="0.3">
      <c r="A644" s="323">
        <v>2019</v>
      </c>
      <c r="B644" s="323">
        <v>6</v>
      </c>
      <c r="C644" s="295" t="s">
        <v>2</v>
      </c>
      <c r="D644" s="295" t="s">
        <v>2</v>
      </c>
      <c r="E644" s="296">
        <v>1</v>
      </c>
    </row>
    <row r="645" spans="1:5" x14ac:dyDescent="0.3">
      <c r="A645" s="323">
        <v>2019</v>
      </c>
      <c r="B645" s="323">
        <v>6</v>
      </c>
      <c r="C645" s="295" t="s">
        <v>1</v>
      </c>
      <c r="D645" s="295" t="s">
        <v>1</v>
      </c>
      <c r="E645" s="296">
        <v>1</v>
      </c>
    </row>
    <row r="646" spans="1:5" x14ac:dyDescent="0.3">
      <c r="A646" s="323">
        <v>2019</v>
      </c>
      <c r="B646" s="323">
        <v>6</v>
      </c>
      <c r="C646" s="295" t="s">
        <v>259</v>
      </c>
      <c r="D646" s="295" t="s">
        <v>259</v>
      </c>
      <c r="E646" s="296">
        <v>1</v>
      </c>
    </row>
    <row r="647" spans="1:5" x14ac:dyDescent="0.3">
      <c r="A647" s="323">
        <v>2019</v>
      </c>
      <c r="B647" s="323">
        <v>6</v>
      </c>
      <c r="C647" s="295" t="s">
        <v>85</v>
      </c>
      <c r="D647" s="295" t="s">
        <v>85</v>
      </c>
      <c r="E647" s="296">
        <v>1</v>
      </c>
    </row>
    <row r="648" spans="1:5" x14ac:dyDescent="0.3">
      <c r="A648" s="323">
        <v>2019</v>
      </c>
      <c r="B648" s="323">
        <v>6</v>
      </c>
      <c r="C648" s="295" t="s">
        <v>101</v>
      </c>
      <c r="D648" s="295" t="s">
        <v>101</v>
      </c>
      <c r="E648" s="296">
        <v>1</v>
      </c>
    </row>
    <row r="649" spans="1:5" x14ac:dyDescent="0.3">
      <c r="A649" s="323">
        <v>2019</v>
      </c>
      <c r="B649" s="323">
        <v>6</v>
      </c>
      <c r="C649" s="295" t="s">
        <v>179</v>
      </c>
      <c r="D649" s="295" t="s">
        <v>179</v>
      </c>
      <c r="E649" s="296">
        <v>1</v>
      </c>
    </row>
    <row r="650" spans="1:5" x14ac:dyDescent="0.3">
      <c r="A650" s="323">
        <v>2019</v>
      </c>
      <c r="B650" s="323">
        <v>7</v>
      </c>
      <c r="C650" s="295" t="s">
        <v>1</v>
      </c>
      <c r="D650" s="295" t="s">
        <v>2</v>
      </c>
      <c r="E650" s="296">
        <v>1.1151</v>
      </c>
    </row>
    <row r="651" spans="1:5" x14ac:dyDescent="0.3">
      <c r="A651" s="323">
        <v>2019</v>
      </c>
      <c r="B651" s="323">
        <v>7</v>
      </c>
      <c r="C651" s="295" t="s">
        <v>1</v>
      </c>
      <c r="D651" s="295" t="s">
        <v>259</v>
      </c>
      <c r="E651" s="296">
        <v>0.91622999999999999</v>
      </c>
    </row>
    <row r="652" spans="1:5" x14ac:dyDescent="0.3">
      <c r="A652" s="323">
        <v>2019</v>
      </c>
      <c r="B652" s="323">
        <v>7</v>
      </c>
      <c r="C652" s="295" t="s">
        <v>1</v>
      </c>
      <c r="D652" s="295" t="s">
        <v>85</v>
      </c>
      <c r="E652" s="296">
        <v>4.218</v>
      </c>
    </row>
    <row r="653" spans="1:5" x14ac:dyDescent="0.3">
      <c r="A653" s="323">
        <v>2019</v>
      </c>
      <c r="B653" s="323">
        <v>7</v>
      </c>
      <c r="C653" s="295" t="s">
        <v>1</v>
      </c>
      <c r="D653" s="295" t="s">
        <v>101</v>
      </c>
      <c r="E653" s="296">
        <v>21.200500000000002</v>
      </c>
    </row>
    <row r="654" spans="1:5" x14ac:dyDescent="0.3">
      <c r="A654" s="323">
        <v>2019</v>
      </c>
      <c r="B654" s="323">
        <v>7</v>
      </c>
      <c r="C654" s="295" t="s">
        <v>1</v>
      </c>
      <c r="D654" s="295" t="s">
        <v>179</v>
      </c>
      <c r="E654" s="296">
        <v>784.36099999999999</v>
      </c>
    </row>
    <row r="655" spans="1:5" x14ac:dyDescent="0.3">
      <c r="A655" s="323">
        <v>2019</v>
      </c>
      <c r="B655" s="323">
        <v>7</v>
      </c>
      <c r="C655" s="295" t="s">
        <v>2</v>
      </c>
      <c r="D655" s="295" t="s">
        <v>1</v>
      </c>
      <c r="E655" s="296">
        <v>0.89678000000000002</v>
      </c>
    </row>
    <row r="656" spans="1:5" x14ac:dyDescent="0.3">
      <c r="A656" s="323">
        <v>2019</v>
      </c>
      <c r="B656" s="323">
        <v>7</v>
      </c>
      <c r="C656" s="295" t="s">
        <v>2</v>
      </c>
      <c r="D656" s="295" t="s">
        <v>259</v>
      </c>
      <c r="E656" s="296">
        <v>0.82165999999999995</v>
      </c>
    </row>
    <row r="657" spans="1:5" x14ac:dyDescent="0.3">
      <c r="A657" s="323">
        <v>2019</v>
      </c>
      <c r="B657" s="323">
        <v>7</v>
      </c>
      <c r="C657" s="295" t="s">
        <v>2</v>
      </c>
      <c r="D657" s="295" t="s">
        <v>85</v>
      </c>
      <c r="E657" s="296">
        <v>3.7826200000000001</v>
      </c>
    </row>
    <row r="658" spans="1:5" x14ac:dyDescent="0.3">
      <c r="A658" s="323">
        <v>2019</v>
      </c>
      <c r="B658" s="323">
        <v>7</v>
      </c>
      <c r="C658" s="295" t="s">
        <v>2</v>
      </c>
      <c r="D658" s="295" t="s">
        <v>101</v>
      </c>
      <c r="E658" s="296">
        <v>19.0122</v>
      </c>
    </row>
    <row r="659" spans="1:5" x14ac:dyDescent="0.3">
      <c r="A659" s="323">
        <v>2019</v>
      </c>
      <c r="B659" s="323">
        <v>7</v>
      </c>
      <c r="C659" s="295" t="s">
        <v>2</v>
      </c>
      <c r="D659" s="295" t="s">
        <v>179</v>
      </c>
      <c r="E659" s="296">
        <v>703.39970000000005</v>
      </c>
    </row>
    <row r="660" spans="1:5" x14ac:dyDescent="0.3">
      <c r="A660" s="323">
        <v>2019</v>
      </c>
      <c r="B660" s="323">
        <v>7</v>
      </c>
      <c r="C660" s="295" t="s">
        <v>259</v>
      </c>
      <c r="D660" s="295" t="s">
        <v>1</v>
      </c>
      <c r="E660" s="296">
        <v>1.0914299999999999</v>
      </c>
    </row>
    <row r="661" spans="1:5" x14ac:dyDescent="0.3">
      <c r="A661" s="323">
        <v>2019</v>
      </c>
      <c r="B661" s="323">
        <v>7</v>
      </c>
      <c r="C661" s="295" t="s">
        <v>259</v>
      </c>
      <c r="D661" s="295" t="s">
        <v>2</v>
      </c>
      <c r="E661" s="296">
        <v>1.21705</v>
      </c>
    </row>
    <row r="662" spans="1:5" x14ac:dyDescent="0.3">
      <c r="A662" s="323">
        <v>2019</v>
      </c>
      <c r="B662" s="323">
        <v>7</v>
      </c>
      <c r="C662" s="295" t="s">
        <v>259</v>
      </c>
      <c r="D662" s="295" t="s">
        <v>85</v>
      </c>
      <c r="E662" s="296">
        <v>4.60365</v>
      </c>
    </row>
    <row r="663" spans="1:5" x14ac:dyDescent="0.3">
      <c r="A663" s="323">
        <v>2019</v>
      </c>
      <c r="B663" s="323">
        <v>7</v>
      </c>
      <c r="C663" s="295" t="s">
        <v>259</v>
      </c>
      <c r="D663" s="295" t="s">
        <v>101</v>
      </c>
      <c r="E663" s="296">
        <v>23.138839999999998</v>
      </c>
    </row>
    <row r="664" spans="1:5" x14ac:dyDescent="0.3">
      <c r="A664" s="323">
        <v>2019</v>
      </c>
      <c r="B664" s="323">
        <v>7</v>
      </c>
      <c r="C664" s="295" t="s">
        <v>259</v>
      </c>
      <c r="D664" s="295" t="s">
        <v>179</v>
      </c>
      <c r="E664" s="296">
        <v>856.07434999999998</v>
      </c>
    </row>
    <row r="665" spans="1:5" x14ac:dyDescent="0.3">
      <c r="A665" s="323">
        <v>2019</v>
      </c>
      <c r="B665" s="323">
        <v>7</v>
      </c>
      <c r="C665" s="295" t="s">
        <v>85</v>
      </c>
      <c r="D665" s="295" t="s">
        <v>1</v>
      </c>
      <c r="E665" s="296">
        <v>0.23708000000000001</v>
      </c>
    </row>
    <row r="666" spans="1:5" x14ac:dyDescent="0.3">
      <c r="A666" s="323">
        <v>2019</v>
      </c>
      <c r="B666" s="323">
        <v>7</v>
      </c>
      <c r="C666" s="295" t="s">
        <v>85</v>
      </c>
      <c r="D666" s="295" t="s">
        <v>2</v>
      </c>
      <c r="E666" s="296">
        <v>0.26436999999999999</v>
      </c>
    </row>
    <row r="667" spans="1:5" x14ac:dyDescent="0.3">
      <c r="A667" s="323">
        <v>2019</v>
      </c>
      <c r="B667" s="323">
        <v>7</v>
      </c>
      <c r="C667" s="295" t="s">
        <v>85</v>
      </c>
      <c r="D667" s="295" t="s">
        <v>259</v>
      </c>
      <c r="E667" s="296">
        <v>0.21722</v>
      </c>
    </row>
    <row r="668" spans="1:5" x14ac:dyDescent="0.3">
      <c r="A668" s="323">
        <v>2019</v>
      </c>
      <c r="B668" s="323">
        <v>7</v>
      </c>
      <c r="C668" s="295" t="s">
        <v>85</v>
      </c>
      <c r="D668" s="295" t="s">
        <v>101</v>
      </c>
      <c r="E668" s="296">
        <v>5.0262000000000002</v>
      </c>
    </row>
    <row r="669" spans="1:5" x14ac:dyDescent="0.3">
      <c r="A669" s="323">
        <v>2019</v>
      </c>
      <c r="B669" s="323">
        <v>7</v>
      </c>
      <c r="C669" s="295" t="s">
        <v>85</v>
      </c>
      <c r="D669" s="295" t="s">
        <v>179</v>
      </c>
      <c r="E669" s="296">
        <v>185.95567</v>
      </c>
    </row>
    <row r="670" spans="1:5" x14ac:dyDescent="0.3">
      <c r="A670" s="323">
        <v>2019</v>
      </c>
      <c r="B670" s="323">
        <v>7</v>
      </c>
      <c r="C670" s="295" t="s">
        <v>101</v>
      </c>
      <c r="D670" s="295" t="s">
        <v>1</v>
      </c>
      <c r="E670" s="296">
        <v>4.7169999999999997E-2</v>
      </c>
    </row>
    <row r="671" spans="1:5" x14ac:dyDescent="0.3">
      <c r="A671" s="323">
        <v>2019</v>
      </c>
      <c r="B671" s="323">
        <v>7</v>
      </c>
      <c r="C671" s="295" t="s">
        <v>101</v>
      </c>
      <c r="D671" s="295" t="s">
        <v>2</v>
      </c>
      <c r="E671" s="296">
        <v>5.2600000000000001E-2</v>
      </c>
    </row>
    <row r="672" spans="1:5" x14ac:dyDescent="0.3">
      <c r="A672" s="295">
        <v>2019</v>
      </c>
      <c r="B672" s="295">
        <v>7</v>
      </c>
      <c r="C672" s="295" t="s">
        <v>101</v>
      </c>
      <c r="D672" s="295" t="s">
        <v>259</v>
      </c>
      <c r="E672" s="296">
        <v>4.3220000000000001E-2</v>
      </c>
    </row>
    <row r="673" spans="1:5" x14ac:dyDescent="0.3">
      <c r="A673" s="295">
        <v>2019</v>
      </c>
      <c r="B673" s="295">
        <v>7</v>
      </c>
      <c r="C673" s="295" t="s">
        <v>101</v>
      </c>
      <c r="D673" s="295" t="s">
        <v>85</v>
      </c>
      <c r="E673" s="296">
        <v>0.19896</v>
      </c>
    </row>
    <row r="674" spans="1:5" x14ac:dyDescent="0.3">
      <c r="A674" s="295">
        <v>2019</v>
      </c>
      <c r="B674" s="295">
        <v>7</v>
      </c>
      <c r="C674" s="295" t="s">
        <v>101</v>
      </c>
      <c r="D674" s="295" t="s">
        <v>179</v>
      </c>
      <c r="E674" s="296">
        <v>36.99729</v>
      </c>
    </row>
    <row r="675" spans="1:5" x14ac:dyDescent="0.3">
      <c r="A675" s="295">
        <v>2019</v>
      </c>
      <c r="B675" s="295">
        <v>7</v>
      </c>
      <c r="C675" s="295" t="s">
        <v>179</v>
      </c>
      <c r="D675" s="295" t="s">
        <v>1</v>
      </c>
      <c r="E675" s="296">
        <v>1.2700000000000001E-3</v>
      </c>
    </row>
    <row r="676" spans="1:5" x14ac:dyDescent="0.3">
      <c r="A676" s="295">
        <v>2019</v>
      </c>
      <c r="B676" s="295">
        <v>7</v>
      </c>
      <c r="C676" s="295" t="s">
        <v>179</v>
      </c>
      <c r="D676" s="295" t="s">
        <v>2</v>
      </c>
      <c r="E676" s="296">
        <v>1.42E-3</v>
      </c>
    </row>
    <row r="677" spans="1:5" x14ac:dyDescent="0.3">
      <c r="A677" s="295">
        <v>2019</v>
      </c>
      <c r="B677" s="295">
        <v>7</v>
      </c>
      <c r="C677" s="295" t="s">
        <v>179</v>
      </c>
      <c r="D677" s="295" t="s">
        <v>259</v>
      </c>
      <c r="E677" s="296">
        <v>1.17E-3</v>
      </c>
    </row>
    <row r="678" spans="1:5" x14ac:dyDescent="0.3">
      <c r="A678" s="295">
        <v>2019</v>
      </c>
      <c r="B678" s="295">
        <v>7</v>
      </c>
      <c r="C678" s="295" t="s">
        <v>179</v>
      </c>
      <c r="D678" s="295" t="s">
        <v>85</v>
      </c>
      <c r="E678" s="296">
        <v>5.3800000000000002E-3</v>
      </c>
    </row>
    <row r="679" spans="1:5" x14ac:dyDescent="0.3">
      <c r="A679" s="295">
        <v>2019</v>
      </c>
      <c r="B679" s="295">
        <v>7</v>
      </c>
      <c r="C679" s="295" t="s">
        <v>179</v>
      </c>
      <c r="D679" s="295" t="s">
        <v>101</v>
      </c>
      <c r="E679" s="296">
        <v>2.7029999999999998E-2</v>
      </c>
    </row>
    <row r="680" spans="1:5" x14ac:dyDescent="0.3">
      <c r="A680" s="295">
        <v>2019</v>
      </c>
      <c r="B680" s="295">
        <v>7</v>
      </c>
      <c r="C680" s="295" t="s">
        <v>259</v>
      </c>
      <c r="D680" s="295" t="s">
        <v>259</v>
      </c>
      <c r="E680" s="296">
        <v>1</v>
      </c>
    </row>
    <row r="681" spans="1:5" x14ac:dyDescent="0.3">
      <c r="A681" s="295">
        <v>2019</v>
      </c>
      <c r="B681" s="295">
        <v>7</v>
      </c>
      <c r="C681" s="295" t="s">
        <v>101</v>
      </c>
      <c r="D681" s="295" t="s">
        <v>101</v>
      </c>
      <c r="E681" s="296">
        <v>1</v>
      </c>
    </row>
    <row r="682" spans="1:5" x14ac:dyDescent="0.3">
      <c r="A682" s="295">
        <v>2019</v>
      </c>
      <c r="B682" s="295">
        <v>7</v>
      </c>
      <c r="C682" s="295" t="s">
        <v>179</v>
      </c>
      <c r="D682" s="295" t="s">
        <v>179</v>
      </c>
      <c r="E682" s="296">
        <v>1</v>
      </c>
    </row>
    <row r="683" spans="1:5" x14ac:dyDescent="0.3">
      <c r="A683" s="295">
        <v>2019</v>
      </c>
      <c r="B683" s="295">
        <v>7</v>
      </c>
      <c r="C683" s="295" t="s">
        <v>2</v>
      </c>
      <c r="D683" s="295" t="s">
        <v>2</v>
      </c>
      <c r="E683" s="296">
        <v>1</v>
      </c>
    </row>
    <row r="684" spans="1:5" x14ac:dyDescent="0.3">
      <c r="A684" s="295">
        <v>2019</v>
      </c>
      <c r="B684" s="295">
        <v>7</v>
      </c>
      <c r="C684" s="295" t="s">
        <v>1</v>
      </c>
      <c r="D684" s="295" t="s">
        <v>1</v>
      </c>
      <c r="E684" s="296">
        <v>1</v>
      </c>
    </row>
    <row r="685" spans="1:5" x14ac:dyDescent="0.3">
      <c r="A685" s="295">
        <v>2019</v>
      </c>
      <c r="B685" s="295">
        <v>7</v>
      </c>
      <c r="C685" s="295" t="s">
        <v>259</v>
      </c>
      <c r="D685" s="295" t="s">
        <v>259</v>
      </c>
      <c r="E685" s="296">
        <v>1</v>
      </c>
    </row>
    <row r="686" spans="1:5" x14ac:dyDescent="0.3">
      <c r="A686" s="295">
        <v>2019</v>
      </c>
      <c r="B686" s="295">
        <v>7</v>
      </c>
      <c r="C686" s="295" t="s">
        <v>85</v>
      </c>
      <c r="D686" s="295" t="s">
        <v>85</v>
      </c>
      <c r="E686" s="296">
        <v>1</v>
      </c>
    </row>
    <row r="687" spans="1:5" x14ac:dyDescent="0.3">
      <c r="A687" s="295">
        <v>2019</v>
      </c>
      <c r="B687" s="295">
        <v>7</v>
      </c>
      <c r="C687" s="295" t="s">
        <v>101</v>
      </c>
      <c r="D687" s="295" t="s">
        <v>101</v>
      </c>
      <c r="E687" s="296">
        <v>1</v>
      </c>
    </row>
    <row r="688" spans="1:5" x14ac:dyDescent="0.3">
      <c r="A688" s="295">
        <v>2019</v>
      </c>
      <c r="B688" s="295">
        <v>7</v>
      </c>
      <c r="C688" s="295" t="s">
        <v>179</v>
      </c>
      <c r="D688" s="295" t="s">
        <v>179</v>
      </c>
      <c r="E688" s="296">
        <v>1</v>
      </c>
    </row>
    <row r="689" spans="1:5" x14ac:dyDescent="0.3">
      <c r="A689" s="295">
        <v>2019</v>
      </c>
      <c r="B689" s="295">
        <v>8</v>
      </c>
      <c r="C689" s="295" t="s">
        <v>1</v>
      </c>
      <c r="D689" s="295" t="s">
        <v>2</v>
      </c>
      <c r="E689" s="296">
        <v>1.1035999999999999</v>
      </c>
    </row>
    <row r="690" spans="1:5" x14ac:dyDescent="0.3">
      <c r="A690" s="295">
        <v>2019</v>
      </c>
      <c r="B690" s="295">
        <v>8</v>
      </c>
      <c r="C690" s="295" t="s">
        <v>1</v>
      </c>
      <c r="D690" s="295" t="s">
        <v>259</v>
      </c>
      <c r="E690" s="296">
        <v>0.90564999999999996</v>
      </c>
    </row>
    <row r="691" spans="1:5" x14ac:dyDescent="0.3">
      <c r="A691" s="295">
        <v>2019</v>
      </c>
      <c r="B691" s="295">
        <v>8</v>
      </c>
      <c r="C691" s="295" t="s">
        <v>1</v>
      </c>
      <c r="D691" s="295" t="s">
        <v>85</v>
      </c>
      <c r="E691" s="296">
        <v>4.5879000000000003</v>
      </c>
    </row>
    <row r="692" spans="1:5" x14ac:dyDescent="0.3">
      <c r="A692" s="295">
        <v>2019</v>
      </c>
      <c r="B692" s="295">
        <v>8</v>
      </c>
      <c r="C692" s="295" t="s">
        <v>1</v>
      </c>
      <c r="D692" s="295" t="s">
        <v>101</v>
      </c>
      <c r="E692" s="296">
        <v>22.156700000000001</v>
      </c>
    </row>
    <row r="693" spans="1:5" x14ac:dyDescent="0.3">
      <c r="A693" s="295">
        <v>2019</v>
      </c>
      <c r="B693" s="295">
        <v>8</v>
      </c>
      <c r="C693" s="295" t="s">
        <v>1</v>
      </c>
      <c r="D693" s="295" t="s">
        <v>179</v>
      </c>
      <c r="E693" s="296">
        <v>795.47500000000002</v>
      </c>
    </row>
    <row r="694" spans="1:5" x14ac:dyDescent="0.3">
      <c r="A694" s="295">
        <v>2019</v>
      </c>
      <c r="B694" s="295">
        <v>8</v>
      </c>
      <c r="C694" s="295" t="s">
        <v>2</v>
      </c>
      <c r="D694" s="295" t="s">
        <v>1</v>
      </c>
      <c r="E694" s="296">
        <v>0.90612999999999999</v>
      </c>
    </row>
    <row r="695" spans="1:5" x14ac:dyDescent="0.3">
      <c r="A695" s="295">
        <v>2019</v>
      </c>
      <c r="B695" s="295">
        <v>8</v>
      </c>
      <c r="C695" s="295" t="s">
        <v>2</v>
      </c>
      <c r="D695" s="295" t="s">
        <v>259</v>
      </c>
      <c r="E695" s="296">
        <v>0.82062999999999997</v>
      </c>
    </row>
    <row r="696" spans="1:5" x14ac:dyDescent="0.3">
      <c r="A696" s="295">
        <v>2019</v>
      </c>
      <c r="B696" s="295">
        <v>8</v>
      </c>
      <c r="C696" s="295" t="s">
        <v>2</v>
      </c>
      <c r="D696" s="295" t="s">
        <v>85</v>
      </c>
      <c r="E696" s="296">
        <v>4.1572100000000001</v>
      </c>
    </row>
    <row r="697" spans="1:5" x14ac:dyDescent="0.3">
      <c r="A697" s="295">
        <v>2019</v>
      </c>
      <c r="B697" s="295">
        <v>8</v>
      </c>
      <c r="C697" s="295" t="s">
        <v>2</v>
      </c>
      <c r="D697" s="295" t="s">
        <v>101</v>
      </c>
      <c r="E697" s="296">
        <v>20.076750000000001</v>
      </c>
    </row>
    <row r="698" spans="1:5" x14ac:dyDescent="0.3">
      <c r="A698" s="295">
        <v>2019</v>
      </c>
      <c r="B698" s="295">
        <v>8</v>
      </c>
      <c r="C698" s="295" t="s">
        <v>2</v>
      </c>
      <c r="D698" s="295" t="s">
        <v>179</v>
      </c>
      <c r="E698" s="296">
        <v>720.80011000000002</v>
      </c>
    </row>
    <row r="699" spans="1:5" x14ac:dyDescent="0.3">
      <c r="A699" s="295">
        <v>2019</v>
      </c>
      <c r="B699" s="295">
        <v>8</v>
      </c>
      <c r="C699" s="295" t="s">
        <v>259</v>
      </c>
      <c r="D699" s="295" t="s">
        <v>1</v>
      </c>
      <c r="E699" s="296">
        <v>1.1041799999999999</v>
      </c>
    </row>
    <row r="700" spans="1:5" x14ac:dyDescent="0.3">
      <c r="A700" s="295">
        <v>2019</v>
      </c>
      <c r="B700" s="295">
        <v>8</v>
      </c>
      <c r="C700" s="295" t="s">
        <v>259</v>
      </c>
      <c r="D700" s="295" t="s">
        <v>2</v>
      </c>
      <c r="E700" s="296">
        <v>1.2185699999999999</v>
      </c>
    </row>
    <row r="701" spans="1:5" x14ac:dyDescent="0.3">
      <c r="A701" s="295">
        <v>2019</v>
      </c>
      <c r="B701" s="295">
        <v>8</v>
      </c>
      <c r="C701" s="295" t="s">
        <v>259</v>
      </c>
      <c r="D701" s="295" t="s">
        <v>85</v>
      </c>
      <c r="E701" s="296">
        <v>5.0658599999999998</v>
      </c>
    </row>
    <row r="702" spans="1:5" x14ac:dyDescent="0.3">
      <c r="A702" s="295">
        <v>2019</v>
      </c>
      <c r="B702" s="295">
        <v>8</v>
      </c>
      <c r="C702" s="295" t="s">
        <v>259</v>
      </c>
      <c r="D702" s="295" t="s">
        <v>101</v>
      </c>
      <c r="E702" s="296">
        <v>24.464970000000001</v>
      </c>
    </row>
    <row r="703" spans="1:5" x14ac:dyDescent="0.3">
      <c r="A703" s="295">
        <v>2019</v>
      </c>
      <c r="B703" s="295">
        <v>8</v>
      </c>
      <c r="C703" s="295" t="s">
        <v>259</v>
      </c>
      <c r="D703" s="295" t="s">
        <v>179</v>
      </c>
      <c r="E703" s="296">
        <v>878.34703999999999</v>
      </c>
    </row>
    <row r="704" spans="1:5" x14ac:dyDescent="0.3">
      <c r="A704" s="295">
        <v>2019</v>
      </c>
      <c r="B704" s="295">
        <v>8</v>
      </c>
      <c r="C704" s="295" t="s">
        <v>85</v>
      </c>
      <c r="D704" s="295" t="s">
        <v>1</v>
      </c>
      <c r="E704" s="296">
        <v>0.21795999999999999</v>
      </c>
    </row>
    <row r="705" spans="1:5" x14ac:dyDescent="0.3">
      <c r="A705" s="295">
        <v>2019</v>
      </c>
      <c r="B705" s="295">
        <v>8</v>
      </c>
      <c r="C705" s="295" t="s">
        <v>85</v>
      </c>
      <c r="D705" s="295" t="s">
        <v>2</v>
      </c>
      <c r="E705" s="296">
        <v>0.24055000000000001</v>
      </c>
    </row>
    <row r="706" spans="1:5" x14ac:dyDescent="0.3">
      <c r="A706" s="295">
        <v>2019</v>
      </c>
      <c r="B706" s="295">
        <v>8</v>
      </c>
      <c r="C706" s="295" t="s">
        <v>85</v>
      </c>
      <c r="D706" s="295" t="s">
        <v>259</v>
      </c>
      <c r="E706" s="296">
        <v>0.19739999999999999</v>
      </c>
    </row>
    <row r="707" spans="1:5" x14ac:dyDescent="0.3">
      <c r="A707" s="295">
        <v>2019</v>
      </c>
      <c r="B707" s="295">
        <v>8</v>
      </c>
      <c r="C707" s="295" t="s">
        <v>85</v>
      </c>
      <c r="D707" s="295" t="s">
        <v>101</v>
      </c>
      <c r="E707" s="296">
        <v>4.8293799999999996</v>
      </c>
    </row>
    <row r="708" spans="1:5" x14ac:dyDescent="0.3">
      <c r="A708" s="295">
        <v>2019</v>
      </c>
      <c r="B708" s="295">
        <v>8</v>
      </c>
      <c r="C708" s="295" t="s">
        <v>85</v>
      </c>
      <c r="D708" s="295" t="s">
        <v>179</v>
      </c>
      <c r="E708" s="296">
        <v>173.38543000000001</v>
      </c>
    </row>
    <row r="709" spans="1:5" x14ac:dyDescent="0.3">
      <c r="A709" s="295">
        <v>2019</v>
      </c>
      <c r="B709" s="295">
        <v>8</v>
      </c>
      <c r="C709" s="295" t="s">
        <v>101</v>
      </c>
      <c r="D709" s="295" t="s">
        <v>1</v>
      </c>
      <c r="E709" s="296">
        <v>4.5130000000000003E-2</v>
      </c>
    </row>
    <row r="710" spans="1:5" x14ac:dyDescent="0.3">
      <c r="A710" s="295">
        <v>2019</v>
      </c>
      <c r="B710" s="295">
        <v>8</v>
      </c>
      <c r="C710" s="295" t="s">
        <v>101</v>
      </c>
      <c r="D710" s="295" t="s">
        <v>2</v>
      </c>
      <c r="E710" s="296">
        <v>4.981E-2</v>
      </c>
    </row>
    <row r="711" spans="1:5" x14ac:dyDescent="0.3">
      <c r="A711" s="295">
        <v>2019</v>
      </c>
      <c r="B711" s="295">
        <v>8</v>
      </c>
      <c r="C711" s="295" t="s">
        <v>101</v>
      </c>
      <c r="D711" s="295" t="s">
        <v>259</v>
      </c>
      <c r="E711" s="296">
        <v>4.0869999999999997E-2</v>
      </c>
    </row>
    <row r="712" spans="1:5" x14ac:dyDescent="0.3">
      <c r="A712" s="295">
        <v>2019</v>
      </c>
      <c r="B712" s="295">
        <v>8</v>
      </c>
      <c r="C712" s="295" t="s">
        <v>101</v>
      </c>
      <c r="D712" s="295" t="s">
        <v>85</v>
      </c>
      <c r="E712" s="296">
        <v>0.20707</v>
      </c>
    </row>
    <row r="713" spans="1:5" x14ac:dyDescent="0.3">
      <c r="A713" s="295">
        <v>2019</v>
      </c>
      <c r="B713" s="295">
        <v>8</v>
      </c>
      <c r="C713" s="295" t="s">
        <v>101</v>
      </c>
      <c r="D713" s="295" t="s">
        <v>179</v>
      </c>
      <c r="E713" s="296">
        <v>35.902230000000003</v>
      </c>
    </row>
    <row r="714" spans="1:5" x14ac:dyDescent="0.3">
      <c r="A714" s="295">
        <v>2019</v>
      </c>
      <c r="B714" s="295">
        <v>8</v>
      </c>
      <c r="C714" s="295" t="s">
        <v>179</v>
      </c>
      <c r="D714" s="295" t="s">
        <v>1</v>
      </c>
      <c r="E714" s="296">
        <v>1.2600000000000001E-3</v>
      </c>
    </row>
    <row r="715" spans="1:5" x14ac:dyDescent="0.3">
      <c r="A715" s="295">
        <v>2019</v>
      </c>
      <c r="B715" s="295">
        <v>8</v>
      </c>
      <c r="C715" s="295" t="s">
        <v>179</v>
      </c>
      <c r="D715" s="295" t="s">
        <v>2</v>
      </c>
      <c r="E715" s="296">
        <v>1.39E-3</v>
      </c>
    </row>
    <row r="716" spans="1:5" x14ac:dyDescent="0.3">
      <c r="A716" s="295">
        <v>2019</v>
      </c>
      <c r="B716" s="295">
        <v>8</v>
      </c>
      <c r="C716" s="295" t="s">
        <v>179</v>
      </c>
      <c r="D716" s="295" t="s">
        <v>259</v>
      </c>
      <c r="E716" s="296">
        <v>1.14E-3</v>
      </c>
    </row>
    <row r="717" spans="1:5" x14ac:dyDescent="0.3">
      <c r="A717" s="295">
        <v>2019</v>
      </c>
      <c r="B717" s="295">
        <v>8</v>
      </c>
      <c r="C717" s="295" t="s">
        <v>179</v>
      </c>
      <c r="D717" s="295" t="s">
        <v>85</v>
      </c>
      <c r="E717" s="296">
        <v>5.77E-3</v>
      </c>
    </row>
    <row r="718" spans="1:5" x14ac:dyDescent="0.3">
      <c r="A718" s="295">
        <v>2019</v>
      </c>
      <c r="B718" s="295">
        <v>8</v>
      </c>
      <c r="C718" s="295" t="s">
        <v>179</v>
      </c>
      <c r="D718" s="295" t="s">
        <v>101</v>
      </c>
      <c r="E718" s="296">
        <v>2.785E-2</v>
      </c>
    </row>
    <row r="719" spans="1:5" x14ac:dyDescent="0.3">
      <c r="A719" s="295">
        <v>2019</v>
      </c>
      <c r="B719" s="295">
        <v>8</v>
      </c>
      <c r="C719" s="295" t="s">
        <v>259</v>
      </c>
      <c r="D719" s="295" t="s">
        <v>259</v>
      </c>
      <c r="E719" s="296">
        <v>1</v>
      </c>
    </row>
    <row r="720" spans="1:5" x14ac:dyDescent="0.3">
      <c r="A720" s="295">
        <v>2019</v>
      </c>
      <c r="B720" s="295">
        <v>8</v>
      </c>
      <c r="C720" s="295" t="s">
        <v>85</v>
      </c>
      <c r="D720" s="295" t="s">
        <v>85</v>
      </c>
      <c r="E720" s="296">
        <v>1</v>
      </c>
    </row>
    <row r="721" spans="1:5" x14ac:dyDescent="0.3">
      <c r="A721" s="295">
        <v>2019</v>
      </c>
      <c r="B721" s="295">
        <v>8</v>
      </c>
      <c r="C721" s="295" t="s">
        <v>101</v>
      </c>
      <c r="D721" s="295" t="s">
        <v>101</v>
      </c>
      <c r="E721" s="296">
        <v>1</v>
      </c>
    </row>
    <row r="722" spans="1:5" x14ac:dyDescent="0.3">
      <c r="A722" s="295">
        <v>2019</v>
      </c>
      <c r="B722" s="295">
        <v>8</v>
      </c>
      <c r="C722" s="295" t="s">
        <v>179</v>
      </c>
      <c r="D722" s="295" t="s">
        <v>179</v>
      </c>
      <c r="E722" s="296">
        <v>1</v>
      </c>
    </row>
    <row r="723" spans="1:5" x14ac:dyDescent="0.3">
      <c r="A723" s="295">
        <v>2019</v>
      </c>
      <c r="B723" s="295">
        <v>8</v>
      </c>
      <c r="C723" s="295" t="s">
        <v>2</v>
      </c>
      <c r="D723" s="295" t="s">
        <v>2</v>
      </c>
      <c r="E723" s="296">
        <v>1</v>
      </c>
    </row>
    <row r="724" spans="1:5" x14ac:dyDescent="0.3">
      <c r="A724" s="295">
        <v>2019</v>
      </c>
      <c r="B724" s="295">
        <v>8</v>
      </c>
      <c r="C724" s="295" t="s">
        <v>1</v>
      </c>
      <c r="D724" s="295" t="s">
        <v>1</v>
      </c>
      <c r="E724" s="296">
        <v>1</v>
      </c>
    </row>
    <row r="725" spans="1:5" x14ac:dyDescent="0.3">
      <c r="A725" s="295">
        <v>2019</v>
      </c>
      <c r="B725" s="295">
        <v>8</v>
      </c>
      <c r="C725" s="295" t="s">
        <v>259</v>
      </c>
      <c r="D725" s="295" t="s">
        <v>259</v>
      </c>
      <c r="E725" s="296">
        <v>1</v>
      </c>
    </row>
    <row r="726" spans="1:5" x14ac:dyDescent="0.3">
      <c r="A726" s="295">
        <v>2019</v>
      </c>
      <c r="B726" s="295">
        <v>8</v>
      </c>
      <c r="C726" s="295" t="s">
        <v>101</v>
      </c>
      <c r="D726" s="295" t="s">
        <v>101</v>
      </c>
      <c r="E726" s="296">
        <v>1</v>
      </c>
    </row>
    <row r="727" spans="1:5" x14ac:dyDescent="0.3">
      <c r="A727" s="295">
        <v>2019</v>
      </c>
      <c r="B727" s="295">
        <v>8</v>
      </c>
      <c r="C727" s="295" t="s">
        <v>179</v>
      </c>
      <c r="D727" s="295" t="s">
        <v>179</v>
      </c>
      <c r="E727" s="296">
        <v>1</v>
      </c>
    </row>
    <row r="728" spans="1:5" x14ac:dyDescent="0.3">
      <c r="A728" s="295">
        <v>2019</v>
      </c>
      <c r="B728" s="295">
        <v>9</v>
      </c>
      <c r="C728" s="295" t="s">
        <v>1</v>
      </c>
      <c r="D728" s="295" t="s">
        <v>2</v>
      </c>
      <c r="E728" s="296">
        <v>1.0889</v>
      </c>
    </row>
    <row r="729" spans="1:5" x14ac:dyDescent="0.3">
      <c r="A729" s="295">
        <v>2019</v>
      </c>
      <c r="B729" s="295">
        <v>9</v>
      </c>
      <c r="C729" s="295" t="s">
        <v>1</v>
      </c>
      <c r="D729" s="295" t="s">
        <v>259</v>
      </c>
      <c r="E729" s="296">
        <v>0.88573000000000002</v>
      </c>
    </row>
    <row r="730" spans="1:5" x14ac:dyDescent="0.3">
      <c r="A730" s="295">
        <v>2019</v>
      </c>
      <c r="B730" s="295">
        <v>9</v>
      </c>
      <c r="C730" s="295" t="s">
        <v>1</v>
      </c>
      <c r="D730" s="295" t="s">
        <v>85</v>
      </c>
      <c r="E730" s="296">
        <v>4.5288000000000004</v>
      </c>
    </row>
    <row r="731" spans="1:5" x14ac:dyDescent="0.3">
      <c r="A731" s="295">
        <v>2019</v>
      </c>
      <c r="B731" s="295">
        <v>9</v>
      </c>
      <c r="C731" s="295" t="s">
        <v>1</v>
      </c>
      <c r="D731" s="295" t="s">
        <v>101</v>
      </c>
      <c r="E731" s="296">
        <v>21.452200000000001</v>
      </c>
    </row>
    <row r="732" spans="1:5" x14ac:dyDescent="0.3">
      <c r="A732" s="295">
        <v>2019</v>
      </c>
      <c r="B732" s="295">
        <v>9</v>
      </c>
      <c r="C732" s="295" t="s">
        <v>1</v>
      </c>
      <c r="D732" s="295" t="s">
        <v>179</v>
      </c>
      <c r="E732" s="296">
        <v>793.04600000000005</v>
      </c>
    </row>
    <row r="733" spans="1:5" x14ac:dyDescent="0.3">
      <c r="A733" s="295">
        <v>2019</v>
      </c>
      <c r="B733" s="295">
        <v>9</v>
      </c>
      <c r="C733" s="295" t="s">
        <v>2</v>
      </c>
      <c r="D733" s="295" t="s">
        <v>1</v>
      </c>
      <c r="E733" s="296">
        <v>0.91835999999999995</v>
      </c>
    </row>
    <row r="734" spans="1:5" x14ac:dyDescent="0.3">
      <c r="A734" s="295">
        <v>2019</v>
      </c>
      <c r="B734" s="295">
        <v>9</v>
      </c>
      <c r="C734" s="295" t="s">
        <v>2</v>
      </c>
      <c r="D734" s="295" t="s">
        <v>259</v>
      </c>
      <c r="E734" s="296">
        <v>0.81342000000000003</v>
      </c>
    </row>
    <row r="735" spans="1:5" x14ac:dyDescent="0.3">
      <c r="A735" s="295">
        <v>2019</v>
      </c>
      <c r="B735" s="295">
        <v>9</v>
      </c>
      <c r="C735" s="295" t="s">
        <v>2</v>
      </c>
      <c r="D735" s="295" t="s">
        <v>85</v>
      </c>
      <c r="E735" s="296">
        <v>4.1590600000000002</v>
      </c>
    </row>
    <row r="736" spans="1:5" x14ac:dyDescent="0.3">
      <c r="A736" s="295">
        <v>2019</v>
      </c>
      <c r="B736" s="295">
        <v>9</v>
      </c>
      <c r="C736" s="295" t="s">
        <v>2</v>
      </c>
      <c r="D736" s="295" t="s">
        <v>101</v>
      </c>
      <c r="E736" s="296">
        <v>19.700800000000001</v>
      </c>
    </row>
    <row r="737" spans="1:5" x14ac:dyDescent="0.3">
      <c r="A737" s="295">
        <v>2019</v>
      </c>
      <c r="B737" s="295">
        <v>9</v>
      </c>
      <c r="C737" s="295" t="s">
        <v>2</v>
      </c>
      <c r="D737" s="295" t="s">
        <v>179</v>
      </c>
      <c r="E737" s="296">
        <v>728.30011999999999</v>
      </c>
    </row>
    <row r="738" spans="1:5" x14ac:dyDescent="0.3">
      <c r="A738" s="295">
        <v>2019</v>
      </c>
      <c r="B738" s="295">
        <v>9</v>
      </c>
      <c r="C738" s="295" t="s">
        <v>259</v>
      </c>
      <c r="D738" s="295" t="s">
        <v>1</v>
      </c>
      <c r="E738" s="296">
        <v>1.1290100000000001</v>
      </c>
    </row>
    <row r="739" spans="1:5" x14ac:dyDescent="0.3">
      <c r="A739" s="295">
        <v>2019</v>
      </c>
      <c r="B739" s="295">
        <v>9</v>
      </c>
      <c r="C739" s="295" t="s">
        <v>259</v>
      </c>
      <c r="D739" s="295" t="s">
        <v>2</v>
      </c>
      <c r="E739" s="296">
        <v>1.2293799999999999</v>
      </c>
    </row>
    <row r="740" spans="1:5" x14ac:dyDescent="0.3">
      <c r="A740" s="295">
        <v>2019</v>
      </c>
      <c r="B740" s="295">
        <v>9</v>
      </c>
      <c r="C740" s="295" t="s">
        <v>259</v>
      </c>
      <c r="D740" s="295" t="s">
        <v>85</v>
      </c>
      <c r="E740" s="296">
        <v>5.1130699999999996</v>
      </c>
    </row>
    <row r="741" spans="1:5" x14ac:dyDescent="0.3">
      <c r="A741" s="295">
        <v>2019</v>
      </c>
      <c r="B741" s="295">
        <v>9</v>
      </c>
      <c r="C741" s="295" t="s">
        <v>259</v>
      </c>
      <c r="D741" s="295" t="s">
        <v>101</v>
      </c>
      <c r="E741" s="296">
        <v>24.219799999999999</v>
      </c>
    </row>
    <row r="742" spans="1:5" x14ac:dyDescent="0.3">
      <c r="A742" s="295">
        <v>2019</v>
      </c>
      <c r="B742" s="295">
        <v>9</v>
      </c>
      <c r="C742" s="295" t="s">
        <v>259</v>
      </c>
      <c r="D742" s="295" t="s">
        <v>179</v>
      </c>
      <c r="E742" s="296">
        <v>895.35862999999995</v>
      </c>
    </row>
    <row r="743" spans="1:5" x14ac:dyDescent="0.3">
      <c r="A743" s="295">
        <v>2019</v>
      </c>
      <c r="B743" s="295">
        <v>9</v>
      </c>
      <c r="C743" s="295" t="s">
        <v>85</v>
      </c>
      <c r="D743" s="295" t="s">
        <v>1</v>
      </c>
      <c r="E743" s="296">
        <v>0.22081000000000001</v>
      </c>
    </row>
    <row r="744" spans="1:5" x14ac:dyDescent="0.3">
      <c r="A744" s="295">
        <v>2019</v>
      </c>
      <c r="B744" s="295">
        <v>9</v>
      </c>
      <c r="C744" s="295" t="s">
        <v>85</v>
      </c>
      <c r="D744" s="295" t="s">
        <v>2</v>
      </c>
      <c r="E744" s="296">
        <v>0.24043999999999999</v>
      </c>
    </row>
    <row r="745" spans="1:5" x14ac:dyDescent="0.3">
      <c r="A745" s="295">
        <v>2019</v>
      </c>
      <c r="B745" s="295">
        <v>9</v>
      </c>
      <c r="C745" s="295" t="s">
        <v>85</v>
      </c>
      <c r="D745" s="295" t="s">
        <v>259</v>
      </c>
      <c r="E745" s="296">
        <v>0.19558</v>
      </c>
    </row>
    <row r="746" spans="1:5" x14ac:dyDescent="0.3">
      <c r="A746" s="295">
        <v>2019</v>
      </c>
      <c r="B746" s="295">
        <v>9</v>
      </c>
      <c r="C746" s="295" t="s">
        <v>85</v>
      </c>
      <c r="D746" s="295" t="s">
        <v>101</v>
      </c>
      <c r="E746" s="296">
        <v>4.7368399999999999</v>
      </c>
    </row>
    <row r="747" spans="1:5" x14ac:dyDescent="0.3">
      <c r="A747" s="295">
        <v>2019</v>
      </c>
      <c r="B747" s="295">
        <v>9</v>
      </c>
      <c r="C747" s="295" t="s">
        <v>85</v>
      </c>
      <c r="D747" s="295" t="s">
        <v>179</v>
      </c>
      <c r="E747" s="296">
        <v>175.11172999999999</v>
      </c>
    </row>
    <row r="748" spans="1:5" x14ac:dyDescent="0.3">
      <c r="A748" s="295">
        <v>2019</v>
      </c>
      <c r="B748" s="295">
        <v>9</v>
      </c>
      <c r="C748" s="295" t="s">
        <v>101</v>
      </c>
      <c r="D748" s="295" t="s">
        <v>1</v>
      </c>
      <c r="E748" s="296">
        <v>4.6620000000000002E-2</v>
      </c>
    </row>
    <row r="749" spans="1:5" x14ac:dyDescent="0.3">
      <c r="A749" s="295">
        <v>2019</v>
      </c>
      <c r="B749" s="295">
        <v>9</v>
      </c>
      <c r="C749" s="295" t="s">
        <v>101</v>
      </c>
      <c r="D749" s="295" t="s">
        <v>2</v>
      </c>
      <c r="E749" s="296">
        <v>5.076E-2</v>
      </c>
    </row>
    <row r="750" spans="1:5" x14ac:dyDescent="0.3">
      <c r="A750" s="295">
        <v>2019</v>
      </c>
      <c r="B750" s="295">
        <v>9</v>
      </c>
      <c r="C750" s="295" t="s">
        <v>101</v>
      </c>
      <c r="D750" s="295" t="s">
        <v>259</v>
      </c>
      <c r="E750" s="296">
        <v>4.129E-2</v>
      </c>
    </row>
    <row r="751" spans="1:5" x14ac:dyDescent="0.3">
      <c r="A751" s="295">
        <v>2019</v>
      </c>
      <c r="B751" s="295">
        <v>9</v>
      </c>
      <c r="C751" s="295" t="s">
        <v>101</v>
      </c>
      <c r="D751" s="295" t="s">
        <v>85</v>
      </c>
      <c r="E751" s="296">
        <v>0.21110999999999999</v>
      </c>
    </row>
    <row r="752" spans="1:5" x14ac:dyDescent="0.3">
      <c r="A752" s="295">
        <v>2019</v>
      </c>
      <c r="B752" s="295">
        <v>9</v>
      </c>
      <c r="C752" s="295" t="s">
        <v>101</v>
      </c>
      <c r="D752" s="295" t="s">
        <v>179</v>
      </c>
      <c r="E752" s="296">
        <v>36.968049999999998</v>
      </c>
    </row>
    <row r="753" spans="1:5" x14ac:dyDescent="0.3">
      <c r="A753" s="295">
        <v>2019</v>
      </c>
      <c r="B753" s="295">
        <v>9</v>
      </c>
      <c r="C753" s="295" t="s">
        <v>179</v>
      </c>
      <c r="D753" s="295" t="s">
        <v>1</v>
      </c>
      <c r="E753" s="296">
        <v>1.2600000000000001E-3</v>
      </c>
    </row>
    <row r="754" spans="1:5" x14ac:dyDescent="0.3">
      <c r="A754" s="295">
        <v>2019</v>
      </c>
      <c r="B754" s="295">
        <v>9</v>
      </c>
      <c r="C754" s="295" t="s">
        <v>179</v>
      </c>
      <c r="D754" s="295" t="s">
        <v>2</v>
      </c>
      <c r="E754" s="296">
        <v>1.3699999999999999E-3</v>
      </c>
    </row>
    <row r="755" spans="1:5" x14ac:dyDescent="0.3">
      <c r="A755" s="295">
        <v>2019</v>
      </c>
      <c r="B755" s="295">
        <v>9</v>
      </c>
      <c r="C755" s="295" t="s">
        <v>179</v>
      </c>
      <c r="D755" s="295" t="s">
        <v>259</v>
      </c>
      <c r="E755" s="296">
        <v>1.1199999999999999E-3</v>
      </c>
    </row>
    <row r="756" spans="1:5" x14ac:dyDescent="0.3">
      <c r="A756" s="295">
        <v>2019</v>
      </c>
      <c r="B756" s="295">
        <v>9</v>
      </c>
      <c r="C756" s="295" t="s">
        <v>179</v>
      </c>
      <c r="D756" s="295" t="s">
        <v>85</v>
      </c>
      <c r="E756" s="296">
        <v>5.7099999999999998E-3</v>
      </c>
    </row>
    <row r="757" spans="1:5" x14ac:dyDescent="0.3">
      <c r="A757" s="295">
        <v>2019</v>
      </c>
      <c r="B757" s="295">
        <v>9</v>
      </c>
      <c r="C757" s="295" t="s">
        <v>179</v>
      </c>
      <c r="D757" s="295" t="s">
        <v>101</v>
      </c>
      <c r="E757" s="296">
        <v>2.7050000000000001E-2</v>
      </c>
    </row>
    <row r="758" spans="1:5" x14ac:dyDescent="0.3">
      <c r="A758" s="295">
        <v>2019</v>
      </c>
      <c r="B758" s="295">
        <v>9</v>
      </c>
      <c r="C758" s="295" t="s">
        <v>259</v>
      </c>
      <c r="D758" s="295" t="s">
        <v>259</v>
      </c>
      <c r="E758" s="296">
        <v>1</v>
      </c>
    </row>
    <row r="759" spans="1:5" x14ac:dyDescent="0.3">
      <c r="A759" s="295">
        <v>2019</v>
      </c>
      <c r="B759" s="295">
        <v>9</v>
      </c>
      <c r="C759" s="295" t="s">
        <v>85</v>
      </c>
      <c r="D759" s="295" t="s">
        <v>85</v>
      </c>
      <c r="E759" s="296">
        <v>1</v>
      </c>
    </row>
    <row r="760" spans="1:5" x14ac:dyDescent="0.3">
      <c r="A760" s="295">
        <v>2019</v>
      </c>
      <c r="B760" s="295">
        <v>9</v>
      </c>
      <c r="C760" s="295" t="s">
        <v>101</v>
      </c>
      <c r="D760" s="295" t="s">
        <v>101</v>
      </c>
      <c r="E760" s="296">
        <v>1</v>
      </c>
    </row>
    <row r="761" spans="1:5" x14ac:dyDescent="0.3">
      <c r="A761" s="295">
        <v>2019</v>
      </c>
      <c r="B761" s="295">
        <v>9</v>
      </c>
      <c r="C761" s="295" t="s">
        <v>179</v>
      </c>
      <c r="D761" s="295" t="s">
        <v>179</v>
      </c>
      <c r="E761" s="296">
        <v>1</v>
      </c>
    </row>
    <row r="762" spans="1:5" x14ac:dyDescent="0.3">
      <c r="A762" s="295">
        <v>2019</v>
      </c>
      <c r="B762" s="295">
        <v>9</v>
      </c>
      <c r="C762" s="295" t="s">
        <v>2</v>
      </c>
      <c r="D762" s="295" t="s">
        <v>2</v>
      </c>
      <c r="E762" s="296">
        <v>1</v>
      </c>
    </row>
    <row r="763" spans="1:5" x14ac:dyDescent="0.3">
      <c r="A763" s="295">
        <v>2019</v>
      </c>
      <c r="B763" s="295">
        <v>9</v>
      </c>
      <c r="C763" s="295" t="s">
        <v>1</v>
      </c>
      <c r="D763" s="295" t="s">
        <v>1</v>
      </c>
      <c r="E763" s="296">
        <v>1</v>
      </c>
    </row>
    <row r="764" spans="1:5" x14ac:dyDescent="0.3">
      <c r="A764" s="295">
        <v>2019</v>
      </c>
      <c r="B764" s="295">
        <v>9</v>
      </c>
      <c r="C764" s="295" t="s">
        <v>259</v>
      </c>
      <c r="D764" s="295" t="s">
        <v>259</v>
      </c>
      <c r="E764" s="296">
        <v>1</v>
      </c>
    </row>
    <row r="765" spans="1:5" x14ac:dyDescent="0.3">
      <c r="A765" s="295">
        <v>2019</v>
      </c>
      <c r="B765" s="295">
        <v>9</v>
      </c>
      <c r="C765" s="295" t="s">
        <v>101</v>
      </c>
      <c r="D765" s="295" t="s">
        <v>101</v>
      </c>
      <c r="E765" s="296">
        <v>1</v>
      </c>
    </row>
    <row r="766" spans="1:5" x14ac:dyDescent="0.3">
      <c r="A766" s="295">
        <v>2019</v>
      </c>
      <c r="B766" s="295">
        <v>9</v>
      </c>
      <c r="C766" s="295" t="s">
        <v>179</v>
      </c>
      <c r="D766" s="295" t="s">
        <v>179</v>
      </c>
      <c r="E766" s="296">
        <v>1</v>
      </c>
    </row>
    <row r="767" spans="1:5" x14ac:dyDescent="0.3">
      <c r="A767" s="295">
        <v>2019</v>
      </c>
      <c r="B767" s="295">
        <v>10</v>
      </c>
      <c r="C767" s="295" t="s">
        <v>1</v>
      </c>
      <c r="D767" s="295" t="s">
        <v>2</v>
      </c>
      <c r="E767" s="296">
        <v>1.1153999999999999</v>
      </c>
    </row>
    <row r="768" spans="1:5" x14ac:dyDescent="0.3">
      <c r="A768" s="295">
        <v>2019</v>
      </c>
      <c r="B768" s="295">
        <v>10</v>
      </c>
      <c r="C768" s="295" t="s">
        <v>1</v>
      </c>
      <c r="D768" s="295" t="s">
        <v>259</v>
      </c>
      <c r="E768" s="296">
        <v>0.86133000000000004</v>
      </c>
    </row>
    <row r="769" spans="1:5" x14ac:dyDescent="0.3">
      <c r="A769" s="295">
        <v>2019</v>
      </c>
      <c r="B769" s="295">
        <v>10</v>
      </c>
      <c r="C769" s="295" t="s">
        <v>1</v>
      </c>
      <c r="D769" s="295" t="s">
        <v>85</v>
      </c>
      <c r="E769" s="296">
        <v>4.4513999999999996</v>
      </c>
    </row>
    <row r="770" spans="1:5" x14ac:dyDescent="0.3">
      <c r="A770" s="295">
        <v>2019</v>
      </c>
      <c r="B770" s="295">
        <v>10</v>
      </c>
      <c r="C770" s="295" t="s">
        <v>1</v>
      </c>
      <c r="D770" s="295" t="s">
        <v>101</v>
      </c>
      <c r="E770" s="296">
        <v>21.326499999999999</v>
      </c>
    </row>
    <row r="771" spans="1:5" x14ac:dyDescent="0.3">
      <c r="A771" s="295">
        <v>2019</v>
      </c>
      <c r="B771" s="295">
        <v>10</v>
      </c>
      <c r="C771" s="295" t="s">
        <v>1</v>
      </c>
      <c r="D771" s="295" t="s">
        <v>179</v>
      </c>
      <c r="E771" s="296">
        <v>826.06500000000005</v>
      </c>
    </row>
    <row r="772" spans="1:5" x14ac:dyDescent="0.3">
      <c r="A772" s="295">
        <v>2019</v>
      </c>
      <c r="B772" s="295">
        <v>10</v>
      </c>
      <c r="C772" s="295" t="s">
        <v>2</v>
      </c>
      <c r="D772" s="295" t="s">
        <v>1</v>
      </c>
      <c r="E772" s="296">
        <v>0.89654</v>
      </c>
    </row>
    <row r="773" spans="1:5" x14ac:dyDescent="0.3">
      <c r="A773" s="295">
        <v>2019</v>
      </c>
      <c r="B773" s="295">
        <v>10</v>
      </c>
      <c r="C773" s="295" t="s">
        <v>2</v>
      </c>
      <c r="D773" s="295" t="s">
        <v>259</v>
      </c>
      <c r="E773" s="296">
        <v>0.77222000000000002</v>
      </c>
    </row>
    <row r="774" spans="1:5" x14ac:dyDescent="0.3">
      <c r="A774" s="295">
        <v>2019</v>
      </c>
      <c r="B774" s="295">
        <v>10</v>
      </c>
      <c r="C774" s="295" t="s">
        <v>2</v>
      </c>
      <c r="D774" s="295" t="s">
        <v>85</v>
      </c>
      <c r="E774" s="296">
        <v>3.9908600000000001</v>
      </c>
    </row>
    <row r="775" spans="1:5" x14ac:dyDescent="0.3">
      <c r="A775" s="295">
        <v>2019</v>
      </c>
      <c r="B775" s="295">
        <v>10</v>
      </c>
      <c r="C775" s="295" t="s">
        <v>2</v>
      </c>
      <c r="D775" s="295" t="s">
        <v>101</v>
      </c>
      <c r="E775" s="296">
        <v>19.120049999999999</v>
      </c>
    </row>
    <row r="776" spans="1:5" x14ac:dyDescent="0.3">
      <c r="A776" s="295">
        <v>2019</v>
      </c>
      <c r="B776" s="295">
        <v>10</v>
      </c>
      <c r="C776" s="295" t="s">
        <v>2</v>
      </c>
      <c r="D776" s="295" t="s">
        <v>179</v>
      </c>
      <c r="E776" s="296">
        <v>740.59978000000001</v>
      </c>
    </row>
    <row r="777" spans="1:5" x14ac:dyDescent="0.3">
      <c r="A777" s="295">
        <v>2019</v>
      </c>
      <c r="B777" s="295">
        <v>10</v>
      </c>
      <c r="C777" s="295" t="s">
        <v>259</v>
      </c>
      <c r="D777" s="295" t="s">
        <v>1</v>
      </c>
      <c r="E777" s="296">
        <v>1.161</v>
      </c>
    </row>
    <row r="778" spans="1:5" x14ac:dyDescent="0.3">
      <c r="A778" s="295">
        <v>2019</v>
      </c>
      <c r="B778" s="295">
        <v>10</v>
      </c>
      <c r="C778" s="295" t="s">
        <v>259</v>
      </c>
      <c r="D778" s="295" t="s">
        <v>2</v>
      </c>
      <c r="E778" s="296">
        <v>1.29497</v>
      </c>
    </row>
    <row r="779" spans="1:5" x14ac:dyDescent="0.3">
      <c r="A779" s="295">
        <v>2019</v>
      </c>
      <c r="B779" s="295">
        <v>10</v>
      </c>
      <c r="C779" s="295" t="s">
        <v>259</v>
      </c>
      <c r="D779" s="295" t="s">
        <v>85</v>
      </c>
      <c r="E779" s="296">
        <v>5.16805</v>
      </c>
    </row>
    <row r="780" spans="1:5" x14ac:dyDescent="0.3">
      <c r="A780" s="295">
        <v>2019</v>
      </c>
      <c r="B780" s="295">
        <v>10</v>
      </c>
      <c r="C780" s="295" t="s">
        <v>259</v>
      </c>
      <c r="D780" s="295" t="s">
        <v>101</v>
      </c>
      <c r="E780" s="296">
        <v>24.75996</v>
      </c>
    </row>
    <row r="781" spans="1:5" x14ac:dyDescent="0.3">
      <c r="A781" s="295">
        <v>2019</v>
      </c>
      <c r="B781" s="295">
        <v>10</v>
      </c>
      <c r="C781" s="295" t="s">
        <v>259</v>
      </c>
      <c r="D781" s="295" t="s">
        <v>179</v>
      </c>
      <c r="E781" s="296">
        <v>959.0575</v>
      </c>
    </row>
    <row r="782" spans="1:5" x14ac:dyDescent="0.3">
      <c r="A782" s="295">
        <v>2019</v>
      </c>
      <c r="B782" s="295">
        <v>10</v>
      </c>
      <c r="C782" s="295" t="s">
        <v>85</v>
      </c>
      <c r="D782" s="295" t="s">
        <v>1</v>
      </c>
      <c r="E782" s="296">
        <v>0.22464999999999999</v>
      </c>
    </row>
    <row r="783" spans="1:5" x14ac:dyDescent="0.3">
      <c r="A783" s="295">
        <v>2019</v>
      </c>
      <c r="B783" s="295">
        <v>10</v>
      </c>
      <c r="C783" s="295" t="s">
        <v>85</v>
      </c>
      <c r="D783" s="295" t="s">
        <v>2</v>
      </c>
      <c r="E783" s="296">
        <v>0.25057000000000001</v>
      </c>
    </row>
    <row r="784" spans="1:5" x14ac:dyDescent="0.3">
      <c r="A784" s="295">
        <v>2019</v>
      </c>
      <c r="B784" s="295">
        <v>10</v>
      </c>
      <c r="C784" s="295" t="s">
        <v>85</v>
      </c>
      <c r="D784" s="295" t="s">
        <v>259</v>
      </c>
      <c r="E784" s="296">
        <v>0.19350000000000001</v>
      </c>
    </row>
    <row r="785" spans="1:5" x14ac:dyDescent="0.3">
      <c r="A785" s="295">
        <v>2019</v>
      </c>
      <c r="B785" s="295">
        <v>10</v>
      </c>
      <c r="C785" s="295" t="s">
        <v>85</v>
      </c>
      <c r="D785" s="295" t="s">
        <v>101</v>
      </c>
      <c r="E785" s="296">
        <v>4.7909600000000001</v>
      </c>
    </row>
    <row r="786" spans="1:5" x14ac:dyDescent="0.3">
      <c r="A786" s="295">
        <v>2019</v>
      </c>
      <c r="B786" s="295">
        <v>10</v>
      </c>
      <c r="C786" s="295" t="s">
        <v>85</v>
      </c>
      <c r="D786" s="295" t="s">
        <v>179</v>
      </c>
      <c r="E786" s="296">
        <v>185.57419999999999</v>
      </c>
    </row>
    <row r="787" spans="1:5" x14ac:dyDescent="0.3">
      <c r="A787" s="295">
        <v>2019</v>
      </c>
      <c r="B787" s="295">
        <v>10</v>
      </c>
      <c r="C787" s="295" t="s">
        <v>101</v>
      </c>
      <c r="D787" s="295" t="s">
        <v>1</v>
      </c>
      <c r="E787" s="296">
        <v>4.6890000000000001E-2</v>
      </c>
    </row>
    <row r="788" spans="1:5" x14ac:dyDescent="0.3">
      <c r="A788" s="295">
        <v>2019</v>
      </c>
      <c r="B788" s="295">
        <v>10</v>
      </c>
      <c r="C788" s="295" t="s">
        <v>101</v>
      </c>
      <c r="D788" s="295" t="s">
        <v>2</v>
      </c>
      <c r="E788" s="296">
        <v>5.2299999999999999E-2</v>
      </c>
    </row>
    <row r="789" spans="1:5" x14ac:dyDescent="0.3">
      <c r="A789" s="295">
        <v>2019</v>
      </c>
      <c r="B789" s="295">
        <v>10</v>
      </c>
      <c r="C789" s="295" t="s">
        <v>101</v>
      </c>
      <c r="D789" s="295" t="s">
        <v>259</v>
      </c>
      <c r="E789" s="296">
        <v>4.0390000000000002E-2</v>
      </c>
    </row>
    <row r="790" spans="1:5" x14ac:dyDescent="0.3">
      <c r="A790" s="295">
        <v>2019</v>
      </c>
      <c r="B790" s="295">
        <v>10</v>
      </c>
      <c r="C790" s="295" t="s">
        <v>101</v>
      </c>
      <c r="D790" s="295" t="s">
        <v>85</v>
      </c>
      <c r="E790" s="296">
        <v>0.20873</v>
      </c>
    </row>
    <row r="791" spans="1:5" x14ac:dyDescent="0.3">
      <c r="A791" s="295">
        <v>2019</v>
      </c>
      <c r="B791" s="295">
        <v>10</v>
      </c>
      <c r="C791" s="295" t="s">
        <v>101</v>
      </c>
      <c r="D791" s="295" t="s">
        <v>179</v>
      </c>
      <c r="E791" s="296">
        <v>38.734200000000001</v>
      </c>
    </row>
    <row r="792" spans="1:5" x14ac:dyDescent="0.3">
      <c r="A792" s="295">
        <v>2019</v>
      </c>
      <c r="B792" s="295">
        <v>10</v>
      </c>
      <c r="C792" s="295" t="s">
        <v>179</v>
      </c>
      <c r="D792" s="295" t="s">
        <v>1</v>
      </c>
      <c r="E792" s="296">
        <v>1.2099999999999999E-3</v>
      </c>
    </row>
    <row r="793" spans="1:5" x14ac:dyDescent="0.3">
      <c r="A793" s="295">
        <v>2019</v>
      </c>
      <c r="B793" s="295">
        <v>10</v>
      </c>
      <c r="C793" s="295" t="s">
        <v>179</v>
      </c>
      <c r="D793" s="295" t="s">
        <v>2</v>
      </c>
      <c r="E793" s="296">
        <v>1.3500000000000001E-3</v>
      </c>
    </row>
    <row r="794" spans="1:5" x14ac:dyDescent="0.3">
      <c r="A794" s="295">
        <v>2019</v>
      </c>
      <c r="B794" s="295">
        <v>10</v>
      </c>
      <c r="C794" s="295" t="s">
        <v>179</v>
      </c>
      <c r="D794" s="295" t="s">
        <v>259</v>
      </c>
      <c r="E794" s="296">
        <v>1.0399999999999999E-3</v>
      </c>
    </row>
    <row r="795" spans="1:5" x14ac:dyDescent="0.3">
      <c r="A795" s="295">
        <v>2019</v>
      </c>
      <c r="B795" s="295">
        <v>10</v>
      </c>
      <c r="C795" s="295" t="s">
        <v>179</v>
      </c>
      <c r="D795" s="295" t="s">
        <v>85</v>
      </c>
      <c r="E795" s="296">
        <v>5.3899999999999998E-3</v>
      </c>
    </row>
    <row r="796" spans="1:5" x14ac:dyDescent="0.3">
      <c r="A796" s="295">
        <v>2019</v>
      </c>
      <c r="B796" s="295">
        <v>10</v>
      </c>
      <c r="C796" s="295" t="s">
        <v>179</v>
      </c>
      <c r="D796" s="295" t="s">
        <v>101</v>
      </c>
      <c r="E796" s="296">
        <v>2.5819999999999999E-2</v>
      </c>
    </row>
    <row r="797" spans="1:5" x14ac:dyDescent="0.3">
      <c r="A797" s="295">
        <v>2019</v>
      </c>
      <c r="B797" s="295">
        <v>10</v>
      </c>
      <c r="C797" s="295" t="s">
        <v>259</v>
      </c>
      <c r="D797" s="295" t="s">
        <v>259</v>
      </c>
      <c r="E797" s="296">
        <v>1</v>
      </c>
    </row>
    <row r="798" spans="1:5" x14ac:dyDescent="0.3">
      <c r="A798" s="295">
        <v>2019</v>
      </c>
      <c r="B798" s="295">
        <v>10</v>
      </c>
      <c r="C798" s="295" t="s">
        <v>85</v>
      </c>
      <c r="D798" s="295" t="s">
        <v>85</v>
      </c>
      <c r="E798" s="296">
        <v>1</v>
      </c>
    </row>
    <row r="799" spans="1:5" x14ac:dyDescent="0.3">
      <c r="A799" s="295">
        <v>2019</v>
      </c>
      <c r="B799" s="295">
        <v>10</v>
      </c>
      <c r="C799" s="295" t="s">
        <v>101</v>
      </c>
      <c r="D799" s="295" t="s">
        <v>101</v>
      </c>
      <c r="E799" s="296">
        <v>1</v>
      </c>
    </row>
    <row r="800" spans="1:5" x14ac:dyDescent="0.3">
      <c r="A800" s="295">
        <v>2019</v>
      </c>
      <c r="B800" s="295">
        <v>10</v>
      </c>
      <c r="C800" s="295" t="s">
        <v>179</v>
      </c>
      <c r="D800" s="295" t="s">
        <v>179</v>
      </c>
      <c r="E800" s="296">
        <v>1</v>
      </c>
    </row>
    <row r="801" spans="1:5" x14ac:dyDescent="0.3">
      <c r="A801" s="295">
        <v>2019</v>
      </c>
      <c r="B801" s="295">
        <v>10</v>
      </c>
      <c r="C801" s="295" t="s">
        <v>2</v>
      </c>
      <c r="D801" s="295" t="s">
        <v>2</v>
      </c>
      <c r="E801" s="296">
        <v>1</v>
      </c>
    </row>
    <row r="802" spans="1:5" x14ac:dyDescent="0.3">
      <c r="A802" s="295">
        <v>2019</v>
      </c>
      <c r="B802" s="295">
        <v>10</v>
      </c>
      <c r="C802" s="295" t="s">
        <v>1</v>
      </c>
      <c r="D802" s="295" t="s">
        <v>1</v>
      </c>
      <c r="E802" s="296">
        <v>1</v>
      </c>
    </row>
    <row r="803" spans="1:5" x14ac:dyDescent="0.3">
      <c r="A803" s="295">
        <v>2019</v>
      </c>
      <c r="B803" s="295">
        <v>10</v>
      </c>
      <c r="C803" s="295" t="s">
        <v>259</v>
      </c>
      <c r="D803" s="295" t="s">
        <v>259</v>
      </c>
      <c r="E803" s="296">
        <v>1</v>
      </c>
    </row>
    <row r="804" spans="1:5" x14ac:dyDescent="0.3">
      <c r="A804" s="295">
        <v>2019</v>
      </c>
      <c r="B804" s="295">
        <v>10</v>
      </c>
      <c r="C804" s="295" t="s">
        <v>101</v>
      </c>
      <c r="D804" s="295" t="s">
        <v>101</v>
      </c>
      <c r="E804" s="296">
        <v>1</v>
      </c>
    </row>
    <row r="805" spans="1:5" x14ac:dyDescent="0.3">
      <c r="A805" s="295">
        <v>2019</v>
      </c>
      <c r="B805" s="295">
        <v>10</v>
      </c>
      <c r="C805" s="295" t="s">
        <v>179</v>
      </c>
      <c r="D805" s="295" t="s">
        <v>179</v>
      </c>
      <c r="E805" s="296">
        <v>1</v>
      </c>
    </row>
    <row r="806" spans="1:5" x14ac:dyDescent="0.3">
      <c r="A806" s="295">
        <v>2019</v>
      </c>
      <c r="B806" s="295">
        <v>11</v>
      </c>
      <c r="C806" s="295" t="s">
        <v>1</v>
      </c>
      <c r="D806" s="295" t="s">
        <v>2</v>
      </c>
      <c r="E806" s="296">
        <v>1.0982000000000001</v>
      </c>
    </row>
    <row r="807" spans="1:5" x14ac:dyDescent="0.3">
      <c r="A807" s="295">
        <v>2019</v>
      </c>
      <c r="B807" s="295">
        <v>11</v>
      </c>
      <c r="C807" s="295" t="s">
        <v>1</v>
      </c>
      <c r="D807" s="295" t="s">
        <v>259</v>
      </c>
      <c r="E807" s="296">
        <v>0.85224999999999995</v>
      </c>
    </row>
    <row r="808" spans="1:5" x14ac:dyDescent="0.3">
      <c r="A808" s="295">
        <v>2019</v>
      </c>
      <c r="B808" s="295">
        <v>11</v>
      </c>
      <c r="C808" s="295" t="s">
        <v>1</v>
      </c>
      <c r="D808" s="295" t="s">
        <v>85</v>
      </c>
      <c r="E808" s="296">
        <v>4.6459000000000001</v>
      </c>
    </row>
    <row r="809" spans="1:5" x14ac:dyDescent="0.3">
      <c r="A809" s="295">
        <v>2019</v>
      </c>
      <c r="B809" s="295">
        <v>11</v>
      </c>
      <c r="C809" s="295" t="s">
        <v>1</v>
      </c>
      <c r="D809" s="295" t="s">
        <v>101</v>
      </c>
      <c r="E809" s="296">
        <v>21.4483</v>
      </c>
    </row>
    <row r="810" spans="1:5" x14ac:dyDescent="0.3">
      <c r="A810" s="295">
        <v>2019</v>
      </c>
      <c r="B810" s="295">
        <v>11</v>
      </c>
      <c r="C810" s="295" t="s">
        <v>1</v>
      </c>
      <c r="D810" s="295" t="s">
        <v>179</v>
      </c>
      <c r="E810" s="296">
        <v>881.98599999999999</v>
      </c>
    </row>
    <row r="811" spans="1:5" x14ac:dyDescent="0.3">
      <c r="A811" s="295">
        <v>2019</v>
      </c>
      <c r="B811" s="295">
        <v>11</v>
      </c>
      <c r="C811" s="295" t="s">
        <v>2</v>
      </c>
      <c r="D811" s="295" t="s">
        <v>1</v>
      </c>
      <c r="E811" s="296">
        <v>0.91057999999999995</v>
      </c>
    </row>
    <row r="812" spans="1:5" x14ac:dyDescent="0.3">
      <c r="A812" s="295">
        <v>2019</v>
      </c>
      <c r="B812" s="295">
        <v>11</v>
      </c>
      <c r="C812" s="295" t="s">
        <v>2</v>
      </c>
      <c r="D812" s="295" t="s">
        <v>259</v>
      </c>
      <c r="E812" s="296">
        <v>0.77603999999999995</v>
      </c>
    </row>
    <row r="813" spans="1:5" x14ac:dyDescent="0.3">
      <c r="A813" s="295">
        <v>2019</v>
      </c>
      <c r="B813" s="295">
        <v>11</v>
      </c>
      <c r="C813" s="295" t="s">
        <v>2</v>
      </c>
      <c r="D813" s="295" t="s">
        <v>85</v>
      </c>
      <c r="E813" s="296">
        <v>4.2304700000000004</v>
      </c>
    </row>
    <row r="814" spans="1:5" x14ac:dyDescent="0.3">
      <c r="A814" s="295">
        <v>2019</v>
      </c>
      <c r="B814" s="295">
        <v>11</v>
      </c>
      <c r="C814" s="295" t="s">
        <v>2</v>
      </c>
      <c r="D814" s="295" t="s">
        <v>101</v>
      </c>
      <c r="E814" s="296">
        <v>19.53041</v>
      </c>
    </row>
    <row r="815" spans="1:5" x14ac:dyDescent="0.3">
      <c r="A815" s="295">
        <v>2019</v>
      </c>
      <c r="B815" s="295">
        <v>11</v>
      </c>
      <c r="C815" s="295" t="s">
        <v>2</v>
      </c>
      <c r="D815" s="295" t="s">
        <v>179</v>
      </c>
      <c r="E815" s="296">
        <v>803.11964999999998</v>
      </c>
    </row>
    <row r="816" spans="1:5" x14ac:dyDescent="0.3">
      <c r="A816" s="295">
        <v>2019</v>
      </c>
      <c r="B816" s="295">
        <v>11</v>
      </c>
      <c r="C816" s="295" t="s">
        <v>259</v>
      </c>
      <c r="D816" s="295" t="s">
        <v>1</v>
      </c>
      <c r="E816" s="296">
        <v>1.17336</v>
      </c>
    </row>
    <row r="817" spans="1:5" x14ac:dyDescent="0.3">
      <c r="A817" s="295">
        <v>2019</v>
      </c>
      <c r="B817" s="295">
        <v>11</v>
      </c>
      <c r="C817" s="295" t="s">
        <v>259</v>
      </c>
      <c r="D817" s="295" t="s">
        <v>2</v>
      </c>
      <c r="E817" s="296">
        <v>1.2885899999999999</v>
      </c>
    </row>
    <row r="818" spans="1:5" x14ac:dyDescent="0.3">
      <c r="A818" s="295">
        <v>2019</v>
      </c>
      <c r="B818" s="295">
        <v>11</v>
      </c>
      <c r="C818" s="295" t="s">
        <v>259</v>
      </c>
      <c r="D818" s="295" t="s">
        <v>85</v>
      </c>
      <c r="E818" s="296">
        <v>5.4513299999999996</v>
      </c>
    </row>
    <row r="819" spans="1:5" x14ac:dyDescent="0.3">
      <c r="A819" s="295">
        <v>2019</v>
      </c>
      <c r="B819" s="295">
        <v>11</v>
      </c>
      <c r="C819" s="295" t="s">
        <v>259</v>
      </c>
      <c r="D819" s="295" t="s">
        <v>101</v>
      </c>
      <c r="E819" s="296">
        <v>25.166679999999999</v>
      </c>
    </row>
    <row r="820" spans="1:5" x14ac:dyDescent="0.3">
      <c r="A820" s="295">
        <v>2019</v>
      </c>
      <c r="B820" s="295">
        <v>11</v>
      </c>
      <c r="C820" s="295" t="s">
        <v>259</v>
      </c>
      <c r="D820" s="295" t="s">
        <v>179</v>
      </c>
      <c r="E820" s="296">
        <v>1034.8911700000001</v>
      </c>
    </row>
    <row r="821" spans="1:5" x14ac:dyDescent="0.3">
      <c r="A821" s="295">
        <v>2019</v>
      </c>
      <c r="B821" s="295">
        <v>11</v>
      </c>
      <c r="C821" s="295" t="s">
        <v>85</v>
      </c>
      <c r="D821" s="295" t="s">
        <v>1</v>
      </c>
      <c r="E821" s="296">
        <v>0.21523999999999999</v>
      </c>
    </row>
    <row r="822" spans="1:5" x14ac:dyDescent="0.3">
      <c r="A822" s="295">
        <v>2019</v>
      </c>
      <c r="B822" s="295">
        <v>11</v>
      </c>
      <c r="C822" s="295" t="s">
        <v>85</v>
      </c>
      <c r="D822" s="295" t="s">
        <v>2</v>
      </c>
      <c r="E822" s="296">
        <v>0.23638000000000001</v>
      </c>
    </row>
    <row r="823" spans="1:5" x14ac:dyDescent="0.3">
      <c r="A823" s="295">
        <v>2019</v>
      </c>
      <c r="B823" s="295">
        <v>11</v>
      </c>
      <c r="C823" s="295" t="s">
        <v>85</v>
      </c>
      <c r="D823" s="295" t="s">
        <v>259</v>
      </c>
      <c r="E823" s="296">
        <v>0.18343999999999999</v>
      </c>
    </row>
    <row r="824" spans="1:5" x14ac:dyDescent="0.3">
      <c r="A824" s="295">
        <v>2019</v>
      </c>
      <c r="B824" s="295">
        <v>11</v>
      </c>
      <c r="C824" s="295" t="s">
        <v>85</v>
      </c>
      <c r="D824" s="295" t="s">
        <v>101</v>
      </c>
      <c r="E824" s="296">
        <v>4.6166099999999997</v>
      </c>
    </row>
    <row r="825" spans="1:5" x14ac:dyDescent="0.3">
      <c r="A825" s="295">
        <v>2019</v>
      </c>
      <c r="B825" s="295">
        <v>11</v>
      </c>
      <c r="C825" s="295" t="s">
        <v>85</v>
      </c>
      <c r="D825" s="295" t="s">
        <v>179</v>
      </c>
      <c r="E825" s="296">
        <v>189.84180000000001</v>
      </c>
    </row>
    <row r="826" spans="1:5" x14ac:dyDescent="0.3">
      <c r="A826" s="295">
        <v>2019</v>
      </c>
      <c r="B826" s="295">
        <v>11</v>
      </c>
      <c r="C826" s="295" t="s">
        <v>101</v>
      </c>
      <c r="D826" s="295" t="s">
        <v>1</v>
      </c>
      <c r="E826" s="296">
        <v>4.6620000000000002E-2</v>
      </c>
    </row>
    <row r="827" spans="1:5" x14ac:dyDescent="0.3">
      <c r="A827" s="295">
        <v>2019</v>
      </c>
      <c r="B827" s="295">
        <v>11</v>
      </c>
      <c r="C827" s="295" t="s">
        <v>101</v>
      </c>
      <c r="D827" s="295" t="s">
        <v>2</v>
      </c>
      <c r="E827" s="296">
        <v>5.1200000000000002E-2</v>
      </c>
    </row>
    <row r="828" spans="1:5" x14ac:dyDescent="0.3">
      <c r="A828" s="295">
        <v>2019</v>
      </c>
      <c r="B828" s="295">
        <v>11</v>
      </c>
      <c r="C828" s="295" t="s">
        <v>101</v>
      </c>
      <c r="D828" s="295" t="s">
        <v>259</v>
      </c>
      <c r="E828" s="296">
        <v>3.9739999999999998E-2</v>
      </c>
    </row>
    <row r="829" spans="1:5" x14ac:dyDescent="0.3">
      <c r="A829" s="295">
        <v>2019</v>
      </c>
      <c r="B829" s="295">
        <v>11</v>
      </c>
      <c r="C829" s="295" t="s">
        <v>101</v>
      </c>
      <c r="D829" s="295" t="s">
        <v>85</v>
      </c>
      <c r="E829" s="296">
        <v>0.21661</v>
      </c>
    </row>
    <row r="830" spans="1:5" x14ac:dyDescent="0.3">
      <c r="A830" s="295">
        <v>2019</v>
      </c>
      <c r="B830" s="295">
        <v>11</v>
      </c>
      <c r="C830" s="295" t="s">
        <v>101</v>
      </c>
      <c r="D830" s="295" t="s">
        <v>179</v>
      </c>
      <c r="E830" s="296">
        <v>41.121490000000001</v>
      </c>
    </row>
    <row r="831" spans="1:5" x14ac:dyDescent="0.3">
      <c r="A831" s="295">
        <v>2019</v>
      </c>
      <c r="B831" s="295">
        <v>11</v>
      </c>
      <c r="C831" s="295" t="s">
        <v>179</v>
      </c>
      <c r="D831" s="295" t="s">
        <v>1</v>
      </c>
      <c r="E831" s="296">
        <v>1.1299999999999999E-3</v>
      </c>
    </row>
    <row r="832" spans="1:5" x14ac:dyDescent="0.3">
      <c r="A832" s="295">
        <v>2019</v>
      </c>
      <c r="B832" s="295">
        <v>11</v>
      </c>
      <c r="C832" s="295" t="s">
        <v>179</v>
      </c>
      <c r="D832" s="295" t="s">
        <v>2</v>
      </c>
      <c r="E832" s="296">
        <v>1.25E-3</v>
      </c>
    </row>
    <row r="833" spans="1:5" x14ac:dyDescent="0.3">
      <c r="A833" s="295">
        <v>2019</v>
      </c>
      <c r="B833" s="295">
        <v>11</v>
      </c>
      <c r="C833" s="295" t="s">
        <v>179</v>
      </c>
      <c r="D833" s="295" t="s">
        <v>259</v>
      </c>
      <c r="E833" s="296">
        <v>9.7000000000000005E-4</v>
      </c>
    </row>
    <row r="834" spans="1:5" x14ac:dyDescent="0.3">
      <c r="A834" s="295">
        <v>2019</v>
      </c>
      <c r="B834" s="295">
        <v>11</v>
      </c>
      <c r="C834" s="295" t="s">
        <v>179</v>
      </c>
      <c r="D834" s="295" t="s">
        <v>85</v>
      </c>
      <c r="E834" s="296">
        <v>5.2700000000000004E-3</v>
      </c>
    </row>
    <row r="835" spans="1:5" x14ac:dyDescent="0.3">
      <c r="A835" s="295">
        <v>2019</v>
      </c>
      <c r="B835" s="295">
        <v>11</v>
      </c>
      <c r="C835" s="295" t="s">
        <v>179</v>
      </c>
      <c r="D835" s="295" t="s">
        <v>101</v>
      </c>
      <c r="E835" s="296">
        <v>2.4320000000000001E-2</v>
      </c>
    </row>
    <row r="836" spans="1:5" x14ac:dyDescent="0.3">
      <c r="A836" s="295">
        <v>2019</v>
      </c>
      <c r="B836" s="295">
        <v>11</v>
      </c>
      <c r="C836" s="295" t="s">
        <v>259</v>
      </c>
      <c r="D836" s="295" t="s">
        <v>259</v>
      </c>
      <c r="E836" s="296">
        <v>1</v>
      </c>
    </row>
    <row r="837" spans="1:5" x14ac:dyDescent="0.3">
      <c r="A837" s="295">
        <v>2019</v>
      </c>
      <c r="B837" s="295">
        <v>11</v>
      </c>
      <c r="C837" s="295" t="s">
        <v>85</v>
      </c>
      <c r="D837" s="295" t="s">
        <v>85</v>
      </c>
      <c r="E837" s="296">
        <v>1</v>
      </c>
    </row>
    <row r="838" spans="1:5" x14ac:dyDescent="0.3">
      <c r="A838" s="295">
        <v>2019</v>
      </c>
      <c r="B838" s="295">
        <v>11</v>
      </c>
      <c r="C838" s="295" t="s">
        <v>101</v>
      </c>
      <c r="D838" s="295" t="s">
        <v>101</v>
      </c>
      <c r="E838" s="296">
        <v>1</v>
      </c>
    </row>
    <row r="839" spans="1:5" x14ac:dyDescent="0.3">
      <c r="A839" s="295">
        <v>2019</v>
      </c>
      <c r="B839" s="295">
        <v>11</v>
      </c>
      <c r="C839" s="295" t="s">
        <v>179</v>
      </c>
      <c r="D839" s="295" t="s">
        <v>179</v>
      </c>
      <c r="E839" s="296">
        <v>1</v>
      </c>
    </row>
    <row r="840" spans="1:5" x14ac:dyDescent="0.3">
      <c r="A840" s="295">
        <v>2019</v>
      </c>
      <c r="B840" s="295">
        <v>11</v>
      </c>
      <c r="C840" s="295" t="s">
        <v>2</v>
      </c>
      <c r="D840" s="295" t="s">
        <v>2</v>
      </c>
      <c r="E840" s="296">
        <v>1</v>
      </c>
    </row>
    <row r="841" spans="1:5" x14ac:dyDescent="0.3">
      <c r="A841" s="295">
        <v>2019</v>
      </c>
      <c r="B841" s="295">
        <v>11</v>
      </c>
      <c r="C841" s="295" t="s">
        <v>1</v>
      </c>
      <c r="D841" s="295" t="s">
        <v>1</v>
      </c>
      <c r="E841" s="296">
        <v>1</v>
      </c>
    </row>
    <row r="842" spans="1:5" x14ac:dyDescent="0.3">
      <c r="A842" s="295">
        <v>2019</v>
      </c>
      <c r="B842" s="295">
        <v>11</v>
      </c>
      <c r="C842" s="295" t="s">
        <v>259</v>
      </c>
      <c r="D842" s="295" t="s">
        <v>259</v>
      </c>
      <c r="E842" s="296">
        <v>1</v>
      </c>
    </row>
    <row r="843" spans="1:5" x14ac:dyDescent="0.3">
      <c r="A843" s="295">
        <v>2019</v>
      </c>
      <c r="B843" s="295">
        <v>11</v>
      </c>
      <c r="C843" s="295" t="s">
        <v>101</v>
      </c>
      <c r="D843" s="295" t="s">
        <v>101</v>
      </c>
      <c r="E843" s="296">
        <v>1</v>
      </c>
    </row>
    <row r="844" spans="1:5" x14ac:dyDescent="0.3">
      <c r="A844" s="295">
        <v>2019</v>
      </c>
      <c r="B844" s="295">
        <v>11</v>
      </c>
      <c r="C844" s="295" t="s">
        <v>179</v>
      </c>
      <c r="D844" s="295" t="s">
        <v>179</v>
      </c>
      <c r="E844" s="296">
        <v>1</v>
      </c>
    </row>
    <row r="845" spans="1:5" x14ac:dyDescent="0.3">
      <c r="A845" s="295">
        <v>2019</v>
      </c>
      <c r="B845" s="295">
        <v>12</v>
      </c>
      <c r="C845" s="295" t="s">
        <v>1</v>
      </c>
      <c r="D845" s="295" t="s">
        <v>2</v>
      </c>
      <c r="E845" s="296">
        <v>1.1234</v>
      </c>
    </row>
    <row r="846" spans="1:5" x14ac:dyDescent="0.3">
      <c r="A846" s="295">
        <v>2019</v>
      </c>
      <c r="B846" s="295">
        <v>12</v>
      </c>
      <c r="C846" s="295" t="s">
        <v>1</v>
      </c>
      <c r="D846" s="295" t="s">
        <v>259</v>
      </c>
      <c r="E846" s="296">
        <v>0.8508</v>
      </c>
    </row>
    <row r="847" spans="1:5" x14ac:dyDescent="0.3">
      <c r="A847" s="295">
        <v>2019</v>
      </c>
      <c r="B847" s="295">
        <v>12</v>
      </c>
      <c r="C847" s="295" t="s">
        <v>1</v>
      </c>
      <c r="D847" s="295" t="s">
        <v>85</v>
      </c>
      <c r="E847" s="296">
        <v>4.5156999999999998</v>
      </c>
    </row>
    <row r="848" spans="1:5" x14ac:dyDescent="0.3">
      <c r="A848" s="295">
        <v>2019</v>
      </c>
      <c r="B848" s="295">
        <v>12</v>
      </c>
      <c r="C848" s="295" t="s">
        <v>1</v>
      </c>
      <c r="D848" s="295" t="s">
        <v>101</v>
      </c>
      <c r="E848" s="296">
        <v>21.220199999999998</v>
      </c>
    </row>
    <row r="849" spans="1:5" x14ac:dyDescent="0.3">
      <c r="A849" s="295">
        <v>2019</v>
      </c>
      <c r="B849" s="295">
        <v>12</v>
      </c>
      <c r="C849" s="295" t="s">
        <v>1</v>
      </c>
      <c r="D849" s="295" t="s">
        <v>179</v>
      </c>
      <c r="E849" s="296">
        <v>844.23500000000001</v>
      </c>
    </row>
    <row r="850" spans="1:5" x14ac:dyDescent="0.3">
      <c r="A850" s="295">
        <v>2019</v>
      </c>
      <c r="B850" s="295">
        <v>12</v>
      </c>
      <c r="C850" s="295" t="s">
        <v>2</v>
      </c>
      <c r="D850" s="295" t="s">
        <v>1</v>
      </c>
      <c r="E850" s="296">
        <v>0.89015</v>
      </c>
    </row>
    <row r="851" spans="1:5" x14ac:dyDescent="0.3">
      <c r="A851" s="295">
        <v>2019</v>
      </c>
      <c r="B851" s="295">
        <v>12</v>
      </c>
      <c r="C851" s="295" t="s">
        <v>2</v>
      </c>
      <c r="D851" s="295" t="s">
        <v>259</v>
      </c>
      <c r="E851" s="296">
        <v>0.75734000000000001</v>
      </c>
    </row>
    <row r="852" spans="1:5" x14ac:dyDescent="0.3">
      <c r="A852" s="295">
        <v>2019</v>
      </c>
      <c r="B852" s="295">
        <v>12</v>
      </c>
      <c r="C852" s="295" t="s">
        <v>2</v>
      </c>
      <c r="D852" s="295" t="s">
        <v>85</v>
      </c>
      <c r="E852" s="296">
        <v>4.0196699999999996</v>
      </c>
    </row>
    <row r="853" spans="1:5" x14ac:dyDescent="0.3">
      <c r="A853" s="295">
        <v>2019</v>
      </c>
      <c r="B853" s="295">
        <v>12</v>
      </c>
      <c r="C853" s="295" t="s">
        <v>2</v>
      </c>
      <c r="D853" s="295" t="s">
        <v>101</v>
      </c>
      <c r="E853" s="296">
        <v>18.88926</v>
      </c>
    </row>
    <row r="854" spans="1:5" x14ac:dyDescent="0.3">
      <c r="A854" s="295">
        <v>2019</v>
      </c>
      <c r="B854" s="295">
        <v>12</v>
      </c>
      <c r="C854" s="295" t="s">
        <v>2</v>
      </c>
      <c r="D854" s="295" t="s">
        <v>179</v>
      </c>
      <c r="E854" s="296">
        <v>751.49991</v>
      </c>
    </row>
    <row r="855" spans="1:5" x14ac:dyDescent="0.3">
      <c r="A855" s="295">
        <v>2019</v>
      </c>
      <c r="B855" s="295">
        <v>12</v>
      </c>
      <c r="C855" s="295" t="s">
        <v>259</v>
      </c>
      <c r="D855" s="295" t="s">
        <v>1</v>
      </c>
      <c r="E855" s="296">
        <v>1.17536</v>
      </c>
    </row>
    <row r="856" spans="1:5" x14ac:dyDescent="0.3">
      <c r="A856" s="295">
        <v>2019</v>
      </c>
      <c r="B856" s="295">
        <v>12</v>
      </c>
      <c r="C856" s="295" t="s">
        <v>259</v>
      </c>
      <c r="D856" s="295" t="s">
        <v>2</v>
      </c>
      <c r="E856" s="296">
        <v>1.3204</v>
      </c>
    </row>
    <row r="857" spans="1:5" x14ac:dyDescent="0.3">
      <c r="A857" s="295">
        <v>2019</v>
      </c>
      <c r="B857" s="295">
        <v>12</v>
      </c>
      <c r="C857" s="295" t="s">
        <v>259</v>
      </c>
      <c r="D857" s="295" t="s">
        <v>85</v>
      </c>
      <c r="E857" s="296">
        <v>5.3075900000000003</v>
      </c>
    </row>
    <row r="858" spans="1:5" x14ac:dyDescent="0.3">
      <c r="A858" s="295">
        <v>2019</v>
      </c>
      <c r="B858" s="295">
        <v>12</v>
      </c>
      <c r="C858" s="295" t="s">
        <v>259</v>
      </c>
      <c r="D858" s="295" t="s">
        <v>101</v>
      </c>
      <c r="E858" s="296">
        <v>24.941469999999999</v>
      </c>
    </row>
    <row r="859" spans="1:5" x14ac:dyDescent="0.3">
      <c r="A859" s="295">
        <v>2019</v>
      </c>
      <c r="B859" s="295">
        <v>12</v>
      </c>
      <c r="C859" s="295" t="s">
        <v>259</v>
      </c>
      <c r="D859" s="295" t="s">
        <v>179</v>
      </c>
      <c r="E859" s="296">
        <v>992.28372999999999</v>
      </c>
    </row>
    <row r="860" spans="1:5" x14ac:dyDescent="0.3">
      <c r="A860" s="295">
        <v>2019</v>
      </c>
      <c r="B860" s="295">
        <v>12</v>
      </c>
      <c r="C860" s="295" t="s">
        <v>85</v>
      </c>
      <c r="D860" s="295" t="s">
        <v>1</v>
      </c>
      <c r="E860" s="296">
        <v>0.22145000000000001</v>
      </c>
    </row>
    <row r="861" spans="1:5" x14ac:dyDescent="0.3">
      <c r="A861" s="295">
        <v>2019</v>
      </c>
      <c r="B861" s="295">
        <v>12</v>
      </c>
      <c r="C861" s="295" t="s">
        <v>85</v>
      </c>
      <c r="D861" s="295" t="s">
        <v>2</v>
      </c>
      <c r="E861" s="296">
        <v>0.24878</v>
      </c>
    </row>
    <row r="862" spans="1:5" x14ac:dyDescent="0.3">
      <c r="A862" s="295">
        <v>2019</v>
      </c>
      <c r="B862" s="295">
        <v>12</v>
      </c>
      <c r="C862" s="295" t="s">
        <v>85</v>
      </c>
      <c r="D862" s="295" t="s">
        <v>259</v>
      </c>
      <c r="E862" s="296">
        <v>0.18840999999999999</v>
      </c>
    </row>
    <row r="863" spans="1:5" x14ac:dyDescent="0.3">
      <c r="A863" s="295">
        <v>2019</v>
      </c>
      <c r="B863" s="295">
        <v>12</v>
      </c>
      <c r="C863" s="295" t="s">
        <v>85</v>
      </c>
      <c r="D863" s="295" t="s">
        <v>101</v>
      </c>
      <c r="E863" s="296">
        <v>4.6992000000000003</v>
      </c>
    </row>
    <row r="864" spans="1:5" x14ac:dyDescent="0.3">
      <c r="A864" s="295">
        <v>2019</v>
      </c>
      <c r="B864" s="295">
        <v>12</v>
      </c>
      <c r="C864" s="295" t="s">
        <v>85</v>
      </c>
      <c r="D864" s="295" t="s">
        <v>179</v>
      </c>
      <c r="E864" s="296">
        <v>186.95551</v>
      </c>
    </row>
    <row r="865" spans="1:5" x14ac:dyDescent="0.3">
      <c r="A865" s="295">
        <v>2019</v>
      </c>
      <c r="B865" s="295">
        <v>12</v>
      </c>
      <c r="C865" s="295" t="s">
        <v>101</v>
      </c>
      <c r="D865" s="295" t="s">
        <v>1</v>
      </c>
      <c r="E865" s="296">
        <v>4.7120000000000002E-2</v>
      </c>
    </row>
    <row r="866" spans="1:5" x14ac:dyDescent="0.3">
      <c r="A866" s="295">
        <v>2019</v>
      </c>
      <c r="B866" s="295">
        <v>12</v>
      </c>
      <c r="C866" s="295" t="s">
        <v>101</v>
      </c>
      <c r="D866" s="295" t="s">
        <v>2</v>
      </c>
      <c r="E866" s="296">
        <v>5.2940000000000001E-2</v>
      </c>
    </row>
    <row r="867" spans="1:5" x14ac:dyDescent="0.3">
      <c r="A867" s="295">
        <v>2019</v>
      </c>
      <c r="B867" s="295">
        <v>12</v>
      </c>
      <c r="C867" s="295" t="s">
        <v>101</v>
      </c>
      <c r="D867" s="295" t="s">
        <v>259</v>
      </c>
      <c r="E867" s="296">
        <v>4.0090000000000001E-2</v>
      </c>
    </row>
    <row r="868" spans="1:5" x14ac:dyDescent="0.3">
      <c r="A868" s="295">
        <v>2019</v>
      </c>
      <c r="B868" s="295">
        <v>12</v>
      </c>
      <c r="C868" s="295" t="s">
        <v>101</v>
      </c>
      <c r="D868" s="295" t="s">
        <v>85</v>
      </c>
      <c r="E868" s="296">
        <v>0.21279999999999999</v>
      </c>
    </row>
    <row r="869" spans="1:5" x14ac:dyDescent="0.3">
      <c r="A869" s="295">
        <v>2019</v>
      </c>
      <c r="B869" s="295">
        <v>12</v>
      </c>
      <c r="C869" s="295" t="s">
        <v>101</v>
      </c>
      <c r="D869" s="295" t="s">
        <v>179</v>
      </c>
      <c r="E869" s="296">
        <v>39.784500000000001</v>
      </c>
    </row>
    <row r="870" spans="1:5" x14ac:dyDescent="0.3">
      <c r="A870" s="295">
        <v>2019</v>
      </c>
      <c r="B870" s="295">
        <v>12</v>
      </c>
      <c r="C870" s="295" t="s">
        <v>179</v>
      </c>
      <c r="D870" s="295" t="s">
        <v>1</v>
      </c>
      <c r="E870" s="296">
        <v>1.1800000000000001E-3</v>
      </c>
    </row>
    <row r="871" spans="1:5" x14ac:dyDescent="0.3">
      <c r="A871" s="295">
        <v>2019</v>
      </c>
      <c r="B871" s="295">
        <v>12</v>
      </c>
      <c r="C871" s="295" t="s">
        <v>179</v>
      </c>
      <c r="D871" s="295" t="s">
        <v>2</v>
      </c>
      <c r="E871" s="296">
        <v>1.33E-3</v>
      </c>
    </row>
    <row r="872" spans="1:5" x14ac:dyDescent="0.3">
      <c r="A872" s="295">
        <v>2019</v>
      </c>
      <c r="B872" s="295">
        <v>12</v>
      </c>
      <c r="C872" s="295" t="s">
        <v>179</v>
      </c>
      <c r="D872" s="295" t="s">
        <v>259</v>
      </c>
      <c r="E872" s="296">
        <v>1.01E-3</v>
      </c>
    </row>
    <row r="873" spans="1:5" x14ac:dyDescent="0.3">
      <c r="A873" s="295">
        <v>2019</v>
      </c>
      <c r="B873" s="295">
        <v>12</v>
      </c>
      <c r="C873" s="295" t="s">
        <v>179</v>
      </c>
      <c r="D873" s="295" t="s">
        <v>85</v>
      </c>
      <c r="E873" s="296">
        <v>5.3499999999999997E-3</v>
      </c>
    </row>
    <row r="874" spans="1:5" x14ac:dyDescent="0.3">
      <c r="A874" s="295">
        <v>2019</v>
      </c>
      <c r="B874" s="295">
        <v>12</v>
      </c>
      <c r="C874" s="295" t="s">
        <v>179</v>
      </c>
      <c r="D874" s="295" t="s">
        <v>101</v>
      </c>
      <c r="E874" s="296">
        <v>2.5139999999999999E-2</v>
      </c>
    </row>
    <row r="875" spans="1:5" x14ac:dyDescent="0.3">
      <c r="A875" s="295">
        <v>2019</v>
      </c>
      <c r="B875" s="295">
        <v>12</v>
      </c>
      <c r="C875" s="295" t="s">
        <v>259</v>
      </c>
      <c r="D875" s="295" t="s">
        <v>259</v>
      </c>
      <c r="E875" s="296">
        <v>1</v>
      </c>
    </row>
    <row r="876" spans="1:5" x14ac:dyDescent="0.3">
      <c r="A876" s="295">
        <v>2019</v>
      </c>
      <c r="B876" s="295">
        <v>12</v>
      </c>
      <c r="C876" s="295" t="s">
        <v>85</v>
      </c>
      <c r="D876" s="295" t="s">
        <v>85</v>
      </c>
      <c r="E876" s="296">
        <v>1</v>
      </c>
    </row>
    <row r="877" spans="1:5" x14ac:dyDescent="0.3">
      <c r="A877" s="295">
        <v>2019</v>
      </c>
      <c r="B877" s="295">
        <v>12</v>
      </c>
      <c r="C877" s="295" t="s">
        <v>101</v>
      </c>
      <c r="D877" s="295" t="s">
        <v>101</v>
      </c>
      <c r="E877" s="296">
        <v>1</v>
      </c>
    </row>
    <row r="878" spans="1:5" x14ac:dyDescent="0.3">
      <c r="A878" s="295">
        <v>2019</v>
      </c>
      <c r="B878" s="295">
        <v>12</v>
      </c>
      <c r="C878" s="295" t="s">
        <v>179</v>
      </c>
      <c r="D878" s="295" t="s">
        <v>179</v>
      </c>
      <c r="E878" s="296">
        <v>1</v>
      </c>
    </row>
    <row r="879" spans="1:5" x14ac:dyDescent="0.3">
      <c r="A879" s="295">
        <v>2019</v>
      </c>
      <c r="B879" s="295">
        <v>12</v>
      </c>
      <c r="C879" s="295" t="s">
        <v>2</v>
      </c>
      <c r="D879" s="295" t="s">
        <v>2</v>
      </c>
      <c r="E879" s="296">
        <v>1</v>
      </c>
    </row>
    <row r="880" spans="1:5" x14ac:dyDescent="0.3">
      <c r="A880" s="295">
        <v>2019</v>
      </c>
      <c r="B880" s="295">
        <v>12</v>
      </c>
      <c r="C880" s="295" t="s">
        <v>1</v>
      </c>
      <c r="D880" s="295" t="s">
        <v>1</v>
      </c>
      <c r="E880" s="296">
        <v>1</v>
      </c>
    </row>
    <row r="881" spans="1:5" x14ac:dyDescent="0.3">
      <c r="A881" s="295">
        <v>2019</v>
      </c>
      <c r="B881" s="295">
        <v>12</v>
      </c>
      <c r="C881" s="295" t="s">
        <v>259</v>
      </c>
      <c r="D881" s="295" t="s">
        <v>259</v>
      </c>
      <c r="E881" s="296">
        <v>1</v>
      </c>
    </row>
    <row r="882" spans="1:5" x14ac:dyDescent="0.3">
      <c r="A882" s="295">
        <v>2019</v>
      </c>
      <c r="B882" s="295">
        <v>12</v>
      </c>
      <c r="C882" s="295" t="s">
        <v>101</v>
      </c>
      <c r="D882" s="295" t="s">
        <v>101</v>
      </c>
      <c r="E882" s="296">
        <v>1</v>
      </c>
    </row>
    <row r="883" spans="1:5" x14ac:dyDescent="0.3">
      <c r="A883" s="295">
        <v>2019</v>
      </c>
      <c r="B883" s="295">
        <v>12</v>
      </c>
      <c r="C883" s="295" t="s">
        <v>179</v>
      </c>
      <c r="D883" s="295" t="s">
        <v>179</v>
      </c>
      <c r="E883" s="296">
        <v>1</v>
      </c>
    </row>
    <row r="884" spans="1:5" x14ac:dyDescent="0.3">
      <c r="A884" s="295">
        <v>2020</v>
      </c>
      <c r="B884" s="295">
        <v>1</v>
      </c>
      <c r="C884" s="295" t="s">
        <v>1</v>
      </c>
      <c r="D884" s="295" t="s">
        <v>2</v>
      </c>
      <c r="E884" s="296">
        <v>1.1052</v>
      </c>
    </row>
    <row r="885" spans="1:5" x14ac:dyDescent="0.3">
      <c r="A885" s="295">
        <v>2020</v>
      </c>
      <c r="B885" s="295">
        <v>1</v>
      </c>
      <c r="C885" s="295" t="s">
        <v>1</v>
      </c>
      <c r="D885" s="295" t="s">
        <v>259</v>
      </c>
      <c r="E885" s="296">
        <v>0.84175</v>
      </c>
    </row>
    <row r="886" spans="1:5" x14ac:dyDescent="0.3">
      <c r="A886" s="295">
        <v>2020</v>
      </c>
      <c r="B886" s="295">
        <v>1</v>
      </c>
      <c r="C886" s="295" t="s">
        <v>1</v>
      </c>
      <c r="D886" s="295" t="s">
        <v>85</v>
      </c>
      <c r="E886" s="296">
        <v>4.7157</v>
      </c>
    </row>
    <row r="887" spans="1:5" x14ac:dyDescent="0.3">
      <c r="A887" s="295">
        <v>2020</v>
      </c>
      <c r="B887" s="295">
        <v>1</v>
      </c>
      <c r="C887" s="295" t="s">
        <v>1</v>
      </c>
      <c r="D887" s="295" t="s">
        <v>101</v>
      </c>
      <c r="E887" s="296">
        <v>20.804400000000001</v>
      </c>
    </row>
    <row r="888" spans="1:5" x14ac:dyDescent="0.3">
      <c r="A888" s="295">
        <v>2020</v>
      </c>
      <c r="B888" s="295">
        <v>1</v>
      </c>
      <c r="C888" s="295" t="s">
        <v>1</v>
      </c>
      <c r="D888" s="295" t="s">
        <v>179</v>
      </c>
      <c r="E888" s="296">
        <v>883.42</v>
      </c>
    </row>
    <row r="889" spans="1:5" x14ac:dyDescent="0.3">
      <c r="A889" s="295">
        <v>2020</v>
      </c>
      <c r="B889" s="295">
        <v>1</v>
      </c>
      <c r="C889" s="295" t="s">
        <v>2</v>
      </c>
      <c r="D889" s="295" t="s">
        <v>1</v>
      </c>
      <c r="E889" s="296">
        <v>0.90480000000000005</v>
      </c>
    </row>
    <row r="890" spans="1:5" x14ac:dyDescent="0.3">
      <c r="A890" s="295">
        <v>2020</v>
      </c>
      <c r="B890" s="295">
        <v>1</v>
      </c>
      <c r="C890" s="295" t="s">
        <v>2</v>
      </c>
      <c r="D890" s="295" t="s">
        <v>259</v>
      </c>
      <c r="E890" s="296">
        <v>0.76163000000000003</v>
      </c>
    </row>
    <row r="891" spans="1:5" x14ac:dyDescent="0.3">
      <c r="A891" s="295">
        <v>2020</v>
      </c>
      <c r="B891" s="295">
        <v>1</v>
      </c>
      <c r="C891" s="295" t="s">
        <v>2</v>
      </c>
      <c r="D891" s="295" t="s">
        <v>85</v>
      </c>
      <c r="E891" s="296">
        <v>4.2668299999999997</v>
      </c>
    </row>
    <row r="892" spans="1:5" x14ac:dyDescent="0.3">
      <c r="A892" s="295">
        <v>2020</v>
      </c>
      <c r="B892" s="295">
        <v>1</v>
      </c>
      <c r="C892" s="295" t="s">
        <v>2</v>
      </c>
      <c r="D892" s="295" t="s">
        <v>101</v>
      </c>
      <c r="E892" s="296">
        <v>18.824100000000001</v>
      </c>
    </row>
    <row r="893" spans="1:5" x14ac:dyDescent="0.3">
      <c r="A893" s="295">
        <v>2020</v>
      </c>
      <c r="B893" s="295">
        <v>1</v>
      </c>
      <c r="C893" s="295" t="s">
        <v>2</v>
      </c>
      <c r="D893" s="295" t="s">
        <v>179</v>
      </c>
      <c r="E893" s="296">
        <v>799.33043999999995</v>
      </c>
    </row>
    <row r="894" spans="1:5" x14ac:dyDescent="0.3">
      <c r="A894" s="295">
        <v>2020</v>
      </c>
      <c r="B894" s="295">
        <v>1</v>
      </c>
      <c r="C894" s="295" t="s">
        <v>259</v>
      </c>
      <c r="D894" s="295" t="s">
        <v>1</v>
      </c>
      <c r="E894" s="296">
        <v>1.1879999999999999</v>
      </c>
    </row>
    <row r="895" spans="1:5" x14ac:dyDescent="0.3">
      <c r="A895" s="295">
        <v>2020</v>
      </c>
      <c r="B895" s="295">
        <v>1</v>
      </c>
      <c r="C895" s="295" t="s">
        <v>259</v>
      </c>
      <c r="D895" s="295" t="s">
        <v>2</v>
      </c>
      <c r="E895" s="296">
        <v>1.31298</v>
      </c>
    </row>
    <row r="896" spans="1:5" x14ac:dyDescent="0.3">
      <c r="A896" s="295">
        <v>2020</v>
      </c>
      <c r="B896" s="295">
        <v>1</v>
      </c>
      <c r="C896" s="295" t="s">
        <v>259</v>
      </c>
      <c r="D896" s="295" t="s">
        <v>85</v>
      </c>
      <c r="E896" s="296">
        <v>5.6022600000000002</v>
      </c>
    </row>
    <row r="897" spans="1:5" x14ac:dyDescent="0.3">
      <c r="A897" s="295">
        <v>2020</v>
      </c>
      <c r="B897" s="295">
        <v>1</v>
      </c>
      <c r="C897" s="295" t="s">
        <v>259</v>
      </c>
      <c r="D897" s="295" t="s">
        <v>101</v>
      </c>
      <c r="E897" s="296">
        <v>24.71565</v>
      </c>
    </row>
    <row r="898" spans="1:5" x14ac:dyDescent="0.3">
      <c r="A898" s="295">
        <v>2020</v>
      </c>
      <c r="B898" s="295">
        <v>1</v>
      </c>
      <c r="C898" s="295" t="s">
        <v>259</v>
      </c>
      <c r="D898" s="295" t="s">
        <v>179</v>
      </c>
      <c r="E898" s="296">
        <v>1049.5040100000001</v>
      </c>
    </row>
    <row r="899" spans="1:5" x14ac:dyDescent="0.3">
      <c r="A899" s="295">
        <v>2020</v>
      </c>
      <c r="B899" s="295">
        <v>1</v>
      </c>
      <c r="C899" s="295" t="s">
        <v>85</v>
      </c>
      <c r="D899" s="295" t="s">
        <v>1</v>
      </c>
      <c r="E899" s="296">
        <v>0.21206</v>
      </c>
    </row>
    <row r="900" spans="1:5" x14ac:dyDescent="0.3">
      <c r="A900" s="295">
        <v>2020</v>
      </c>
      <c r="B900" s="295">
        <v>1</v>
      </c>
      <c r="C900" s="295" t="s">
        <v>85</v>
      </c>
      <c r="D900" s="295" t="s">
        <v>2</v>
      </c>
      <c r="E900" s="296">
        <v>0.23436999999999999</v>
      </c>
    </row>
    <row r="901" spans="1:5" x14ac:dyDescent="0.3">
      <c r="A901" s="295">
        <v>2020</v>
      </c>
      <c r="B901" s="295">
        <v>1</v>
      </c>
      <c r="C901" s="295" t="s">
        <v>85</v>
      </c>
      <c r="D901" s="295" t="s">
        <v>259</v>
      </c>
      <c r="E901" s="296">
        <v>0.17849999999999999</v>
      </c>
    </row>
    <row r="902" spans="1:5" x14ac:dyDescent="0.3">
      <c r="A902" s="295">
        <v>2020</v>
      </c>
      <c r="B902" s="295">
        <v>1</v>
      </c>
      <c r="C902" s="295" t="s">
        <v>85</v>
      </c>
      <c r="D902" s="295" t="s">
        <v>101</v>
      </c>
      <c r="E902" s="296">
        <v>4.4117300000000004</v>
      </c>
    </row>
    <row r="903" spans="1:5" x14ac:dyDescent="0.3">
      <c r="A903" s="295">
        <v>2020</v>
      </c>
      <c r="B903" s="295">
        <v>1</v>
      </c>
      <c r="C903" s="295" t="s">
        <v>85</v>
      </c>
      <c r="D903" s="295" t="s">
        <v>179</v>
      </c>
      <c r="E903" s="296">
        <v>187.33591999999999</v>
      </c>
    </row>
    <row r="904" spans="1:5" x14ac:dyDescent="0.3">
      <c r="A904" s="295">
        <v>2020</v>
      </c>
      <c r="B904" s="295">
        <v>1</v>
      </c>
      <c r="C904" s="295" t="s">
        <v>101</v>
      </c>
      <c r="D904" s="295" t="s">
        <v>1</v>
      </c>
      <c r="E904" s="296">
        <v>4.8070000000000002E-2</v>
      </c>
    </row>
    <row r="905" spans="1:5" x14ac:dyDescent="0.3">
      <c r="A905" s="295">
        <v>2020</v>
      </c>
      <c r="B905" s="295">
        <v>1</v>
      </c>
      <c r="C905" s="295" t="s">
        <v>101</v>
      </c>
      <c r="D905" s="295" t="s">
        <v>2</v>
      </c>
      <c r="E905" s="296">
        <v>5.3120000000000001E-2</v>
      </c>
    </row>
    <row r="906" spans="1:5" x14ac:dyDescent="0.3">
      <c r="A906" s="295">
        <v>2020</v>
      </c>
      <c r="B906" s="295">
        <v>1</v>
      </c>
      <c r="C906" s="295" t="s">
        <v>101</v>
      </c>
      <c r="D906" s="295" t="s">
        <v>259</v>
      </c>
      <c r="E906" s="296">
        <v>4.0460000000000003E-2</v>
      </c>
    </row>
    <row r="907" spans="1:5" x14ac:dyDescent="0.3">
      <c r="A907" s="295">
        <v>2020</v>
      </c>
      <c r="B907" s="295">
        <v>1</v>
      </c>
      <c r="C907" s="295" t="s">
        <v>101</v>
      </c>
      <c r="D907" s="295" t="s">
        <v>85</v>
      </c>
      <c r="E907" s="296">
        <v>0.22667000000000001</v>
      </c>
    </row>
    <row r="908" spans="1:5" x14ac:dyDescent="0.3">
      <c r="A908" s="295">
        <v>2020</v>
      </c>
      <c r="B908" s="295">
        <v>1</v>
      </c>
      <c r="C908" s="295" t="s">
        <v>101</v>
      </c>
      <c r="D908" s="295" t="s">
        <v>179</v>
      </c>
      <c r="E908" s="296">
        <v>42.46313</v>
      </c>
    </row>
    <row r="909" spans="1:5" x14ac:dyDescent="0.3">
      <c r="A909" s="295">
        <v>2020</v>
      </c>
      <c r="B909" s="295">
        <v>1</v>
      </c>
      <c r="C909" s="295" t="s">
        <v>179</v>
      </c>
      <c r="D909" s="295" t="s">
        <v>1</v>
      </c>
      <c r="E909" s="296">
        <v>1.1299999999999999E-3</v>
      </c>
    </row>
    <row r="910" spans="1:5" x14ac:dyDescent="0.3">
      <c r="A910" s="295">
        <v>2020</v>
      </c>
      <c r="B910" s="295">
        <v>1</v>
      </c>
      <c r="C910" s="295" t="s">
        <v>179</v>
      </c>
      <c r="D910" s="295" t="s">
        <v>2</v>
      </c>
      <c r="E910" s="296">
        <v>1.25E-3</v>
      </c>
    </row>
    <row r="911" spans="1:5" x14ac:dyDescent="0.3">
      <c r="A911" s="295">
        <v>2020</v>
      </c>
      <c r="B911" s="295">
        <v>1</v>
      </c>
      <c r="C911" s="295" t="s">
        <v>179</v>
      </c>
      <c r="D911" s="295" t="s">
        <v>259</v>
      </c>
      <c r="E911" s="296">
        <v>9.5E-4</v>
      </c>
    </row>
    <row r="912" spans="1:5" x14ac:dyDescent="0.3">
      <c r="A912" s="295">
        <v>2020</v>
      </c>
      <c r="B912" s="295">
        <v>1</v>
      </c>
      <c r="C912" s="295" t="s">
        <v>179</v>
      </c>
      <c r="D912" s="295" t="s">
        <v>85</v>
      </c>
      <c r="E912" s="296">
        <v>5.3400000000000001E-3</v>
      </c>
    </row>
    <row r="913" spans="1:5" x14ac:dyDescent="0.3">
      <c r="A913" s="295">
        <v>2020</v>
      </c>
      <c r="B913" s="295">
        <v>1</v>
      </c>
      <c r="C913" s="295" t="s">
        <v>179</v>
      </c>
      <c r="D913" s="295" t="s">
        <v>101</v>
      </c>
      <c r="E913" s="296">
        <v>2.3550000000000001E-2</v>
      </c>
    </row>
    <row r="914" spans="1:5" x14ac:dyDescent="0.3">
      <c r="A914" s="295">
        <v>2020</v>
      </c>
      <c r="B914" s="295">
        <v>1</v>
      </c>
      <c r="C914" s="295" t="s">
        <v>259</v>
      </c>
      <c r="D914" s="295" t="s">
        <v>259</v>
      </c>
      <c r="E914" s="296">
        <v>1</v>
      </c>
    </row>
    <row r="915" spans="1:5" x14ac:dyDescent="0.3">
      <c r="A915" s="295">
        <v>2020</v>
      </c>
      <c r="B915" s="295">
        <v>1</v>
      </c>
      <c r="C915" s="295" t="s">
        <v>85</v>
      </c>
      <c r="D915" s="295" t="s">
        <v>85</v>
      </c>
      <c r="E915" s="296">
        <v>1</v>
      </c>
    </row>
    <row r="916" spans="1:5" x14ac:dyDescent="0.3">
      <c r="A916" s="295">
        <v>2020</v>
      </c>
      <c r="B916" s="295">
        <v>1</v>
      </c>
      <c r="C916" s="295" t="s">
        <v>101</v>
      </c>
      <c r="D916" s="295" t="s">
        <v>101</v>
      </c>
      <c r="E916" s="296">
        <v>1</v>
      </c>
    </row>
    <row r="917" spans="1:5" x14ac:dyDescent="0.3">
      <c r="A917" s="295">
        <v>2020</v>
      </c>
      <c r="B917" s="295">
        <v>1</v>
      </c>
      <c r="C917" s="295" t="s">
        <v>179</v>
      </c>
      <c r="D917" s="295" t="s">
        <v>179</v>
      </c>
      <c r="E917" s="296">
        <v>1</v>
      </c>
    </row>
    <row r="918" spans="1:5" x14ac:dyDescent="0.3">
      <c r="A918" s="295">
        <v>2020</v>
      </c>
      <c r="B918" s="295">
        <v>1</v>
      </c>
      <c r="C918" s="295" t="s">
        <v>2</v>
      </c>
      <c r="D918" s="295" t="s">
        <v>2</v>
      </c>
      <c r="E918" s="296">
        <v>1</v>
      </c>
    </row>
    <row r="919" spans="1:5" x14ac:dyDescent="0.3">
      <c r="A919" s="295">
        <v>2020</v>
      </c>
      <c r="B919" s="295">
        <v>1</v>
      </c>
      <c r="C919" s="295" t="s">
        <v>1</v>
      </c>
      <c r="D919" s="295" t="s">
        <v>1</v>
      </c>
      <c r="E919" s="296">
        <v>1</v>
      </c>
    </row>
    <row r="920" spans="1:5" x14ac:dyDescent="0.3">
      <c r="A920" s="295">
        <v>2020</v>
      </c>
      <c r="B920" s="295">
        <v>1</v>
      </c>
      <c r="C920" s="295" t="s">
        <v>259</v>
      </c>
      <c r="D920" s="295" t="s">
        <v>259</v>
      </c>
      <c r="E920" s="296">
        <v>1</v>
      </c>
    </row>
    <row r="921" spans="1:5" x14ac:dyDescent="0.3">
      <c r="A921" s="295">
        <v>2020</v>
      </c>
      <c r="B921" s="295">
        <v>1</v>
      </c>
      <c r="C921" s="295" t="s">
        <v>101</v>
      </c>
      <c r="D921" s="295" t="s">
        <v>101</v>
      </c>
      <c r="E921" s="296">
        <v>1</v>
      </c>
    </row>
    <row r="922" spans="1:5" x14ac:dyDescent="0.3">
      <c r="A922" s="295">
        <v>2020</v>
      </c>
      <c r="B922" s="295">
        <v>1</v>
      </c>
      <c r="C922" s="295" t="s">
        <v>179</v>
      </c>
      <c r="D922" s="295" t="s">
        <v>179</v>
      </c>
      <c r="E922" s="296">
        <v>1</v>
      </c>
    </row>
    <row r="923" spans="1:5" x14ac:dyDescent="0.3">
      <c r="A923" s="295">
        <v>2020</v>
      </c>
      <c r="B923" s="295">
        <v>2</v>
      </c>
      <c r="C923" s="295" t="s">
        <v>1</v>
      </c>
      <c r="D923" s="295" t="s">
        <v>2</v>
      </c>
      <c r="E923" s="296">
        <v>1.0976999999999999</v>
      </c>
    </row>
    <row r="924" spans="1:5" x14ac:dyDescent="0.3">
      <c r="A924" s="295">
        <v>2020</v>
      </c>
      <c r="B924" s="295">
        <v>2</v>
      </c>
      <c r="C924" s="295" t="s">
        <v>1</v>
      </c>
      <c r="D924" s="295" t="s">
        <v>259</v>
      </c>
      <c r="E924" s="296">
        <v>0.85314999999999996</v>
      </c>
    </row>
    <row r="925" spans="1:5" x14ac:dyDescent="0.3">
      <c r="A925" s="295">
        <v>2020</v>
      </c>
      <c r="B925" s="295">
        <v>2</v>
      </c>
      <c r="C925" s="295" t="s">
        <v>1</v>
      </c>
      <c r="D925" s="295" t="s">
        <v>85</v>
      </c>
      <c r="E925" s="296">
        <v>4.9231999999999996</v>
      </c>
    </row>
    <row r="926" spans="1:5" x14ac:dyDescent="0.3">
      <c r="A926" s="295">
        <v>2020</v>
      </c>
      <c r="B926" s="295">
        <v>2</v>
      </c>
      <c r="C926" s="295" t="s">
        <v>1</v>
      </c>
      <c r="D926" s="295" t="s">
        <v>101</v>
      </c>
      <c r="E926" s="296">
        <v>21.637</v>
      </c>
    </row>
    <row r="927" spans="1:5" x14ac:dyDescent="0.3">
      <c r="A927" s="295">
        <v>2020</v>
      </c>
      <c r="B927" s="295">
        <v>2</v>
      </c>
      <c r="C927" s="295" t="s">
        <v>1</v>
      </c>
      <c r="D927" s="295" t="s">
        <v>179</v>
      </c>
      <c r="E927" s="296">
        <v>897.05100000000004</v>
      </c>
    </row>
    <row r="928" spans="1:5" x14ac:dyDescent="0.3">
      <c r="A928" s="295">
        <v>2020</v>
      </c>
      <c r="B928" s="295">
        <v>2</v>
      </c>
      <c r="C928" s="295" t="s">
        <v>2</v>
      </c>
      <c r="D928" s="295" t="s">
        <v>1</v>
      </c>
      <c r="E928" s="296">
        <v>0.91100000000000003</v>
      </c>
    </row>
    <row r="929" spans="1:5" x14ac:dyDescent="0.3">
      <c r="A929" s="295">
        <v>2020</v>
      </c>
      <c r="B929" s="295">
        <v>2</v>
      </c>
      <c r="C929" s="295" t="s">
        <v>2</v>
      </c>
      <c r="D929" s="295" t="s">
        <v>259</v>
      </c>
      <c r="E929" s="296">
        <v>0.77722000000000002</v>
      </c>
    </row>
    <row r="930" spans="1:5" x14ac:dyDescent="0.3">
      <c r="A930" s="295">
        <v>2020</v>
      </c>
      <c r="B930" s="295">
        <v>2</v>
      </c>
      <c r="C930" s="295" t="s">
        <v>2</v>
      </c>
      <c r="D930" s="295" t="s">
        <v>85</v>
      </c>
      <c r="E930" s="296">
        <v>4.4850099999999999</v>
      </c>
    </row>
    <row r="931" spans="1:5" x14ac:dyDescent="0.3">
      <c r="A931" s="295">
        <v>2020</v>
      </c>
      <c r="B931" s="295">
        <v>2</v>
      </c>
      <c r="C931" s="295" t="s">
        <v>2</v>
      </c>
      <c r="D931" s="295" t="s">
        <v>101</v>
      </c>
      <c r="E931" s="296">
        <v>19.711210000000001</v>
      </c>
    </row>
    <row r="932" spans="1:5" x14ac:dyDescent="0.3">
      <c r="A932" s="295">
        <v>2020</v>
      </c>
      <c r="B932" s="295">
        <v>2</v>
      </c>
      <c r="C932" s="295" t="s">
        <v>2</v>
      </c>
      <c r="D932" s="295" t="s">
        <v>179</v>
      </c>
      <c r="E932" s="296">
        <v>817.20961999999997</v>
      </c>
    </row>
    <row r="933" spans="1:5" x14ac:dyDescent="0.3">
      <c r="A933" s="295">
        <v>2020</v>
      </c>
      <c r="B933" s="295">
        <v>2</v>
      </c>
      <c r="C933" s="295" t="s">
        <v>259</v>
      </c>
      <c r="D933" s="295" t="s">
        <v>1</v>
      </c>
      <c r="E933" s="296">
        <v>1.1721299999999999</v>
      </c>
    </row>
    <row r="934" spans="1:5" x14ac:dyDescent="0.3">
      <c r="A934" s="295">
        <v>2020</v>
      </c>
      <c r="B934" s="295">
        <v>2</v>
      </c>
      <c r="C934" s="295" t="s">
        <v>259</v>
      </c>
      <c r="D934" s="295" t="s">
        <v>2</v>
      </c>
      <c r="E934" s="296">
        <v>1.28664</v>
      </c>
    </row>
    <row r="935" spans="1:5" x14ac:dyDescent="0.3">
      <c r="A935" s="295">
        <v>2020</v>
      </c>
      <c r="B935" s="295">
        <v>2</v>
      </c>
      <c r="C935" s="295" t="s">
        <v>259</v>
      </c>
      <c r="D935" s="295" t="s">
        <v>85</v>
      </c>
      <c r="E935" s="296">
        <v>5.7706099999999996</v>
      </c>
    </row>
    <row r="936" spans="1:5" x14ac:dyDescent="0.3">
      <c r="A936" s="295">
        <v>2020</v>
      </c>
      <c r="B936" s="295">
        <v>2</v>
      </c>
      <c r="C936" s="295" t="s">
        <v>259</v>
      </c>
      <c r="D936" s="295" t="s">
        <v>101</v>
      </c>
      <c r="E936" s="296">
        <v>25.36131</v>
      </c>
    </row>
    <row r="937" spans="1:5" x14ac:dyDescent="0.3">
      <c r="A937" s="295">
        <v>2020</v>
      </c>
      <c r="B937" s="295">
        <v>2</v>
      </c>
      <c r="C937" s="295" t="s">
        <v>259</v>
      </c>
      <c r="D937" s="295" t="s">
        <v>179</v>
      </c>
      <c r="E937" s="296">
        <v>1051.4575400000001</v>
      </c>
    </row>
    <row r="938" spans="1:5" x14ac:dyDescent="0.3">
      <c r="A938" s="295">
        <v>2020</v>
      </c>
      <c r="B938" s="295">
        <v>2</v>
      </c>
      <c r="C938" s="295" t="s">
        <v>85</v>
      </c>
      <c r="D938" s="295" t="s">
        <v>1</v>
      </c>
      <c r="E938" s="296">
        <v>0.20311999999999999</v>
      </c>
    </row>
    <row r="939" spans="1:5" x14ac:dyDescent="0.3">
      <c r="A939" s="295">
        <v>2020</v>
      </c>
      <c r="B939" s="295">
        <v>2</v>
      </c>
      <c r="C939" s="295" t="s">
        <v>85</v>
      </c>
      <c r="D939" s="295" t="s">
        <v>2</v>
      </c>
      <c r="E939" s="296">
        <v>0.22295999999999999</v>
      </c>
    </row>
    <row r="940" spans="1:5" x14ac:dyDescent="0.3">
      <c r="A940" s="295">
        <v>2020</v>
      </c>
      <c r="B940" s="295">
        <v>2</v>
      </c>
      <c r="C940" s="295" t="s">
        <v>85</v>
      </c>
      <c r="D940" s="295" t="s">
        <v>259</v>
      </c>
      <c r="E940" s="296">
        <v>0.17329</v>
      </c>
    </row>
    <row r="941" spans="1:5" x14ac:dyDescent="0.3">
      <c r="A941" s="295">
        <v>2020</v>
      </c>
      <c r="B941" s="295">
        <v>2</v>
      </c>
      <c r="C941" s="295" t="s">
        <v>85</v>
      </c>
      <c r="D941" s="295" t="s">
        <v>101</v>
      </c>
      <c r="E941" s="296">
        <v>4.3949100000000003</v>
      </c>
    </row>
    <row r="942" spans="1:5" x14ac:dyDescent="0.3">
      <c r="A942" s="295">
        <v>2020</v>
      </c>
      <c r="B942" s="295">
        <v>2</v>
      </c>
      <c r="C942" s="295" t="s">
        <v>85</v>
      </c>
      <c r="D942" s="295" t="s">
        <v>179</v>
      </c>
      <c r="E942" s="296">
        <v>182.20893000000001</v>
      </c>
    </row>
    <row r="943" spans="1:5" x14ac:dyDescent="0.3">
      <c r="A943" s="295">
        <v>2020</v>
      </c>
      <c r="B943" s="295">
        <v>2</v>
      </c>
      <c r="C943" s="295" t="s">
        <v>101</v>
      </c>
      <c r="D943" s="295" t="s">
        <v>1</v>
      </c>
      <c r="E943" s="296">
        <v>4.6219999999999997E-2</v>
      </c>
    </row>
    <row r="944" spans="1:5" x14ac:dyDescent="0.3">
      <c r="A944" s="295">
        <v>2020</v>
      </c>
      <c r="B944" s="295">
        <v>2</v>
      </c>
      <c r="C944" s="295" t="s">
        <v>101</v>
      </c>
      <c r="D944" s="295" t="s">
        <v>2</v>
      </c>
      <c r="E944" s="296">
        <v>5.0729999999999997E-2</v>
      </c>
    </row>
    <row r="945" spans="1:5" x14ac:dyDescent="0.3">
      <c r="A945" s="295">
        <v>2020</v>
      </c>
      <c r="B945" s="295">
        <v>2</v>
      </c>
      <c r="C945" s="295" t="s">
        <v>101</v>
      </c>
      <c r="D945" s="295" t="s">
        <v>259</v>
      </c>
      <c r="E945" s="296">
        <v>3.943E-2</v>
      </c>
    </row>
    <row r="946" spans="1:5" x14ac:dyDescent="0.3">
      <c r="A946" s="295">
        <v>2020</v>
      </c>
      <c r="B946" s="295">
        <v>2</v>
      </c>
      <c r="C946" s="295" t="s">
        <v>101</v>
      </c>
      <c r="D946" s="295" t="s">
        <v>85</v>
      </c>
      <c r="E946" s="296">
        <v>0.22753999999999999</v>
      </c>
    </row>
    <row r="947" spans="1:5" x14ac:dyDescent="0.3">
      <c r="A947" s="295">
        <v>2020</v>
      </c>
      <c r="B947" s="295">
        <v>2</v>
      </c>
      <c r="C947" s="295" t="s">
        <v>101</v>
      </c>
      <c r="D947" s="295" t="s">
        <v>179</v>
      </c>
      <c r="E947" s="296">
        <v>41.459119999999999</v>
      </c>
    </row>
    <row r="948" spans="1:5" x14ac:dyDescent="0.3">
      <c r="A948" s="295">
        <v>2020</v>
      </c>
      <c r="B948" s="295">
        <v>2</v>
      </c>
      <c r="C948" s="295" t="s">
        <v>179</v>
      </c>
      <c r="D948" s="295" t="s">
        <v>1</v>
      </c>
      <c r="E948" s="296">
        <v>1.1100000000000001E-3</v>
      </c>
    </row>
    <row r="949" spans="1:5" x14ac:dyDescent="0.3">
      <c r="A949" s="295">
        <v>2020</v>
      </c>
      <c r="B949" s="295">
        <v>2</v>
      </c>
      <c r="C949" s="295" t="s">
        <v>179</v>
      </c>
      <c r="D949" s="295" t="s">
        <v>2</v>
      </c>
      <c r="E949" s="296">
        <v>1.2199999999999999E-3</v>
      </c>
    </row>
    <row r="950" spans="1:5" x14ac:dyDescent="0.3">
      <c r="A950" s="295">
        <v>2020</v>
      </c>
      <c r="B950" s="295">
        <v>2</v>
      </c>
      <c r="C950" s="295" t="s">
        <v>179</v>
      </c>
      <c r="D950" s="295" t="s">
        <v>259</v>
      </c>
      <c r="E950" s="296">
        <v>9.5E-4</v>
      </c>
    </row>
    <row r="951" spans="1:5" x14ac:dyDescent="0.3">
      <c r="A951" s="295">
        <v>2020</v>
      </c>
      <c r="B951" s="295">
        <v>2</v>
      </c>
      <c r="C951" s="295" t="s">
        <v>179</v>
      </c>
      <c r="D951" s="295" t="s">
        <v>85</v>
      </c>
      <c r="E951" s="296">
        <v>5.4900000000000001E-3</v>
      </c>
    </row>
    <row r="952" spans="1:5" x14ac:dyDescent="0.3">
      <c r="A952" s="295">
        <v>2020</v>
      </c>
      <c r="B952" s="295">
        <v>2</v>
      </c>
      <c r="C952" s="295" t="s">
        <v>179</v>
      </c>
      <c r="D952" s="295" t="s">
        <v>101</v>
      </c>
      <c r="E952" s="296">
        <v>2.4119999999999999E-2</v>
      </c>
    </row>
    <row r="953" spans="1:5" x14ac:dyDescent="0.3">
      <c r="A953" s="295">
        <v>2020</v>
      </c>
      <c r="B953" s="295">
        <v>2</v>
      </c>
      <c r="C953" s="295" t="s">
        <v>259</v>
      </c>
      <c r="D953" s="295" t="s">
        <v>259</v>
      </c>
      <c r="E953" s="296">
        <v>1</v>
      </c>
    </row>
    <row r="954" spans="1:5" x14ac:dyDescent="0.3">
      <c r="A954" s="295">
        <v>2020</v>
      </c>
      <c r="B954" s="295">
        <v>2</v>
      </c>
      <c r="C954" s="295" t="s">
        <v>85</v>
      </c>
      <c r="D954" s="295" t="s">
        <v>85</v>
      </c>
      <c r="E954" s="296">
        <v>1</v>
      </c>
    </row>
    <row r="955" spans="1:5" x14ac:dyDescent="0.3">
      <c r="A955" s="295">
        <v>2020</v>
      </c>
      <c r="B955" s="295">
        <v>2</v>
      </c>
      <c r="C955" s="295" t="s">
        <v>101</v>
      </c>
      <c r="D955" s="295" t="s">
        <v>101</v>
      </c>
      <c r="E955" s="296">
        <v>1</v>
      </c>
    </row>
    <row r="956" spans="1:5" x14ac:dyDescent="0.3">
      <c r="A956" s="295">
        <v>2020</v>
      </c>
      <c r="B956" s="295">
        <v>2</v>
      </c>
      <c r="C956" s="295" t="s">
        <v>179</v>
      </c>
      <c r="D956" s="295" t="s">
        <v>179</v>
      </c>
      <c r="E956" s="296">
        <v>1</v>
      </c>
    </row>
    <row r="957" spans="1:5" x14ac:dyDescent="0.3">
      <c r="A957" s="295">
        <v>2020</v>
      </c>
      <c r="B957" s="295">
        <v>2</v>
      </c>
      <c r="C957" s="295" t="s">
        <v>2</v>
      </c>
      <c r="D957" s="295" t="s">
        <v>2</v>
      </c>
      <c r="E957" s="296">
        <v>1</v>
      </c>
    </row>
    <row r="958" spans="1:5" x14ac:dyDescent="0.3">
      <c r="A958" s="295">
        <v>2020</v>
      </c>
      <c r="B958" s="295">
        <v>2</v>
      </c>
      <c r="C958" s="295" t="s">
        <v>1</v>
      </c>
      <c r="D958" s="295" t="s">
        <v>1</v>
      </c>
      <c r="E958" s="296">
        <v>1</v>
      </c>
    </row>
    <row r="959" spans="1:5" x14ac:dyDescent="0.3">
      <c r="A959" s="295">
        <v>2020</v>
      </c>
      <c r="B959" s="295">
        <v>2</v>
      </c>
      <c r="C959" s="295" t="s">
        <v>259</v>
      </c>
      <c r="D959" s="295" t="s">
        <v>259</v>
      </c>
      <c r="E959" s="296">
        <v>1</v>
      </c>
    </row>
    <row r="960" spans="1:5" x14ac:dyDescent="0.3">
      <c r="A960" s="295">
        <v>2020</v>
      </c>
      <c r="B960" s="295">
        <v>2</v>
      </c>
      <c r="C960" s="295" t="s">
        <v>101</v>
      </c>
      <c r="D960" s="295" t="s">
        <v>101</v>
      </c>
      <c r="E960" s="296">
        <v>1</v>
      </c>
    </row>
    <row r="961" spans="1:5" x14ac:dyDescent="0.3">
      <c r="A961" s="295">
        <v>2020</v>
      </c>
      <c r="B961" s="295">
        <v>2</v>
      </c>
      <c r="C961" s="295" t="s">
        <v>179</v>
      </c>
      <c r="D961" s="295" t="s">
        <v>179</v>
      </c>
      <c r="E961" s="296">
        <v>1</v>
      </c>
    </row>
    <row r="962" spans="1:5" x14ac:dyDescent="0.3">
      <c r="A962" s="295">
        <v>2020</v>
      </c>
      <c r="B962" s="295">
        <v>3</v>
      </c>
      <c r="C962" s="295" t="s">
        <v>1</v>
      </c>
      <c r="D962" s="295" t="s">
        <v>2</v>
      </c>
      <c r="E962" s="296">
        <v>1.0955999999999999</v>
      </c>
    </row>
    <row r="963" spans="1:5" x14ac:dyDescent="0.3">
      <c r="A963" s="295">
        <v>2020</v>
      </c>
      <c r="B963" s="295">
        <v>3</v>
      </c>
      <c r="C963" s="295" t="s">
        <v>1</v>
      </c>
      <c r="D963" s="295" t="s">
        <v>259</v>
      </c>
      <c r="E963" s="296">
        <v>0.88643000000000005</v>
      </c>
    </row>
    <row r="964" spans="1:5" x14ac:dyDescent="0.3">
      <c r="A964" s="295">
        <v>2020</v>
      </c>
      <c r="B964" s="295">
        <v>3</v>
      </c>
      <c r="C964" s="295" t="s">
        <v>1</v>
      </c>
      <c r="D964" s="295" t="s">
        <v>85</v>
      </c>
      <c r="E964" s="296">
        <v>5.7000999999999999</v>
      </c>
    </row>
    <row r="965" spans="1:5" x14ac:dyDescent="0.3">
      <c r="A965" s="295">
        <v>2020</v>
      </c>
      <c r="B965" s="295">
        <v>3</v>
      </c>
      <c r="C965" s="295" t="s">
        <v>1</v>
      </c>
      <c r="D965" s="295" t="s">
        <v>101</v>
      </c>
      <c r="E965" s="296">
        <v>26.177199999999999</v>
      </c>
    </row>
    <row r="966" spans="1:5" x14ac:dyDescent="0.3">
      <c r="A966" s="295">
        <v>2020</v>
      </c>
      <c r="B966" s="295">
        <v>3</v>
      </c>
      <c r="C966" s="295" t="s">
        <v>1</v>
      </c>
      <c r="D966" s="295" t="s">
        <v>179</v>
      </c>
      <c r="E966" s="296">
        <v>935.89400000000001</v>
      </c>
    </row>
    <row r="967" spans="1:5" x14ac:dyDescent="0.3">
      <c r="A967" s="295">
        <v>2020</v>
      </c>
      <c r="B967" s="295">
        <v>3</v>
      </c>
      <c r="C967" s="295" t="s">
        <v>2</v>
      </c>
      <c r="D967" s="295" t="s">
        <v>1</v>
      </c>
      <c r="E967" s="296">
        <v>0.91274</v>
      </c>
    </row>
    <row r="968" spans="1:5" x14ac:dyDescent="0.3">
      <c r="A968" s="295">
        <v>2020</v>
      </c>
      <c r="B968" s="295">
        <v>3</v>
      </c>
      <c r="C968" s="295" t="s">
        <v>2</v>
      </c>
      <c r="D968" s="295" t="s">
        <v>259</v>
      </c>
      <c r="E968" s="296">
        <v>0.80908000000000002</v>
      </c>
    </row>
    <row r="969" spans="1:5" x14ac:dyDescent="0.3">
      <c r="A969" s="295">
        <v>2020</v>
      </c>
      <c r="B969" s="295">
        <v>3</v>
      </c>
      <c r="C969" s="295" t="s">
        <v>2</v>
      </c>
      <c r="D969" s="295" t="s">
        <v>85</v>
      </c>
      <c r="E969" s="296">
        <v>5.2027200000000002</v>
      </c>
    </row>
    <row r="970" spans="1:5" x14ac:dyDescent="0.3">
      <c r="A970" s="295">
        <v>2020</v>
      </c>
      <c r="B970" s="295">
        <v>3</v>
      </c>
      <c r="C970" s="295" t="s">
        <v>2</v>
      </c>
      <c r="D970" s="295" t="s">
        <v>101</v>
      </c>
      <c r="E970" s="296">
        <v>23.89303</v>
      </c>
    </row>
    <row r="971" spans="1:5" x14ac:dyDescent="0.3">
      <c r="A971" s="295">
        <v>2020</v>
      </c>
      <c r="B971" s="295">
        <v>3</v>
      </c>
      <c r="C971" s="295" t="s">
        <v>2</v>
      </c>
      <c r="D971" s="295" t="s">
        <v>179</v>
      </c>
      <c r="E971" s="296">
        <v>854.22964999999999</v>
      </c>
    </row>
    <row r="972" spans="1:5" x14ac:dyDescent="0.3">
      <c r="A972" s="295">
        <v>2020</v>
      </c>
      <c r="B972" s="295">
        <v>3</v>
      </c>
      <c r="C972" s="295" t="s">
        <v>259</v>
      </c>
      <c r="D972" s="295" t="s">
        <v>1</v>
      </c>
      <c r="E972" s="296">
        <v>1.12812</v>
      </c>
    </row>
    <row r="973" spans="1:5" x14ac:dyDescent="0.3">
      <c r="A973" s="295">
        <v>2020</v>
      </c>
      <c r="B973" s="295">
        <v>3</v>
      </c>
      <c r="C973" s="295" t="s">
        <v>259</v>
      </c>
      <c r="D973" s="295" t="s">
        <v>2</v>
      </c>
      <c r="E973" s="296">
        <v>1.23597</v>
      </c>
    </row>
    <row r="974" spans="1:5" x14ac:dyDescent="0.3">
      <c r="A974" s="295">
        <v>2020</v>
      </c>
      <c r="B974" s="295">
        <v>3</v>
      </c>
      <c r="C974" s="295" t="s">
        <v>259</v>
      </c>
      <c r="D974" s="295" t="s">
        <v>85</v>
      </c>
      <c r="E974" s="296">
        <v>6.4303999999999997</v>
      </c>
    </row>
    <row r="975" spans="1:5" x14ac:dyDescent="0.3">
      <c r="A975" s="295">
        <v>2020</v>
      </c>
      <c r="B975" s="295">
        <v>3</v>
      </c>
      <c r="C975" s="295" t="s">
        <v>259</v>
      </c>
      <c r="D975" s="295" t="s">
        <v>101</v>
      </c>
      <c r="E975" s="296">
        <v>29.531040000000001</v>
      </c>
    </row>
    <row r="976" spans="1:5" x14ac:dyDescent="0.3">
      <c r="A976" s="295">
        <v>2020</v>
      </c>
      <c r="B976" s="295">
        <v>3</v>
      </c>
      <c r="C976" s="295" t="s">
        <v>259</v>
      </c>
      <c r="D976" s="295" t="s">
        <v>179</v>
      </c>
      <c r="E976" s="296">
        <v>1055.8013599999999</v>
      </c>
    </row>
    <row r="977" spans="1:5" x14ac:dyDescent="0.3">
      <c r="A977" s="295">
        <v>2020</v>
      </c>
      <c r="B977" s="295">
        <v>3</v>
      </c>
      <c r="C977" s="295" t="s">
        <v>85</v>
      </c>
      <c r="D977" s="295" t="s">
        <v>1</v>
      </c>
      <c r="E977" s="296">
        <v>0.17544000000000001</v>
      </c>
    </row>
    <row r="978" spans="1:5" x14ac:dyDescent="0.3">
      <c r="A978" s="295">
        <v>2020</v>
      </c>
      <c r="B978" s="295">
        <v>3</v>
      </c>
      <c r="C978" s="295" t="s">
        <v>85</v>
      </c>
      <c r="D978" s="295" t="s">
        <v>2</v>
      </c>
      <c r="E978" s="296">
        <v>0.19220999999999999</v>
      </c>
    </row>
    <row r="979" spans="1:5" x14ac:dyDescent="0.3">
      <c r="A979" s="295">
        <v>2020</v>
      </c>
      <c r="B979" s="295">
        <v>3</v>
      </c>
      <c r="C979" s="295" t="s">
        <v>85</v>
      </c>
      <c r="D979" s="295" t="s">
        <v>259</v>
      </c>
      <c r="E979" s="296">
        <v>0.15551000000000001</v>
      </c>
    </row>
    <row r="980" spans="1:5" x14ac:dyDescent="0.3">
      <c r="A980" s="295">
        <v>2020</v>
      </c>
      <c r="B980" s="295">
        <v>3</v>
      </c>
      <c r="C980" s="295" t="s">
        <v>85</v>
      </c>
      <c r="D980" s="295" t="s">
        <v>101</v>
      </c>
      <c r="E980" s="296">
        <v>4.5924100000000001</v>
      </c>
    </row>
    <row r="981" spans="1:5" x14ac:dyDescent="0.3">
      <c r="A981" s="295">
        <v>2020</v>
      </c>
      <c r="B981" s="295">
        <v>3</v>
      </c>
      <c r="C981" s="295" t="s">
        <v>85</v>
      </c>
      <c r="D981" s="295" t="s">
        <v>179</v>
      </c>
      <c r="E981" s="296">
        <v>164.18905000000001</v>
      </c>
    </row>
    <row r="982" spans="1:5" x14ac:dyDescent="0.3">
      <c r="A982" s="295">
        <v>2020</v>
      </c>
      <c r="B982" s="295">
        <v>3</v>
      </c>
      <c r="C982" s="295" t="s">
        <v>101</v>
      </c>
      <c r="D982" s="295" t="s">
        <v>1</v>
      </c>
      <c r="E982" s="296">
        <v>3.8199999999999998E-2</v>
      </c>
    </row>
    <row r="983" spans="1:5" x14ac:dyDescent="0.3">
      <c r="A983" s="295">
        <v>2020</v>
      </c>
      <c r="B983" s="295">
        <v>3</v>
      </c>
      <c r="C983" s="295" t="s">
        <v>101</v>
      </c>
      <c r="D983" s="295" t="s">
        <v>2</v>
      </c>
      <c r="E983" s="296">
        <v>4.1849999999999998E-2</v>
      </c>
    </row>
    <row r="984" spans="1:5" x14ac:dyDescent="0.3">
      <c r="A984" s="295">
        <v>2020</v>
      </c>
      <c r="B984" s="295">
        <v>3</v>
      </c>
      <c r="C984" s="295" t="s">
        <v>101</v>
      </c>
      <c r="D984" s="295" t="s">
        <v>259</v>
      </c>
      <c r="E984" s="296">
        <v>3.3860000000000001E-2</v>
      </c>
    </row>
    <row r="985" spans="1:5" x14ac:dyDescent="0.3">
      <c r="A985" s="295">
        <v>2020</v>
      </c>
      <c r="B985" s="295">
        <v>3</v>
      </c>
      <c r="C985" s="295" t="s">
        <v>101</v>
      </c>
      <c r="D985" s="295" t="s">
        <v>85</v>
      </c>
      <c r="E985" s="296">
        <v>0.21775</v>
      </c>
    </row>
    <row r="986" spans="1:5" x14ac:dyDescent="0.3">
      <c r="A986" s="295">
        <v>2020</v>
      </c>
      <c r="B986" s="295">
        <v>3</v>
      </c>
      <c r="C986" s="295" t="s">
        <v>101</v>
      </c>
      <c r="D986" s="295" t="s">
        <v>179</v>
      </c>
      <c r="E986" s="296">
        <v>35.75226</v>
      </c>
    </row>
    <row r="987" spans="1:5" x14ac:dyDescent="0.3">
      <c r="A987" s="295">
        <v>2020</v>
      </c>
      <c r="B987" s="295">
        <v>3</v>
      </c>
      <c r="C987" s="295" t="s">
        <v>179</v>
      </c>
      <c r="D987" s="295" t="s">
        <v>1</v>
      </c>
      <c r="E987" s="296">
        <v>1.07E-3</v>
      </c>
    </row>
    <row r="988" spans="1:5" x14ac:dyDescent="0.3">
      <c r="A988" s="295">
        <v>2020</v>
      </c>
      <c r="B988" s="295">
        <v>3</v>
      </c>
      <c r="C988" s="295" t="s">
        <v>179</v>
      </c>
      <c r="D988" s="295" t="s">
        <v>2</v>
      </c>
      <c r="E988" s="296">
        <v>1.17E-3</v>
      </c>
    </row>
    <row r="989" spans="1:5" x14ac:dyDescent="0.3">
      <c r="A989" s="295">
        <v>2020</v>
      </c>
      <c r="B989" s="295">
        <v>3</v>
      </c>
      <c r="C989" s="295" t="s">
        <v>179</v>
      </c>
      <c r="D989" s="295" t="s">
        <v>259</v>
      </c>
      <c r="E989" s="296">
        <v>9.5E-4</v>
      </c>
    </row>
    <row r="990" spans="1:5" x14ac:dyDescent="0.3">
      <c r="A990" s="295">
        <v>2020</v>
      </c>
      <c r="B990" s="295">
        <v>3</v>
      </c>
      <c r="C990" s="295" t="s">
        <v>179</v>
      </c>
      <c r="D990" s="295" t="s">
        <v>85</v>
      </c>
      <c r="E990" s="296">
        <v>6.0899999999999999E-3</v>
      </c>
    </row>
    <row r="991" spans="1:5" x14ac:dyDescent="0.3">
      <c r="A991" s="295">
        <v>2020</v>
      </c>
      <c r="B991" s="295">
        <v>3</v>
      </c>
      <c r="C991" s="295" t="s">
        <v>179</v>
      </c>
      <c r="D991" s="295" t="s">
        <v>101</v>
      </c>
      <c r="E991" s="296">
        <v>2.7969999999999998E-2</v>
      </c>
    </row>
    <row r="992" spans="1:5" x14ac:dyDescent="0.3">
      <c r="A992" s="295">
        <v>2020</v>
      </c>
      <c r="B992" s="295">
        <v>3</v>
      </c>
      <c r="C992" s="295" t="s">
        <v>259</v>
      </c>
      <c r="D992" s="295" t="s">
        <v>259</v>
      </c>
      <c r="E992" s="296">
        <v>1</v>
      </c>
    </row>
    <row r="993" spans="1:5" x14ac:dyDescent="0.3">
      <c r="A993" s="295">
        <v>2020</v>
      </c>
      <c r="B993" s="295">
        <v>3</v>
      </c>
      <c r="C993" s="295" t="s">
        <v>85</v>
      </c>
      <c r="D993" s="295" t="s">
        <v>85</v>
      </c>
      <c r="E993" s="296">
        <v>1</v>
      </c>
    </row>
    <row r="994" spans="1:5" x14ac:dyDescent="0.3">
      <c r="A994" s="295">
        <v>2020</v>
      </c>
      <c r="B994" s="295">
        <v>3</v>
      </c>
      <c r="C994" s="295" t="s">
        <v>101</v>
      </c>
      <c r="D994" s="295" t="s">
        <v>101</v>
      </c>
      <c r="E994" s="296">
        <v>1</v>
      </c>
    </row>
    <row r="995" spans="1:5" x14ac:dyDescent="0.3">
      <c r="A995" s="295">
        <v>2020</v>
      </c>
      <c r="B995" s="295">
        <v>3</v>
      </c>
      <c r="C995" s="295" t="s">
        <v>179</v>
      </c>
      <c r="D995" s="295" t="s">
        <v>179</v>
      </c>
      <c r="E995" s="296">
        <v>1</v>
      </c>
    </row>
    <row r="996" spans="1:5" x14ac:dyDescent="0.3">
      <c r="A996" s="295">
        <v>2020</v>
      </c>
      <c r="B996" s="295">
        <v>3</v>
      </c>
      <c r="C996" s="295" t="s">
        <v>2</v>
      </c>
      <c r="D996" s="295" t="s">
        <v>2</v>
      </c>
      <c r="E996" s="296">
        <v>1</v>
      </c>
    </row>
    <row r="997" spans="1:5" x14ac:dyDescent="0.3">
      <c r="A997" s="295">
        <v>2020</v>
      </c>
      <c r="B997" s="295">
        <v>3</v>
      </c>
      <c r="C997" s="295" t="s">
        <v>1</v>
      </c>
      <c r="D997" s="295" t="s">
        <v>1</v>
      </c>
      <c r="E997" s="296">
        <v>1</v>
      </c>
    </row>
    <row r="998" spans="1:5" x14ac:dyDescent="0.3">
      <c r="A998" s="295">
        <v>2020</v>
      </c>
      <c r="B998" s="295">
        <v>3</v>
      </c>
      <c r="C998" s="295" t="s">
        <v>259</v>
      </c>
      <c r="D998" s="295" t="s">
        <v>259</v>
      </c>
      <c r="E998" s="296">
        <v>1</v>
      </c>
    </row>
    <row r="999" spans="1:5" x14ac:dyDescent="0.3">
      <c r="A999" s="295">
        <v>2020</v>
      </c>
      <c r="B999" s="295">
        <v>3</v>
      </c>
      <c r="C999" s="295" t="s">
        <v>101</v>
      </c>
      <c r="D999" s="295" t="s">
        <v>101</v>
      </c>
      <c r="E999" s="296">
        <v>1</v>
      </c>
    </row>
    <row r="1000" spans="1:5" x14ac:dyDescent="0.3">
      <c r="A1000" s="295">
        <v>2020</v>
      </c>
      <c r="B1000" s="295">
        <v>3</v>
      </c>
      <c r="C1000" s="295" t="s">
        <v>179</v>
      </c>
      <c r="D1000" s="295" t="s">
        <v>179</v>
      </c>
      <c r="E1000" s="296">
        <v>1</v>
      </c>
    </row>
    <row r="1001" spans="1:5" x14ac:dyDescent="0.3">
      <c r="A1001" s="295">
        <v>2020</v>
      </c>
      <c r="B1001" s="295">
        <v>4</v>
      </c>
      <c r="C1001" s="295" t="s">
        <v>1</v>
      </c>
      <c r="D1001" s="295" t="s">
        <v>2</v>
      </c>
      <c r="E1001" s="296">
        <v>1.0875999999999999</v>
      </c>
    </row>
    <row r="1002" spans="1:5" x14ac:dyDescent="0.3">
      <c r="A1002" s="295">
        <v>2020</v>
      </c>
      <c r="B1002" s="295">
        <v>4</v>
      </c>
      <c r="C1002" s="295" t="s">
        <v>1</v>
      </c>
      <c r="D1002" s="295" t="s">
        <v>259</v>
      </c>
      <c r="E1002" s="296">
        <v>0.86904999999999999</v>
      </c>
    </row>
    <row r="1003" spans="1:5" x14ac:dyDescent="0.3">
      <c r="A1003" s="295">
        <v>2020</v>
      </c>
      <c r="B1003" s="295">
        <v>4</v>
      </c>
      <c r="C1003" s="295" t="s">
        <v>1</v>
      </c>
      <c r="D1003" s="295" t="s">
        <v>85</v>
      </c>
      <c r="E1003" s="296">
        <v>5.8564999999999996</v>
      </c>
    </row>
    <row r="1004" spans="1:5" x14ac:dyDescent="0.3">
      <c r="A1004" s="295">
        <v>2020</v>
      </c>
      <c r="B1004" s="295">
        <v>4</v>
      </c>
      <c r="C1004" s="295" t="s">
        <v>1</v>
      </c>
      <c r="D1004" s="295" t="s">
        <v>101</v>
      </c>
      <c r="E1004" s="296">
        <v>25.795300000000001</v>
      </c>
    </row>
    <row r="1005" spans="1:5" x14ac:dyDescent="0.3">
      <c r="A1005" s="295">
        <v>2020</v>
      </c>
      <c r="B1005" s="295">
        <v>4</v>
      </c>
      <c r="C1005" s="295" t="s">
        <v>1</v>
      </c>
      <c r="D1005" s="295" t="s">
        <v>179</v>
      </c>
      <c r="E1005" s="296">
        <v>906.40599999999995</v>
      </c>
    </row>
    <row r="1006" spans="1:5" x14ac:dyDescent="0.3">
      <c r="A1006" s="295">
        <v>2020</v>
      </c>
      <c r="B1006" s="295">
        <v>4</v>
      </c>
      <c r="C1006" s="295" t="s">
        <v>2</v>
      </c>
      <c r="D1006" s="295" t="s">
        <v>1</v>
      </c>
      <c r="E1006" s="296">
        <v>0.91946000000000006</v>
      </c>
    </row>
    <row r="1007" spans="1:5" x14ac:dyDescent="0.3">
      <c r="A1007" s="295">
        <v>2020</v>
      </c>
      <c r="B1007" s="295">
        <v>4</v>
      </c>
      <c r="C1007" s="295" t="s">
        <v>2</v>
      </c>
      <c r="D1007" s="295" t="s">
        <v>259</v>
      </c>
      <c r="E1007" s="296">
        <v>0.79905000000000004</v>
      </c>
    </row>
    <row r="1008" spans="1:5" x14ac:dyDescent="0.3">
      <c r="A1008" s="295">
        <v>2020</v>
      </c>
      <c r="B1008" s="295">
        <v>4</v>
      </c>
      <c r="C1008" s="295" t="s">
        <v>2</v>
      </c>
      <c r="D1008" s="295" t="s">
        <v>85</v>
      </c>
      <c r="E1008" s="296">
        <v>5.3847899999999997</v>
      </c>
    </row>
    <row r="1009" spans="1:5" x14ac:dyDescent="0.3">
      <c r="A1009" s="295">
        <v>2020</v>
      </c>
      <c r="B1009" s="295">
        <v>4</v>
      </c>
      <c r="C1009" s="295" t="s">
        <v>2</v>
      </c>
      <c r="D1009" s="295" t="s">
        <v>101</v>
      </c>
      <c r="E1009" s="296">
        <v>23.717639999999999</v>
      </c>
    </row>
    <row r="1010" spans="1:5" x14ac:dyDescent="0.3">
      <c r="A1010" s="295">
        <v>2020</v>
      </c>
      <c r="B1010" s="295">
        <v>4</v>
      </c>
      <c r="C1010" s="295" t="s">
        <v>2</v>
      </c>
      <c r="D1010" s="295" t="s">
        <v>179</v>
      </c>
      <c r="E1010" s="296">
        <v>833.40015000000005</v>
      </c>
    </row>
    <row r="1011" spans="1:5" x14ac:dyDescent="0.3">
      <c r="A1011" s="295">
        <v>2020</v>
      </c>
      <c r="B1011" s="295">
        <v>4</v>
      </c>
      <c r="C1011" s="295" t="s">
        <v>259</v>
      </c>
      <c r="D1011" s="295" t="s">
        <v>1</v>
      </c>
      <c r="E1011" s="296">
        <v>1.1506799999999999</v>
      </c>
    </row>
    <row r="1012" spans="1:5" x14ac:dyDescent="0.3">
      <c r="A1012" s="295">
        <v>2020</v>
      </c>
      <c r="B1012" s="295">
        <v>4</v>
      </c>
      <c r="C1012" s="295" t="s">
        <v>259</v>
      </c>
      <c r="D1012" s="295" t="s">
        <v>2</v>
      </c>
      <c r="E1012" s="296">
        <v>1.2514799999999999</v>
      </c>
    </row>
    <row r="1013" spans="1:5" x14ac:dyDescent="0.3">
      <c r="A1013" s="295">
        <v>2020</v>
      </c>
      <c r="B1013" s="295">
        <v>4</v>
      </c>
      <c r="C1013" s="295" t="s">
        <v>259</v>
      </c>
      <c r="D1013" s="295" t="s">
        <v>85</v>
      </c>
      <c r="E1013" s="296">
        <v>6.7389700000000001</v>
      </c>
    </row>
    <row r="1014" spans="1:5" x14ac:dyDescent="0.3">
      <c r="A1014" s="295">
        <v>2020</v>
      </c>
      <c r="B1014" s="295">
        <v>4</v>
      </c>
      <c r="C1014" s="295" t="s">
        <v>259</v>
      </c>
      <c r="D1014" s="295" t="s">
        <v>101</v>
      </c>
      <c r="E1014" s="296">
        <v>29.682179999999999</v>
      </c>
    </row>
    <row r="1015" spans="1:5" x14ac:dyDescent="0.3">
      <c r="A1015" s="295">
        <v>2020</v>
      </c>
      <c r="B1015" s="295">
        <v>4</v>
      </c>
      <c r="C1015" s="295" t="s">
        <v>259</v>
      </c>
      <c r="D1015" s="295" t="s">
        <v>179</v>
      </c>
      <c r="E1015" s="296">
        <v>1042.98487</v>
      </c>
    </row>
    <row r="1016" spans="1:5" x14ac:dyDescent="0.3">
      <c r="A1016" s="295">
        <v>2020</v>
      </c>
      <c r="B1016" s="295">
        <v>4</v>
      </c>
      <c r="C1016" s="295" t="s">
        <v>85</v>
      </c>
      <c r="D1016" s="295" t="s">
        <v>1</v>
      </c>
      <c r="E1016" s="296">
        <v>0.17075000000000001</v>
      </c>
    </row>
    <row r="1017" spans="1:5" x14ac:dyDescent="0.3">
      <c r="A1017" s="295">
        <v>2020</v>
      </c>
      <c r="B1017" s="295">
        <v>4</v>
      </c>
      <c r="C1017" s="295" t="s">
        <v>85</v>
      </c>
      <c r="D1017" s="295" t="s">
        <v>2</v>
      </c>
      <c r="E1017" s="296">
        <v>0.18570999999999999</v>
      </c>
    </row>
    <row r="1018" spans="1:5" x14ac:dyDescent="0.3">
      <c r="A1018" s="295">
        <v>2020</v>
      </c>
      <c r="B1018" s="295">
        <v>4</v>
      </c>
      <c r="C1018" s="295" t="s">
        <v>85</v>
      </c>
      <c r="D1018" s="295" t="s">
        <v>259</v>
      </c>
      <c r="E1018" s="296">
        <v>0.14838999999999999</v>
      </c>
    </row>
    <row r="1019" spans="1:5" x14ac:dyDescent="0.3">
      <c r="A1019" s="295">
        <v>2020</v>
      </c>
      <c r="B1019" s="295">
        <v>4</v>
      </c>
      <c r="C1019" s="295" t="s">
        <v>85</v>
      </c>
      <c r="D1019" s="295" t="s">
        <v>101</v>
      </c>
      <c r="E1019" s="296">
        <v>4.40456</v>
      </c>
    </row>
    <row r="1020" spans="1:5" x14ac:dyDescent="0.3">
      <c r="A1020" s="295">
        <v>2020</v>
      </c>
      <c r="B1020" s="295">
        <v>4</v>
      </c>
      <c r="C1020" s="295" t="s">
        <v>85</v>
      </c>
      <c r="D1020" s="295" t="s">
        <v>179</v>
      </c>
      <c r="E1020" s="296">
        <v>154.76922999999999</v>
      </c>
    </row>
    <row r="1021" spans="1:5" x14ac:dyDescent="0.3">
      <c r="A1021" s="295">
        <v>2020</v>
      </c>
      <c r="B1021" s="295">
        <v>4</v>
      </c>
      <c r="C1021" s="295" t="s">
        <v>101</v>
      </c>
      <c r="D1021" s="295" t="s">
        <v>1</v>
      </c>
      <c r="E1021" s="296">
        <v>3.8769999999999999E-2</v>
      </c>
    </row>
    <row r="1022" spans="1:5" x14ac:dyDescent="0.3">
      <c r="A1022" s="295">
        <v>2020</v>
      </c>
      <c r="B1022" s="295">
        <v>4</v>
      </c>
      <c r="C1022" s="295" t="s">
        <v>101</v>
      </c>
      <c r="D1022" s="295" t="s">
        <v>2</v>
      </c>
      <c r="E1022" s="296">
        <v>4.2160000000000003E-2</v>
      </c>
    </row>
    <row r="1023" spans="1:5" x14ac:dyDescent="0.3">
      <c r="A1023" s="295">
        <v>2020</v>
      </c>
      <c r="B1023" s="295">
        <v>4</v>
      </c>
      <c r="C1023" s="295" t="s">
        <v>101</v>
      </c>
      <c r="D1023" s="295" t="s">
        <v>259</v>
      </c>
      <c r="E1023" s="296">
        <v>3.3689999999999998E-2</v>
      </c>
    </row>
    <row r="1024" spans="1:5" x14ac:dyDescent="0.3">
      <c r="A1024" s="295">
        <v>2020</v>
      </c>
      <c r="B1024" s="295">
        <v>4</v>
      </c>
      <c r="C1024" s="295" t="s">
        <v>101</v>
      </c>
      <c r="D1024" s="295" t="s">
        <v>85</v>
      </c>
      <c r="E1024" s="296">
        <v>0.22703999999999999</v>
      </c>
    </row>
    <row r="1025" spans="1:5" x14ac:dyDescent="0.3">
      <c r="A1025" s="295">
        <v>2020</v>
      </c>
      <c r="B1025" s="295">
        <v>4</v>
      </c>
      <c r="C1025" s="295" t="s">
        <v>101</v>
      </c>
      <c r="D1025" s="295" t="s">
        <v>179</v>
      </c>
      <c r="E1025" s="296">
        <v>35.138420000000004</v>
      </c>
    </row>
    <row r="1026" spans="1:5" x14ac:dyDescent="0.3">
      <c r="A1026" s="295">
        <v>2020</v>
      </c>
      <c r="B1026" s="295">
        <v>4</v>
      </c>
      <c r="C1026" s="295" t="s">
        <v>179</v>
      </c>
      <c r="D1026" s="295" t="s">
        <v>1</v>
      </c>
      <c r="E1026" s="296">
        <v>1.1000000000000001E-3</v>
      </c>
    </row>
    <row r="1027" spans="1:5" x14ac:dyDescent="0.3">
      <c r="A1027" s="295">
        <v>2020</v>
      </c>
      <c r="B1027" s="295">
        <v>4</v>
      </c>
      <c r="C1027" s="295" t="s">
        <v>179</v>
      </c>
      <c r="D1027" s="295" t="s">
        <v>2</v>
      </c>
      <c r="E1027" s="296">
        <v>1.1999999999999999E-3</v>
      </c>
    </row>
    <row r="1028" spans="1:5" x14ac:dyDescent="0.3">
      <c r="A1028" s="295">
        <v>2020</v>
      </c>
      <c r="B1028" s="295">
        <v>4</v>
      </c>
      <c r="C1028" s="295" t="s">
        <v>179</v>
      </c>
      <c r="D1028" s="295" t="s">
        <v>259</v>
      </c>
      <c r="E1028" s="296">
        <v>9.6000000000000002E-4</v>
      </c>
    </row>
    <row r="1029" spans="1:5" x14ac:dyDescent="0.3">
      <c r="A1029" s="295">
        <v>2020</v>
      </c>
      <c r="B1029" s="295">
        <v>4</v>
      </c>
      <c r="C1029" s="295" t="s">
        <v>179</v>
      </c>
      <c r="D1029" s="295" t="s">
        <v>85</v>
      </c>
      <c r="E1029" s="296">
        <v>6.4599999999999996E-3</v>
      </c>
    </row>
    <row r="1030" spans="1:5" x14ac:dyDescent="0.3">
      <c r="A1030" s="295">
        <v>2020</v>
      </c>
      <c r="B1030" s="295">
        <v>4</v>
      </c>
      <c r="C1030" s="295" t="s">
        <v>179</v>
      </c>
      <c r="D1030" s="295" t="s">
        <v>101</v>
      </c>
      <c r="E1030" s="296">
        <v>2.8459999999999999E-2</v>
      </c>
    </row>
    <row r="1031" spans="1:5" x14ac:dyDescent="0.3">
      <c r="A1031" s="295">
        <v>2020</v>
      </c>
      <c r="B1031" s="295">
        <v>4</v>
      </c>
      <c r="C1031" s="295" t="s">
        <v>259</v>
      </c>
      <c r="D1031" s="295" t="s">
        <v>259</v>
      </c>
      <c r="E1031" s="296">
        <v>1</v>
      </c>
    </row>
    <row r="1032" spans="1:5" x14ac:dyDescent="0.3">
      <c r="A1032" s="295">
        <v>2020</v>
      </c>
      <c r="B1032" s="295">
        <v>4</v>
      </c>
      <c r="C1032" s="295" t="s">
        <v>101</v>
      </c>
      <c r="D1032" s="295" t="s">
        <v>101</v>
      </c>
      <c r="E1032" s="296">
        <v>1</v>
      </c>
    </row>
    <row r="1033" spans="1:5" x14ac:dyDescent="0.3">
      <c r="A1033" s="295">
        <v>2020</v>
      </c>
      <c r="B1033" s="295">
        <v>4</v>
      </c>
      <c r="C1033" s="295" t="s">
        <v>179</v>
      </c>
      <c r="D1033" s="295" t="s">
        <v>179</v>
      </c>
      <c r="E1033" s="296">
        <v>1</v>
      </c>
    </row>
    <row r="1034" spans="1:5" x14ac:dyDescent="0.3">
      <c r="A1034" s="295">
        <v>2020</v>
      </c>
      <c r="B1034" s="295">
        <v>4</v>
      </c>
      <c r="C1034" s="295" t="s">
        <v>2</v>
      </c>
      <c r="D1034" s="295" t="s">
        <v>2</v>
      </c>
      <c r="E1034" s="296">
        <v>1</v>
      </c>
    </row>
    <row r="1035" spans="1:5" x14ac:dyDescent="0.3">
      <c r="A1035" s="295">
        <v>2020</v>
      </c>
      <c r="B1035" s="295">
        <v>4</v>
      </c>
      <c r="C1035" s="295" t="s">
        <v>1</v>
      </c>
      <c r="D1035" s="295" t="s">
        <v>1</v>
      </c>
      <c r="E1035" s="296">
        <v>1</v>
      </c>
    </row>
    <row r="1036" spans="1:5" x14ac:dyDescent="0.3">
      <c r="A1036" s="295">
        <v>2020</v>
      </c>
      <c r="B1036" s="295">
        <v>4</v>
      </c>
      <c r="C1036" s="295" t="s">
        <v>259</v>
      </c>
      <c r="D1036" s="295" t="s">
        <v>259</v>
      </c>
      <c r="E1036" s="296">
        <v>1</v>
      </c>
    </row>
    <row r="1037" spans="1:5" x14ac:dyDescent="0.3">
      <c r="A1037" s="295">
        <v>2020</v>
      </c>
      <c r="B1037" s="295">
        <v>4</v>
      </c>
      <c r="C1037" s="295" t="s">
        <v>85</v>
      </c>
      <c r="D1037" s="295" t="s">
        <v>85</v>
      </c>
      <c r="E1037" s="296">
        <v>1</v>
      </c>
    </row>
    <row r="1038" spans="1:5" x14ac:dyDescent="0.3">
      <c r="A1038" s="295">
        <v>2020</v>
      </c>
      <c r="B1038" s="295">
        <v>4</v>
      </c>
      <c r="C1038" s="295" t="s">
        <v>101</v>
      </c>
      <c r="D1038" s="295" t="s">
        <v>101</v>
      </c>
      <c r="E1038" s="296">
        <v>1</v>
      </c>
    </row>
    <row r="1039" spans="1:5" x14ac:dyDescent="0.3">
      <c r="A1039" s="295">
        <v>2020</v>
      </c>
      <c r="B1039" s="295">
        <v>4</v>
      </c>
      <c r="C1039" s="295" t="s">
        <v>179</v>
      </c>
      <c r="D1039" s="295" t="s">
        <v>179</v>
      </c>
      <c r="E1039" s="296">
        <v>1</v>
      </c>
    </row>
    <row r="1040" spans="1:5" x14ac:dyDescent="0.3">
      <c r="A1040" s="295">
        <v>2020</v>
      </c>
      <c r="B1040" s="295">
        <v>5</v>
      </c>
      <c r="C1040" s="295" t="s">
        <v>1</v>
      </c>
      <c r="D1040" s="295" t="s">
        <v>2</v>
      </c>
      <c r="E1040" s="296">
        <v>1.1135999999999999</v>
      </c>
    </row>
    <row r="1041" spans="1:5" x14ac:dyDescent="0.3">
      <c r="A1041" s="295">
        <v>2020</v>
      </c>
      <c r="B1041" s="295">
        <v>5</v>
      </c>
      <c r="C1041" s="295" t="s">
        <v>1</v>
      </c>
      <c r="D1041" s="295" t="s">
        <v>259</v>
      </c>
      <c r="E1041" s="296">
        <v>0.90088000000000001</v>
      </c>
    </row>
    <row r="1042" spans="1:5" x14ac:dyDescent="0.3">
      <c r="A1042" s="295">
        <v>2020</v>
      </c>
      <c r="B1042" s="295">
        <v>5</v>
      </c>
      <c r="C1042" s="295" t="s">
        <v>1</v>
      </c>
      <c r="D1042" s="295" t="s">
        <v>85</v>
      </c>
      <c r="E1042" s="296">
        <v>5.9653999999999998</v>
      </c>
    </row>
    <row r="1043" spans="1:5" x14ac:dyDescent="0.3">
      <c r="A1043" s="295">
        <v>2020</v>
      </c>
      <c r="B1043" s="295">
        <v>5</v>
      </c>
      <c r="C1043" s="295" t="s">
        <v>1</v>
      </c>
      <c r="D1043" s="295" t="s">
        <v>101</v>
      </c>
      <c r="E1043" s="296">
        <v>24.57</v>
      </c>
    </row>
    <row r="1044" spans="1:5" x14ac:dyDescent="0.3">
      <c r="A1044" s="295">
        <v>2020</v>
      </c>
      <c r="B1044" s="295">
        <v>5</v>
      </c>
      <c r="C1044" s="295" t="s">
        <v>1</v>
      </c>
      <c r="D1044" s="295" t="s">
        <v>179</v>
      </c>
      <c r="E1044" s="296">
        <v>889.09799999999996</v>
      </c>
    </row>
    <row r="1045" spans="1:5" x14ac:dyDescent="0.3">
      <c r="A1045" s="295">
        <v>2020</v>
      </c>
      <c r="B1045" s="295">
        <v>5</v>
      </c>
      <c r="C1045" s="295" t="s">
        <v>2</v>
      </c>
      <c r="D1045" s="295" t="s">
        <v>1</v>
      </c>
      <c r="E1045" s="296">
        <v>0.89798999999999995</v>
      </c>
    </row>
    <row r="1046" spans="1:5" x14ac:dyDescent="0.3">
      <c r="A1046" s="295">
        <v>2020</v>
      </c>
      <c r="B1046" s="295">
        <v>5</v>
      </c>
      <c r="C1046" s="295" t="s">
        <v>2</v>
      </c>
      <c r="D1046" s="295" t="s">
        <v>259</v>
      </c>
      <c r="E1046" s="296">
        <v>0.80898000000000003</v>
      </c>
    </row>
    <row r="1047" spans="1:5" x14ac:dyDescent="0.3">
      <c r="A1047" s="295">
        <v>2020</v>
      </c>
      <c r="B1047" s="295">
        <v>5</v>
      </c>
      <c r="C1047" s="295" t="s">
        <v>2</v>
      </c>
      <c r="D1047" s="295" t="s">
        <v>85</v>
      </c>
      <c r="E1047" s="296">
        <v>5.3568600000000002</v>
      </c>
    </row>
    <row r="1048" spans="1:5" x14ac:dyDescent="0.3">
      <c r="A1048" s="295">
        <v>2020</v>
      </c>
      <c r="B1048" s="295">
        <v>5</v>
      </c>
      <c r="C1048" s="295" t="s">
        <v>2</v>
      </c>
      <c r="D1048" s="295" t="s">
        <v>101</v>
      </c>
      <c r="E1048" s="296">
        <v>22.063580000000002</v>
      </c>
    </row>
    <row r="1049" spans="1:5" x14ac:dyDescent="0.3">
      <c r="A1049" s="295">
        <v>2020</v>
      </c>
      <c r="B1049" s="295">
        <v>5</v>
      </c>
      <c r="C1049" s="295" t="s">
        <v>2</v>
      </c>
      <c r="D1049" s="295" t="s">
        <v>179</v>
      </c>
      <c r="E1049" s="296">
        <v>798.39977999999996</v>
      </c>
    </row>
    <row r="1050" spans="1:5" x14ac:dyDescent="0.3">
      <c r="A1050" s="295">
        <v>2020</v>
      </c>
      <c r="B1050" s="295">
        <v>5</v>
      </c>
      <c r="C1050" s="295" t="s">
        <v>259</v>
      </c>
      <c r="D1050" s="295" t="s">
        <v>1</v>
      </c>
      <c r="E1050" s="296">
        <v>1.1100300000000001</v>
      </c>
    </row>
    <row r="1051" spans="1:5" x14ac:dyDescent="0.3">
      <c r="A1051" s="295">
        <v>2020</v>
      </c>
      <c r="B1051" s="295">
        <v>5</v>
      </c>
      <c r="C1051" s="295" t="s">
        <v>259</v>
      </c>
      <c r="D1051" s="295" t="s">
        <v>2</v>
      </c>
      <c r="E1051" s="296">
        <v>1.2361200000000001</v>
      </c>
    </row>
    <row r="1052" spans="1:5" x14ac:dyDescent="0.3">
      <c r="A1052" s="295">
        <v>2020</v>
      </c>
      <c r="B1052" s="295">
        <v>5</v>
      </c>
      <c r="C1052" s="295" t="s">
        <v>259</v>
      </c>
      <c r="D1052" s="295" t="s">
        <v>85</v>
      </c>
      <c r="E1052" s="296">
        <v>6.6217499999999996</v>
      </c>
    </row>
    <row r="1053" spans="1:5" x14ac:dyDescent="0.3">
      <c r="A1053" s="295">
        <v>2020</v>
      </c>
      <c r="B1053" s="295">
        <v>5</v>
      </c>
      <c r="C1053" s="295" t="s">
        <v>259</v>
      </c>
      <c r="D1053" s="295" t="s">
        <v>101</v>
      </c>
      <c r="E1053" s="296">
        <v>27.273330000000001</v>
      </c>
    </row>
    <row r="1054" spans="1:5" x14ac:dyDescent="0.3">
      <c r="A1054" s="295">
        <v>2020</v>
      </c>
      <c r="B1054" s="295">
        <v>5</v>
      </c>
      <c r="C1054" s="295" t="s">
        <v>259</v>
      </c>
      <c r="D1054" s="295" t="s">
        <v>179</v>
      </c>
      <c r="E1054" s="296">
        <v>986.92168000000004</v>
      </c>
    </row>
    <row r="1055" spans="1:5" x14ac:dyDescent="0.3">
      <c r="A1055" s="295">
        <v>2020</v>
      </c>
      <c r="B1055" s="295">
        <v>5</v>
      </c>
      <c r="C1055" s="295" t="s">
        <v>85</v>
      </c>
      <c r="D1055" s="295" t="s">
        <v>1</v>
      </c>
      <c r="E1055" s="296">
        <v>0.16763</v>
      </c>
    </row>
    <row r="1056" spans="1:5" x14ac:dyDescent="0.3">
      <c r="A1056" s="295">
        <v>2020</v>
      </c>
      <c r="B1056" s="295">
        <v>5</v>
      </c>
      <c r="C1056" s="295" t="s">
        <v>85</v>
      </c>
      <c r="D1056" s="295" t="s">
        <v>2</v>
      </c>
      <c r="E1056" s="296">
        <v>0.18668000000000001</v>
      </c>
    </row>
    <row r="1057" spans="1:5" x14ac:dyDescent="0.3">
      <c r="A1057" s="295">
        <v>2020</v>
      </c>
      <c r="B1057" s="295">
        <v>5</v>
      </c>
      <c r="C1057" s="295" t="s">
        <v>85</v>
      </c>
      <c r="D1057" s="295" t="s">
        <v>259</v>
      </c>
      <c r="E1057" s="296">
        <v>0.15101999999999999</v>
      </c>
    </row>
    <row r="1058" spans="1:5" x14ac:dyDescent="0.3">
      <c r="A1058" s="295">
        <v>2020</v>
      </c>
      <c r="B1058" s="295">
        <v>5</v>
      </c>
      <c r="C1058" s="295" t="s">
        <v>85</v>
      </c>
      <c r="D1058" s="295" t="s">
        <v>101</v>
      </c>
      <c r="E1058" s="296">
        <v>4.1187500000000004</v>
      </c>
    </row>
    <row r="1059" spans="1:5" x14ac:dyDescent="0.3">
      <c r="A1059" s="295">
        <v>2020</v>
      </c>
      <c r="B1059" s="295">
        <v>5</v>
      </c>
      <c r="C1059" s="295" t="s">
        <v>85</v>
      </c>
      <c r="D1059" s="295" t="s">
        <v>179</v>
      </c>
      <c r="E1059" s="296">
        <v>149.04248000000001</v>
      </c>
    </row>
    <row r="1060" spans="1:5" x14ac:dyDescent="0.3">
      <c r="A1060" s="295">
        <v>2020</v>
      </c>
      <c r="B1060" s="295">
        <v>5</v>
      </c>
      <c r="C1060" s="295" t="s">
        <v>101</v>
      </c>
      <c r="D1060" s="295" t="s">
        <v>1</v>
      </c>
      <c r="E1060" s="296">
        <v>4.07E-2</v>
      </c>
    </row>
    <row r="1061" spans="1:5" x14ac:dyDescent="0.3">
      <c r="A1061" s="295">
        <v>2020</v>
      </c>
      <c r="B1061" s="295">
        <v>5</v>
      </c>
      <c r="C1061" s="295" t="s">
        <v>101</v>
      </c>
      <c r="D1061" s="295" t="s">
        <v>2</v>
      </c>
      <c r="E1061" s="296">
        <v>4.5319999999999999E-2</v>
      </c>
    </row>
    <row r="1062" spans="1:5" x14ac:dyDescent="0.3">
      <c r="A1062" s="295">
        <v>2020</v>
      </c>
      <c r="B1062" s="295">
        <v>5</v>
      </c>
      <c r="C1062" s="295" t="s">
        <v>101</v>
      </c>
      <c r="D1062" s="295" t="s">
        <v>259</v>
      </c>
      <c r="E1062" s="296">
        <v>3.6670000000000001E-2</v>
      </c>
    </row>
    <row r="1063" spans="1:5" x14ac:dyDescent="0.3">
      <c r="A1063" s="295">
        <v>2020</v>
      </c>
      <c r="B1063" s="295">
        <v>5</v>
      </c>
      <c r="C1063" s="295" t="s">
        <v>101</v>
      </c>
      <c r="D1063" s="295" t="s">
        <v>85</v>
      </c>
      <c r="E1063" s="296">
        <v>0.24279000000000001</v>
      </c>
    </row>
    <row r="1064" spans="1:5" x14ac:dyDescent="0.3">
      <c r="A1064" s="295">
        <v>2020</v>
      </c>
      <c r="B1064" s="295">
        <v>5</v>
      </c>
      <c r="C1064" s="295" t="s">
        <v>101</v>
      </c>
      <c r="D1064" s="295" t="s">
        <v>179</v>
      </c>
      <c r="E1064" s="296">
        <v>36.186320000000002</v>
      </c>
    </row>
    <row r="1065" spans="1:5" x14ac:dyDescent="0.3">
      <c r="A1065" s="295">
        <v>2020</v>
      </c>
      <c r="B1065" s="295">
        <v>5</v>
      </c>
      <c r="C1065" s="295" t="s">
        <v>179</v>
      </c>
      <c r="D1065" s="295" t="s">
        <v>1</v>
      </c>
      <c r="E1065" s="296">
        <v>1.1199999999999999E-3</v>
      </c>
    </row>
    <row r="1066" spans="1:5" x14ac:dyDescent="0.3">
      <c r="A1066" s="295">
        <v>2020</v>
      </c>
      <c r="B1066" s="295">
        <v>5</v>
      </c>
      <c r="C1066" s="295" t="s">
        <v>179</v>
      </c>
      <c r="D1066" s="295" t="s">
        <v>2</v>
      </c>
      <c r="E1066" s="296">
        <v>1.25E-3</v>
      </c>
    </row>
    <row r="1067" spans="1:5" x14ac:dyDescent="0.3">
      <c r="A1067" s="295">
        <v>2020</v>
      </c>
      <c r="B1067" s="295">
        <v>5</v>
      </c>
      <c r="C1067" s="295" t="s">
        <v>179</v>
      </c>
      <c r="D1067" s="295" t="s">
        <v>259</v>
      </c>
      <c r="E1067" s="296">
        <v>1.01E-3</v>
      </c>
    </row>
    <row r="1068" spans="1:5" x14ac:dyDescent="0.3">
      <c r="A1068" s="295">
        <v>2020</v>
      </c>
      <c r="B1068" s="295">
        <v>5</v>
      </c>
      <c r="C1068" s="295" t="s">
        <v>179</v>
      </c>
      <c r="D1068" s="295" t="s">
        <v>85</v>
      </c>
      <c r="E1068" s="296">
        <v>6.7099999999999998E-3</v>
      </c>
    </row>
    <row r="1069" spans="1:5" x14ac:dyDescent="0.3">
      <c r="A1069" s="295">
        <v>2020</v>
      </c>
      <c r="B1069" s="295">
        <v>5</v>
      </c>
      <c r="C1069" s="295" t="s">
        <v>179</v>
      </c>
      <c r="D1069" s="295" t="s">
        <v>101</v>
      </c>
      <c r="E1069" s="296">
        <v>2.7629999999999998E-2</v>
      </c>
    </row>
    <row r="1070" spans="1:5" x14ac:dyDescent="0.3">
      <c r="A1070" s="295">
        <v>2020</v>
      </c>
      <c r="B1070" s="295">
        <v>5</v>
      </c>
      <c r="C1070" s="295" t="s">
        <v>259</v>
      </c>
      <c r="D1070" s="295" t="s">
        <v>259</v>
      </c>
      <c r="E1070" s="296">
        <v>1</v>
      </c>
    </row>
    <row r="1071" spans="1:5" x14ac:dyDescent="0.3">
      <c r="A1071" s="295">
        <v>2020</v>
      </c>
      <c r="B1071" s="295">
        <v>5</v>
      </c>
      <c r="C1071" s="295" t="s">
        <v>101</v>
      </c>
      <c r="D1071" s="295" t="s">
        <v>101</v>
      </c>
      <c r="E1071" s="296">
        <v>1</v>
      </c>
    </row>
    <row r="1072" spans="1:5" x14ac:dyDescent="0.3">
      <c r="A1072" s="295">
        <v>2020</v>
      </c>
      <c r="B1072" s="295">
        <v>5</v>
      </c>
      <c r="C1072" s="295" t="s">
        <v>179</v>
      </c>
      <c r="D1072" s="295" t="s">
        <v>179</v>
      </c>
      <c r="E1072" s="296">
        <v>1</v>
      </c>
    </row>
    <row r="1073" spans="1:5" x14ac:dyDescent="0.3">
      <c r="A1073" s="295">
        <v>2020</v>
      </c>
      <c r="B1073" s="295">
        <v>5</v>
      </c>
      <c r="C1073" s="295" t="s">
        <v>2</v>
      </c>
      <c r="D1073" s="295" t="s">
        <v>2</v>
      </c>
      <c r="E1073" s="296">
        <v>1</v>
      </c>
    </row>
    <row r="1074" spans="1:5" x14ac:dyDescent="0.3">
      <c r="A1074" s="295">
        <v>2020</v>
      </c>
      <c r="B1074" s="295">
        <v>5</v>
      </c>
      <c r="C1074" s="295" t="s">
        <v>1</v>
      </c>
      <c r="D1074" s="295" t="s">
        <v>1</v>
      </c>
      <c r="E1074" s="296">
        <v>1</v>
      </c>
    </row>
    <row r="1075" spans="1:5" x14ac:dyDescent="0.3">
      <c r="A1075" s="295">
        <v>2020</v>
      </c>
      <c r="B1075" s="295">
        <v>5</v>
      </c>
      <c r="C1075" s="295" t="s">
        <v>259</v>
      </c>
      <c r="D1075" s="295" t="s">
        <v>259</v>
      </c>
      <c r="E1075" s="296">
        <v>1</v>
      </c>
    </row>
    <row r="1076" spans="1:5" x14ac:dyDescent="0.3">
      <c r="A1076" s="295">
        <v>2020</v>
      </c>
      <c r="B1076" s="295">
        <v>5</v>
      </c>
      <c r="C1076" s="295" t="s">
        <v>85</v>
      </c>
      <c r="D1076" s="295" t="s">
        <v>85</v>
      </c>
      <c r="E1076" s="296">
        <v>1</v>
      </c>
    </row>
    <row r="1077" spans="1:5" x14ac:dyDescent="0.3">
      <c r="A1077" s="295">
        <v>2020</v>
      </c>
      <c r="B1077" s="295">
        <v>5</v>
      </c>
      <c r="C1077" s="295" t="s">
        <v>101</v>
      </c>
      <c r="D1077" s="295" t="s">
        <v>101</v>
      </c>
      <c r="E1077" s="296">
        <v>1</v>
      </c>
    </row>
    <row r="1078" spans="1:5" x14ac:dyDescent="0.3">
      <c r="A1078" s="295">
        <v>2020</v>
      </c>
      <c r="B1078" s="295">
        <v>5</v>
      </c>
      <c r="C1078" s="295" t="s">
        <v>179</v>
      </c>
      <c r="D1078" s="295" t="s">
        <v>179</v>
      </c>
      <c r="E1078" s="296">
        <v>1</v>
      </c>
    </row>
    <row r="1079" spans="1:5" x14ac:dyDescent="0.3">
      <c r="A1079" s="295">
        <v>2020</v>
      </c>
      <c r="B1079" s="295">
        <v>6</v>
      </c>
      <c r="C1079" s="295" t="s">
        <v>1</v>
      </c>
      <c r="D1079" s="295" t="s">
        <v>2</v>
      </c>
      <c r="E1079" s="296">
        <v>1.1197999999999999</v>
      </c>
    </row>
    <row r="1080" spans="1:5" x14ac:dyDescent="0.3">
      <c r="A1080" s="295">
        <v>2020</v>
      </c>
      <c r="B1080" s="295">
        <v>6</v>
      </c>
      <c r="C1080" s="295" t="s">
        <v>1</v>
      </c>
      <c r="D1080" s="295" t="s">
        <v>259</v>
      </c>
      <c r="E1080" s="296">
        <v>0.91242999999999996</v>
      </c>
    </row>
    <row r="1081" spans="1:5" x14ac:dyDescent="0.3">
      <c r="A1081" s="295">
        <v>2020</v>
      </c>
      <c r="B1081" s="295">
        <v>6</v>
      </c>
      <c r="C1081" s="295" t="s">
        <v>1</v>
      </c>
      <c r="D1081" s="295" t="s">
        <v>85</v>
      </c>
      <c r="E1081" s="296">
        <v>6.1117999999999997</v>
      </c>
    </row>
    <row r="1082" spans="1:5" x14ac:dyDescent="0.3">
      <c r="A1082" s="295">
        <v>2020</v>
      </c>
      <c r="B1082" s="295">
        <v>6</v>
      </c>
      <c r="C1082" s="295" t="s">
        <v>1</v>
      </c>
      <c r="D1082" s="295" t="s">
        <v>101</v>
      </c>
      <c r="E1082" s="296">
        <v>25.946999999999999</v>
      </c>
    </row>
    <row r="1083" spans="1:5" x14ac:dyDescent="0.3">
      <c r="A1083" s="295">
        <v>2020</v>
      </c>
      <c r="B1083" s="295">
        <v>6</v>
      </c>
      <c r="C1083" s="295" t="s">
        <v>1</v>
      </c>
      <c r="D1083" s="295" t="s">
        <v>179</v>
      </c>
      <c r="E1083" s="296">
        <v>921.48299999999995</v>
      </c>
    </row>
    <row r="1084" spans="1:5" x14ac:dyDescent="0.3">
      <c r="A1084" s="295">
        <v>2020</v>
      </c>
      <c r="B1084" s="295">
        <v>6</v>
      </c>
      <c r="C1084" s="295" t="s">
        <v>2</v>
      </c>
      <c r="D1084" s="295" t="s">
        <v>1</v>
      </c>
      <c r="E1084" s="296">
        <v>0.89302000000000004</v>
      </c>
    </row>
    <row r="1085" spans="1:5" x14ac:dyDescent="0.3">
      <c r="A1085" s="295">
        <v>2020</v>
      </c>
      <c r="B1085" s="295">
        <v>6</v>
      </c>
      <c r="C1085" s="295" t="s">
        <v>2</v>
      </c>
      <c r="D1085" s="295" t="s">
        <v>259</v>
      </c>
      <c r="E1085" s="296">
        <v>0.81481999999999999</v>
      </c>
    </row>
    <row r="1086" spans="1:5" x14ac:dyDescent="0.3">
      <c r="A1086" s="295">
        <v>2020</v>
      </c>
      <c r="B1086" s="295">
        <v>6</v>
      </c>
      <c r="C1086" s="295" t="s">
        <v>2</v>
      </c>
      <c r="D1086" s="295" t="s">
        <v>85</v>
      </c>
      <c r="E1086" s="296">
        <v>5.4579399999999998</v>
      </c>
    </row>
    <row r="1087" spans="1:5" x14ac:dyDescent="0.3">
      <c r="A1087" s="295">
        <v>2020</v>
      </c>
      <c r="B1087" s="295">
        <v>6</v>
      </c>
      <c r="C1087" s="295" t="s">
        <v>2</v>
      </c>
      <c r="D1087" s="295" t="s">
        <v>101</v>
      </c>
      <c r="E1087" s="296">
        <v>23.171099999999999</v>
      </c>
    </row>
    <row r="1088" spans="1:5" x14ac:dyDescent="0.3">
      <c r="A1088" s="295">
        <v>2020</v>
      </c>
      <c r="B1088" s="295">
        <v>6</v>
      </c>
      <c r="C1088" s="295" t="s">
        <v>2</v>
      </c>
      <c r="D1088" s="295" t="s">
        <v>179</v>
      </c>
      <c r="E1088" s="296">
        <v>822.89962000000003</v>
      </c>
    </row>
    <row r="1089" spans="1:5" x14ac:dyDescent="0.3">
      <c r="A1089" s="295">
        <v>2020</v>
      </c>
      <c r="B1089" s="295">
        <v>6</v>
      </c>
      <c r="C1089" s="295" t="s">
        <v>259</v>
      </c>
      <c r="D1089" s="295" t="s">
        <v>1</v>
      </c>
      <c r="E1089" s="296">
        <v>1.0959700000000001</v>
      </c>
    </row>
    <row r="1090" spans="1:5" x14ac:dyDescent="0.3">
      <c r="A1090" s="295">
        <v>2020</v>
      </c>
      <c r="B1090" s="295">
        <v>6</v>
      </c>
      <c r="C1090" s="295" t="s">
        <v>259</v>
      </c>
      <c r="D1090" s="295" t="s">
        <v>2</v>
      </c>
      <c r="E1090" s="296">
        <v>1.2272700000000001</v>
      </c>
    </row>
    <row r="1091" spans="1:5" x14ac:dyDescent="0.3">
      <c r="A1091" s="295">
        <v>2020</v>
      </c>
      <c r="B1091" s="295">
        <v>6</v>
      </c>
      <c r="C1091" s="295" t="s">
        <v>259</v>
      </c>
      <c r="D1091" s="295" t="s">
        <v>85</v>
      </c>
      <c r="E1091" s="296">
        <v>6.6983800000000002</v>
      </c>
    </row>
    <row r="1092" spans="1:5" x14ac:dyDescent="0.3">
      <c r="A1092" s="295">
        <v>2020</v>
      </c>
      <c r="B1092" s="295">
        <v>6</v>
      </c>
      <c r="C1092" s="295" t="s">
        <v>259</v>
      </c>
      <c r="D1092" s="295" t="s">
        <v>101</v>
      </c>
      <c r="E1092" s="296">
        <v>28.437249999999999</v>
      </c>
    </row>
    <row r="1093" spans="1:5" x14ac:dyDescent="0.3">
      <c r="A1093" s="295">
        <v>2020</v>
      </c>
      <c r="B1093" s="295">
        <v>6</v>
      </c>
      <c r="C1093" s="295" t="s">
        <v>259</v>
      </c>
      <c r="D1093" s="295" t="s">
        <v>179</v>
      </c>
      <c r="E1093" s="296">
        <v>1009.92186</v>
      </c>
    </row>
    <row r="1094" spans="1:5" x14ac:dyDescent="0.3">
      <c r="A1094" s="295">
        <v>2020</v>
      </c>
      <c r="B1094" s="295">
        <v>6</v>
      </c>
      <c r="C1094" s="295" t="s">
        <v>85</v>
      </c>
      <c r="D1094" s="295" t="s">
        <v>1</v>
      </c>
      <c r="E1094" s="296">
        <v>0.16361999999999999</v>
      </c>
    </row>
    <row r="1095" spans="1:5" x14ac:dyDescent="0.3">
      <c r="A1095" s="295">
        <v>2020</v>
      </c>
      <c r="B1095" s="295">
        <v>6</v>
      </c>
      <c r="C1095" s="295" t="s">
        <v>85</v>
      </c>
      <c r="D1095" s="295" t="s">
        <v>2</v>
      </c>
      <c r="E1095" s="296">
        <v>0.18321999999999999</v>
      </c>
    </row>
    <row r="1096" spans="1:5" x14ac:dyDescent="0.3">
      <c r="A1096" s="295">
        <v>2020</v>
      </c>
      <c r="B1096" s="295">
        <v>6</v>
      </c>
      <c r="C1096" s="295" t="s">
        <v>85</v>
      </c>
      <c r="D1096" s="295" t="s">
        <v>259</v>
      </c>
      <c r="E1096" s="296">
        <v>0.14929000000000001</v>
      </c>
    </row>
    <row r="1097" spans="1:5" x14ac:dyDescent="0.3">
      <c r="A1097" s="295">
        <v>2020</v>
      </c>
      <c r="B1097" s="295">
        <v>6</v>
      </c>
      <c r="C1097" s="295" t="s">
        <v>85</v>
      </c>
      <c r="D1097" s="295" t="s">
        <v>101</v>
      </c>
      <c r="E1097" s="296">
        <v>4.2453900000000004</v>
      </c>
    </row>
    <row r="1098" spans="1:5" x14ac:dyDescent="0.3">
      <c r="A1098" s="295">
        <v>2020</v>
      </c>
      <c r="B1098" s="295">
        <v>6</v>
      </c>
      <c r="C1098" s="295" t="s">
        <v>85</v>
      </c>
      <c r="D1098" s="295" t="s">
        <v>179</v>
      </c>
      <c r="E1098" s="296">
        <v>150.77113</v>
      </c>
    </row>
    <row r="1099" spans="1:5" x14ac:dyDescent="0.3">
      <c r="A1099" s="295">
        <v>2020</v>
      </c>
      <c r="B1099" s="295">
        <v>6</v>
      </c>
      <c r="C1099" s="295" t="s">
        <v>101</v>
      </c>
      <c r="D1099" s="295" t="s">
        <v>1</v>
      </c>
      <c r="E1099" s="296">
        <v>3.8539999999999998E-2</v>
      </c>
    </row>
    <row r="1100" spans="1:5" x14ac:dyDescent="0.3">
      <c r="A1100" s="295">
        <v>2020</v>
      </c>
      <c r="B1100" s="295">
        <v>6</v>
      </c>
      <c r="C1100" s="295" t="s">
        <v>101</v>
      </c>
      <c r="D1100" s="295" t="s">
        <v>2</v>
      </c>
      <c r="E1100" s="296">
        <v>4.3159999999999997E-2</v>
      </c>
    </row>
    <row r="1101" spans="1:5" x14ac:dyDescent="0.3">
      <c r="A1101" s="295">
        <v>2020</v>
      </c>
      <c r="B1101" s="295">
        <v>6</v>
      </c>
      <c r="C1101" s="295" t="s">
        <v>101</v>
      </c>
      <c r="D1101" s="295" t="s">
        <v>259</v>
      </c>
      <c r="E1101" s="296">
        <v>3.517E-2</v>
      </c>
    </row>
    <row r="1102" spans="1:5" x14ac:dyDescent="0.3">
      <c r="A1102" s="295">
        <v>2020</v>
      </c>
      <c r="B1102" s="295">
        <v>6</v>
      </c>
      <c r="C1102" s="295" t="s">
        <v>101</v>
      </c>
      <c r="D1102" s="295" t="s">
        <v>85</v>
      </c>
      <c r="E1102" s="296">
        <v>0.23555000000000001</v>
      </c>
    </row>
    <row r="1103" spans="1:5" x14ac:dyDescent="0.3">
      <c r="A1103" s="295">
        <v>2020</v>
      </c>
      <c r="B1103" s="295">
        <v>6</v>
      </c>
      <c r="C1103" s="295" t="s">
        <v>101</v>
      </c>
      <c r="D1103" s="295" t="s">
        <v>179</v>
      </c>
      <c r="E1103" s="296">
        <v>35.514049999999997</v>
      </c>
    </row>
    <row r="1104" spans="1:5" x14ac:dyDescent="0.3">
      <c r="A1104" s="295">
        <v>2020</v>
      </c>
      <c r="B1104" s="295">
        <v>6</v>
      </c>
      <c r="C1104" s="295" t="s">
        <v>179</v>
      </c>
      <c r="D1104" s="295" t="s">
        <v>1</v>
      </c>
      <c r="E1104" s="296">
        <v>1.09E-3</v>
      </c>
    </row>
    <row r="1105" spans="1:5" x14ac:dyDescent="0.3">
      <c r="A1105" s="295">
        <v>2020</v>
      </c>
      <c r="B1105" s="295">
        <v>6</v>
      </c>
      <c r="C1105" s="295" t="s">
        <v>179</v>
      </c>
      <c r="D1105" s="295" t="s">
        <v>2</v>
      </c>
      <c r="E1105" s="296">
        <v>1.2199999999999999E-3</v>
      </c>
    </row>
    <row r="1106" spans="1:5" x14ac:dyDescent="0.3">
      <c r="A1106" s="295">
        <v>2020</v>
      </c>
      <c r="B1106" s="295">
        <v>6</v>
      </c>
      <c r="C1106" s="295" t="s">
        <v>179</v>
      </c>
      <c r="D1106" s="295" t="s">
        <v>259</v>
      </c>
      <c r="E1106" s="296">
        <v>9.8999999999999999E-4</v>
      </c>
    </row>
    <row r="1107" spans="1:5" x14ac:dyDescent="0.3">
      <c r="A1107" s="295">
        <v>2020</v>
      </c>
      <c r="B1107" s="295">
        <v>6</v>
      </c>
      <c r="C1107" s="295" t="s">
        <v>179</v>
      </c>
      <c r="D1107" s="295" t="s">
        <v>85</v>
      </c>
      <c r="E1107" s="296">
        <v>6.6299999999999996E-3</v>
      </c>
    </row>
    <row r="1108" spans="1:5" x14ac:dyDescent="0.3">
      <c r="A1108" s="295">
        <v>2020</v>
      </c>
      <c r="B1108" s="295">
        <v>6</v>
      </c>
      <c r="C1108" s="295" t="s">
        <v>179</v>
      </c>
      <c r="D1108" s="295" t="s">
        <v>101</v>
      </c>
      <c r="E1108" s="296">
        <v>2.8160000000000001E-2</v>
      </c>
    </row>
    <row r="1109" spans="1:5" x14ac:dyDescent="0.3">
      <c r="A1109" s="295">
        <v>2020</v>
      </c>
      <c r="B1109" s="295">
        <v>6</v>
      </c>
      <c r="C1109" s="295" t="s">
        <v>259</v>
      </c>
      <c r="D1109" s="295" t="s">
        <v>259</v>
      </c>
      <c r="E1109" s="296">
        <v>1</v>
      </c>
    </row>
    <row r="1110" spans="1:5" x14ac:dyDescent="0.3">
      <c r="A1110" s="295">
        <v>2020</v>
      </c>
      <c r="B1110" s="295">
        <v>6</v>
      </c>
      <c r="C1110" s="295" t="s">
        <v>101</v>
      </c>
      <c r="D1110" s="295" t="s">
        <v>101</v>
      </c>
      <c r="E1110" s="296">
        <v>1</v>
      </c>
    </row>
    <row r="1111" spans="1:5" x14ac:dyDescent="0.3">
      <c r="A1111" s="295">
        <v>2020</v>
      </c>
      <c r="B1111" s="295">
        <v>6</v>
      </c>
      <c r="C1111" s="295" t="s">
        <v>179</v>
      </c>
      <c r="D1111" s="295" t="s">
        <v>179</v>
      </c>
      <c r="E1111" s="296">
        <v>1</v>
      </c>
    </row>
    <row r="1112" spans="1:5" x14ac:dyDescent="0.3">
      <c r="A1112" s="295">
        <v>2020</v>
      </c>
      <c r="B1112" s="295">
        <v>6</v>
      </c>
      <c r="C1112" s="295" t="s">
        <v>2</v>
      </c>
      <c r="D1112" s="295" t="s">
        <v>2</v>
      </c>
      <c r="E1112" s="296">
        <v>1</v>
      </c>
    </row>
    <row r="1113" spans="1:5" x14ac:dyDescent="0.3">
      <c r="A1113" s="295">
        <v>2020</v>
      </c>
      <c r="B1113" s="295">
        <v>6</v>
      </c>
      <c r="C1113" s="295" t="s">
        <v>1</v>
      </c>
      <c r="D1113" s="295" t="s">
        <v>1</v>
      </c>
      <c r="E1113" s="296">
        <v>1</v>
      </c>
    </row>
    <row r="1114" spans="1:5" x14ac:dyDescent="0.3">
      <c r="A1114" s="295">
        <v>2020</v>
      </c>
      <c r="B1114" s="295">
        <v>6</v>
      </c>
      <c r="C1114" s="295" t="s">
        <v>259</v>
      </c>
      <c r="D1114" s="295" t="s">
        <v>259</v>
      </c>
      <c r="E1114" s="296">
        <v>1</v>
      </c>
    </row>
    <row r="1115" spans="1:5" x14ac:dyDescent="0.3">
      <c r="A1115" s="295">
        <v>2020</v>
      </c>
      <c r="B1115" s="295">
        <v>6</v>
      </c>
      <c r="C1115" s="295" t="s">
        <v>85</v>
      </c>
      <c r="D1115" s="295" t="s">
        <v>85</v>
      </c>
      <c r="E1115" s="296">
        <v>1</v>
      </c>
    </row>
    <row r="1116" spans="1:5" x14ac:dyDescent="0.3">
      <c r="A1116" s="295">
        <v>2020</v>
      </c>
      <c r="B1116" s="295">
        <v>6</v>
      </c>
      <c r="C1116" s="295" t="s">
        <v>101</v>
      </c>
      <c r="D1116" s="295" t="s">
        <v>101</v>
      </c>
      <c r="E1116" s="296">
        <v>1</v>
      </c>
    </row>
    <row r="1117" spans="1:5" x14ac:dyDescent="0.3">
      <c r="A1117" s="295">
        <v>2020</v>
      </c>
      <c r="B1117" s="295">
        <v>6</v>
      </c>
      <c r="C1117" s="295" t="s">
        <v>179</v>
      </c>
      <c r="D1117" s="295" t="s">
        <v>179</v>
      </c>
      <c r="E1117" s="296">
        <v>1</v>
      </c>
    </row>
    <row r="1118" spans="1:5" x14ac:dyDescent="0.3">
      <c r="A1118" s="295">
        <v>2020</v>
      </c>
      <c r="B1118" s="295">
        <v>7</v>
      </c>
      <c r="C1118" s="295" t="s">
        <v>1</v>
      </c>
      <c r="D1118" s="295" t="s">
        <v>2</v>
      </c>
      <c r="E1118" s="296">
        <v>1.1848000000000001</v>
      </c>
    </row>
    <row r="1119" spans="1:5" x14ac:dyDescent="0.3">
      <c r="A1119" s="295">
        <v>2020</v>
      </c>
      <c r="B1119" s="295">
        <v>7</v>
      </c>
      <c r="C1119" s="295" t="s">
        <v>1</v>
      </c>
      <c r="D1119" s="295" t="s">
        <v>259</v>
      </c>
      <c r="E1119" s="296">
        <v>0.90053000000000005</v>
      </c>
    </row>
    <row r="1120" spans="1:5" x14ac:dyDescent="0.3">
      <c r="A1120" s="295">
        <v>2020</v>
      </c>
      <c r="B1120" s="295">
        <v>7</v>
      </c>
      <c r="C1120" s="295" t="s">
        <v>1</v>
      </c>
      <c r="D1120" s="295" t="s">
        <v>85</v>
      </c>
      <c r="E1120" s="296">
        <v>6.1219000000000001</v>
      </c>
    </row>
    <row r="1121" spans="1:5" x14ac:dyDescent="0.3">
      <c r="A1121" s="295">
        <v>2020</v>
      </c>
      <c r="B1121" s="295">
        <v>7</v>
      </c>
      <c r="C1121" s="295" t="s">
        <v>1</v>
      </c>
      <c r="D1121" s="295" t="s">
        <v>101</v>
      </c>
      <c r="E1121" s="296">
        <v>26.277999999999999</v>
      </c>
    </row>
    <row r="1122" spans="1:5" x14ac:dyDescent="0.3">
      <c r="A1122" s="295">
        <v>2020</v>
      </c>
      <c r="B1122" s="295">
        <v>7</v>
      </c>
      <c r="C1122" s="295" t="s">
        <v>1</v>
      </c>
      <c r="D1122" s="295" t="s">
        <v>179</v>
      </c>
      <c r="E1122" s="296">
        <v>896.21799999999996</v>
      </c>
    </row>
    <row r="1123" spans="1:5" x14ac:dyDescent="0.3">
      <c r="A1123" s="295">
        <v>2020</v>
      </c>
      <c r="B1123" s="295">
        <v>7</v>
      </c>
      <c r="C1123" s="295" t="s">
        <v>2</v>
      </c>
      <c r="D1123" s="295" t="s">
        <v>1</v>
      </c>
      <c r="E1123" s="296">
        <v>0.84401999999999999</v>
      </c>
    </row>
    <row r="1124" spans="1:5" x14ac:dyDescent="0.3">
      <c r="A1124" s="295">
        <v>2020</v>
      </c>
      <c r="B1124" s="295">
        <v>7</v>
      </c>
      <c r="C1124" s="295" t="s">
        <v>2</v>
      </c>
      <c r="D1124" s="295" t="s">
        <v>259</v>
      </c>
      <c r="E1124" s="296">
        <v>0.76007000000000002</v>
      </c>
    </row>
    <row r="1125" spans="1:5" x14ac:dyDescent="0.3">
      <c r="A1125" s="295">
        <v>2020</v>
      </c>
      <c r="B1125" s="295">
        <v>7</v>
      </c>
      <c r="C1125" s="295" t="s">
        <v>2</v>
      </c>
      <c r="D1125" s="295" t="s">
        <v>85</v>
      </c>
      <c r="E1125" s="296">
        <v>5.1670299999999996</v>
      </c>
    </row>
    <row r="1126" spans="1:5" x14ac:dyDescent="0.3">
      <c r="A1126" s="295">
        <v>2020</v>
      </c>
      <c r="B1126" s="295">
        <v>7</v>
      </c>
      <c r="C1126" s="295" t="s">
        <v>2</v>
      </c>
      <c r="D1126" s="295" t="s">
        <v>101</v>
      </c>
      <c r="E1126" s="296">
        <v>22.179269999999999</v>
      </c>
    </row>
    <row r="1127" spans="1:5" x14ac:dyDescent="0.3">
      <c r="A1127" s="295">
        <v>2020</v>
      </c>
      <c r="B1127" s="295">
        <v>7</v>
      </c>
      <c r="C1127" s="295" t="s">
        <v>2</v>
      </c>
      <c r="D1127" s="295" t="s">
        <v>179</v>
      </c>
      <c r="E1127" s="296">
        <v>756.42978000000005</v>
      </c>
    </row>
    <row r="1128" spans="1:5" x14ac:dyDescent="0.3">
      <c r="A1128" s="295">
        <v>2020</v>
      </c>
      <c r="B1128" s="295">
        <v>7</v>
      </c>
      <c r="C1128" s="295" t="s">
        <v>259</v>
      </c>
      <c r="D1128" s="295" t="s">
        <v>1</v>
      </c>
      <c r="E1128" s="296">
        <v>1.11046</v>
      </c>
    </row>
    <row r="1129" spans="1:5" x14ac:dyDescent="0.3">
      <c r="A1129" s="295">
        <v>2020</v>
      </c>
      <c r="B1129" s="295">
        <v>7</v>
      </c>
      <c r="C1129" s="295" t="s">
        <v>259</v>
      </c>
      <c r="D1129" s="295" t="s">
        <v>2</v>
      </c>
      <c r="E1129" s="296">
        <v>1.3156699999999999</v>
      </c>
    </row>
    <row r="1130" spans="1:5" x14ac:dyDescent="0.3">
      <c r="A1130" s="295">
        <v>2020</v>
      </c>
      <c r="B1130" s="295">
        <v>7</v>
      </c>
      <c r="C1130" s="295" t="s">
        <v>259</v>
      </c>
      <c r="D1130" s="295" t="s">
        <v>85</v>
      </c>
      <c r="E1130" s="296">
        <v>6.7981100000000003</v>
      </c>
    </row>
    <row r="1131" spans="1:5" x14ac:dyDescent="0.3">
      <c r="A1131" s="295">
        <v>2020</v>
      </c>
      <c r="B1131" s="295">
        <v>7</v>
      </c>
      <c r="C1131" s="295" t="s">
        <v>259</v>
      </c>
      <c r="D1131" s="295" t="s">
        <v>101</v>
      </c>
      <c r="E1131" s="296">
        <v>29.180589999999999</v>
      </c>
    </row>
    <row r="1132" spans="1:5" x14ac:dyDescent="0.3">
      <c r="A1132" s="295">
        <v>2020</v>
      </c>
      <c r="B1132" s="295">
        <v>7</v>
      </c>
      <c r="C1132" s="295" t="s">
        <v>259</v>
      </c>
      <c r="D1132" s="295" t="s">
        <v>179</v>
      </c>
      <c r="E1132" s="296">
        <v>995.21171000000004</v>
      </c>
    </row>
    <row r="1133" spans="1:5" x14ac:dyDescent="0.3">
      <c r="A1133" s="295">
        <v>2020</v>
      </c>
      <c r="B1133" s="295">
        <v>7</v>
      </c>
      <c r="C1133" s="295" t="s">
        <v>85</v>
      </c>
      <c r="D1133" s="295" t="s">
        <v>1</v>
      </c>
      <c r="E1133" s="296">
        <v>0.16335</v>
      </c>
    </row>
    <row r="1134" spans="1:5" x14ac:dyDescent="0.3">
      <c r="A1134" s="295">
        <v>2020</v>
      </c>
      <c r="B1134" s="295">
        <v>7</v>
      </c>
      <c r="C1134" s="295" t="s">
        <v>85</v>
      </c>
      <c r="D1134" s="295" t="s">
        <v>2</v>
      </c>
      <c r="E1134" s="296">
        <v>0.19353000000000001</v>
      </c>
    </row>
    <row r="1135" spans="1:5" x14ac:dyDescent="0.3">
      <c r="A1135" s="295">
        <v>2020</v>
      </c>
      <c r="B1135" s="295">
        <v>7</v>
      </c>
      <c r="C1135" s="295" t="s">
        <v>85</v>
      </c>
      <c r="D1135" s="295" t="s">
        <v>259</v>
      </c>
      <c r="E1135" s="296">
        <v>0.14710000000000001</v>
      </c>
    </row>
    <row r="1136" spans="1:5" x14ac:dyDescent="0.3">
      <c r="A1136" s="295">
        <v>2020</v>
      </c>
      <c r="B1136" s="295">
        <v>7</v>
      </c>
      <c r="C1136" s="295" t="s">
        <v>85</v>
      </c>
      <c r="D1136" s="295" t="s">
        <v>101</v>
      </c>
      <c r="E1136" s="296">
        <v>4.2924600000000002</v>
      </c>
    </row>
    <row r="1137" spans="1:5" x14ac:dyDescent="0.3">
      <c r="A1137" s="295">
        <v>2020</v>
      </c>
      <c r="B1137" s="295">
        <v>7</v>
      </c>
      <c r="C1137" s="295" t="s">
        <v>85</v>
      </c>
      <c r="D1137" s="295" t="s">
        <v>179</v>
      </c>
      <c r="E1137" s="296">
        <v>146.3954</v>
      </c>
    </row>
    <row r="1138" spans="1:5" x14ac:dyDescent="0.3">
      <c r="A1138" s="295">
        <v>2020</v>
      </c>
      <c r="B1138" s="295">
        <v>7</v>
      </c>
      <c r="C1138" s="295" t="s">
        <v>101</v>
      </c>
      <c r="D1138" s="295" t="s">
        <v>1</v>
      </c>
      <c r="E1138" s="296">
        <v>3.805E-2</v>
      </c>
    </row>
    <row r="1139" spans="1:5" x14ac:dyDescent="0.3">
      <c r="A1139" s="295">
        <v>2020</v>
      </c>
      <c r="B1139" s="295">
        <v>7</v>
      </c>
      <c r="C1139" s="295" t="s">
        <v>101</v>
      </c>
      <c r="D1139" s="295" t="s">
        <v>2</v>
      </c>
      <c r="E1139" s="296">
        <v>4.5089999999999998E-2</v>
      </c>
    </row>
    <row r="1140" spans="1:5" x14ac:dyDescent="0.3">
      <c r="A1140" s="295">
        <v>2020</v>
      </c>
      <c r="B1140" s="295">
        <v>7</v>
      </c>
      <c r="C1140" s="295" t="s">
        <v>101</v>
      </c>
      <c r="D1140" s="295" t="s">
        <v>259</v>
      </c>
      <c r="E1140" s="296">
        <v>3.4270000000000002E-2</v>
      </c>
    </row>
    <row r="1141" spans="1:5" x14ac:dyDescent="0.3">
      <c r="A1141" s="295">
        <v>2020</v>
      </c>
      <c r="B1141" s="295">
        <v>7</v>
      </c>
      <c r="C1141" s="295" t="s">
        <v>101</v>
      </c>
      <c r="D1141" s="295" t="s">
        <v>85</v>
      </c>
      <c r="E1141" s="296">
        <v>0.23297000000000001</v>
      </c>
    </row>
    <row r="1142" spans="1:5" x14ac:dyDescent="0.3">
      <c r="A1142" s="295">
        <v>2020</v>
      </c>
      <c r="B1142" s="295">
        <v>7</v>
      </c>
      <c r="C1142" s="295" t="s">
        <v>101</v>
      </c>
      <c r="D1142" s="295" t="s">
        <v>179</v>
      </c>
      <c r="E1142" s="296">
        <v>0.23297000000000001</v>
      </c>
    </row>
    <row r="1143" spans="1:5" x14ac:dyDescent="0.3">
      <c r="A1143" s="295">
        <v>2020</v>
      </c>
      <c r="B1143" s="295">
        <v>7</v>
      </c>
      <c r="C1143" s="295" t="s">
        <v>179</v>
      </c>
      <c r="D1143" s="295" t="s">
        <v>1</v>
      </c>
      <c r="E1143" s="296">
        <v>1.1199999999999999E-3</v>
      </c>
    </row>
    <row r="1144" spans="1:5" x14ac:dyDescent="0.3">
      <c r="A1144" s="295">
        <v>2020</v>
      </c>
      <c r="B1144" s="295">
        <v>7</v>
      </c>
      <c r="C1144" s="295" t="s">
        <v>179</v>
      </c>
      <c r="D1144" s="295" t="s">
        <v>2</v>
      </c>
      <c r="E1144" s="296">
        <v>1.32E-3</v>
      </c>
    </row>
    <row r="1145" spans="1:5" x14ac:dyDescent="0.3">
      <c r="A1145" s="295">
        <v>2020</v>
      </c>
      <c r="B1145" s="295">
        <v>7</v>
      </c>
      <c r="C1145" s="295" t="s">
        <v>179</v>
      </c>
      <c r="D1145" s="295" t="s">
        <v>259</v>
      </c>
      <c r="E1145" s="296">
        <v>1E-3</v>
      </c>
    </row>
    <row r="1146" spans="1:5" x14ac:dyDescent="0.3">
      <c r="A1146" s="295">
        <v>2020</v>
      </c>
      <c r="B1146" s="295">
        <v>7</v>
      </c>
      <c r="C1146" s="295" t="s">
        <v>179</v>
      </c>
      <c r="D1146" s="295" t="s">
        <v>85</v>
      </c>
      <c r="E1146" s="296">
        <v>6.8300000000000001E-3</v>
      </c>
    </row>
    <row r="1147" spans="1:5" x14ac:dyDescent="0.3">
      <c r="A1147" s="295">
        <v>2020</v>
      </c>
      <c r="B1147" s="295">
        <v>7</v>
      </c>
      <c r="C1147" s="295" t="s">
        <v>179</v>
      </c>
      <c r="D1147" s="295" t="s">
        <v>101</v>
      </c>
      <c r="E1147" s="296">
        <v>4.2924600000000002</v>
      </c>
    </row>
    <row r="1148" spans="1:5" x14ac:dyDescent="0.3">
      <c r="A1148" s="295">
        <v>2020</v>
      </c>
      <c r="B1148" s="295">
        <v>7</v>
      </c>
      <c r="C1148" s="295" t="s">
        <v>259</v>
      </c>
      <c r="D1148" s="295" t="s">
        <v>259</v>
      </c>
      <c r="E1148" s="296">
        <v>1</v>
      </c>
    </row>
    <row r="1149" spans="1:5" x14ac:dyDescent="0.3">
      <c r="A1149" s="295">
        <v>2020</v>
      </c>
      <c r="B1149" s="295">
        <v>7</v>
      </c>
      <c r="C1149" s="295" t="s">
        <v>101</v>
      </c>
      <c r="D1149" s="295" t="s">
        <v>101</v>
      </c>
      <c r="E1149" s="296">
        <v>1</v>
      </c>
    </row>
    <row r="1150" spans="1:5" x14ac:dyDescent="0.3">
      <c r="A1150" s="295">
        <v>2020</v>
      </c>
      <c r="B1150" s="295">
        <v>7</v>
      </c>
      <c r="C1150" s="295" t="s">
        <v>179</v>
      </c>
      <c r="D1150" s="295" t="s">
        <v>179</v>
      </c>
      <c r="E1150" s="296">
        <v>1</v>
      </c>
    </row>
    <row r="1151" spans="1:5" x14ac:dyDescent="0.3">
      <c r="A1151" s="295">
        <v>2020</v>
      </c>
      <c r="B1151" s="295">
        <v>7</v>
      </c>
      <c r="C1151" s="295" t="s">
        <v>2</v>
      </c>
      <c r="D1151" s="295" t="s">
        <v>2</v>
      </c>
      <c r="E1151" s="296">
        <v>1</v>
      </c>
    </row>
    <row r="1152" spans="1:5" x14ac:dyDescent="0.3">
      <c r="A1152" s="295">
        <v>2020</v>
      </c>
      <c r="B1152" s="295">
        <v>7</v>
      </c>
      <c r="C1152" s="295" t="s">
        <v>1</v>
      </c>
      <c r="D1152" s="295" t="s">
        <v>1</v>
      </c>
      <c r="E1152" s="296">
        <v>1</v>
      </c>
    </row>
    <row r="1153" spans="1:5" x14ac:dyDescent="0.3">
      <c r="A1153" s="295">
        <v>2020</v>
      </c>
      <c r="B1153" s="295">
        <v>7</v>
      </c>
      <c r="C1153" s="295" t="s">
        <v>259</v>
      </c>
      <c r="D1153" s="295" t="s">
        <v>259</v>
      </c>
      <c r="E1153" s="296">
        <v>1</v>
      </c>
    </row>
    <row r="1154" spans="1:5" x14ac:dyDescent="0.3">
      <c r="A1154" s="295">
        <v>2020</v>
      </c>
      <c r="B1154" s="295">
        <v>7</v>
      </c>
      <c r="C1154" s="295" t="s">
        <v>85</v>
      </c>
      <c r="D1154" s="295" t="s">
        <v>85</v>
      </c>
      <c r="E1154" s="296">
        <v>1</v>
      </c>
    </row>
    <row r="1155" spans="1:5" x14ac:dyDescent="0.3">
      <c r="A1155" s="295">
        <v>2020</v>
      </c>
      <c r="B1155" s="295">
        <v>7</v>
      </c>
      <c r="C1155" s="295" t="s">
        <v>101</v>
      </c>
      <c r="D1155" s="295" t="s">
        <v>101</v>
      </c>
      <c r="E1155" s="296">
        <v>1</v>
      </c>
    </row>
    <row r="1156" spans="1:5" x14ac:dyDescent="0.3">
      <c r="A1156" s="295">
        <v>2020</v>
      </c>
      <c r="B1156" s="295">
        <v>7</v>
      </c>
      <c r="C1156" s="295" t="s">
        <v>179</v>
      </c>
      <c r="D1156" s="295" t="s">
        <v>179</v>
      </c>
      <c r="E1156" s="296">
        <v>1</v>
      </c>
    </row>
    <row r="1157" spans="1:5" x14ac:dyDescent="0.3">
      <c r="A1157" s="295">
        <v>2020</v>
      </c>
      <c r="B1157" s="295">
        <v>8</v>
      </c>
      <c r="C1157" s="295" t="s">
        <v>1</v>
      </c>
      <c r="D1157" s="295" t="s">
        <v>2</v>
      </c>
      <c r="E1157" s="296">
        <v>1.1813</v>
      </c>
    </row>
    <row r="1158" spans="1:5" x14ac:dyDescent="0.3">
      <c r="A1158" s="295">
        <v>2020</v>
      </c>
      <c r="B1158" s="295">
        <v>8</v>
      </c>
      <c r="C1158" s="295" t="s">
        <v>1</v>
      </c>
      <c r="D1158" s="295" t="s">
        <v>259</v>
      </c>
      <c r="E1158" s="296">
        <v>0.88975000000000004</v>
      </c>
    </row>
    <row r="1159" spans="1:5" x14ac:dyDescent="0.3">
      <c r="A1159" s="295">
        <v>2020</v>
      </c>
      <c r="B1159" s="295">
        <v>8</v>
      </c>
      <c r="C1159" s="295" t="s">
        <v>1</v>
      </c>
      <c r="D1159" s="295" t="s">
        <v>85</v>
      </c>
      <c r="E1159" s="296">
        <v>6.5125999999999999</v>
      </c>
    </row>
    <row r="1160" spans="1:5" x14ac:dyDescent="0.3">
      <c r="A1160" s="295">
        <v>2020</v>
      </c>
      <c r="B1160" s="295">
        <v>8</v>
      </c>
      <c r="C1160" s="295" t="s">
        <v>1</v>
      </c>
      <c r="D1160" s="295" t="s">
        <v>101</v>
      </c>
      <c r="E1160" s="296">
        <v>26.027799999999999</v>
      </c>
    </row>
    <row r="1161" spans="1:5" x14ac:dyDescent="0.3">
      <c r="A1161" s="295">
        <v>2020</v>
      </c>
      <c r="B1161" s="295">
        <v>8</v>
      </c>
      <c r="C1161" s="295" t="s">
        <v>1</v>
      </c>
      <c r="D1161" s="295" t="s">
        <v>179</v>
      </c>
      <c r="E1161" s="296">
        <v>926.79499999999996</v>
      </c>
    </row>
    <row r="1162" spans="1:5" x14ac:dyDescent="0.3">
      <c r="A1162" s="295">
        <v>2020</v>
      </c>
      <c r="B1162" s="295">
        <v>8</v>
      </c>
      <c r="C1162" s="295" t="s">
        <v>2</v>
      </c>
      <c r="D1162" s="295" t="s">
        <v>1</v>
      </c>
      <c r="E1162" s="296">
        <v>0.84653</v>
      </c>
    </row>
    <row r="1163" spans="1:5" x14ac:dyDescent="0.3">
      <c r="A1163" s="295">
        <v>2020</v>
      </c>
      <c r="B1163" s="295">
        <v>8</v>
      </c>
      <c r="C1163" s="295" t="s">
        <v>2</v>
      </c>
      <c r="D1163" s="295" t="s">
        <v>259</v>
      </c>
      <c r="E1163" s="296">
        <v>0.74226000000000003</v>
      </c>
    </row>
    <row r="1164" spans="1:5" x14ac:dyDescent="0.3">
      <c r="A1164" s="295">
        <v>2020</v>
      </c>
      <c r="B1164" s="295">
        <v>8</v>
      </c>
      <c r="C1164" s="295" t="s">
        <v>2</v>
      </c>
      <c r="D1164" s="295" t="s">
        <v>85</v>
      </c>
      <c r="E1164" s="296">
        <v>5.4330499999999997</v>
      </c>
    </row>
    <row r="1165" spans="1:5" x14ac:dyDescent="0.3">
      <c r="A1165" s="295">
        <v>2020</v>
      </c>
      <c r="B1165" s="295">
        <v>8</v>
      </c>
      <c r="C1165" s="295" t="s">
        <v>2</v>
      </c>
      <c r="D1165" s="295" t="s">
        <v>101</v>
      </c>
      <c r="E1165" s="296">
        <v>21.713360000000002</v>
      </c>
    </row>
    <row r="1166" spans="1:5" x14ac:dyDescent="0.3">
      <c r="A1166" s="295">
        <v>2020</v>
      </c>
      <c r="B1166" s="295">
        <v>8</v>
      </c>
      <c r="C1166" s="295" t="s">
        <v>2</v>
      </c>
      <c r="D1166" s="295" t="s">
        <v>179</v>
      </c>
      <c r="E1166" s="296">
        <v>773.16675999999995</v>
      </c>
    </row>
    <row r="1167" spans="1:5" x14ac:dyDescent="0.3">
      <c r="A1167" s="295">
        <v>2020</v>
      </c>
      <c r="B1167" s="295">
        <v>8</v>
      </c>
      <c r="C1167" s="295" t="s">
        <v>259</v>
      </c>
      <c r="D1167" s="295" t="s">
        <v>1</v>
      </c>
      <c r="E1167" s="296">
        <v>1.12391</v>
      </c>
    </row>
    <row r="1168" spans="1:5" x14ac:dyDescent="0.3">
      <c r="A1168" s="295">
        <v>2020</v>
      </c>
      <c r="B1168" s="295">
        <v>8</v>
      </c>
      <c r="C1168" s="295" t="s">
        <v>259</v>
      </c>
      <c r="D1168" s="295" t="s">
        <v>2</v>
      </c>
      <c r="E1168" s="296">
        <v>1.3472299999999999</v>
      </c>
    </row>
    <row r="1169" spans="1:5" x14ac:dyDescent="0.3">
      <c r="A1169" s="295">
        <v>2020</v>
      </c>
      <c r="B1169" s="295">
        <v>8</v>
      </c>
      <c r="C1169" s="295" t="s">
        <v>259</v>
      </c>
      <c r="D1169" s="295" t="s">
        <v>85</v>
      </c>
      <c r="E1169" s="296">
        <v>7.3195800000000002</v>
      </c>
    </row>
    <row r="1170" spans="1:5" x14ac:dyDescent="0.3">
      <c r="A1170" s="295">
        <v>2020</v>
      </c>
      <c r="B1170" s="295">
        <v>8</v>
      </c>
      <c r="C1170" s="295" t="s">
        <v>259</v>
      </c>
      <c r="D1170" s="295" t="s">
        <v>101</v>
      </c>
      <c r="E1170" s="296">
        <v>29.252939999999999</v>
      </c>
    </row>
    <row r="1171" spans="1:5" x14ac:dyDescent="0.3">
      <c r="A1171" s="295">
        <v>2020</v>
      </c>
      <c r="B1171" s="295">
        <v>8</v>
      </c>
      <c r="C1171" s="295" t="s">
        <v>259</v>
      </c>
      <c r="D1171" s="295" t="s">
        <v>179</v>
      </c>
      <c r="E1171" s="296">
        <v>1041.6352899999999</v>
      </c>
    </row>
    <row r="1172" spans="1:5" x14ac:dyDescent="0.3">
      <c r="A1172" s="295">
        <v>2020</v>
      </c>
      <c r="B1172" s="295">
        <v>8</v>
      </c>
      <c r="C1172" s="295" t="s">
        <v>85</v>
      </c>
      <c r="D1172" s="295" t="s">
        <v>1</v>
      </c>
      <c r="E1172" s="296">
        <v>0.15354999999999999</v>
      </c>
    </row>
    <row r="1173" spans="1:5" x14ac:dyDescent="0.3">
      <c r="A1173" s="295">
        <v>2020</v>
      </c>
      <c r="B1173" s="295">
        <v>8</v>
      </c>
      <c r="C1173" s="295" t="s">
        <v>85</v>
      </c>
      <c r="D1173" s="295" t="s">
        <v>2</v>
      </c>
      <c r="E1173" s="296">
        <v>0.18406</v>
      </c>
    </row>
    <row r="1174" spans="1:5" x14ac:dyDescent="0.3">
      <c r="A1174" s="295">
        <v>2020</v>
      </c>
      <c r="B1174" s="295">
        <v>8</v>
      </c>
      <c r="C1174" s="295" t="s">
        <v>85</v>
      </c>
      <c r="D1174" s="295" t="s">
        <v>259</v>
      </c>
      <c r="E1174" s="296">
        <v>0.13661999999999999</v>
      </c>
    </row>
    <row r="1175" spans="1:5" x14ac:dyDescent="0.3">
      <c r="A1175" s="295">
        <v>2020</v>
      </c>
      <c r="B1175" s="295">
        <v>8</v>
      </c>
      <c r="C1175" s="295" t="s">
        <v>85</v>
      </c>
      <c r="D1175" s="295" t="s">
        <v>101</v>
      </c>
      <c r="E1175" s="296">
        <v>3.9965299999999999</v>
      </c>
    </row>
    <row r="1176" spans="1:5" x14ac:dyDescent="0.3">
      <c r="A1176" s="295">
        <v>2020</v>
      </c>
      <c r="B1176" s="295">
        <v>8</v>
      </c>
      <c r="C1176" s="295" t="s">
        <v>85</v>
      </c>
      <c r="D1176" s="295" t="s">
        <v>179</v>
      </c>
      <c r="E1176" s="296">
        <v>142.30798999999999</v>
      </c>
    </row>
    <row r="1177" spans="1:5" x14ac:dyDescent="0.3">
      <c r="A1177" s="295">
        <v>2020</v>
      </c>
      <c r="B1177" s="295">
        <v>8</v>
      </c>
      <c r="C1177" s="295" t="s">
        <v>101</v>
      </c>
      <c r="D1177" s="295" t="s">
        <v>1</v>
      </c>
      <c r="E1177" s="296">
        <v>3.8420000000000003E-2</v>
      </c>
    </row>
    <row r="1178" spans="1:5" x14ac:dyDescent="0.3">
      <c r="A1178" s="295">
        <v>2020</v>
      </c>
      <c r="B1178" s="295">
        <v>8</v>
      </c>
      <c r="C1178" s="295" t="s">
        <v>101</v>
      </c>
      <c r="D1178" s="295" t="s">
        <v>2</v>
      </c>
      <c r="E1178" s="296">
        <v>4.6050000000000001E-2</v>
      </c>
    </row>
    <row r="1179" spans="1:5" x14ac:dyDescent="0.3">
      <c r="A1179" s="295">
        <v>2020</v>
      </c>
      <c r="B1179" s="295">
        <v>8</v>
      </c>
      <c r="C1179" s="295" t="s">
        <v>101</v>
      </c>
      <c r="D1179" s="295" t="s">
        <v>259</v>
      </c>
      <c r="E1179" s="296">
        <v>3.4180000000000002E-2</v>
      </c>
    </row>
    <row r="1180" spans="1:5" x14ac:dyDescent="0.3">
      <c r="A1180" s="295">
        <v>2020</v>
      </c>
      <c r="B1180" s="295">
        <v>8</v>
      </c>
      <c r="C1180" s="295" t="s">
        <v>101</v>
      </c>
      <c r="D1180" s="295" t="s">
        <v>85</v>
      </c>
      <c r="E1180" s="296">
        <v>0.25022</v>
      </c>
    </row>
    <row r="1181" spans="1:5" x14ac:dyDescent="0.3">
      <c r="A1181" s="295">
        <v>2020</v>
      </c>
      <c r="B1181" s="295">
        <v>8</v>
      </c>
      <c r="C1181" s="295" t="s">
        <v>101</v>
      </c>
      <c r="D1181" s="295" t="s">
        <v>179</v>
      </c>
      <c r="E1181" s="296">
        <v>35.607889999999998</v>
      </c>
    </row>
    <row r="1182" spans="1:5" x14ac:dyDescent="0.3">
      <c r="A1182" s="295">
        <v>2020</v>
      </c>
      <c r="B1182" s="295">
        <v>8</v>
      </c>
      <c r="C1182" s="295" t="s">
        <v>179</v>
      </c>
      <c r="D1182" s="295" t="s">
        <v>1</v>
      </c>
      <c r="E1182" s="296">
        <v>1.08E-3</v>
      </c>
    </row>
    <row r="1183" spans="1:5" x14ac:dyDescent="0.3">
      <c r="A1183" s="295">
        <v>2020</v>
      </c>
      <c r="B1183" s="295">
        <v>8</v>
      </c>
      <c r="C1183" s="295" t="s">
        <v>179</v>
      </c>
      <c r="D1183" s="295" t="s">
        <v>2</v>
      </c>
      <c r="E1183" s="296">
        <v>1.2899999999999999E-3</v>
      </c>
    </row>
    <row r="1184" spans="1:5" x14ac:dyDescent="0.3">
      <c r="A1184" s="295">
        <v>2020</v>
      </c>
      <c r="B1184" s="295">
        <v>8</v>
      </c>
      <c r="C1184" s="295" t="s">
        <v>179</v>
      </c>
      <c r="D1184" s="295" t="s">
        <v>259</v>
      </c>
      <c r="E1184" s="296">
        <v>9.6000000000000002E-4</v>
      </c>
    </row>
    <row r="1185" spans="1:5" x14ac:dyDescent="0.3">
      <c r="A1185" s="295">
        <v>2020</v>
      </c>
      <c r="B1185" s="295">
        <v>8</v>
      </c>
      <c r="C1185" s="295" t="s">
        <v>179</v>
      </c>
      <c r="D1185" s="295" t="s">
        <v>85</v>
      </c>
      <c r="E1185" s="296">
        <v>7.0299999999999998E-3</v>
      </c>
    </row>
    <row r="1186" spans="1:5" x14ac:dyDescent="0.3">
      <c r="A1186" s="295">
        <v>2020</v>
      </c>
      <c r="B1186" s="295">
        <v>8</v>
      </c>
      <c r="C1186" s="295" t="s">
        <v>179</v>
      </c>
      <c r="D1186" s="295" t="s">
        <v>101</v>
      </c>
      <c r="E1186" s="296">
        <v>2.8080000000000001E-2</v>
      </c>
    </row>
    <row r="1187" spans="1:5" x14ac:dyDescent="0.3">
      <c r="A1187" s="295">
        <v>2020</v>
      </c>
      <c r="B1187" s="295">
        <v>8</v>
      </c>
      <c r="C1187" s="295" t="s">
        <v>259</v>
      </c>
      <c r="D1187" s="295" t="s">
        <v>259</v>
      </c>
      <c r="E1187" s="296">
        <v>1</v>
      </c>
    </row>
    <row r="1188" spans="1:5" x14ac:dyDescent="0.3">
      <c r="A1188" s="295">
        <v>2020</v>
      </c>
      <c r="B1188" s="295">
        <v>8</v>
      </c>
      <c r="C1188" s="295" t="s">
        <v>101</v>
      </c>
      <c r="D1188" s="295" t="s">
        <v>101</v>
      </c>
      <c r="E1188" s="296">
        <v>1</v>
      </c>
    </row>
    <row r="1189" spans="1:5" x14ac:dyDescent="0.3">
      <c r="A1189" s="295">
        <v>2020</v>
      </c>
      <c r="B1189" s="295">
        <v>8</v>
      </c>
      <c r="C1189" s="295" t="s">
        <v>179</v>
      </c>
      <c r="D1189" s="295" t="s">
        <v>179</v>
      </c>
      <c r="E1189" s="296">
        <v>1</v>
      </c>
    </row>
    <row r="1190" spans="1:5" x14ac:dyDescent="0.3">
      <c r="A1190" s="295">
        <v>2020</v>
      </c>
      <c r="B1190" s="295">
        <v>8</v>
      </c>
      <c r="C1190" s="295" t="s">
        <v>2</v>
      </c>
      <c r="D1190" s="295" t="s">
        <v>2</v>
      </c>
      <c r="E1190" s="296">
        <v>1</v>
      </c>
    </row>
    <row r="1191" spans="1:5" x14ac:dyDescent="0.3">
      <c r="A1191" s="295">
        <v>2020</v>
      </c>
      <c r="B1191" s="295">
        <v>8</v>
      </c>
      <c r="C1191" s="295" t="s">
        <v>1</v>
      </c>
      <c r="D1191" s="295" t="s">
        <v>1</v>
      </c>
      <c r="E1191" s="296">
        <v>1</v>
      </c>
    </row>
    <row r="1192" spans="1:5" x14ac:dyDescent="0.3">
      <c r="A1192" s="295">
        <v>2020</v>
      </c>
      <c r="B1192" s="295">
        <v>8</v>
      </c>
      <c r="C1192" s="295" t="s">
        <v>259</v>
      </c>
      <c r="D1192" s="295" t="s">
        <v>259</v>
      </c>
      <c r="E1192" s="296">
        <v>1</v>
      </c>
    </row>
    <row r="1193" spans="1:5" x14ac:dyDescent="0.3">
      <c r="A1193" s="295">
        <v>2020</v>
      </c>
      <c r="B1193" s="295">
        <v>8</v>
      </c>
      <c r="C1193" s="295" t="s">
        <v>85</v>
      </c>
      <c r="D1193" s="295" t="s">
        <v>85</v>
      </c>
      <c r="E1193" s="296">
        <v>1</v>
      </c>
    </row>
    <row r="1194" spans="1:5" x14ac:dyDescent="0.3">
      <c r="A1194" s="295">
        <v>2020</v>
      </c>
      <c r="B1194" s="295">
        <v>8</v>
      </c>
      <c r="C1194" s="295" t="s">
        <v>101</v>
      </c>
      <c r="D1194" s="295" t="s">
        <v>101</v>
      </c>
      <c r="E1194" s="296">
        <v>1</v>
      </c>
    </row>
    <row r="1195" spans="1:5" x14ac:dyDescent="0.3">
      <c r="A1195" s="295">
        <v>2020</v>
      </c>
      <c r="B1195" s="295">
        <v>8</v>
      </c>
      <c r="C1195" s="295" t="s">
        <v>179</v>
      </c>
      <c r="D1195" s="295" t="s">
        <v>179</v>
      </c>
      <c r="E1195" s="296">
        <v>1</v>
      </c>
    </row>
    <row r="1196" spans="1:5" x14ac:dyDescent="0.3">
      <c r="A1196" s="295">
        <v>2020</v>
      </c>
      <c r="B1196" s="295">
        <v>9</v>
      </c>
      <c r="C1196" s="295" t="s">
        <v>1</v>
      </c>
      <c r="D1196" s="295" t="s">
        <v>2</v>
      </c>
      <c r="E1196" s="296">
        <v>1.1708000000000001</v>
      </c>
    </row>
    <row r="1197" spans="1:5" x14ac:dyDescent="0.3">
      <c r="A1197" s="295">
        <v>2020</v>
      </c>
      <c r="B1197" s="295">
        <v>9</v>
      </c>
      <c r="C1197" s="295" t="s">
        <v>1</v>
      </c>
      <c r="D1197" s="295" t="s">
        <v>259</v>
      </c>
      <c r="E1197" s="296">
        <v>0.91234999999999999</v>
      </c>
    </row>
    <row r="1198" spans="1:5" x14ac:dyDescent="0.3">
      <c r="A1198" s="295">
        <v>2020</v>
      </c>
      <c r="B1198" s="295">
        <v>9</v>
      </c>
      <c r="C1198" s="295" t="s">
        <v>1</v>
      </c>
      <c r="D1198" s="295" t="s">
        <v>85</v>
      </c>
      <c r="E1198" s="296">
        <v>6.6307999999999998</v>
      </c>
    </row>
    <row r="1199" spans="1:5" x14ac:dyDescent="0.3">
      <c r="A1199" s="295">
        <v>2020</v>
      </c>
      <c r="B1199" s="295">
        <v>9</v>
      </c>
      <c r="C1199" s="295" t="s">
        <v>1</v>
      </c>
      <c r="D1199" s="295" t="s">
        <v>101</v>
      </c>
      <c r="E1199" s="296">
        <v>26.184799999999999</v>
      </c>
    </row>
    <row r="1200" spans="1:5" x14ac:dyDescent="0.3">
      <c r="A1200" s="295">
        <v>2020</v>
      </c>
      <c r="B1200" s="295">
        <v>9</v>
      </c>
      <c r="C1200" s="295" t="s">
        <v>1</v>
      </c>
      <c r="D1200" s="295" t="s">
        <v>179</v>
      </c>
      <c r="E1200" s="296">
        <v>918.80899999999997</v>
      </c>
    </row>
    <row r="1201" spans="1:5" x14ac:dyDescent="0.3">
      <c r="A1201" s="295">
        <v>2020</v>
      </c>
      <c r="B1201" s="295">
        <v>9</v>
      </c>
      <c r="C1201" s="295" t="s">
        <v>2</v>
      </c>
      <c r="D1201" s="295" t="s">
        <v>1</v>
      </c>
      <c r="E1201" s="296">
        <v>0.85411999999999999</v>
      </c>
    </row>
    <row r="1202" spans="1:5" x14ac:dyDescent="0.3">
      <c r="A1202" s="295">
        <v>2020</v>
      </c>
      <c r="B1202" s="295">
        <v>9</v>
      </c>
      <c r="C1202" s="295" t="s">
        <v>2</v>
      </c>
      <c r="D1202" s="295" t="s">
        <v>259</v>
      </c>
      <c r="E1202" s="296">
        <v>0.77925</v>
      </c>
    </row>
    <row r="1203" spans="1:5" x14ac:dyDescent="0.3">
      <c r="A1203" s="295">
        <v>2020</v>
      </c>
      <c r="B1203" s="295">
        <v>9</v>
      </c>
      <c r="C1203" s="295" t="s">
        <v>2</v>
      </c>
      <c r="D1203" s="295" t="s">
        <v>85</v>
      </c>
      <c r="E1203" s="296">
        <v>5.6634799999999998</v>
      </c>
    </row>
    <row r="1204" spans="1:5" x14ac:dyDescent="0.3">
      <c r="A1204" s="295">
        <v>2020</v>
      </c>
      <c r="B1204" s="295">
        <v>9</v>
      </c>
      <c r="C1204" s="295" t="s">
        <v>2</v>
      </c>
      <c r="D1204" s="295" t="s">
        <v>101</v>
      </c>
      <c r="E1204" s="296">
        <v>22.364879999999999</v>
      </c>
    </row>
    <row r="1205" spans="1:5" x14ac:dyDescent="0.3">
      <c r="A1205" s="295">
        <v>2020</v>
      </c>
      <c r="B1205" s="295">
        <v>9</v>
      </c>
      <c r="C1205" s="295" t="s">
        <v>2</v>
      </c>
      <c r="D1205" s="295" t="s">
        <v>179</v>
      </c>
      <c r="E1205" s="296">
        <v>784.77023999999994</v>
      </c>
    </row>
    <row r="1206" spans="1:5" x14ac:dyDescent="0.3">
      <c r="A1206" s="295">
        <v>2020</v>
      </c>
      <c r="B1206" s="295">
        <v>9</v>
      </c>
      <c r="C1206" s="295" t="s">
        <v>259</v>
      </c>
      <c r="D1206" s="295" t="s">
        <v>1</v>
      </c>
      <c r="E1206" s="296">
        <v>1.0960700000000001</v>
      </c>
    </row>
    <row r="1207" spans="1:5" x14ac:dyDescent="0.3">
      <c r="A1207" s="295">
        <v>2020</v>
      </c>
      <c r="B1207" s="295">
        <v>9</v>
      </c>
      <c r="C1207" s="295" t="s">
        <v>259</v>
      </c>
      <c r="D1207" s="295" t="s">
        <v>2</v>
      </c>
      <c r="E1207" s="296">
        <v>1.28328</v>
      </c>
    </row>
    <row r="1208" spans="1:5" x14ac:dyDescent="0.3">
      <c r="A1208" s="295">
        <v>2020</v>
      </c>
      <c r="B1208" s="295">
        <v>9</v>
      </c>
      <c r="C1208" s="295" t="s">
        <v>259</v>
      </c>
      <c r="D1208" s="295" t="s">
        <v>85</v>
      </c>
      <c r="E1208" s="296">
        <v>7.2678200000000004</v>
      </c>
    </row>
    <row r="1209" spans="1:5" x14ac:dyDescent="0.3">
      <c r="A1209" s="295">
        <v>2020</v>
      </c>
      <c r="B1209" s="295">
        <v>9</v>
      </c>
      <c r="C1209" s="295" t="s">
        <v>259</v>
      </c>
      <c r="D1209" s="295" t="s">
        <v>101</v>
      </c>
      <c r="E1209" s="296">
        <v>28.700389999999999</v>
      </c>
    </row>
    <row r="1210" spans="1:5" x14ac:dyDescent="0.3">
      <c r="A1210" s="295">
        <v>2020</v>
      </c>
      <c r="B1210" s="295">
        <v>9</v>
      </c>
      <c r="C1210" s="295" t="s">
        <v>259</v>
      </c>
      <c r="D1210" s="295" t="s">
        <v>179</v>
      </c>
      <c r="E1210" s="296">
        <v>1007.07952</v>
      </c>
    </row>
    <row r="1211" spans="1:5" x14ac:dyDescent="0.3">
      <c r="A1211" s="295">
        <v>2020</v>
      </c>
      <c r="B1211" s="295">
        <v>9</v>
      </c>
      <c r="C1211" s="295" t="s">
        <v>85</v>
      </c>
      <c r="D1211" s="295" t="s">
        <v>1</v>
      </c>
      <c r="E1211" s="296">
        <v>0.15081</v>
      </c>
    </row>
    <row r="1212" spans="1:5" x14ac:dyDescent="0.3">
      <c r="A1212" s="295">
        <v>2020</v>
      </c>
      <c r="B1212" s="295">
        <v>9</v>
      </c>
      <c r="C1212" s="295" t="s">
        <v>85</v>
      </c>
      <c r="D1212" s="295" t="s">
        <v>2</v>
      </c>
      <c r="E1212" s="296">
        <v>0.17657</v>
      </c>
    </row>
    <row r="1213" spans="1:5" x14ac:dyDescent="0.3">
      <c r="A1213" s="295">
        <v>2020</v>
      </c>
      <c r="B1213" s="295">
        <v>9</v>
      </c>
      <c r="C1213" s="295" t="s">
        <v>85</v>
      </c>
      <c r="D1213" s="295" t="s">
        <v>259</v>
      </c>
      <c r="E1213" s="296">
        <v>0.13758999999999999</v>
      </c>
    </row>
    <row r="1214" spans="1:5" x14ac:dyDescent="0.3">
      <c r="A1214" s="295">
        <v>2020</v>
      </c>
      <c r="B1214" s="295">
        <v>9</v>
      </c>
      <c r="C1214" s="295" t="s">
        <v>85</v>
      </c>
      <c r="D1214" s="295" t="s">
        <v>101</v>
      </c>
      <c r="E1214" s="296">
        <v>3.9489700000000001</v>
      </c>
    </row>
    <row r="1215" spans="1:5" x14ac:dyDescent="0.3">
      <c r="A1215" s="295">
        <v>2020</v>
      </c>
      <c r="B1215" s="295">
        <v>9</v>
      </c>
      <c r="C1215" s="295" t="s">
        <v>85</v>
      </c>
      <c r="D1215" s="295" t="s">
        <v>179</v>
      </c>
      <c r="E1215" s="296">
        <v>138.56684000000001</v>
      </c>
    </row>
    <row r="1216" spans="1:5" x14ac:dyDescent="0.3">
      <c r="A1216" s="295">
        <v>2020</v>
      </c>
      <c r="B1216" s="295">
        <v>9</v>
      </c>
      <c r="C1216" s="295" t="s">
        <v>101</v>
      </c>
      <c r="D1216" s="295" t="s">
        <v>1</v>
      </c>
      <c r="E1216" s="296">
        <v>3.8190000000000002E-2</v>
      </c>
    </row>
    <row r="1217" spans="1:9" x14ac:dyDescent="0.3">
      <c r="A1217" s="295">
        <v>2020</v>
      </c>
      <c r="B1217" s="295">
        <v>9</v>
      </c>
      <c r="C1217" s="295" t="s">
        <v>101</v>
      </c>
      <c r="D1217" s="295" t="s">
        <v>2</v>
      </c>
      <c r="E1217" s="296">
        <v>4.471E-2</v>
      </c>
    </row>
    <row r="1218" spans="1:9" x14ac:dyDescent="0.3">
      <c r="A1218" s="295">
        <v>2020</v>
      </c>
      <c r="B1218" s="295">
        <v>9</v>
      </c>
      <c r="C1218" s="295" t="s">
        <v>101</v>
      </c>
      <c r="D1218" s="295" t="s">
        <v>259</v>
      </c>
      <c r="E1218" s="296">
        <v>3.4840000000000003E-2</v>
      </c>
    </row>
    <row r="1219" spans="1:9" x14ac:dyDescent="0.3">
      <c r="A1219" s="295">
        <v>2020</v>
      </c>
      <c r="B1219" s="295">
        <v>9</v>
      </c>
      <c r="C1219" s="295" t="s">
        <v>101</v>
      </c>
      <c r="D1219" s="295" t="s">
        <v>85</v>
      </c>
      <c r="E1219" s="296">
        <v>0.25323000000000001</v>
      </c>
    </row>
    <row r="1220" spans="1:9" x14ac:dyDescent="0.3">
      <c r="A1220" s="295">
        <v>2020</v>
      </c>
      <c r="B1220" s="295">
        <v>9</v>
      </c>
      <c r="C1220" s="295" t="s">
        <v>101</v>
      </c>
      <c r="D1220" s="295" t="s">
        <v>179</v>
      </c>
      <c r="E1220" s="296">
        <v>35.089399999999998</v>
      </c>
    </row>
    <row r="1221" spans="1:9" x14ac:dyDescent="0.3">
      <c r="A1221" s="295">
        <v>2020</v>
      </c>
      <c r="B1221" s="295">
        <v>9</v>
      </c>
      <c r="C1221" s="295" t="s">
        <v>179</v>
      </c>
      <c r="D1221" s="295" t="s">
        <v>1</v>
      </c>
      <c r="E1221" s="296">
        <v>1.09E-3</v>
      </c>
    </row>
    <row r="1222" spans="1:9" x14ac:dyDescent="0.3">
      <c r="A1222" s="295">
        <v>2020</v>
      </c>
      <c r="B1222" s="295">
        <v>9</v>
      </c>
      <c r="C1222" s="295" t="s">
        <v>179</v>
      </c>
      <c r="D1222" s="295" t="s">
        <v>2</v>
      </c>
      <c r="E1222" s="296">
        <v>1.2700000000000001E-3</v>
      </c>
    </row>
    <row r="1223" spans="1:9" x14ac:dyDescent="0.3">
      <c r="A1223" s="295">
        <v>2020</v>
      </c>
      <c r="B1223" s="295">
        <v>9</v>
      </c>
      <c r="C1223" s="295" t="s">
        <v>179</v>
      </c>
      <c r="D1223" s="295" t="s">
        <v>259</v>
      </c>
      <c r="E1223" s="296">
        <v>9.8999999999999999E-4</v>
      </c>
    </row>
    <row r="1224" spans="1:9" x14ac:dyDescent="0.3">
      <c r="A1224" s="295">
        <v>2020</v>
      </c>
      <c r="B1224" s="295">
        <v>9</v>
      </c>
      <c r="C1224" s="295" t="s">
        <v>179</v>
      </c>
      <c r="D1224" s="295" t="s">
        <v>85</v>
      </c>
      <c r="E1224" s="296">
        <v>7.2199999999999999E-3</v>
      </c>
    </row>
    <row r="1225" spans="1:9" x14ac:dyDescent="0.3">
      <c r="A1225" s="295">
        <v>2020</v>
      </c>
      <c r="B1225" s="295">
        <v>9</v>
      </c>
      <c r="C1225" s="295" t="s">
        <v>179</v>
      </c>
      <c r="D1225" s="295" t="s">
        <v>101</v>
      </c>
      <c r="E1225" s="296">
        <v>2.8500000000000001E-2</v>
      </c>
    </row>
    <row r="1226" spans="1:9" x14ac:dyDescent="0.3">
      <c r="A1226" s="295">
        <v>2020</v>
      </c>
      <c r="B1226" s="295">
        <v>9</v>
      </c>
      <c r="C1226" s="295" t="s">
        <v>259</v>
      </c>
      <c r="D1226" s="295" t="s">
        <v>259</v>
      </c>
      <c r="E1226" s="296">
        <v>1</v>
      </c>
      <c r="H1226" s="428"/>
      <c r="I1226" s="428"/>
    </row>
    <row r="1227" spans="1:9" x14ac:dyDescent="0.3">
      <c r="A1227" s="295">
        <v>2020</v>
      </c>
      <c r="B1227" s="295">
        <v>9</v>
      </c>
      <c r="C1227" s="295" t="s">
        <v>85</v>
      </c>
      <c r="D1227" s="295" t="s">
        <v>85</v>
      </c>
      <c r="E1227" s="296">
        <v>1</v>
      </c>
      <c r="H1227" s="428"/>
      <c r="I1227" s="428"/>
    </row>
    <row r="1228" spans="1:9" x14ac:dyDescent="0.3">
      <c r="A1228" s="295">
        <v>2020</v>
      </c>
      <c r="B1228" s="295">
        <v>9</v>
      </c>
      <c r="C1228" s="295" t="s">
        <v>101</v>
      </c>
      <c r="D1228" s="295" t="s">
        <v>101</v>
      </c>
      <c r="E1228" s="296">
        <v>1</v>
      </c>
      <c r="H1228" s="428"/>
      <c r="I1228" s="428"/>
    </row>
    <row r="1229" spans="1:9" x14ac:dyDescent="0.3">
      <c r="A1229" s="295">
        <v>2020</v>
      </c>
      <c r="B1229" s="295">
        <v>9</v>
      </c>
      <c r="C1229" s="295" t="s">
        <v>179</v>
      </c>
      <c r="D1229" s="295" t="s">
        <v>179</v>
      </c>
      <c r="E1229" s="296">
        <v>1</v>
      </c>
      <c r="H1229" s="428"/>
      <c r="I1229" s="428"/>
    </row>
    <row r="1230" spans="1:9" x14ac:dyDescent="0.3">
      <c r="A1230" s="295">
        <v>2020</v>
      </c>
      <c r="B1230" s="295">
        <v>9</v>
      </c>
      <c r="C1230" s="295" t="s">
        <v>2</v>
      </c>
      <c r="D1230" s="295" t="s">
        <v>2</v>
      </c>
      <c r="E1230" s="296">
        <v>1</v>
      </c>
      <c r="H1230" s="428"/>
      <c r="I1230" s="428"/>
    </row>
    <row r="1231" spans="1:9" x14ac:dyDescent="0.3">
      <c r="A1231" s="295">
        <v>2020</v>
      </c>
      <c r="B1231" s="295">
        <v>9</v>
      </c>
      <c r="C1231" s="295" t="s">
        <v>1</v>
      </c>
      <c r="D1231" s="295" t="s">
        <v>1</v>
      </c>
      <c r="E1231" s="296">
        <v>1</v>
      </c>
      <c r="H1231" s="428"/>
      <c r="I1231" s="428"/>
    </row>
    <row r="1232" spans="1:9" x14ac:dyDescent="0.3">
      <c r="A1232" s="295">
        <v>2020</v>
      </c>
      <c r="B1232" s="295">
        <v>9</v>
      </c>
      <c r="C1232" s="295" t="s">
        <v>259</v>
      </c>
      <c r="D1232" s="295" t="s">
        <v>259</v>
      </c>
      <c r="E1232" s="296">
        <v>1</v>
      </c>
    </row>
    <row r="1233" spans="1:5" x14ac:dyDescent="0.3">
      <c r="A1233" s="295">
        <v>2020</v>
      </c>
      <c r="B1233" s="295">
        <v>9</v>
      </c>
      <c r="C1233" s="295" t="s">
        <v>101</v>
      </c>
      <c r="D1233" s="295" t="s">
        <v>101</v>
      </c>
      <c r="E1233" s="296">
        <v>1</v>
      </c>
    </row>
    <row r="1234" spans="1:5" x14ac:dyDescent="0.3">
      <c r="A1234" s="295">
        <v>2020</v>
      </c>
      <c r="B1234" s="295">
        <v>9</v>
      </c>
      <c r="C1234" s="295" t="s">
        <v>179</v>
      </c>
      <c r="D1234" s="295" t="s">
        <v>179</v>
      </c>
      <c r="E1234" s="296">
        <v>1</v>
      </c>
    </row>
    <row r="1235" spans="1:5" x14ac:dyDescent="0.3">
      <c r="A1235" s="295">
        <v>2020</v>
      </c>
      <c r="B1235" s="295">
        <v>10</v>
      </c>
      <c r="C1235" s="295" t="s">
        <v>1</v>
      </c>
      <c r="D1235" s="295" t="s">
        <v>2</v>
      </c>
      <c r="E1235" s="296">
        <v>1.1698</v>
      </c>
    </row>
    <row r="1236" spans="1:5" x14ac:dyDescent="0.3">
      <c r="A1236" s="295">
        <v>2020</v>
      </c>
      <c r="B1236" s="295">
        <v>10</v>
      </c>
      <c r="C1236" s="295" t="s">
        <v>1</v>
      </c>
      <c r="D1236" s="295" t="s">
        <v>259</v>
      </c>
      <c r="E1236" s="296">
        <v>0.90207999999999999</v>
      </c>
    </row>
    <row r="1237" spans="1:5" x14ac:dyDescent="0.3">
      <c r="A1237" s="295">
        <v>2020</v>
      </c>
      <c r="B1237" s="295">
        <v>10</v>
      </c>
      <c r="C1237" s="295" t="s">
        <v>1</v>
      </c>
      <c r="D1237" s="295" t="s">
        <v>85</v>
      </c>
      <c r="E1237" s="296">
        <v>6.7606999999999999</v>
      </c>
    </row>
    <row r="1238" spans="1:5" x14ac:dyDescent="0.3">
      <c r="A1238" s="295">
        <v>2020</v>
      </c>
      <c r="B1238" s="295">
        <v>10</v>
      </c>
      <c r="C1238" s="295" t="s">
        <v>1</v>
      </c>
      <c r="D1238" s="295" t="s">
        <v>101</v>
      </c>
      <c r="E1238" s="296">
        <v>24.8416</v>
      </c>
    </row>
    <row r="1239" spans="1:5" x14ac:dyDescent="0.3">
      <c r="A1239" s="295">
        <v>2020</v>
      </c>
      <c r="B1239" s="295">
        <v>10</v>
      </c>
      <c r="C1239" s="295" t="s">
        <v>1</v>
      </c>
      <c r="D1239" s="295" t="s">
        <v>179</v>
      </c>
      <c r="E1239" s="296">
        <v>918.80899999999997</v>
      </c>
    </row>
    <row r="1240" spans="1:5" x14ac:dyDescent="0.3">
      <c r="A1240" s="295">
        <v>2020</v>
      </c>
      <c r="B1240" s="295">
        <v>10</v>
      </c>
      <c r="C1240" s="295" t="s">
        <v>2</v>
      </c>
      <c r="D1240" s="295" t="s">
        <v>1</v>
      </c>
      <c r="E1240" s="296">
        <v>0.85485</v>
      </c>
    </row>
    <row r="1241" spans="1:5" x14ac:dyDescent="0.3">
      <c r="A1241" s="295">
        <v>2020</v>
      </c>
      <c r="B1241" s="295">
        <v>10</v>
      </c>
      <c r="C1241" s="295" t="s">
        <v>2</v>
      </c>
      <c r="D1241" s="295" t="s">
        <v>259</v>
      </c>
      <c r="E1241" s="296">
        <v>0.77114000000000005</v>
      </c>
    </row>
    <row r="1242" spans="1:5" x14ac:dyDescent="0.3">
      <c r="A1242" s="295">
        <v>2020</v>
      </c>
      <c r="B1242" s="295">
        <v>10</v>
      </c>
      <c r="C1242" s="295" t="s">
        <v>2</v>
      </c>
      <c r="D1242" s="295" t="s">
        <v>85</v>
      </c>
      <c r="E1242" s="296">
        <v>5.7793599999999996</v>
      </c>
    </row>
    <row r="1243" spans="1:5" x14ac:dyDescent="0.3">
      <c r="A1243" s="295">
        <v>2020</v>
      </c>
      <c r="B1243" s="295">
        <v>10</v>
      </c>
      <c r="C1243" s="295" t="s">
        <v>2</v>
      </c>
      <c r="D1243" s="295" t="s">
        <v>101</v>
      </c>
      <c r="E1243" s="296">
        <v>21.235769999999999</v>
      </c>
    </row>
    <row r="1244" spans="1:5" x14ac:dyDescent="0.3">
      <c r="A1244" s="295">
        <v>2020</v>
      </c>
      <c r="B1244" s="295">
        <v>10</v>
      </c>
      <c r="C1244" s="295" t="s">
        <v>2</v>
      </c>
      <c r="D1244" s="295" t="s">
        <v>179</v>
      </c>
      <c r="E1244" s="296">
        <v>785.44110000000001</v>
      </c>
    </row>
    <row r="1245" spans="1:5" x14ac:dyDescent="0.3">
      <c r="A1245" s="295">
        <v>2020</v>
      </c>
      <c r="B1245" s="295">
        <v>10</v>
      </c>
      <c r="C1245" s="295" t="s">
        <v>259</v>
      </c>
      <c r="D1245" s="295" t="s">
        <v>1</v>
      </c>
      <c r="E1245" s="296">
        <v>1.1085499999999999</v>
      </c>
    </row>
    <row r="1246" spans="1:5" x14ac:dyDescent="0.3">
      <c r="A1246" s="295">
        <v>2020</v>
      </c>
      <c r="B1246" s="295">
        <v>10</v>
      </c>
      <c r="C1246" s="295" t="s">
        <v>259</v>
      </c>
      <c r="D1246" s="295" t="s">
        <v>2</v>
      </c>
      <c r="E1246" s="296">
        <v>1.29678</v>
      </c>
    </row>
    <row r="1247" spans="1:5" x14ac:dyDescent="0.3">
      <c r="A1247" s="295">
        <v>2020</v>
      </c>
      <c r="B1247" s="295">
        <v>10</v>
      </c>
      <c r="C1247" s="295" t="s">
        <v>259</v>
      </c>
      <c r="D1247" s="295" t="s">
        <v>85</v>
      </c>
      <c r="E1247" s="296">
        <v>7.4945700000000004</v>
      </c>
    </row>
    <row r="1248" spans="1:5" x14ac:dyDescent="0.3">
      <c r="A1248" s="295">
        <v>2020</v>
      </c>
      <c r="B1248" s="295">
        <v>10</v>
      </c>
      <c r="C1248" s="295" t="s">
        <v>259</v>
      </c>
      <c r="D1248" s="295" t="s">
        <v>101</v>
      </c>
      <c r="E1248" s="296">
        <v>27.538129999999999</v>
      </c>
    </row>
    <row r="1249" spans="1:5" x14ac:dyDescent="0.3">
      <c r="A1249" s="295">
        <v>2020</v>
      </c>
      <c r="B1249" s="295">
        <v>10</v>
      </c>
      <c r="C1249" s="295" t="s">
        <v>259</v>
      </c>
      <c r="D1249" s="295" t="s">
        <v>179</v>
      </c>
      <c r="E1249" s="296">
        <v>1002.4765</v>
      </c>
    </row>
    <row r="1250" spans="1:5" x14ac:dyDescent="0.3">
      <c r="A1250" s="295">
        <v>2020</v>
      </c>
      <c r="B1250" s="295">
        <v>10</v>
      </c>
      <c r="C1250" s="295" t="s">
        <v>85</v>
      </c>
      <c r="D1250" s="295" t="s">
        <v>1</v>
      </c>
      <c r="E1250" s="296">
        <v>0.14791000000000001</v>
      </c>
    </row>
    <row r="1251" spans="1:5" x14ac:dyDescent="0.3">
      <c r="A1251" s="295">
        <v>2020</v>
      </c>
      <c r="B1251" s="295">
        <v>10</v>
      </c>
      <c r="C1251" s="295" t="s">
        <v>85</v>
      </c>
      <c r="D1251" s="295" t="s">
        <v>2</v>
      </c>
      <c r="E1251" s="296">
        <v>0.17302999999999999</v>
      </c>
    </row>
    <row r="1252" spans="1:5" x14ac:dyDescent="0.3">
      <c r="A1252" s="295">
        <v>2020</v>
      </c>
      <c r="B1252" s="295">
        <v>10</v>
      </c>
      <c r="C1252" s="295" t="s">
        <v>85</v>
      </c>
      <c r="D1252" s="295" t="s">
        <v>259</v>
      </c>
      <c r="E1252" s="296">
        <v>0.13342999999999999</v>
      </c>
    </row>
    <row r="1253" spans="1:5" x14ac:dyDescent="0.3">
      <c r="A1253" s="295">
        <v>2020</v>
      </c>
      <c r="B1253" s="295">
        <v>10</v>
      </c>
      <c r="C1253" s="295" t="s">
        <v>85</v>
      </c>
      <c r="D1253" s="295" t="s">
        <v>101</v>
      </c>
      <c r="E1253" s="296">
        <v>3.67441</v>
      </c>
    </row>
    <row r="1254" spans="1:5" x14ac:dyDescent="0.3">
      <c r="A1254" s="295">
        <v>2020</v>
      </c>
      <c r="B1254" s="295">
        <v>10</v>
      </c>
      <c r="C1254" s="295" t="s">
        <v>85</v>
      </c>
      <c r="D1254" s="295" t="s">
        <v>179</v>
      </c>
      <c r="E1254" s="296">
        <v>133.76041000000001</v>
      </c>
    </row>
    <row r="1255" spans="1:5" x14ac:dyDescent="0.3">
      <c r="A1255" s="295">
        <v>2020</v>
      </c>
      <c r="B1255" s="295">
        <v>10</v>
      </c>
      <c r="C1255" s="295" t="s">
        <v>101</v>
      </c>
      <c r="D1255" s="295" t="s">
        <v>1</v>
      </c>
      <c r="E1255" s="296">
        <v>4.0259999999999997E-2</v>
      </c>
    </row>
    <row r="1256" spans="1:5" x14ac:dyDescent="0.3">
      <c r="A1256" s="295">
        <v>2020</v>
      </c>
      <c r="B1256" s="295">
        <v>10</v>
      </c>
      <c r="C1256" s="295" t="s">
        <v>101</v>
      </c>
      <c r="D1256" s="295" t="s">
        <v>2</v>
      </c>
      <c r="E1256" s="296">
        <v>4.709E-2</v>
      </c>
    </row>
    <row r="1257" spans="1:5" x14ac:dyDescent="0.3">
      <c r="A1257" s="295">
        <v>2020</v>
      </c>
      <c r="B1257" s="295">
        <v>10</v>
      </c>
      <c r="C1257" s="295" t="s">
        <v>101</v>
      </c>
      <c r="D1257" s="295" t="s">
        <v>259</v>
      </c>
      <c r="E1257" s="296">
        <v>3.6310000000000002E-2</v>
      </c>
    </row>
    <row r="1258" spans="1:5" x14ac:dyDescent="0.3">
      <c r="A1258" s="295">
        <v>2020</v>
      </c>
      <c r="B1258" s="295">
        <v>10</v>
      </c>
      <c r="C1258" s="295" t="s">
        <v>101</v>
      </c>
      <c r="D1258" s="295" t="s">
        <v>85</v>
      </c>
      <c r="E1258" s="296">
        <v>0.27215</v>
      </c>
    </row>
    <row r="1259" spans="1:5" x14ac:dyDescent="0.3">
      <c r="A1259" s="295">
        <v>2020</v>
      </c>
      <c r="B1259" s="295">
        <v>10</v>
      </c>
      <c r="C1259" s="295" t="s">
        <v>101</v>
      </c>
      <c r="D1259" s="295" t="s">
        <v>179</v>
      </c>
      <c r="E1259" s="296">
        <v>36.403210000000001</v>
      </c>
    </row>
    <row r="1260" spans="1:5" x14ac:dyDescent="0.3">
      <c r="A1260" s="295">
        <v>2020</v>
      </c>
      <c r="B1260" s="295">
        <v>10</v>
      </c>
      <c r="C1260" s="295" t="s">
        <v>179</v>
      </c>
      <c r="D1260" s="295" t="s">
        <v>1</v>
      </c>
      <c r="E1260" s="296">
        <v>1.09E-3</v>
      </c>
    </row>
    <row r="1261" spans="1:5" x14ac:dyDescent="0.3">
      <c r="A1261" s="295">
        <v>2020</v>
      </c>
      <c r="B1261" s="295">
        <v>10</v>
      </c>
      <c r="C1261" s="295" t="s">
        <v>179</v>
      </c>
      <c r="D1261" s="295" t="s">
        <v>2</v>
      </c>
      <c r="E1261" s="296">
        <v>1.2700000000000001E-3</v>
      </c>
    </row>
    <row r="1262" spans="1:5" x14ac:dyDescent="0.3">
      <c r="A1262" s="295">
        <v>2020</v>
      </c>
      <c r="B1262" s="295">
        <v>10</v>
      </c>
      <c r="C1262" s="295" t="s">
        <v>179</v>
      </c>
      <c r="D1262" s="295" t="s">
        <v>259</v>
      </c>
      <c r="E1262" s="296">
        <v>1E-3</v>
      </c>
    </row>
    <row r="1263" spans="1:5" x14ac:dyDescent="0.3">
      <c r="A1263" s="295">
        <v>2020</v>
      </c>
      <c r="B1263" s="295">
        <v>10</v>
      </c>
      <c r="C1263" s="295" t="s">
        <v>179</v>
      </c>
      <c r="D1263" s="295" t="s">
        <v>85</v>
      </c>
      <c r="E1263" s="296">
        <v>7.4799999999999997E-3</v>
      </c>
    </row>
    <row r="1264" spans="1:5" x14ac:dyDescent="0.3">
      <c r="A1264" s="295">
        <v>2020</v>
      </c>
      <c r="B1264" s="295">
        <v>10</v>
      </c>
      <c r="C1264" s="295" t="s">
        <v>179</v>
      </c>
      <c r="D1264" s="295" t="s">
        <v>101</v>
      </c>
      <c r="E1264" s="296">
        <v>2.7470000000000001E-2</v>
      </c>
    </row>
    <row r="1265" spans="1:5" x14ac:dyDescent="0.3">
      <c r="A1265" s="295">
        <v>2020</v>
      </c>
      <c r="B1265" s="295">
        <v>10</v>
      </c>
      <c r="C1265" s="295" t="s">
        <v>259</v>
      </c>
      <c r="D1265" s="295" t="s">
        <v>259</v>
      </c>
      <c r="E1265" s="296">
        <v>1</v>
      </c>
    </row>
    <row r="1266" spans="1:5" x14ac:dyDescent="0.3">
      <c r="A1266" s="295">
        <v>2020</v>
      </c>
      <c r="B1266" s="295">
        <v>10</v>
      </c>
      <c r="C1266" s="295" t="s">
        <v>85</v>
      </c>
      <c r="D1266" s="295" t="s">
        <v>85</v>
      </c>
      <c r="E1266" s="296">
        <v>1</v>
      </c>
    </row>
    <row r="1267" spans="1:5" x14ac:dyDescent="0.3">
      <c r="A1267" s="295">
        <v>2020</v>
      </c>
      <c r="B1267" s="295">
        <v>10</v>
      </c>
      <c r="C1267" s="295" t="s">
        <v>101</v>
      </c>
      <c r="D1267" s="295" t="s">
        <v>101</v>
      </c>
      <c r="E1267" s="296">
        <v>1</v>
      </c>
    </row>
    <row r="1268" spans="1:5" x14ac:dyDescent="0.3">
      <c r="A1268" s="295">
        <v>2020</v>
      </c>
      <c r="B1268" s="295">
        <v>10</v>
      </c>
      <c r="C1268" s="295" t="s">
        <v>179</v>
      </c>
      <c r="D1268" s="295" t="s">
        <v>179</v>
      </c>
      <c r="E1268" s="296">
        <v>1</v>
      </c>
    </row>
    <row r="1269" spans="1:5" x14ac:dyDescent="0.3">
      <c r="A1269" s="295">
        <v>2020</v>
      </c>
      <c r="B1269" s="295">
        <v>10</v>
      </c>
      <c r="C1269" s="295" t="s">
        <v>2</v>
      </c>
      <c r="D1269" s="295" t="s">
        <v>2</v>
      </c>
      <c r="E1269" s="296">
        <v>1</v>
      </c>
    </row>
    <row r="1270" spans="1:5" x14ac:dyDescent="0.3">
      <c r="A1270" s="295">
        <v>2020</v>
      </c>
      <c r="B1270" s="295">
        <v>10</v>
      </c>
      <c r="C1270" s="295" t="s">
        <v>1</v>
      </c>
      <c r="D1270" s="295" t="s">
        <v>1</v>
      </c>
      <c r="E1270" s="296">
        <v>1</v>
      </c>
    </row>
    <row r="1271" spans="1:5" x14ac:dyDescent="0.3">
      <c r="A1271" s="295">
        <v>2020</v>
      </c>
      <c r="B1271" s="295">
        <v>10</v>
      </c>
      <c r="C1271" s="295" t="s">
        <v>259</v>
      </c>
      <c r="D1271" s="295" t="s">
        <v>259</v>
      </c>
      <c r="E1271" s="296">
        <v>1</v>
      </c>
    </row>
    <row r="1272" spans="1:5" x14ac:dyDescent="0.3">
      <c r="A1272" s="295">
        <v>2020</v>
      </c>
      <c r="B1272" s="295">
        <v>10</v>
      </c>
      <c r="C1272" s="295" t="s">
        <v>101</v>
      </c>
      <c r="D1272" s="295" t="s">
        <v>101</v>
      </c>
      <c r="E1272" s="296">
        <v>1</v>
      </c>
    </row>
    <row r="1273" spans="1:5" x14ac:dyDescent="0.3">
      <c r="A1273" s="295">
        <v>2020</v>
      </c>
      <c r="B1273" s="295">
        <v>10</v>
      </c>
      <c r="C1273" s="295" t="s">
        <v>179</v>
      </c>
      <c r="D1273" s="295" t="s">
        <v>179</v>
      </c>
      <c r="E1273" s="296">
        <v>1</v>
      </c>
    </row>
    <row r="1274" spans="1:5" x14ac:dyDescent="0.3">
      <c r="A1274" s="295">
        <v>2020</v>
      </c>
      <c r="B1274" s="295">
        <v>11</v>
      </c>
      <c r="C1274" s="295" t="s">
        <v>1</v>
      </c>
      <c r="D1274" s="295" t="s">
        <v>2</v>
      </c>
      <c r="E1274" s="296">
        <v>1.198</v>
      </c>
    </row>
    <row r="1275" spans="1:5" x14ac:dyDescent="0.3">
      <c r="A1275" s="295">
        <v>2020</v>
      </c>
      <c r="B1275" s="295">
        <v>11</v>
      </c>
      <c r="C1275" s="295" t="s">
        <v>1</v>
      </c>
      <c r="D1275" s="295" t="s">
        <v>259</v>
      </c>
      <c r="E1275" s="296">
        <v>0.89844999999999997</v>
      </c>
    </row>
    <row r="1276" spans="1:5" x14ac:dyDescent="0.3">
      <c r="A1276" s="295">
        <v>2020</v>
      </c>
      <c r="B1276" s="295">
        <v>11</v>
      </c>
      <c r="C1276" s="295" t="s">
        <v>1</v>
      </c>
      <c r="D1276" s="295" t="s">
        <v>85</v>
      </c>
      <c r="E1276" s="296">
        <v>6.3518999999999997</v>
      </c>
    </row>
    <row r="1277" spans="1:5" x14ac:dyDescent="0.3">
      <c r="A1277" s="295">
        <v>2020</v>
      </c>
      <c r="B1277" s="295">
        <v>11</v>
      </c>
      <c r="C1277" s="295" t="s">
        <v>1</v>
      </c>
      <c r="D1277" s="295" t="s">
        <v>101</v>
      </c>
      <c r="E1277" s="296">
        <v>24.049900000000001</v>
      </c>
    </row>
    <row r="1278" spans="1:5" x14ac:dyDescent="0.3">
      <c r="A1278" s="295">
        <v>2020</v>
      </c>
      <c r="B1278" s="295">
        <v>11</v>
      </c>
      <c r="C1278" s="295" t="s">
        <v>1</v>
      </c>
      <c r="D1278" s="295" t="s">
        <v>179</v>
      </c>
      <c r="E1278" s="296">
        <v>911.31899999999996</v>
      </c>
    </row>
    <row r="1279" spans="1:5" x14ac:dyDescent="0.3">
      <c r="A1279" s="295">
        <v>2020</v>
      </c>
      <c r="B1279" s="295">
        <v>11</v>
      </c>
      <c r="C1279" s="295" t="s">
        <v>2</v>
      </c>
      <c r="D1279" s="295" t="s">
        <v>1</v>
      </c>
      <c r="E1279" s="296">
        <v>0.83472000000000002</v>
      </c>
    </row>
    <row r="1280" spans="1:5" x14ac:dyDescent="0.3">
      <c r="A1280" s="295">
        <v>2020</v>
      </c>
      <c r="B1280" s="295">
        <v>11</v>
      </c>
      <c r="C1280" s="295" t="s">
        <v>2</v>
      </c>
      <c r="D1280" s="295" t="s">
        <v>259</v>
      </c>
      <c r="E1280" s="296">
        <v>0.74995999999999996</v>
      </c>
    </row>
    <row r="1281" spans="1:5" x14ac:dyDescent="0.3">
      <c r="A1281" s="295">
        <v>2020</v>
      </c>
      <c r="B1281" s="295">
        <v>11</v>
      </c>
      <c r="C1281" s="295" t="s">
        <v>2</v>
      </c>
      <c r="D1281" s="295" t="s">
        <v>85</v>
      </c>
      <c r="E1281" s="296">
        <v>5.3020899999999997</v>
      </c>
    </row>
    <row r="1282" spans="1:5" x14ac:dyDescent="0.3">
      <c r="A1282" s="295">
        <v>2020</v>
      </c>
      <c r="B1282" s="295">
        <v>11</v>
      </c>
      <c r="C1282" s="295" t="s">
        <v>2</v>
      </c>
      <c r="D1282" s="295" t="s">
        <v>101</v>
      </c>
      <c r="E1282" s="296">
        <v>20.075040000000001</v>
      </c>
    </row>
    <row r="1283" spans="1:5" x14ac:dyDescent="0.3">
      <c r="A1283" s="295">
        <v>2020</v>
      </c>
      <c r="B1283" s="295">
        <v>11</v>
      </c>
      <c r="C1283" s="295" t="s">
        <v>2</v>
      </c>
      <c r="D1283" s="295" t="s">
        <v>179</v>
      </c>
      <c r="E1283" s="296">
        <v>760.70033000000001</v>
      </c>
    </row>
    <row r="1284" spans="1:5" x14ac:dyDescent="0.3">
      <c r="A1284" s="295">
        <v>2020</v>
      </c>
      <c r="B1284" s="295">
        <v>11</v>
      </c>
      <c r="C1284" s="295" t="s">
        <v>259</v>
      </c>
      <c r="D1284" s="295" t="s">
        <v>1</v>
      </c>
      <c r="E1284" s="296">
        <v>1.11303</v>
      </c>
    </row>
    <row r="1285" spans="1:5" x14ac:dyDescent="0.3">
      <c r="A1285" s="295">
        <v>2020</v>
      </c>
      <c r="B1285" s="295">
        <v>11</v>
      </c>
      <c r="C1285" s="295" t="s">
        <v>259</v>
      </c>
      <c r="D1285" s="295" t="s">
        <v>2</v>
      </c>
      <c r="E1285" s="296">
        <v>1.33341</v>
      </c>
    </row>
    <row r="1286" spans="1:5" x14ac:dyDescent="0.3">
      <c r="A1286" s="295">
        <v>2020</v>
      </c>
      <c r="B1286" s="295">
        <v>11</v>
      </c>
      <c r="C1286" s="295" t="s">
        <v>259</v>
      </c>
      <c r="D1286" s="295" t="s">
        <v>85</v>
      </c>
      <c r="E1286" s="296">
        <v>7.0698400000000001</v>
      </c>
    </row>
    <row r="1287" spans="1:5" x14ac:dyDescent="0.3">
      <c r="A1287" s="295">
        <v>2020</v>
      </c>
      <c r="B1287" s="295">
        <v>11</v>
      </c>
      <c r="C1287" s="295" t="s">
        <v>259</v>
      </c>
      <c r="D1287" s="295" t="s">
        <v>101</v>
      </c>
      <c r="E1287" s="296">
        <v>26.76821</v>
      </c>
    </row>
    <row r="1288" spans="1:5" x14ac:dyDescent="0.3">
      <c r="A1288" s="295">
        <v>2020</v>
      </c>
      <c r="B1288" s="295">
        <v>11</v>
      </c>
      <c r="C1288" s="295" t="s">
        <v>259</v>
      </c>
      <c r="D1288" s="295" t="s">
        <v>179</v>
      </c>
      <c r="E1288" s="296">
        <v>1014.32356</v>
      </c>
    </row>
    <row r="1289" spans="1:5" x14ac:dyDescent="0.3">
      <c r="A1289" s="295">
        <v>2020</v>
      </c>
      <c r="B1289" s="295">
        <v>11</v>
      </c>
      <c r="C1289" s="295" t="s">
        <v>85</v>
      </c>
      <c r="D1289" s="295" t="s">
        <v>1</v>
      </c>
      <c r="E1289" s="296">
        <v>0.15742999999999999</v>
      </c>
    </row>
    <row r="1290" spans="1:5" x14ac:dyDescent="0.3">
      <c r="A1290" s="295">
        <v>2020</v>
      </c>
      <c r="B1290" s="295">
        <v>11</v>
      </c>
      <c r="C1290" s="295" t="s">
        <v>85</v>
      </c>
      <c r="D1290" s="295" t="s">
        <v>2</v>
      </c>
      <c r="E1290" s="296">
        <v>0.18859999999999999</v>
      </c>
    </row>
    <row r="1291" spans="1:5" x14ac:dyDescent="0.3">
      <c r="A1291" s="295">
        <v>2020</v>
      </c>
      <c r="B1291" s="295">
        <v>11</v>
      </c>
      <c r="C1291" s="295" t="s">
        <v>85</v>
      </c>
      <c r="D1291" s="295" t="s">
        <v>259</v>
      </c>
      <c r="E1291" s="296">
        <v>0.14144999999999999</v>
      </c>
    </row>
    <row r="1292" spans="1:5" x14ac:dyDescent="0.3">
      <c r="A1292" s="295">
        <v>2020</v>
      </c>
      <c r="B1292" s="295">
        <v>11</v>
      </c>
      <c r="C1292" s="295" t="s">
        <v>85</v>
      </c>
      <c r="D1292" s="295" t="s">
        <v>101</v>
      </c>
      <c r="E1292" s="296">
        <v>3.7862499999999999</v>
      </c>
    </row>
    <row r="1293" spans="1:5" x14ac:dyDescent="0.3">
      <c r="A1293" s="295">
        <v>2020</v>
      </c>
      <c r="B1293" s="295">
        <v>11</v>
      </c>
      <c r="C1293" s="295" t="s">
        <v>85</v>
      </c>
      <c r="D1293" s="295" t="s">
        <v>179</v>
      </c>
      <c r="E1293" s="296">
        <v>143.47187</v>
      </c>
    </row>
    <row r="1294" spans="1:5" x14ac:dyDescent="0.3">
      <c r="A1294" s="295">
        <v>2020</v>
      </c>
      <c r="B1294" s="295">
        <v>11</v>
      </c>
      <c r="C1294" s="295" t="s">
        <v>101</v>
      </c>
      <c r="D1294" s="295" t="s">
        <v>1</v>
      </c>
      <c r="E1294" s="296">
        <v>4.1579999999999999E-2</v>
      </c>
    </row>
    <row r="1295" spans="1:5" x14ac:dyDescent="0.3">
      <c r="A1295" s="295">
        <v>2020</v>
      </c>
      <c r="B1295" s="295">
        <v>11</v>
      </c>
      <c r="C1295" s="295" t="s">
        <v>101</v>
      </c>
      <c r="D1295" s="295" t="s">
        <v>2</v>
      </c>
      <c r="E1295" s="296">
        <v>4.981E-2</v>
      </c>
    </row>
    <row r="1296" spans="1:5" x14ac:dyDescent="0.3">
      <c r="A1296" s="295">
        <v>2020</v>
      </c>
      <c r="B1296" s="295">
        <v>11</v>
      </c>
      <c r="C1296" s="295" t="s">
        <v>101</v>
      </c>
      <c r="D1296" s="295" t="s">
        <v>259</v>
      </c>
      <c r="E1296" s="296">
        <v>3.7359999999999997E-2</v>
      </c>
    </row>
    <row r="1297" spans="1:5" x14ac:dyDescent="0.3">
      <c r="A1297" s="295">
        <v>2020</v>
      </c>
      <c r="B1297" s="295">
        <v>11</v>
      </c>
      <c r="C1297" s="295" t="s">
        <v>101</v>
      </c>
      <c r="D1297" s="295" t="s">
        <v>85</v>
      </c>
      <c r="E1297" s="296">
        <v>0.26411000000000001</v>
      </c>
    </row>
    <row r="1298" spans="1:5" x14ac:dyDescent="0.3">
      <c r="A1298" s="295">
        <v>2020</v>
      </c>
      <c r="B1298" s="295">
        <v>11</v>
      </c>
      <c r="C1298" s="295" t="s">
        <v>101</v>
      </c>
      <c r="D1298" s="295" t="s">
        <v>179</v>
      </c>
      <c r="E1298" s="296">
        <v>37.89284</v>
      </c>
    </row>
    <row r="1299" spans="1:5" x14ac:dyDescent="0.3">
      <c r="A1299" s="295">
        <v>2020</v>
      </c>
      <c r="B1299" s="295">
        <v>11</v>
      </c>
      <c r="C1299" s="295" t="s">
        <v>179</v>
      </c>
      <c r="D1299" s="295" t="s">
        <v>1</v>
      </c>
      <c r="E1299" s="296">
        <v>1.1000000000000001E-3</v>
      </c>
    </row>
    <row r="1300" spans="1:5" x14ac:dyDescent="0.3">
      <c r="A1300" s="295">
        <v>2020</v>
      </c>
      <c r="B1300" s="295">
        <v>11</v>
      </c>
      <c r="C1300" s="295" t="s">
        <v>179</v>
      </c>
      <c r="D1300" s="295" t="s">
        <v>2</v>
      </c>
      <c r="E1300" s="296">
        <v>1.31E-3</v>
      </c>
    </row>
    <row r="1301" spans="1:5" x14ac:dyDescent="0.3">
      <c r="A1301" s="295">
        <v>2020</v>
      </c>
      <c r="B1301" s="295">
        <v>11</v>
      </c>
      <c r="C1301" s="295" t="s">
        <v>179</v>
      </c>
      <c r="D1301" s="295" t="s">
        <v>259</v>
      </c>
      <c r="E1301" s="296">
        <v>9.8999999999999999E-4</v>
      </c>
    </row>
    <row r="1302" spans="1:5" x14ac:dyDescent="0.3">
      <c r="A1302" s="295">
        <v>2020</v>
      </c>
      <c r="B1302" s="295">
        <v>11</v>
      </c>
      <c r="C1302" s="295" t="s">
        <v>179</v>
      </c>
      <c r="D1302" s="295" t="s">
        <v>85</v>
      </c>
      <c r="E1302" s="296">
        <v>6.9699999999999996E-3</v>
      </c>
    </row>
    <row r="1303" spans="1:5" x14ac:dyDescent="0.3">
      <c r="A1303" s="295">
        <v>2020</v>
      </c>
      <c r="B1303" s="295">
        <v>11</v>
      </c>
      <c r="C1303" s="295" t="s">
        <v>179</v>
      </c>
      <c r="D1303" s="295" t="s">
        <v>101</v>
      </c>
      <c r="E1303" s="296">
        <v>2.639E-2</v>
      </c>
    </row>
    <row r="1304" spans="1:5" x14ac:dyDescent="0.3">
      <c r="A1304" s="295">
        <v>2020</v>
      </c>
      <c r="B1304" s="295">
        <v>11</v>
      </c>
      <c r="C1304" s="295" t="s">
        <v>259</v>
      </c>
      <c r="D1304" s="295" t="s">
        <v>259</v>
      </c>
      <c r="E1304" s="296">
        <v>1</v>
      </c>
    </row>
    <row r="1305" spans="1:5" x14ac:dyDescent="0.3">
      <c r="A1305" s="295">
        <v>2020</v>
      </c>
      <c r="B1305" s="295">
        <v>11</v>
      </c>
      <c r="C1305" s="295" t="s">
        <v>85</v>
      </c>
      <c r="D1305" s="295" t="s">
        <v>85</v>
      </c>
      <c r="E1305" s="296">
        <v>1</v>
      </c>
    </row>
    <row r="1306" spans="1:5" x14ac:dyDescent="0.3">
      <c r="A1306" s="295">
        <v>2020</v>
      </c>
      <c r="B1306" s="295">
        <v>11</v>
      </c>
      <c r="C1306" s="295" t="s">
        <v>101</v>
      </c>
      <c r="D1306" s="295" t="s">
        <v>101</v>
      </c>
      <c r="E1306" s="296">
        <v>1</v>
      </c>
    </row>
    <row r="1307" spans="1:5" x14ac:dyDescent="0.3">
      <c r="A1307" s="295">
        <v>2020</v>
      </c>
      <c r="B1307" s="295">
        <v>11</v>
      </c>
      <c r="C1307" s="295" t="s">
        <v>179</v>
      </c>
      <c r="D1307" s="295" t="s">
        <v>179</v>
      </c>
      <c r="E1307" s="296">
        <v>1</v>
      </c>
    </row>
    <row r="1308" spans="1:5" x14ac:dyDescent="0.3">
      <c r="A1308" s="295">
        <v>2020</v>
      </c>
      <c r="B1308" s="295">
        <v>11</v>
      </c>
      <c r="C1308" s="295" t="s">
        <v>2</v>
      </c>
      <c r="D1308" s="295" t="s">
        <v>2</v>
      </c>
      <c r="E1308" s="296">
        <v>1</v>
      </c>
    </row>
    <row r="1309" spans="1:5" x14ac:dyDescent="0.3">
      <c r="A1309" s="295">
        <v>2020</v>
      </c>
      <c r="B1309" s="295">
        <v>11</v>
      </c>
      <c r="C1309" s="295" t="s">
        <v>1</v>
      </c>
      <c r="D1309" s="295" t="s">
        <v>1</v>
      </c>
      <c r="E1309" s="296">
        <v>1</v>
      </c>
    </row>
    <row r="1310" spans="1:5" x14ac:dyDescent="0.3">
      <c r="A1310" s="295">
        <v>2020</v>
      </c>
      <c r="B1310" s="295">
        <v>11</v>
      </c>
      <c r="C1310" s="295" t="s">
        <v>259</v>
      </c>
      <c r="D1310" s="295" t="s">
        <v>259</v>
      </c>
      <c r="E1310" s="296">
        <v>1</v>
      </c>
    </row>
    <row r="1311" spans="1:5" x14ac:dyDescent="0.3">
      <c r="A1311" s="295">
        <v>2020</v>
      </c>
      <c r="B1311" s="295">
        <v>11</v>
      </c>
      <c r="C1311" s="295" t="s">
        <v>101</v>
      </c>
      <c r="D1311" s="295" t="s">
        <v>101</v>
      </c>
      <c r="E1311" s="296">
        <v>1</v>
      </c>
    </row>
    <row r="1312" spans="1:5" x14ac:dyDescent="0.3">
      <c r="A1312" s="295">
        <v>2020</v>
      </c>
      <c r="B1312" s="295">
        <v>11</v>
      </c>
      <c r="C1312" s="295" t="s">
        <v>179</v>
      </c>
      <c r="D1312" s="295" t="s">
        <v>179</v>
      </c>
      <c r="E1312" s="296">
        <v>1</v>
      </c>
    </row>
    <row r="1313" spans="1:5" x14ac:dyDescent="0.3">
      <c r="A1313" s="295">
        <v>2020</v>
      </c>
      <c r="B1313" s="295">
        <v>12</v>
      </c>
      <c r="C1313" s="295" t="s">
        <v>1</v>
      </c>
      <c r="D1313" s="295" t="s">
        <v>2</v>
      </c>
      <c r="E1313" s="296">
        <v>1.2271000000000001</v>
      </c>
    </row>
    <row r="1314" spans="1:5" x14ac:dyDescent="0.3">
      <c r="A1314" s="295">
        <v>2020</v>
      </c>
      <c r="B1314" s="295">
        <v>12</v>
      </c>
      <c r="C1314" s="295" t="s">
        <v>1</v>
      </c>
      <c r="D1314" s="295" t="s">
        <v>259</v>
      </c>
      <c r="E1314" s="296">
        <v>0.89903</v>
      </c>
    </row>
    <row r="1315" spans="1:5" x14ac:dyDescent="0.3">
      <c r="A1315" s="295">
        <v>2020</v>
      </c>
      <c r="B1315" s="295">
        <v>12</v>
      </c>
      <c r="C1315" s="295" t="s">
        <v>1</v>
      </c>
      <c r="D1315" s="295" t="s">
        <v>85</v>
      </c>
      <c r="E1315" s="296">
        <v>6.3734999999999999</v>
      </c>
    </row>
    <row r="1316" spans="1:5" x14ac:dyDescent="0.3">
      <c r="A1316" s="295">
        <v>2020</v>
      </c>
      <c r="B1316" s="295">
        <v>12</v>
      </c>
      <c r="C1316" s="295" t="s">
        <v>1</v>
      </c>
      <c r="D1316" s="295" t="s">
        <v>101</v>
      </c>
      <c r="E1316" s="296">
        <v>24.416</v>
      </c>
    </row>
    <row r="1317" spans="1:5" x14ac:dyDescent="0.3">
      <c r="A1317" s="295">
        <v>2020</v>
      </c>
      <c r="B1317" s="295">
        <v>12</v>
      </c>
      <c r="C1317" s="295" t="s">
        <v>1</v>
      </c>
      <c r="D1317" s="295" t="s">
        <v>179</v>
      </c>
      <c r="E1317" s="296">
        <v>870.93399999999997</v>
      </c>
    </row>
    <row r="1318" spans="1:5" x14ac:dyDescent="0.3">
      <c r="A1318" s="295">
        <v>2020</v>
      </c>
      <c r="B1318" s="295">
        <v>12</v>
      </c>
      <c r="C1318" s="295" t="s">
        <v>2</v>
      </c>
      <c r="D1318" s="295" t="s">
        <v>1</v>
      </c>
      <c r="E1318" s="296">
        <v>0.81493000000000004</v>
      </c>
    </row>
    <row r="1319" spans="1:5" x14ac:dyDescent="0.3">
      <c r="A1319" s="295">
        <v>2020</v>
      </c>
      <c r="B1319" s="295">
        <v>12</v>
      </c>
      <c r="C1319" s="295" t="s">
        <v>2</v>
      </c>
      <c r="D1319" s="295" t="s">
        <v>259</v>
      </c>
      <c r="E1319" s="296">
        <v>0.73265000000000002</v>
      </c>
    </row>
    <row r="1320" spans="1:5" x14ac:dyDescent="0.3">
      <c r="A1320" s="295">
        <v>2020</v>
      </c>
      <c r="B1320" s="295">
        <v>12</v>
      </c>
      <c r="C1320" s="295" t="s">
        <v>2</v>
      </c>
      <c r="D1320" s="295" t="s">
        <v>85</v>
      </c>
      <c r="E1320" s="296">
        <v>5.1939500000000001</v>
      </c>
    </row>
    <row r="1321" spans="1:5" x14ac:dyDescent="0.3">
      <c r="A1321" s="295">
        <v>2020</v>
      </c>
      <c r="B1321" s="295">
        <v>12</v>
      </c>
      <c r="C1321" s="295" t="s">
        <v>2</v>
      </c>
      <c r="D1321" s="295" t="s">
        <v>101</v>
      </c>
      <c r="E1321" s="296">
        <v>19.897320000000001</v>
      </c>
    </row>
    <row r="1322" spans="1:5" x14ac:dyDescent="0.3">
      <c r="A1322" s="295">
        <v>2020</v>
      </c>
      <c r="B1322" s="295">
        <v>12</v>
      </c>
      <c r="C1322" s="295" t="s">
        <v>2</v>
      </c>
      <c r="D1322" s="295" t="s">
        <v>179</v>
      </c>
      <c r="E1322" s="296">
        <v>709.74982</v>
      </c>
    </row>
    <row r="1323" spans="1:5" x14ac:dyDescent="0.3">
      <c r="A1323" s="295">
        <v>2020</v>
      </c>
      <c r="B1323" s="295">
        <v>12</v>
      </c>
      <c r="C1323" s="295" t="s">
        <v>259</v>
      </c>
      <c r="D1323" s="295" t="s">
        <v>1</v>
      </c>
      <c r="E1323" s="296">
        <v>1.1123099999999999</v>
      </c>
    </row>
    <row r="1324" spans="1:5" x14ac:dyDescent="0.3">
      <c r="A1324" s="295">
        <v>2020</v>
      </c>
      <c r="B1324" s="295">
        <v>12</v>
      </c>
      <c r="C1324" s="295" t="s">
        <v>259</v>
      </c>
      <c r="D1324" s="295" t="s">
        <v>2</v>
      </c>
      <c r="E1324" s="296">
        <v>1.3649199999999999</v>
      </c>
    </row>
    <row r="1325" spans="1:5" x14ac:dyDescent="0.3">
      <c r="A1325" s="295">
        <v>2020</v>
      </c>
      <c r="B1325" s="295">
        <v>12</v>
      </c>
      <c r="C1325" s="295" t="s">
        <v>259</v>
      </c>
      <c r="D1325" s="295" t="s">
        <v>85</v>
      </c>
      <c r="E1325" s="296">
        <v>7.0893100000000002</v>
      </c>
    </row>
    <row r="1326" spans="1:5" x14ac:dyDescent="0.3">
      <c r="A1326" s="295">
        <v>2020</v>
      </c>
      <c r="B1326" s="295">
        <v>12</v>
      </c>
      <c r="C1326" s="295" t="s">
        <v>259</v>
      </c>
      <c r="D1326" s="295" t="s">
        <v>101</v>
      </c>
      <c r="E1326" s="296">
        <v>27.158159999999999</v>
      </c>
    </row>
    <row r="1327" spans="1:5" x14ac:dyDescent="0.3">
      <c r="A1327" s="295">
        <v>2020</v>
      </c>
      <c r="B1327" s="295">
        <v>12</v>
      </c>
      <c r="C1327" s="295" t="s">
        <v>259</v>
      </c>
      <c r="D1327" s="295" t="s">
        <v>179</v>
      </c>
      <c r="E1327" s="296">
        <v>968.74854000000005</v>
      </c>
    </row>
    <row r="1328" spans="1:5" x14ac:dyDescent="0.3">
      <c r="A1328" s="295">
        <v>2020</v>
      </c>
      <c r="B1328" s="295">
        <v>12</v>
      </c>
      <c r="C1328" s="295" t="s">
        <v>85</v>
      </c>
      <c r="D1328" s="295" t="s">
        <v>1</v>
      </c>
      <c r="E1328" s="296">
        <v>0.15690000000000001</v>
      </c>
    </row>
    <row r="1329" spans="1:5" x14ac:dyDescent="0.3">
      <c r="A1329" s="295">
        <v>2020</v>
      </c>
      <c r="B1329" s="295">
        <v>12</v>
      </c>
      <c r="C1329" s="295" t="s">
        <v>85</v>
      </c>
      <c r="D1329" s="295" t="s">
        <v>2</v>
      </c>
      <c r="E1329" s="296">
        <v>0.19253000000000001</v>
      </c>
    </row>
    <row r="1330" spans="1:5" x14ac:dyDescent="0.3">
      <c r="A1330" s="295">
        <v>2020</v>
      </c>
      <c r="B1330" s="295">
        <v>12</v>
      </c>
      <c r="C1330" s="295" t="s">
        <v>85</v>
      </c>
      <c r="D1330" s="295" t="s">
        <v>259</v>
      </c>
      <c r="E1330" s="296">
        <v>0.14105999999999999</v>
      </c>
    </row>
    <row r="1331" spans="1:5" x14ac:dyDescent="0.3">
      <c r="A1331" s="295">
        <v>2020</v>
      </c>
      <c r="B1331" s="295">
        <v>12</v>
      </c>
      <c r="C1331" s="295" t="s">
        <v>85</v>
      </c>
      <c r="D1331" s="295" t="s">
        <v>101</v>
      </c>
      <c r="E1331" s="296">
        <v>3.8308599999999999</v>
      </c>
    </row>
    <row r="1332" spans="1:5" x14ac:dyDescent="0.3">
      <c r="A1332" s="295">
        <v>2020</v>
      </c>
      <c r="B1332" s="295">
        <v>12</v>
      </c>
      <c r="C1332" s="295" t="s">
        <v>85</v>
      </c>
      <c r="D1332" s="295" t="s">
        <v>179</v>
      </c>
      <c r="E1332" s="296">
        <v>136.64924999999999</v>
      </c>
    </row>
    <row r="1333" spans="1:5" x14ac:dyDescent="0.3">
      <c r="A1333" s="295">
        <v>2020</v>
      </c>
      <c r="B1333" s="295">
        <v>12</v>
      </c>
      <c r="C1333" s="295" t="s">
        <v>101</v>
      </c>
      <c r="D1333" s="295" t="s">
        <v>1</v>
      </c>
      <c r="E1333" s="296">
        <v>4.0960000000000003E-2</v>
      </c>
    </row>
    <row r="1334" spans="1:5" x14ac:dyDescent="0.3">
      <c r="A1334" s="295">
        <v>2020</v>
      </c>
      <c r="B1334" s="295">
        <v>12</v>
      </c>
      <c r="C1334" s="295" t="s">
        <v>101</v>
      </c>
      <c r="D1334" s="295" t="s">
        <v>2</v>
      </c>
      <c r="E1334" s="296">
        <v>5.0259999999999999E-2</v>
      </c>
    </row>
    <row r="1335" spans="1:5" x14ac:dyDescent="0.3">
      <c r="A1335" s="295">
        <v>2020</v>
      </c>
      <c r="B1335" s="295">
        <v>12</v>
      </c>
      <c r="C1335" s="295" t="s">
        <v>101</v>
      </c>
      <c r="D1335" s="295" t="s">
        <v>259</v>
      </c>
      <c r="E1335" s="296">
        <v>3.6819999999999999E-2</v>
      </c>
    </row>
    <row r="1336" spans="1:5" x14ac:dyDescent="0.3">
      <c r="A1336" s="295">
        <v>2020</v>
      </c>
      <c r="B1336" s="295">
        <v>12</v>
      </c>
      <c r="C1336" s="295" t="s">
        <v>101</v>
      </c>
      <c r="D1336" s="295" t="s">
        <v>85</v>
      </c>
      <c r="E1336" s="296">
        <v>0.26103999999999999</v>
      </c>
    </row>
    <row r="1337" spans="1:5" x14ac:dyDescent="0.3">
      <c r="A1337" s="295">
        <v>2020</v>
      </c>
      <c r="B1337" s="295">
        <v>12</v>
      </c>
      <c r="C1337" s="295" t="s">
        <v>101</v>
      </c>
      <c r="D1337" s="295" t="s">
        <v>179</v>
      </c>
      <c r="E1337" s="296">
        <v>35.670630000000003</v>
      </c>
    </row>
    <row r="1338" spans="1:5" x14ac:dyDescent="0.3">
      <c r="A1338" s="295">
        <v>2020</v>
      </c>
      <c r="B1338" s="295">
        <v>12</v>
      </c>
      <c r="C1338" s="295" t="s">
        <v>179</v>
      </c>
      <c r="D1338" s="295" t="s">
        <v>1</v>
      </c>
      <c r="E1338" s="296">
        <v>1.15E-3</v>
      </c>
    </row>
    <row r="1339" spans="1:5" x14ac:dyDescent="0.3">
      <c r="A1339" s="295">
        <v>2020</v>
      </c>
      <c r="B1339" s="295">
        <v>12</v>
      </c>
      <c r="C1339" s="295" t="s">
        <v>179</v>
      </c>
      <c r="D1339" s="295" t="s">
        <v>2</v>
      </c>
      <c r="E1339" s="296">
        <v>1.41E-3</v>
      </c>
    </row>
    <row r="1340" spans="1:5" x14ac:dyDescent="0.3">
      <c r="A1340" s="295">
        <v>2020</v>
      </c>
      <c r="B1340" s="295">
        <v>12</v>
      </c>
      <c r="C1340" s="295" t="s">
        <v>179</v>
      </c>
      <c r="D1340" s="295" t="s">
        <v>259</v>
      </c>
      <c r="E1340" s="296">
        <v>1.0300000000000001E-3</v>
      </c>
    </row>
    <row r="1341" spans="1:5" x14ac:dyDescent="0.3">
      <c r="A1341" s="295">
        <v>2020</v>
      </c>
      <c r="B1341" s="295">
        <v>12</v>
      </c>
      <c r="C1341" s="295" t="s">
        <v>179</v>
      </c>
      <c r="D1341" s="295" t="s">
        <v>85</v>
      </c>
      <c r="E1341" s="296">
        <v>7.3200000000000001E-3</v>
      </c>
    </row>
    <row r="1342" spans="1:5" x14ac:dyDescent="0.3">
      <c r="A1342" s="295">
        <v>2020</v>
      </c>
      <c r="B1342" s="295">
        <v>12</v>
      </c>
      <c r="C1342" s="295" t="s">
        <v>179</v>
      </c>
      <c r="D1342" s="295" t="s">
        <v>101</v>
      </c>
      <c r="E1342" s="296">
        <v>2.8029999999999999E-2</v>
      </c>
    </row>
    <row r="1343" spans="1:5" x14ac:dyDescent="0.3">
      <c r="A1343" s="295">
        <v>2020</v>
      </c>
      <c r="B1343" s="295">
        <v>12</v>
      </c>
      <c r="C1343" s="295" t="s">
        <v>259</v>
      </c>
      <c r="D1343" s="295" t="s">
        <v>259</v>
      </c>
      <c r="E1343" s="296">
        <v>1</v>
      </c>
    </row>
    <row r="1344" spans="1:5" x14ac:dyDescent="0.3">
      <c r="A1344" s="295">
        <v>2020</v>
      </c>
      <c r="B1344" s="295">
        <v>12</v>
      </c>
      <c r="C1344" s="295" t="s">
        <v>85</v>
      </c>
      <c r="D1344" s="295" t="s">
        <v>85</v>
      </c>
      <c r="E1344" s="296">
        <v>1</v>
      </c>
    </row>
    <row r="1345" spans="1:5" x14ac:dyDescent="0.3">
      <c r="A1345" s="295">
        <v>2020</v>
      </c>
      <c r="B1345" s="295">
        <v>12</v>
      </c>
      <c r="C1345" s="295" t="s">
        <v>101</v>
      </c>
      <c r="D1345" s="295" t="s">
        <v>101</v>
      </c>
      <c r="E1345" s="296">
        <v>1</v>
      </c>
    </row>
    <row r="1346" spans="1:5" x14ac:dyDescent="0.3">
      <c r="A1346" s="295">
        <v>2020</v>
      </c>
      <c r="B1346" s="295">
        <v>12</v>
      </c>
      <c r="C1346" s="295" t="s">
        <v>179</v>
      </c>
      <c r="D1346" s="295" t="s">
        <v>179</v>
      </c>
      <c r="E1346" s="296">
        <v>1</v>
      </c>
    </row>
    <row r="1347" spans="1:5" x14ac:dyDescent="0.3">
      <c r="A1347" s="295">
        <v>2020</v>
      </c>
      <c r="B1347" s="295">
        <v>12</v>
      </c>
      <c r="C1347" s="295" t="s">
        <v>2</v>
      </c>
      <c r="D1347" s="295" t="s">
        <v>2</v>
      </c>
      <c r="E1347" s="296">
        <v>1</v>
      </c>
    </row>
    <row r="1348" spans="1:5" x14ac:dyDescent="0.3">
      <c r="A1348" s="295">
        <v>2020</v>
      </c>
      <c r="B1348" s="295">
        <v>12</v>
      </c>
      <c r="C1348" s="295" t="s">
        <v>1</v>
      </c>
      <c r="D1348" s="295" t="s">
        <v>1</v>
      </c>
      <c r="E1348" s="296">
        <v>1</v>
      </c>
    </row>
    <row r="1349" spans="1:5" x14ac:dyDescent="0.3">
      <c r="A1349" s="295">
        <v>2020</v>
      </c>
      <c r="B1349" s="295">
        <v>12</v>
      </c>
      <c r="C1349" s="295" t="s">
        <v>259</v>
      </c>
      <c r="D1349" s="295" t="s">
        <v>259</v>
      </c>
      <c r="E1349" s="296">
        <v>1</v>
      </c>
    </row>
    <row r="1350" spans="1:5" x14ac:dyDescent="0.3">
      <c r="A1350" s="295">
        <v>2020</v>
      </c>
      <c r="B1350" s="295">
        <v>12</v>
      </c>
      <c r="C1350" s="295" t="s">
        <v>101</v>
      </c>
      <c r="D1350" s="295" t="s">
        <v>101</v>
      </c>
      <c r="E1350" s="296">
        <v>1</v>
      </c>
    </row>
    <row r="1351" spans="1:5" x14ac:dyDescent="0.3">
      <c r="A1351" s="295">
        <v>2020</v>
      </c>
      <c r="B1351" s="295">
        <v>12</v>
      </c>
      <c r="C1351" s="295" t="s">
        <v>179</v>
      </c>
      <c r="D1351" s="295" t="s">
        <v>179</v>
      </c>
      <c r="E1351" s="296">
        <v>1</v>
      </c>
    </row>
    <row r="1352" spans="1:5" x14ac:dyDescent="0.3">
      <c r="A1352" s="295">
        <v>2021</v>
      </c>
      <c r="B1352" s="295">
        <v>1</v>
      </c>
      <c r="C1352" s="295" t="s">
        <v>1</v>
      </c>
      <c r="D1352" s="295" t="s">
        <v>2</v>
      </c>
      <c r="E1352" s="296">
        <v>1.2136</v>
      </c>
    </row>
    <row r="1353" spans="1:5" x14ac:dyDescent="0.3">
      <c r="A1353" s="295">
        <v>2021</v>
      </c>
      <c r="B1353" s="295">
        <v>1</v>
      </c>
      <c r="C1353" s="295" t="s">
        <v>1</v>
      </c>
      <c r="D1353" s="295" t="s">
        <v>259</v>
      </c>
      <c r="E1353" s="296">
        <v>0.88383</v>
      </c>
    </row>
    <row r="1354" spans="1:5" x14ac:dyDescent="0.3">
      <c r="A1354" s="295">
        <v>2021</v>
      </c>
      <c r="B1354" s="295">
        <v>1</v>
      </c>
      <c r="C1354" s="295" t="s">
        <v>1</v>
      </c>
      <c r="D1354" s="295" t="s">
        <v>85</v>
      </c>
      <c r="E1354" s="296">
        <v>6.6567999999999996</v>
      </c>
    </row>
    <row r="1355" spans="1:5" x14ac:dyDescent="0.3">
      <c r="A1355" s="295">
        <v>2021</v>
      </c>
      <c r="B1355" s="295">
        <v>1</v>
      </c>
      <c r="C1355" s="295" t="s">
        <v>1</v>
      </c>
      <c r="D1355" s="295" t="s">
        <v>101</v>
      </c>
      <c r="E1355" s="296">
        <v>24.541699999999999</v>
      </c>
    </row>
    <row r="1356" spans="1:5" x14ac:dyDescent="0.3">
      <c r="A1356" s="295">
        <v>2021</v>
      </c>
      <c r="B1356" s="295">
        <v>1</v>
      </c>
      <c r="C1356" s="295" t="s">
        <v>1</v>
      </c>
      <c r="D1356" s="295" t="s">
        <v>179</v>
      </c>
      <c r="E1356" s="296">
        <v>891.49800000000005</v>
      </c>
    </row>
    <row r="1357" spans="1:5" x14ac:dyDescent="0.3">
      <c r="A1357" s="295">
        <v>2021</v>
      </c>
      <c r="B1357" s="295">
        <v>1</v>
      </c>
      <c r="C1357" s="295" t="s">
        <v>2</v>
      </c>
      <c r="D1357" s="295" t="s">
        <v>1</v>
      </c>
      <c r="E1357" s="296">
        <v>0.82399</v>
      </c>
    </row>
    <row r="1358" spans="1:5" x14ac:dyDescent="0.3">
      <c r="A1358" s="295">
        <v>2021</v>
      </c>
      <c r="B1358" s="295">
        <v>1</v>
      </c>
      <c r="C1358" s="295" t="s">
        <v>2</v>
      </c>
      <c r="D1358" s="295" t="s">
        <v>259</v>
      </c>
      <c r="E1358" s="296">
        <v>0.72826999999999997</v>
      </c>
    </row>
    <row r="1359" spans="1:5" x14ac:dyDescent="0.3">
      <c r="A1359" s="295">
        <v>2021</v>
      </c>
      <c r="B1359" s="295">
        <v>1</v>
      </c>
      <c r="C1359" s="295" t="s">
        <v>2</v>
      </c>
      <c r="D1359" s="295" t="s">
        <v>85</v>
      </c>
      <c r="E1359" s="296">
        <v>5.4851700000000001</v>
      </c>
    </row>
    <row r="1360" spans="1:5" x14ac:dyDescent="0.3">
      <c r="A1360" s="295">
        <v>2021</v>
      </c>
      <c r="B1360" s="295">
        <v>1</v>
      </c>
      <c r="C1360" s="295" t="s">
        <v>2</v>
      </c>
      <c r="D1360" s="295" t="s">
        <v>101</v>
      </c>
      <c r="E1360" s="296">
        <v>20.22223</v>
      </c>
    </row>
    <row r="1361" spans="1:5" x14ac:dyDescent="0.3">
      <c r="A1361" s="295">
        <v>2021</v>
      </c>
      <c r="B1361" s="295">
        <v>1</v>
      </c>
      <c r="C1361" s="295" t="s">
        <v>2</v>
      </c>
      <c r="D1361" s="295" t="s">
        <v>179</v>
      </c>
      <c r="E1361" s="296">
        <v>734.58965000000001</v>
      </c>
    </row>
    <row r="1362" spans="1:5" x14ac:dyDescent="0.3">
      <c r="A1362" s="295">
        <v>2021</v>
      </c>
      <c r="B1362" s="295">
        <v>1</v>
      </c>
      <c r="C1362" s="295" t="s">
        <v>259</v>
      </c>
      <c r="D1362" s="295" t="s">
        <v>1</v>
      </c>
      <c r="E1362" s="296">
        <v>1.13144</v>
      </c>
    </row>
    <row r="1363" spans="1:5" x14ac:dyDescent="0.3">
      <c r="A1363" s="295">
        <v>2021</v>
      </c>
      <c r="B1363" s="295">
        <v>1</v>
      </c>
      <c r="C1363" s="295" t="s">
        <v>259</v>
      </c>
      <c r="D1363" s="295" t="s">
        <v>2</v>
      </c>
      <c r="E1363" s="296">
        <v>1.3731100000000001</v>
      </c>
    </row>
    <row r="1364" spans="1:5" x14ac:dyDescent="0.3">
      <c r="A1364" s="295">
        <v>2021</v>
      </c>
      <c r="B1364" s="295">
        <v>1</v>
      </c>
      <c r="C1364" s="295" t="s">
        <v>259</v>
      </c>
      <c r="D1364" s="295" t="s">
        <v>85</v>
      </c>
      <c r="E1364" s="296">
        <v>7.5317699999999999</v>
      </c>
    </row>
    <row r="1365" spans="1:5" x14ac:dyDescent="0.3">
      <c r="A1365" s="295">
        <v>2021</v>
      </c>
      <c r="B1365" s="295">
        <v>1</v>
      </c>
      <c r="C1365" s="295" t="s">
        <v>259</v>
      </c>
      <c r="D1365" s="295" t="s">
        <v>101</v>
      </c>
      <c r="E1365" s="296">
        <v>27.767440000000001</v>
      </c>
    </row>
    <row r="1366" spans="1:5" x14ac:dyDescent="0.3">
      <c r="A1366" s="295">
        <v>2021</v>
      </c>
      <c r="B1366" s="295">
        <v>1</v>
      </c>
      <c r="C1366" s="295" t="s">
        <v>259</v>
      </c>
      <c r="D1366" s="295" t="s">
        <v>179</v>
      </c>
      <c r="E1366" s="296">
        <v>1008.67588</v>
      </c>
    </row>
    <row r="1367" spans="1:5" x14ac:dyDescent="0.3">
      <c r="A1367" s="295">
        <v>2021</v>
      </c>
      <c r="B1367" s="295">
        <v>1</v>
      </c>
      <c r="C1367" s="295" t="s">
        <v>85</v>
      </c>
      <c r="D1367" s="295" t="s">
        <v>1</v>
      </c>
      <c r="E1367" s="296">
        <v>0.15021999999999999</v>
      </c>
    </row>
    <row r="1368" spans="1:5" x14ac:dyDescent="0.3">
      <c r="A1368" s="295">
        <v>2021</v>
      </c>
      <c r="B1368" s="295">
        <v>1</v>
      </c>
      <c r="C1368" s="295" t="s">
        <v>85</v>
      </c>
      <c r="D1368" s="295" t="s">
        <v>2</v>
      </c>
      <c r="E1368" s="296">
        <v>0.18231</v>
      </c>
    </row>
    <row r="1369" spans="1:5" x14ac:dyDescent="0.3">
      <c r="A1369" s="295">
        <v>2021</v>
      </c>
      <c r="B1369" s="295">
        <v>1</v>
      </c>
      <c r="C1369" s="295" t="s">
        <v>85</v>
      </c>
      <c r="D1369" s="295" t="s">
        <v>259</v>
      </c>
      <c r="E1369" s="296">
        <v>0.13277</v>
      </c>
    </row>
    <row r="1370" spans="1:5" x14ac:dyDescent="0.3">
      <c r="A1370" s="295">
        <v>2021</v>
      </c>
      <c r="B1370" s="295">
        <v>1</v>
      </c>
      <c r="C1370" s="295" t="s">
        <v>85</v>
      </c>
      <c r="D1370" s="295" t="s">
        <v>101</v>
      </c>
      <c r="E1370" s="296">
        <v>3.6867100000000002</v>
      </c>
    </row>
    <row r="1371" spans="1:5" x14ac:dyDescent="0.3">
      <c r="A1371" s="295">
        <v>2021</v>
      </c>
      <c r="B1371" s="295">
        <v>1</v>
      </c>
      <c r="C1371" s="295" t="s">
        <v>85</v>
      </c>
      <c r="D1371" s="295" t="s">
        <v>179</v>
      </c>
      <c r="E1371" s="296">
        <v>133.92291</v>
      </c>
    </row>
    <row r="1372" spans="1:5" x14ac:dyDescent="0.3">
      <c r="A1372" s="295">
        <v>2021</v>
      </c>
      <c r="B1372" s="295">
        <v>1</v>
      </c>
      <c r="C1372" s="295" t="s">
        <v>101</v>
      </c>
      <c r="D1372" s="295" t="s">
        <v>1</v>
      </c>
      <c r="E1372" s="296">
        <v>4.0750000000000001E-2</v>
      </c>
    </row>
    <row r="1373" spans="1:5" x14ac:dyDescent="0.3">
      <c r="A1373" s="295">
        <v>2021</v>
      </c>
      <c r="B1373" s="295">
        <v>1</v>
      </c>
      <c r="C1373" s="295" t="s">
        <v>101</v>
      </c>
      <c r="D1373" s="295" t="s">
        <v>2</v>
      </c>
      <c r="E1373" s="296">
        <v>4.9450000000000001E-2</v>
      </c>
    </row>
    <row r="1374" spans="1:5" x14ac:dyDescent="0.3">
      <c r="A1374" s="295">
        <v>2021</v>
      </c>
      <c r="B1374" s="295">
        <v>1</v>
      </c>
      <c r="C1374" s="295" t="s">
        <v>101</v>
      </c>
      <c r="D1374" s="295" t="s">
        <v>259</v>
      </c>
      <c r="E1374" s="296">
        <v>3.601E-2</v>
      </c>
    </row>
    <row r="1375" spans="1:5" x14ac:dyDescent="0.3">
      <c r="A1375" s="295">
        <v>2021</v>
      </c>
      <c r="B1375" s="295">
        <v>1</v>
      </c>
      <c r="C1375" s="295" t="s">
        <v>101</v>
      </c>
      <c r="D1375" s="295" t="s">
        <v>85</v>
      </c>
      <c r="E1375" s="296">
        <v>0.27123999999999998</v>
      </c>
    </row>
    <row r="1376" spans="1:5" x14ac:dyDescent="0.3">
      <c r="A1376" s="295">
        <v>2021</v>
      </c>
      <c r="B1376" s="295">
        <v>1</v>
      </c>
      <c r="C1376" s="295" t="s">
        <v>101</v>
      </c>
      <c r="D1376" s="295" t="s">
        <v>179</v>
      </c>
      <c r="E1376" s="296">
        <v>36.325850000000003</v>
      </c>
    </row>
    <row r="1377" spans="1:5" x14ac:dyDescent="0.3">
      <c r="A1377" s="295">
        <v>2021</v>
      </c>
      <c r="B1377" s="295">
        <v>1</v>
      </c>
      <c r="C1377" s="295" t="s">
        <v>179</v>
      </c>
      <c r="D1377" s="295" t="s">
        <v>1</v>
      </c>
      <c r="E1377" s="296">
        <v>1.1199999999999999E-3</v>
      </c>
    </row>
    <row r="1378" spans="1:5" x14ac:dyDescent="0.3">
      <c r="A1378" s="295">
        <v>2021</v>
      </c>
      <c r="B1378" s="295">
        <v>1</v>
      </c>
      <c r="C1378" s="295" t="s">
        <v>179</v>
      </c>
      <c r="D1378" s="295" t="s">
        <v>2</v>
      </c>
      <c r="E1378" s="296">
        <v>1.3600000000000001E-3</v>
      </c>
    </row>
    <row r="1379" spans="1:5" x14ac:dyDescent="0.3">
      <c r="A1379" s="295">
        <v>2021</v>
      </c>
      <c r="B1379" s="295">
        <v>1</v>
      </c>
      <c r="C1379" s="295" t="s">
        <v>179</v>
      </c>
      <c r="D1379" s="295" t="s">
        <v>259</v>
      </c>
      <c r="E1379" s="296">
        <v>9.8999999999999999E-4</v>
      </c>
    </row>
    <row r="1380" spans="1:5" x14ac:dyDescent="0.3">
      <c r="A1380" s="295">
        <v>2021</v>
      </c>
      <c r="B1380" s="295">
        <v>1</v>
      </c>
      <c r="C1380" s="295" t="s">
        <v>179</v>
      </c>
      <c r="D1380" s="295" t="s">
        <v>85</v>
      </c>
      <c r="E1380" s="296">
        <v>7.4700000000000001E-3</v>
      </c>
    </row>
    <row r="1381" spans="1:5" x14ac:dyDescent="0.3">
      <c r="A1381" s="295">
        <v>2021</v>
      </c>
      <c r="B1381" s="295">
        <v>1</v>
      </c>
      <c r="C1381" s="295" t="s">
        <v>179</v>
      </c>
      <c r="D1381" s="295" t="s">
        <v>101</v>
      </c>
      <c r="E1381" s="296">
        <v>2.7529999999999999E-2</v>
      </c>
    </row>
    <row r="1382" spans="1:5" x14ac:dyDescent="0.3">
      <c r="A1382" s="295">
        <v>2021</v>
      </c>
      <c r="B1382" s="295">
        <v>1</v>
      </c>
      <c r="C1382" s="295" t="s">
        <v>1</v>
      </c>
      <c r="D1382" s="295" t="s">
        <v>1</v>
      </c>
      <c r="E1382" s="296">
        <v>1</v>
      </c>
    </row>
    <row r="1383" spans="1:5" x14ac:dyDescent="0.3">
      <c r="A1383" s="295">
        <v>2021</v>
      </c>
      <c r="B1383" s="295">
        <v>1</v>
      </c>
      <c r="C1383" s="295" t="s">
        <v>2</v>
      </c>
      <c r="D1383" s="295" t="s">
        <v>2</v>
      </c>
      <c r="E1383" s="296">
        <v>1</v>
      </c>
    </row>
    <row r="1384" spans="1:5" x14ac:dyDescent="0.3">
      <c r="A1384" s="295">
        <v>2021</v>
      </c>
      <c r="B1384" s="295">
        <v>1</v>
      </c>
      <c r="C1384" s="295" t="s">
        <v>259</v>
      </c>
      <c r="D1384" s="295" t="s">
        <v>259</v>
      </c>
      <c r="E1384" s="296">
        <v>1</v>
      </c>
    </row>
    <row r="1385" spans="1:5" x14ac:dyDescent="0.3">
      <c r="A1385" s="295">
        <v>2021</v>
      </c>
      <c r="B1385" s="295">
        <v>1</v>
      </c>
      <c r="C1385" s="295" t="s">
        <v>85</v>
      </c>
      <c r="D1385" s="295" t="s">
        <v>85</v>
      </c>
      <c r="E1385" s="296">
        <v>1</v>
      </c>
    </row>
    <row r="1386" spans="1:5" x14ac:dyDescent="0.3">
      <c r="A1386" s="295">
        <v>2021</v>
      </c>
      <c r="B1386" s="295">
        <v>1</v>
      </c>
      <c r="C1386" s="295" t="s">
        <v>101</v>
      </c>
      <c r="D1386" s="295" t="s">
        <v>101</v>
      </c>
      <c r="E1386" s="296">
        <v>1</v>
      </c>
    </row>
    <row r="1387" spans="1:5" x14ac:dyDescent="0.3">
      <c r="A1387" s="295">
        <v>2021</v>
      </c>
      <c r="B1387" s="295">
        <v>1</v>
      </c>
      <c r="C1387" s="295" t="s">
        <v>179</v>
      </c>
      <c r="D1387" s="295" t="s">
        <v>179</v>
      </c>
      <c r="E1387" s="296">
        <v>1</v>
      </c>
    </row>
    <row r="1388" spans="1:5" x14ac:dyDescent="0.3">
      <c r="A1388" s="295">
        <v>2021</v>
      </c>
      <c r="B1388" s="295">
        <v>2</v>
      </c>
      <c r="C1388" s="295" t="s">
        <v>1</v>
      </c>
      <c r="D1388" s="295" t="s">
        <v>2</v>
      </c>
      <c r="E1388" s="296">
        <v>1.2121</v>
      </c>
    </row>
    <row r="1389" spans="1:5" x14ac:dyDescent="0.3">
      <c r="A1389" s="295">
        <v>2021</v>
      </c>
      <c r="B1389" s="295">
        <v>2</v>
      </c>
      <c r="C1389" s="295" t="s">
        <v>1</v>
      </c>
      <c r="D1389" s="295" t="s">
        <v>259</v>
      </c>
      <c r="E1389" s="296">
        <v>0.87053000000000003</v>
      </c>
    </row>
    <row r="1390" spans="1:5" x14ac:dyDescent="0.3">
      <c r="A1390" s="295">
        <v>2021</v>
      </c>
      <c r="B1390" s="295">
        <v>2</v>
      </c>
      <c r="C1390" s="295" t="s">
        <v>1</v>
      </c>
      <c r="D1390" s="295" t="s">
        <v>85</v>
      </c>
      <c r="E1390" s="296">
        <v>6.6643999999999997</v>
      </c>
    </row>
    <row r="1391" spans="1:5" x14ac:dyDescent="0.3">
      <c r="A1391" s="295">
        <v>2021</v>
      </c>
      <c r="B1391" s="295">
        <v>2</v>
      </c>
      <c r="C1391" s="295" t="s">
        <v>1</v>
      </c>
      <c r="D1391" s="295" t="s">
        <v>101</v>
      </c>
      <c r="E1391" s="296">
        <v>25.2879</v>
      </c>
    </row>
    <row r="1392" spans="1:5" x14ac:dyDescent="0.3">
      <c r="A1392" s="295">
        <v>2021</v>
      </c>
      <c r="B1392" s="295">
        <v>2</v>
      </c>
      <c r="C1392" s="295" t="s">
        <v>1</v>
      </c>
      <c r="D1392" s="295" t="s">
        <v>179</v>
      </c>
      <c r="E1392" s="296">
        <v>876.96600000000001</v>
      </c>
    </row>
    <row r="1393" spans="1:5" x14ac:dyDescent="0.3">
      <c r="A1393" s="295">
        <v>2021</v>
      </c>
      <c r="B1393" s="295">
        <v>2</v>
      </c>
      <c r="C1393" s="295" t="s">
        <v>2</v>
      </c>
      <c r="D1393" s="295" t="s">
        <v>1</v>
      </c>
      <c r="E1393" s="296">
        <v>0.82501000000000002</v>
      </c>
    </row>
    <row r="1394" spans="1:5" x14ac:dyDescent="0.3">
      <c r="A1394" s="295">
        <v>2021</v>
      </c>
      <c r="B1394" s="295">
        <v>2</v>
      </c>
      <c r="C1394" s="295" t="s">
        <v>2</v>
      </c>
      <c r="D1394" s="295" t="s">
        <v>259</v>
      </c>
      <c r="E1394" s="296">
        <v>0.71819999999999995</v>
      </c>
    </row>
    <row r="1395" spans="1:5" x14ac:dyDescent="0.3">
      <c r="A1395" s="295">
        <v>2021</v>
      </c>
      <c r="B1395" s="295">
        <v>2</v>
      </c>
      <c r="C1395" s="295" t="s">
        <v>2</v>
      </c>
      <c r="D1395" s="295" t="s">
        <v>85</v>
      </c>
      <c r="E1395" s="296">
        <v>5.4982300000000004</v>
      </c>
    </row>
    <row r="1396" spans="1:5" x14ac:dyDescent="0.3">
      <c r="A1396" s="295">
        <v>2021</v>
      </c>
      <c r="B1396" s="295">
        <v>2</v>
      </c>
      <c r="C1396" s="295" t="s">
        <v>2</v>
      </c>
      <c r="D1396" s="295" t="s">
        <v>101</v>
      </c>
      <c r="E1396" s="296">
        <v>20.862880000000001</v>
      </c>
    </row>
    <row r="1397" spans="1:5" x14ac:dyDescent="0.3">
      <c r="A1397" s="295">
        <v>2021</v>
      </c>
      <c r="B1397" s="295">
        <v>2</v>
      </c>
      <c r="C1397" s="295" t="s">
        <v>2</v>
      </c>
      <c r="D1397" s="295" t="s">
        <v>179</v>
      </c>
      <c r="E1397" s="296">
        <v>723.50960999999995</v>
      </c>
    </row>
    <row r="1398" spans="1:5" x14ac:dyDescent="0.3">
      <c r="A1398" s="295">
        <v>2021</v>
      </c>
      <c r="B1398" s="295">
        <v>2</v>
      </c>
      <c r="C1398" s="295" t="s">
        <v>259</v>
      </c>
      <c r="D1398" s="295" t="s">
        <v>1</v>
      </c>
      <c r="E1398" s="296">
        <v>1.14873</v>
      </c>
    </row>
    <row r="1399" spans="1:5" x14ac:dyDescent="0.3">
      <c r="A1399" s="295">
        <v>2021</v>
      </c>
      <c r="B1399" s="295">
        <v>2</v>
      </c>
      <c r="C1399" s="295" t="s">
        <v>259</v>
      </c>
      <c r="D1399" s="295" t="s">
        <v>2</v>
      </c>
      <c r="E1399" s="296">
        <v>1.3923700000000001</v>
      </c>
    </row>
    <row r="1400" spans="1:5" x14ac:dyDescent="0.3">
      <c r="A1400" s="295">
        <v>2021</v>
      </c>
      <c r="B1400" s="295">
        <v>2</v>
      </c>
      <c r="C1400" s="295" t="s">
        <v>259</v>
      </c>
      <c r="D1400" s="295" t="s">
        <v>85</v>
      </c>
      <c r="E1400" s="296">
        <v>7.65557</v>
      </c>
    </row>
    <row r="1401" spans="1:5" x14ac:dyDescent="0.3">
      <c r="A1401" s="295">
        <v>2021</v>
      </c>
      <c r="B1401" s="295">
        <v>2</v>
      </c>
      <c r="C1401" s="295" t="s">
        <v>259</v>
      </c>
      <c r="D1401" s="295" t="s">
        <v>101</v>
      </c>
      <c r="E1401" s="296">
        <v>29.048860000000001</v>
      </c>
    </row>
    <row r="1402" spans="1:5" x14ac:dyDescent="0.3">
      <c r="A1402" s="295">
        <v>2021</v>
      </c>
      <c r="B1402" s="295">
        <v>2</v>
      </c>
      <c r="C1402" s="295" t="s">
        <v>259</v>
      </c>
      <c r="D1402" s="295" t="s">
        <v>179</v>
      </c>
      <c r="E1402" s="296">
        <v>1007.3932</v>
      </c>
    </row>
    <row r="1403" spans="1:5" x14ac:dyDescent="0.3">
      <c r="A1403" s="295">
        <v>2021</v>
      </c>
      <c r="B1403" s="295">
        <v>2</v>
      </c>
      <c r="C1403" s="295" t="s">
        <v>85</v>
      </c>
      <c r="D1403" s="295" t="s">
        <v>1</v>
      </c>
      <c r="E1403" s="296">
        <v>0.15004999999999999</v>
      </c>
    </row>
    <row r="1404" spans="1:5" x14ac:dyDescent="0.3">
      <c r="A1404" s="295">
        <v>2021</v>
      </c>
      <c r="B1404" s="295">
        <v>2</v>
      </c>
      <c r="C1404" s="295" t="s">
        <v>85</v>
      </c>
      <c r="D1404" s="295" t="s">
        <v>2</v>
      </c>
      <c r="E1404" s="296">
        <v>0.18187999999999999</v>
      </c>
    </row>
    <row r="1405" spans="1:5" x14ac:dyDescent="0.3">
      <c r="A1405" s="295">
        <v>2021</v>
      </c>
      <c r="B1405" s="295">
        <v>2</v>
      </c>
      <c r="C1405" s="295" t="s">
        <v>85</v>
      </c>
      <c r="D1405" s="295" t="s">
        <v>259</v>
      </c>
      <c r="E1405" s="296">
        <v>0.13062000000000001</v>
      </c>
    </row>
    <row r="1406" spans="1:5" x14ac:dyDescent="0.3">
      <c r="A1406" s="295">
        <v>2021</v>
      </c>
      <c r="B1406" s="295">
        <v>2</v>
      </c>
      <c r="C1406" s="295" t="s">
        <v>85</v>
      </c>
      <c r="D1406" s="295" t="s">
        <v>101</v>
      </c>
      <c r="E1406" s="296">
        <v>3.7944800000000001</v>
      </c>
    </row>
    <row r="1407" spans="1:5" x14ac:dyDescent="0.3">
      <c r="A1407" s="295">
        <v>2021</v>
      </c>
      <c r="B1407" s="295">
        <v>2</v>
      </c>
      <c r="C1407" s="295" t="s">
        <v>85</v>
      </c>
      <c r="D1407" s="295" t="s">
        <v>179</v>
      </c>
      <c r="E1407" s="296">
        <v>131.58964</v>
      </c>
    </row>
    <row r="1408" spans="1:5" x14ac:dyDescent="0.3">
      <c r="A1408" s="295">
        <v>2021</v>
      </c>
      <c r="B1408" s="295">
        <v>2</v>
      </c>
      <c r="C1408" s="295" t="s">
        <v>101</v>
      </c>
      <c r="D1408" s="295" t="s">
        <v>1</v>
      </c>
      <c r="E1408" s="296">
        <v>3.9539999999999999E-2</v>
      </c>
    </row>
    <row r="1409" spans="1:5" x14ac:dyDescent="0.3">
      <c r="A1409" s="295">
        <v>2021</v>
      </c>
      <c r="B1409" s="295">
        <v>2</v>
      </c>
      <c r="C1409" s="295" t="s">
        <v>101</v>
      </c>
      <c r="D1409" s="295" t="s">
        <v>2</v>
      </c>
      <c r="E1409" s="296">
        <v>4.793E-2</v>
      </c>
    </row>
    <row r="1410" spans="1:5" x14ac:dyDescent="0.3">
      <c r="A1410" s="295">
        <v>2021</v>
      </c>
      <c r="B1410" s="295">
        <v>2</v>
      </c>
      <c r="C1410" s="295" t="s">
        <v>101</v>
      </c>
      <c r="D1410" s="295" t="s">
        <v>259</v>
      </c>
      <c r="E1410" s="296">
        <v>3.4419999999999999E-2</v>
      </c>
    </row>
    <row r="1411" spans="1:5" x14ac:dyDescent="0.3">
      <c r="A1411" s="295">
        <v>2021</v>
      </c>
      <c r="B1411" s="295">
        <v>2</v>
      </c>
      <c r="C1411" s="295" t="s">
        <v>101</v>
      </c>
      <c r="D1411" s="295" t="s">
        <v>85</v>
      </c>
      <c r="E1411" s="296">
        <v>0.26354</v>
      </c>
    </row>
    <row r="1412" spans="1:5" x14ac:dyDescent="0.3">
      <c r="A1412" s="295">
        <v>2021</v>
      </c>
      <c r="B1412" s="295">
        <v>2</v>
      </c>
      <c r="C1412" s="295" t="s">
        <v>101</v>
      </c>
      <c r="D1412" s="295" t="s">
        <v>179</v>
      </c>
      <c r="E1412" s="296">
        <v>34.679270000000002</v>
      </c>
    </row>
    <row r="1413" spans="1:5" x14ac:dyDescent="0.3">
      <c r="A1413" s="295">
        <v>2021</v>
      </c>
      <c r="B1413" s="295">
        <v>2</v>
      </c>
      <c r="C1413" s="295" t="s">
        <v>179</v>
      </c>
      <c r="D1413" s="295" t="s">
        <v>1</v>
      </c>
      <c r="E1413" s="296">
        <v>1.14E-3</v>
      </c>
    </row>
    <row r="1414" spans="1:5" x14ac:dyDescent="0.3">
      <c r="A1414" s="295">
        <v>2021</v>
      </c>
      <c r="B1414" s="295">
        <v>2</v>
      </c>
      <c r="C1414" s="295" t="s">
        <v>179</v>
      </c>
      <c r="D1414" s="295" t="s">
        <v>2</v>
      </c>
      <c r="E1414" s="296">
        <v>1.3799999999999999E-3</v>
      </c>
    </row>
    <row r="1415" spans="1:5" x14ac:dyDescent="0.3">
      <c r="A1415" s="295">
        <v>2021</v>
      </c>
      <c r="B1415" s="295">
        <v>2</v>
      </c>
      <c r="C1415" s="295" t="s">
        <v>179</v>
      </c>
      <c r="D1415" s="295" t="s">
        <v>259</v>
      </c>
      <c r="E1415" s="296">
        <v>9.8999999999999999E-4</v>
      </c>
    </row>
    <row r="1416" spans="1:5" x14ac:dyDescent="0.3">
      <c r="A1416" s="295">
        <v>2021</v>
      </c>
      <c r="B1416" s="295">
        <v>2</v>
      </c>
      <c r="C1416" s="295" t="s">
        <v>179</v>
      </c>
      <c r="D1416" s="295" t="s">
        <v>85</v>
      </c>
      <c r="E1416" s="296">
        <v>7.6E-3</v>
      </c>
    </row>
    <row r="1417" spans="1:5" x14ac:dyDescent="0.3">
      <c r="A1417" s="295">
        <v>2021</v>
      </c>
      <c r="B1417" s="295">
        <v>2</v>
      </c>
      <c r="C1417" s="295" t="s">
        <v>179</v>
      </c>
      <c r="D1417" s="295" t="s">
        <v>101</v>
      </c>
      <c r="E1417" s="296">
        <v>2.8840000000000001E-2</v>
      </c>
    </row>
    <row r="1418" spans="1:5" x14ac:dyDescent="0.3">
      <c r="A1418" s="295">
        <v>2021</v>
      </c>
      <c r="B1418" s="295">
        <v>2</v>
      </c>
      <c r="C1418" s="295" t="s">
        <v>1</v>
      </c>
      <c r="D1418" s="295" t="s">
        <v>1</v>
      </c>
      <c r="E1418" s="296">
        <v>1</v>
      </c>
    </row>
    <row r="1419" spans="1:5" x14ac:dyDescent="0.3">
      <c r="A1419" s="295">
        <v>2021</v>
      </c>
      <c r="B1419" s="295">
        <v>2</v>
      </c>
      <c r="C1419" s="295" t="s">
        <v>2</v>
      </c>
      <c r="D1419" s="295" t="s">
        <v>2</v>
      </c>
      <c r="E1419" s="296">
        <v>1</v>
      </c>
    </row>
    <row r="1420" spans="1:5" x14ac:dyDescent="0.3">
      <c r="A1420" s="295">
        <v>2021</v>
      </c>
      <c r="B1420" s="295">
        <v>2</v>
      </c>
      <c r="C1420" s="295" t="s">
        <v>259</v>
      </c>
      <c r="D1420" s="295" t="s">
        <v>259</v>
      </c>
      <c r="E1420" s="296">
        <v>1</v>
      </c>
    </row>
    <row r="1421" spans="1:5" x14ac:dyDescent="0.3">
      <c r="A1421" s="295">
        <v>2021</v>
      </c>
      <c r="B1421" s="295">
        <v>2</v>
      </c>
      <c r="C1421" s="295" t="s">
        <v>85</v>
      </c>
      <c r="D1421" s="295" t="s">
        <v>85</v>
      </c>
      <c r="E1421" s="296">
        <v>1</v>
      </c>
    </row>
    <row r="1422" spans="1:5" x14ac:dyDescent="0.3">
      <c r="A1422" s="295">
        <v>2021</v>
      </c>
      <c r="B1422" s="295">
        <v>2</v>
      </c>
      <c r="C1422" s="295" t="s">
        <v>101</v>
      </c>
      <c r="D1422" s="295" t="s">
        <v>101</v>
      </c>
      <c r="E1422" s="296">
        <v>1</v>
      </c>
    </row>
    <row r="1423" spans="1:5" x14ac:dyDescent="0.3">
      <c r="A1423" s="295">
        <v>2021</v>
      </c>
      <c r="B1423" s="295">
        <v>2</v>
      </c>
      <c r="C1423" s="295" t="s">
        <v>179</v>
      </c>
      <c r="D1423" s="295" t="s">
        <v>179</v>
      </c>
      <c r="E1423" s="296">
        <v>1</v>
      </c>
    </row>
    <row r="1424" spans="1:5" x14ac:dyDescent="0.3">
      <c r="A1424" s="295">
        <v>2021</v>
      </c>
      <c r="B1424" s="295">
        <v>3</v>
      </c>
      <c r="C1424" s="295" t="s">
        <v>1</v>
      </c>
      <c r="D1424" s="295" t="s">
        <v>2</v>
      </c>
      <c r="E1424" s="296">
        <v>1.1725000000000001</v>
      </c>
    </row>
    <row r="1425" spans="1:5" x14ac:dyDescent="0.3">
      <c r="A1425" s="295">
        <v>2021</v>
      </c>
      <c r="B1425" s="295">
        <v>3</v>
      </c>
      <c r="C1425" s="295" t="s">
        <v>1</v>
      </c>
      <c r="D1425" s="295" t="s">
        <v>259</v>
      </c>
      <c r="E1425" s="296">
        <v>0.85209000000000001</v>
      </c>
    </row>
    <row r="1426" spans="1:5" x14ac:dyDescent="0.3">
      <c r="A1426" s="295">
        <v>2021</v>
      </c>
      <c r="B1426" s="295">
        <v>3</v>
      </c>
      <c r="C1426" s="295" t="s">
        <v>1</v>
      </c>
      <c r="D1426" s="295" t="s">
        <v>85</v>
      </c>
      <c r="E1426" s="296">
        <v>6.7408999999999999</v>
      </c>
    </row>
    <row r="1427" spans="1:5" x14ac:dyDescent="0.3">
      <c r="A1427" s="295">
        <v>2021</v>
      </c>
      <c r="B1427" s="295">
        <v>3</v>
      </c>
      <c r="C1427" s="295" t="s">
        <v>1</v>
      </c>
      <c r="D1427" s="295" t="s">
        <v>101</v>
      </c>
      <c r="E1427" s="296">
        <v>24.050599999999999</v>
      </c>
    </row>
    <row r="1428" spans="1:5" x14ac:dyDescent="0.3">
      <c r="A1428" s="295">
        <v>2021</v>
      </c>
      <c r="B1428" s="295">
        <v>3</v>
      </c>
      <c r="C1428" s="295" t="s">
        <v>1</v>
      </c>
      <c r="D1428" s="295" t="s">
        <v>179</v>
      </c>
      <c r="E1428" s="296">
        <v>844.43499999999995</v>
      </c>
    </row>
    <row r="1429" spans="1:5" x14ac:dyDescent="0.3">
      <c r="A1429" s="295">
        <v>2021</v>
      </c>
      <c r="B1429" s="295">
        <v>3</v>
      </c>
      <c r="C1429" s="295" t="s">
        <v>1</v>
      </c>
      <c r="D1429" s="295" t="s">
        <v>352</v>
      </c>
      <c r="E1429" s="296">
        <v>7.6811999999999996</v>
      </c>
    </row>
    <row r="1430" spans="1:5" x14ac:dyDescent="0.3">
      <c r="A1430" s="295">
        <v>2021</v>
      </c>
      <c r="B1430" s="295">
        <v>3</v>
      </c>
      <c r="C1430" s="295" t="s">
        <v>2</v>
      </c>
      <c r="D1430" s="295" t="s">
        <v>1</v>
      </c>
      <c r="E1430" s="296">
        <v>0.85287999999999997</v>
      </c>
    </row>
    <row r="1431" spans="1:5" x14ac:dyDescent="0.3">
      <c r="A1431" s="295">
        <v>2021</v>
      </c>
      <c r="B1431" s="295">
        <v>3</v>
      </c>
      <c r="C1431" s="295" t="s">
        <v>2</v>
      </c>
      <c r="D1431" s="295" t="s">
        <v>259</v>
      </c>
      <c r="E1431" s="296">
        <v>0.72672999999999999</v>
      </c>
    </row>
    <row r="1432" spans="1:5" x14ac:dyDescent="0.3">
      <c r="A1432" s="295">
        <v>2021</v>
      </c>
      <c r="B1432" s="295">
        <v>3</v>
      </c>
      <c r="C1432" s="295" t="s">
        <v>2</v>
      </c>
      <c r="D1432" s="295" t="s">
        <v>85</v>
      </c>
      <c r="E1432" s="296">
        <v>5.7491700000000003</v>
      </c>
    </row>
    <row r="1433" spans="1:5" x14ac:dyDescent="0.3">
      <c r="A1433" s="295">
        <v>2021</v>
      </c>
      <c r="B1433" s="295">
        <v>3</v>
      </c>
      <c r="C1433" s="295" t="s">
        <v>2</v>
      </c>
      <c r="D1433" s="295" t="s">
        <v>101</v>
      </c>
      <c r="E1433" s="296">
        <v>20.512239999999998</v>
      </c>
    </row>
    <row r="1434" spans="1:5" x14ac:dyDescent="0.3">
      <c r="A1434" s="295">
        <v>2021</v>
      </c>
      <c r="B1434" s="295">
        <v>3</v>
      </c>
      <c r="C1434" s="295" t="s">
        <v>2</v>
      </c>
      <c r="D1434" s="295" t="s">
        <v>179</v>
      </c>
      <c r="E1434" s="296">
        <v>720.20042999999998</v>
      </c>
    </row>
    <row r="1435" spans="1:5" x14ac:dyDescent="0.3">
      <c r="A1435" s="295">
        <v>2021</v>
      </c>
      <c r="B1435" s="295">
        <v>3</v>
      </c>
      <c r="C1435" s="295" t="s">
        <v>2</v>
      </c>
      <c r="D1435" s="295" t="s">
        <v>352</v>
      </c>
      <c r="E1435" s="296">
        <v>6.5511299999999997</v>
      </c>
    </row>
    <row r="1436" spans="1:5" x14ac:dyDescent="0.3">
      <c r="A1436" s="295">
        <v>2021</v>
      </c>
      <c r="B1436" s="295">
        <v>3</v>
      </c>
      <c r="C1436" s="295" t="s">
        <v>259</v>
      </c>
      <c r="D1436" s="295" t="s">
        <v>1</v>
      </c>
      <c r="E1436" s="296">
        <v>1.1735800000000001</v>
      </c>
    </row>
    <row r="1437" spans="1:5" x14ac:dyDescent="0.3">
      <c r="A1437" s="295">
        <v>2021</v>
      </c>
      <c r="B1437" s="295">
        <v>3</v>
      </c>
      <c r="C1437" s="295" t="s">
        <v>259</v>
      </c>
      <c r="D1437" s="295" t="s">
        <v>2</v>
      </c>
      <c r="E1437" s="296">
        <v>1.3760300000000001</v>
      </c>
    </row>
    <row r="1438" spans="1:5" x14ac:dyDescent="0.3">
      <c r="A1438" s="295">
        <v>2021</v>
      </c>
      <c r="B1438" s="295">
        <v>3</v>
      </c>
      <c r="C1438" s="295" t="s">
        <v>259</v>
      </c>
      <c r="D1438" s="295" t="s">
        <v>85</v>
      </c>
      <c r="E1438" s="296">
        <v>7.9110199999999997</v>
      </c>
    </row>
    <row r="1439" spans="1:5" x14ac:dyDescent="0.3">
      <c r="A1439" s="295">
        <v>2021</v>
      </c>
      <c r="B1439" s="295">
        <v>3</v>
      </c>
      <c r="C1439" s="295" t="s">
        <v>259</v>
      </c>
      <c r="D1439" s="295" t="s">
        <v>101</v>
      </c>
      <c r="E1439" s="296">
        <v>28.22542</v>
      </c>
    </row>
    <row r="1440" spans="1:5" x14ac:dyDescent="0.3">
      <c r="A1440" s="295">
        <v>2021</v>
      </c>
      <c r="B1440" s="295">
        <v>3</v>
      </c>
      <c r="C1440" s="295" t="s">
        <v>259</v>
      </c>
      <c r="D1440" s="295" t="s">
        <v>179</v>
      </c>
      <c r="E1440" s="296">
        <v>991.01621</v>
      </c>
    </row>
    <row r="1441" spans="1:5" x14ac:dyDescent="0.3">
      <c r="A1441" s="295">
        <v>2021</v>
      </c>
      <c r="B1441" s="295">
        <v>3</v>
      </c>
      <c r="C1441" s="295" t="s">
        <v>259</v>
      </c>
      <c r="D1441" s="295" t="s">
        <v>352</v>
      </c>
      <c r="E1441" s="296">
        <v>9.0145400000000002</v>
      </c>
    </row>
    <row r="1442" spans="1:5" x14ac:dyDescent="0.3">
      <c r="A1442" s="295">
        <v>2021</v>
      </c>
      <c r="B1442" s="295">
        <v>3</v>
      </c>
      <c r="C1442" s="295" t="s">
        <v>85</v>
      </c>
      <c r="D1442" s="295" t="s">
        <v>1</v>
      </c>
      <c r="E1442" s="296">
        <v>0.14835000000000001</v>
      </c>
    </row>
    <row r="1443" spans="1:5" x14ac:dyDescent="0.3">
      <c r="A1443" s="295">
        <v>2021</v>
      </c>
      <c r="B1443" s="295">
        <v>3</v>
      </c>
      <c r="C1443" s="295" t="s">
        <v>85</v>
      </c>
      <c r="D1443" s="295" t="s">
        <v>2</v>
      </c>
      <c r="E1443" s="296">
        <v>0.17394000000000001</v>
      </c>
    </row>
    <row r="1444" spans="1:5" x14ac:dyDescent="0.3">
      <c r="A1444" s="295">
        <v>2021</v>
      </c>
      <c r="B1444" s="295">
        <v>3</v>
      </c>
      <c r="C1444" s="295" t="s">
        <v>85</v>
      </c>
      <c r="D1444" s="295" t="s">
        <v>259</v>
      </c>
      <c r="E1444" s="296">
        <v>0.12640999999999999</v>
      </c>
    </row>
    <row r="1445" spans="1:5" x14ac:dyDescent="0.3">
      <c r="A1445" s="295">
        <v>2021</v>
      </c>
      <c r="B1445" s="295">
        <v>3</v>
      </c>
      <c r="C1445" s="295" t="s">
        <v>85</v>
      </c>
      <c r="D1445" s="295" t="s">
        <v>101</v>
      </c>
      <c r="E1445" s="296">
        <v>3.56786</v>
      </c>
    </row>
    <row r="1446" spans="1:5" x14ac:dyDescent="0.3">
      <c r="A1446" s="295">
        <v>2021</v>
      </c>
      <c r="B1446" s="295">
        <v>3</v>
      </c>
      <c r="C1446" s="295" t="s">
        <v>85</v>
      </c>
      <c r="D1446" s="295" t="s">
        <v>179</v>
      </c>
      <c r="E1446" s="296">
        <v>125.27036</v>
      </c>
    </row>
    <row r="1447" spans="1:5" x14ac:dyDescent="0.3">
      <c r="A1447" s="295">
        <v>2021</v>
      </c>
      <c r="B1447" s="295">
        <v>3</v>
      </c>
      <c r="C1447" s="295" t="s">
        <v>85</v>
      </c>
      <c r="D1447" s="295" t="s">
        <v>352</v>
      </c>
      <c r="E1447" s="296">
        <v>1.1394899999999999</v>
      </c>
    </row>
    <row r="1448" spans="1:5" x14ac:dyDescent="0.3">
      <c r="A1448" s="295">
        <v>2021</v>
      </c>
      <c r="B1448" s="295">
        <v>3</v>
      </c>
      <c r="C1448" s="295" t="s">
        <v>101</v>
      </c>
      <c r="D1448" s="295" t="s">
        <v>1</v>
      </c>
      <c r="E1448" s="296">
        <v>4.1579999999999999E-2</v>
      </c>
    </row>
    <row r="1449" spans="1:5" x14ac:dyDescent="0.3">
      <c r="A1449" s="295">
        <v>2021</v>
      </c>
      <c r="B1449" s="295">
        <v>3</v>
      </c>
      <c r="C1449" s="295" t="s">
        <v>101</v>
      </c>
      <c r="D1449" s="295" t="s">
        <v>2</v>
      </c>
      <c r="E1449" s="296">
        <v>4.8750000000000002E-2</v>
      </c>
    </row>
    <row r="1450" spans="1:5" x14ac:dyDescent="0.3">
      <c r="A1450" s="295">
        <v>2021</v>
      </c>
      <c r="B1450" s="295">
        <v>3</v>
      </c>
      <c r="C1450" s="295" t="s">
        <v>101</v>
      </c>
      <c r="D1450" s="295" t="s">
        <v>259</v>
      </c>
      <c r="E1450" s="296">
        <v>3.5430000000000003E-2</v>
      </c>
    </row>
    <row r="1451" spans="1:5" x14ac:dyDescent="0.3">
      <c r="A1451" s="295">
        <v>2021</v>
      </c>
      <c r="B1451" s="295">
        <v>3</v>
      </c>
      <c r="C1451" s="295" t="s">
        <v>101</v>
      </c>
      <c r="D1451" s="295" t="s">
        <v>85</v>
      </c>
      <c r="E1451" s="296">
        <v>0.28027999999999997</v>
      </c>
    </row>
    <row r="1452" spans="1:5" x14ac:dyDescent="0.3">
      <c r="A1452" s="295">
        <v>2021</v>
      </c>
      <c r="B1452" s="295">
        <v>3</v>
      </c>
      <c r="C1452" s="295" t="s">
        <v>101</v>
      </c>
      <c r="D1452" s="295" t="s">
        <v>179</v>
      </c>
      <c r="E1452" s="296">
        <v>35.110770000000002</v>
      </c>
    </row>
    <row r="1453" spans="1:5" x14ac:dyDescent="0.3">
      <c r="A1453" s="295">
        <v>2021</v>
      </c>
      <c r="B1453" s="295">
        <v>3</v>
      </c>
      <c r="C1453" s="295" t="s">
        <v>101</v>
      </c>
      <c r="D1453" s="295" t="s">
        <v>352</v>
      </c>
      <c r="E1453" s="296">
        <v>0.31938</v>
      </c>
    </row>
    <row r="1454" spans="1:5" x14ac:dyDescent="0.3">
      <c r="A1454" s="295">
        <v>2021</v>
      </c>
      <c r="B1454" s="295">
        <v>3</v>
      </c>
      <c r="C1454" s="295" t="s">
        <v>179</v>
      </c>
      <c r="D1454" s="295" t="s">
        <v>1</v>
      </c>
      <c r="E1454" s="296">
        <v>1.1800000000000001E-3</v>
      </c>
    </row>
    <row r="1455" spans="1:5" x14ac:dyDescent="0.3">
      <c r="A1455" s="295">
        <v>2021</v>
      </c>
      <c r="B1455" s="295">
        <v>3</v>
      </c>
      <c r="C1455" s="295" t="s">
        <v>179</v>
      </c>
      <c r="D1455" s="295" t="s">
        <v>2</v>
      </c>
      <c r="E1455" s="296">
        <v>1.39E-3</v>
      </c>
    </row>
    <row r="1456" spans="1:5" x14ac:dyDescent="0.3">
      <c r="A1456" s="295">
        <v>2021</v>
      </c>
      <c r="B1456" s="295">
        <v>3</v>
      </c>
      <c r="C1456" s="295" t="s">
        <v>179</v>
      </c>
      <c r="D1456" s="295" t="s">
        <v>259</v>
      </c>
      <c r="E1456" s="296">
        <v>1.01E-3</v>
      </c>
    </row>
    <row r="1457" spans="1:5" x14ac:dyDescent="0.3">
      <c r="A1457" s="295">
        <v>2021</v>
      </c>
      <c r="B1457" s="295">
        <v>3</v>
      </c>
      <c r="C1457" s="295" t="s">
        <v>179</v>
      </c>
      <c r="D1457" s="295" t="s">
        <v>85</v>
      </c>
      <c r="E1457" s="296">
        <v>7.9799999999999992E-3</v>
      </c>
    </row>
    <row r="1458" spans="1:5" x14ac:dyDescent="0.3">
      <c r="A1458" s="295">
        <v>2021</v>
      </c>
      <c r="B1458" s="295">
        <v>3</v>
      </c>
      <c r="C1458" s="295" t="s">
        <v>179</v>
      </c>
      <c r="D1458" s="295" t="s">
        <v>101</v>
      </c>
      <c r="E1458" s="296">
        <v>2.8479999999999998E-2</v>
      </c>
    </row>
    <row r="1459" spans="1:5" x14ac:dyDescent="0.3">
      <c r="A1459" s="295">
        <v>2021</v>
      </c>
      <c r="B1459" s="295">
        <v>3</v>
      </c>
      <c r="C1459" s="295" t="s">
        <v>179</v>
      </c>
      <c r="D1459" s="295" t="s">
        <v>352</v>
      </c>
      <c r="E1459" s="296">
        <v>9.1000000000000004E-3</v>
      </c>
    </row>
    <row r="1460" spans="1:5" x14ac:dyDescent="0.3">
      <c r="A1460" s="295">
        <v>2021</v>
      </c>
      <c r="B1460" s="295">
        <v>3</v>
      </c>
      <c r="C1460" s="295" t="s">
        <v>352</v>
      </c>
      <c r="D1460" s="295" t="s">
        <v>1</v>
      </c>
      <c r="E1460" s="296">
        <v>0.13019</v>
      </c>
    </row>
    <row r="1461" spans="1:5" x14ac:dyDescent="0.3">
      <c r="A1461" s="295">
        <v>2021</v>
      </c>
      <c r="B1461" s="295">
        <v>3</v>
      </c>
      <c r="C1461" s="295" t="s">
        <v>352</v>
      </c>
      <c r="D1461" s="295" t="s">
        <v>2</v>
      </c>
      <c r="E1461" s="296">
        <v>0.15265000000000001</v>
      </c>
    </row>
    <row r="1462" spans="1:5" x14ac:dyDescent="0.3">
      <c r="A1462" s="295">
        <v>2021</v>
      </c>
      <c r="B1462" s="295">
        <v>3</v>
      </c>
      <c r="C1462" s="295" t="s">
        <v>352</v>
      </c>
      <c r="D1462" s="295" t="s">
        <v>259</v>
      </c>
      <c r="E1462" s="296">
        <v>0.11093</v>
      </c>
    </row>
    <row r="1463" spans="1:5" x14ac:dyDescent="0.3">
      <c r="A1463" s="295">
        <v>2021</v>
      </c>
      <c r="B1463" s="295">
        <v>3</v>
      </c>
      <c r="C1463" s="295" t="s">
        <v>352</v>
      </c>
      <c r="D1463" s="295" t="s">
        <v>85</v>
      </c>
      <c r="E1463" s="296">
        <v>0.87758000000000003</v>
      </c>
    </row>
    <row r="1464" spans="1:5" x14ac:dyDescent="0.3">
      <c r="A1464" s="295">
        <v>2021</v>
      </c>
      <c r="B1464" s="295">
        <v>3</v>
      </c>
      <c r="C1464" s="295" t="s">
        <v>352</v>
      </c>
      <c r="D1464" s="295" t="s">
        <v>101</v>
      </c>
      <c r="E1464" s="296">
        <v>3.1311</v>
      </c>
    </row>
    <row r="1465" spans="1:5" x14ac:dyDescent="0.3">
      <c r="A1465" s="295">
        <v>2021</v>
      </c>
      <c r="B1465" s="295">
        <v>3</v>
      </c>
      <c r="C1465" s="295" t="s">
        <v>352</v>
      </c>
      <c r="D1465" s="295" t="s">
        <v>179</v>
      </c>
      <c r="E1465" s="296">
        <v>109.9353</v>
      </c>
    </row>
    <row r="1466" spans="1:5" x14ac:dyDescent="0.3">
      <c r="A1466" s="295">
        <v>2021</v>
      </c>
      <c r="B1466" s="295">
        <v>3</v>
      </c>
      <c r="C1466" s="295" t="s">
        <v>1</v>
      </c>
      <c r="D1466" s="295" t="s">
        <v>1</v>
      </c>
      <c r="E1466" s="296">
        <v>1</v>
      </c>
    </row>
    <row r="1467" spans="1:5" x14ac:dyDescent="0.3">
      <c r="A1467" s="295">
        <v>2021</v>
      </c>
      <c r="B1467" s="295">
        <v>3</v>
      </c>
      <c r="C1467" s="295" t="s">
        <v>2</v>
      </c>
      <c r="D1467" s="295" t="s">
        <v>2</v>
      </c>
      <c r="E1467" s="296">
        <v>1</v>
      </c>
    </row>
    <row r="1468" spans="1:5" x14ac:dyDescent="0.3">
      <c r="A1468" s="295">
        <v>2021</v>
      </c>
      <c r="B1468" s="295">
        <v>3</v>
      </c>
      <c r="C1468" s="295" t="s">
        <v>259</v>
      </c>
      <c r="D1468" s="295" t="s">
        <v>259</v>
      </c>
      <c r="E1468" s="296">
        <v>1</v>
      </c>
    </row>
    <row r="1469" spans="1:5" x14ac:dyDescent="0.3">
      <c r="A1469" s="295">
        <v>2021</v>
      </c>
      <c r="B1469" s="295">
        <v>3</v>
      </c>
      <c r="C1469" s="295" t="s">
        <v>85</v>
      </c>
      <c r="D1469" s="295" t="s">
        <v>85</v>
      </c>
      <c r="E1469" s="296">
        <v>1</v>
      </c>
    </row>
    <row r="1470" spans="1:5" x14ac:dyDescent="0.3">
      <c r="A1470" s="295">
        <v>2021</v>
      </c>
      <c r="B1470" s="295">
        <v>3</v>
      </c>
      <c r="C1470" s="295" t="s">
        <v>101</v>
      </c>
      <c r="D1470" s="295" t="s">
        <v>101</v>
      </c>
      <c r="E1470" s="296">
        <v>1</v>
      </c>
    </row>
    <row r="1471" spans="1:5" x14ac:dyDescent="0.3">
      <c r="A1471" s="295">
        <v>2021</v>
      </c>
      <c r="B1471" s="295">
        <v>3</v>
      </c>
      <c r="C1471" s="295" t="s">
        <v>179</v>
      </c>
      <c r="D1471" s="295" t="s">
        <v>179</v>
      </c>
      <c r="E1471" s="296">
        <v>1</v>
      </c>
    </row>
    <row r="1472" spans="1:5" x14ac:dyDescent="0.3">
      <c r="A1472" s="295">
        <v>2021</v>
      </c>
      <c r="B1472" s="295">
        <v>3</v>
      </c>
      <c r="C1472" s="295" t="s">
        <v>352</v>
      </c>
      <c r="D1472" s="295" t="s">
        <v>352</v>
      </c>
      <c r="E1472" s="296">
        <v>1</v>
      </c>
    </row>
    <row r="1473" spans="1:5" x14ac:dyDescent="0.3">
      <c r="A1473" s="295">
        <v>2021</v>
      </c>
      <c r="B1473" s="295">
        <v>4</v>
      </c>
      <c r="C1473" s="295" t="s">
        <v>1</v>
      </c>
      <c r="D1473" s="295" t="s">
        <v>2</v>
      </c>
      <c r="E1473" s="296">
        <v>1.2081999999999999</v>
      </c>
    </row>
    <row r="1474" spans="1:5" x14ac:dyDescent="0.3">
      <c r="A1474" s="295">
        <v>2021</v>
      </c>
      <c r="B1474" s="295">
        <v>4</v>
      </c>
      <c r="C1474" s="295" t="s">
        <v>1</v>
      </c>
      <c r="D1474" s="295" t="s">
        <v>259</v>
      </c>
      <c r="E1474" s="296">
        <v>0.86863000000000001</v>
      </c>
    </row>
    <row r="1475" spans="1:5" x14ac:dyDescent="0.3">
      <c r="A1475" s="295">
        <v>2021</v>
      </c>
      <c r="B1475" s="295">
        <v>4</v>
      </c>
      <c r="C1475" s="295" t="s">
        <v>1</v>
      </c>
      <c r="D1475" s="295" t="s">
        <v>85</v>
      </c>
      <c r="E1475" s="296">
        <v>6.4596999999999998</v>
      </c>
    </row>
    <row r="1476" spans="1:5" x14ac:dyDescent="0.3">
      <c r="A1476" s="295">
        <v>2021</v>
      </c>
      <c r="B1476" s="295">
        <v>4</v>
      </c>
      <c r="C1476" s="295" t="s">
        <v>1</v>
      </c>
      <c r="D1476" s="295" t="s">
        <v>101</v>
      </c>
      <c r="E1476" s="296">
        <v>24.234500000000001</v>
      </c>
    </row>
    <row r="1477" spans="1:5" x14ac:dyDescent="0.3">
      <c r="A1477" s="295">
        <v>2021</v>
      </c>
      <c r="B1477" s="295">
        <v>4</v>
      </c>
      <c r="C1477" s="295" t="s">
        <v>1</v>
      </c>
      <c r="D1477" s="295" t="s">
        <v>179</v>
      </c>
      <c r="E1477" s="296">
        <v>858.18399999999997</v>
      </c>
    </row>
    <row r="1478" spans="1:5" x14ac:dyDescent="0.3">
      <c r="A1478" s="295">
        <v>2021</v>
      </c>
      <c r="B1478" s="295">
        <v>4</v>
      </c>
      <c r="C1478" s="295" t="s">
        <v>1</v>
      </c>
      <c r="D1478" s="295" t="s">
        <v>352</v>
      </c>
      <c r="E1478" s="296">
        <v>7.8133999999999997</v>
      </c>
    </row>
    <row r="1479" spans="1:5" x14ac:dyDescent="0.3">
      <c r="A1479" s="295">
        <v>2021</v>
      </c>
      <c r="B1479" s="295">
        <v>4</v>
      </c>
      <c r="C1479" s="295" t="s">
        <v>2</v>
      </c>
      <c r="D1479" s="295" t="s">
        <v>1</v>
      </c>
      <c r="E1479" s="296">
        <v>0.82767999999999997</v>
      </c>
    </row>
    <row r="1480" spans="1:5" x14ac:dyDescent="0.3">
      <c r="A1480" s="295">
        <v>2021</v>
      </c>
      <c r="B1480" s="295">
        <v>4</v>
      </c>
      <c r="C1480" s="295" t="s">
        <v>2</v>
      </c>
      <c r="D1480" s="295" t="s">
        <v>259</v>
      </c>
      <c r="E1480" s="296">
        <v>0.71894999999999998</v>
      </c>
    </row>
    <row r="1481" spans="1:5" x14ac:dyDescent="0.3">
      <c r="A1481" s="295">
        <v>2021</v>
      </c>
      <c r="B1481" s="295">
        <v>4</v>
      </c>
      <c r="C1481" s="295" t="s">
        <v>2</v>
      </c>
      <c r="D1481" s="295" t="s">
        <v>85</v>
      </c>
      <c r="E1481" s="296">
        <v>5.3465499999999997</v>
      </c>
    </row>
    <row r="1482" spans="1:5" x14ac:dyDescent="0.3">
      <c r="A1482" s="295">
        <v>2021</v>
      </c>
      <c r="B1482" s="295">
        <v>4</v>
      </c>
      <c r="C1482" s="295" t="s">
        <v>2</v>
      </c>
      <c r="D1482" s="295" t="s">
        <v>101</v>
      </c>
      <c r="E1482" s="296">
        <v>20.058350000000001</v>
      </c>
    </row>
    <row r="1483" spans="1:5" x14ac:dyDescent="0.3">
      <c r="A1483" s="295">
        <v>2021</v>
      </c>
      <c r="B1483" s="295">
        <v>4</v>
      </c>
      <c r="C1483" s="295" t="s">
        <v>2</v>
      </c>
      <c r="D1483" s="295" t="s">
        <v>179</v>
      </c>
      <c r="E1483" s="296">
        <v>710.29962</v>
      </c>
    </row>
    <row r="1484" spans="1:5" x14ac:dyDescent="0.3">
      <c r="A1484" s="295">
        <v>2021</v>
      </c>
      <c r="B1484" s="295">
        <v>4</v>
      </c>
      <c r="C1484" s="295" t="s">
        <v>2</v>
      </c>
      <c r="D1484" s="295" t="s">
        <v>352</v>
      </c>
      <c r="E1484" s="296">
        <v>6.4669800000000004</v>
      </c>
    </row>
    <row r="1485" spans="1:5" x14ac:dyDescent="0.3">
      <c r="A1485" s="295">
        <v>2021</v>
      </c>
      <c r="B1485" s="295">
        <v>4</v>
      </c>
      <c r="C1485" s="295" t="s">
        <v>259</v>
      </c>
      <c r="D1485" s="295" t="s">
        <v>1</v>
      </c>
      <c r="E1485" s="296">
        <v>1.15124</v>
      </c>
    </row>
    <row r="1486" spans="1:5" x14ac:dyDescent="0.3">
      <c r="A1486" s="295">
        <v>2021</v>
      </c>
      <c r="B1486" s="295">
        <v>4</v>
      </c>
      <c r="C1486" s="295" t="s">
        <v>259</v>
      </c>
      <c r="D1486" s="295" t="s">
        <v>2</v>
      </c>
      <c r="E1486" s="296">
        <v>1.39093</v>
      </c>
    </row>
    <row r="1487" spans="1:5" x14ac:dyDescent="0.3">
      <c r="A1487" s="295">
        <v>2021</v>
      </c>
      <c r="B1487" s="295">
        <v>4</v>
      </c>
      <c r="C1487" s="295" t="s">
        <v>259</v>
      </c>
      <c r="D1487" s="295" t="s">
        <v>85</v>
      </c>
      <c r="E1487" s="296">
        <v>7.4366500000000002</v>
      </c>
    </row>
    <row r="1488" spans="1:5" x14ac:dyDescent="0.3">
      <c r="A1488" s="295">
        <v>2021</v>
      </c>
      <c r="B1488" s="295">
        <v>4</v>
      </c>
      <c r="C1488" s="295" t="s">
        <v>259</v>
      </c>
      <c r="D1488" s="295" t="s">
        <v>101</v>
      </c>
      <c r="E1488" s="296">
        <v>27.89968</v>
      </c>
    </row>
    <row r="1489" spans="1:5" x14ac:dyDescent="0.3">
      <c r="A1489" s="295">
        <v>2021</v>
      </c>
      <c r="B1489" s="295">
        <v>4</v>
      </c>
      <c r="C1489" s="295" t="s">
        <v>259</v>
      </c>
      <c r="D1489" s="295" t="s">
        <v>179</v>
      </c>
      <c r="E1489" s="296">
        <v>987.97416999999996</v>
      </c>
    </row>
    <row r="1490" spans="1:5" x14ac:dyDescent="0.3">
      <c r="A1490" s="295">
        <v>2021</v>
      </c>
      <c r="B1490" s="295">
        <v>4</v>
      </c>
      <c r="C1490" s="295" t="s">
        <v>259</v>
      </c>
      <c r="D1490" s="295" t="s">
        <v>352</v>
      </c>
      <c r="E1490" s="296">
        <v>8.9950799999999997</v>
      </c>
    </row>
    <row r="1491" spans="1:5" x14ac:dyDescent="0.3">
      <c r="A1491" s="295">
        <v>2021</v>
      </c>
      <c r="B1491" s="295">
        <v>4</v>
      </c>
      <c r="C1491" s="295" t="s">
        <v>85</v>
      </c>
      <c r="D1491" s="295" t="s">
        <v>1</v>
      </c>
      <c r="E1491" s="296">
        <v>0.15481</v>
      </c>
    </row>
    <row r="1492" spans="1:5" x14ac:dyDescent="0.3">
      <c r="A1492" s="295">
        <v>2021</v>
      </c>
      <c r="B1492" s="295">
        <v>4</v>
      </c>
      <c r="C1492" s="295" t="s">
        <v>85</v>
      </c>
      <c r="D1492" s="295" t="s">
        <v>2</v>
      </c>
      <c r="E1492" s="296">
        <v>0.18704000000000001</v>
      </c>
    </row>
    <row r="1493" spans="1:5" x14ac:dyDescent="0.3">
      <c r="A1493" s="295">
        <v>2021</v>
      </c>
      <c r="B1493" s="295">
        <v>4</v>
      </c>
      <c r="C1493" s="295" t="s">
        <v>85</v>
      </c>
      <c r="D1493" s="295" t="s">
        <v>259</v>
      </c>
      <c r="E1493" s="296">
        <v>0.13447000000000001</v>
      </c>
    </row>
    <row r="1494" spans="1:5" x14ac:dyDescent="0.3">
      <c r="A1494" s="295">
        <v>2021</v>
      </c>
      <c r="B1494" s="295">
        <v>4</v>
      </c>
      <c r="C1494" s="295" t="s">
        <v>85</v>
      </c>
      <c r="D1494" s="295" t="s">
        <v>101</v>
      </c>
      <c r="E1494" s="296">
        <v>3.7516400000000001</v>
      </c>
    </row>
    <row r="1495" spans="1:5" x14ac:dyDescent="0.3">
      <c r="A1495" s="295">
        <v>2021</v>
      </c>
      <c r="B1495" s="295">
        <v>4</v>
      </c>
      <c r="C1495" s="295" t="s">
        <v>85</v>
      </c>
      <c r="D1495" s="295" t="s">
        <v>179</v>
      </c>
      <c r="E1495" s="296">
        <v>132.85199</v>
      </c>
    </row>
    <row r="1496" spans="1:5" x14ac:dyDescent="0.3">
      <c r="A1496" s="295">
        <v>2021</v>
      </c>
      <c r="B1496" s="295">
        <v>4</v>
      </c>
      <c r="C1496" s="295" t="s">
        <v>85</v>
      </c>
      <c r="D1496" s="295" t="s">
        <v>352</v>
      </c>
      <c r="E1496" s="296">
        <v>1.20956</v>
      </c>
    </row>
    <row r="1497" spans="1:5" x14ac:dyDescent="0.3">
      <c r="A1497" s="295">
        <v>2021</v>
      </c>
      <c r="B1497" s="295">
        <v>4</v>
      </c>
      <c r="C1497" s="295" t="s">
        <v>101</v>
      </c>
      <c r="D1497" s="295" t="s">
        <v>1</v>
      </c>
      <c r="E1497" s="296">
        <v>4.1259999999999998E-2</v>
      </c>
    </row>
    <row r="1498" spans="1:5" x14ac:dyDescent="0.3">
      <c r="A1498" s="295">
        <v>2021</v>
      </c>
      <c r="B1498" s="295">
        <v>4</v>
      </c>
      <c r="C1498" s="295" t="s">
        <v>101</v>
      </c>
      <c r="D1498" s="295" t="s">
        <v>2</v>
      </c>
      <c r="E1498" s="296">
        <v>4.9849999999999998E-2</v>
      </c>
    </row>
    <row r="1499" spans="1:5" x14ac:dyDescent="0.3">
      <c r="A1499" s="295">
        <v>2021</v>
      </c>
      <c r="B1499" s="295">
        <v>4</v>
      </c>
      <c r="C1499" s="295" t="s">
        <v>101</v>
      </c>
      <c r="D1499" s="295" t="s">
        <v>259</v>
      </c>
      <c r="E1499" s="296">
        <v>3.5839999999999997E-2</v>
      </c>
    </row>
    <row r="1500" spans="1:5" x14ac:dyDescent="0.3">
      <c r="A1500" s="295">
        <v>2021</v>
      </c>
      <c r="B1500" s="295">
        <v>4</v>
      </c>
      <c r="C1500" s="295" t="s">
        <v>101</v>
      </c>
      <c r="D1500" s="295" t="s">
        <v>85</v>
      </c>
      <c r="E1500" s="296">
        <v>0.26655000000000001</v>
      </c>
    </row>
    <row r="1501" spans="1:5" x14ac:dyDescent="0.3">
      <c r="A1501" s="295">
        <v>2021</v>
      </c>
      <c r="B1501" s="295">
        <v>4</v>
      </c>
      <c r="C1501" s="295" t="s">
        <v>101</v>
      </c>
      <c r="D1501" s="295" t="s">
        <v>179</v>
      </c>
      <c r="E1501" s="296">
        <v>35.411670000000001</v>
      </c>
    </row>
    <row r="1502" spans="1:5" x14ac:dyDescent="0.3">
      <c r="A1502" s="295">
        <v>2021</v>
      </c>
      <c r="B1502" s="295">
        <v>4</v>
      </c>
      <c r="C1502" s="295" t="s">
        <v>101</v>
      </c>
      <c r="D1502" s="295" t="s">
        <v>352</v>
      </c>
      <c r="E1502" s="296">
        <v>0.32240999999999997</v>
      </c>
    </row>
    <row r="1503" spans="1:5" x14ac:dyDescent="0.3">
      <c r="A1503" s="295">
        <v>2021</v>
      </c>
      <c r="B1503" s="295">
        <v>4</v>
      </c>
      <c r="C1503" s="295" t="s">
        <v>179</v>
      </c>
      <c r="D1503" s="295" t="s">
        <v>1</v>
      </c>
      <c r="E1503" s="296">
        <v>1.17E-3</v>
      </c>
    </row>
    <row r="1504" spans="1:5" x14ac:dyDescent="0.3">
      <c r="A1504" s="295">
        <v>2021</v>
      </c>
      <c r="B1504" s="295">
        <v>4</v>
      </c>
      <c r="C1504" s="295" t="s">
        <v>179</v>
      </c>
      <c r="D1504" s="295" t="s">
        <v>2</v>
      </c>
      <c r="E1504" s="296">
        <v>1.41E-3</v>
      </c>
    </row>
    <row r="1505" spans="1:5" x14ac:dyDescent="0.3">
      <c r="A1505" s="295">
        <v>2021</v>
      </c>
      <c r="B1505" s="295">
        <v>4</v>
      </c>
      <c r="C1505" s="295" t="s">
        <v>179</v>
      </c>
      <c r="D1505" s="295" t="s">
        <v>259</v>
      </c>
      <c r="E1505" s="296">
        <v>1.01E-3</v>
      </c>
    </row>
    <row r="1506" spans="1:5" x14ac:dyDescent="0.3">
      <c r="A1506" s="295">
        <v>2021</v>
      </c>
      <c r="B1506" s="295">
        <v>4</v>
      </c>
      <c r="C1506" s="295" t="s">
        <v>179</v>
      </c>
      <c r="D1506" s="295" t="s">
        <v>85</v>
      </c>
      <c r="E1506" s="296">
        <v>7.5300000000000002E-3</v>
      </c>
    </row>
    <row r="1507" spans="1:5" x14ac:dyDescent="0.3">
      <c r="A1507" s="295">
        <v>2021</v>
      </c>
      <c r="B1507" s="295">
        <v>4</v>
      </c>
      <c r="C1507" s="295" t="s">
        <v>179</v>
      </c>
      <c r="D1507" s="295" t="s">
        <v>101</v>
      </c>
      <c r="E1507" s="296">
        <v>2.8240000000000001E-2</v>
      </c>
    </row>
    <row r="1508" spans="1:5" x14ac:dyDescent="0.3">
      <c r="A1508" s="295">
        <v>2021</v>
      </c>
      <c r="B1508" s="295">
        <v>4</v>
      </c>
      <c r="C1508" s="295" t="s">
        <v>179</v>
      </c>
      <c r="D1508" s="295" t="s">
        <v>352</v>
      </c>
      <c r="E1508" s="296">
        <v>9.1000000000000004E-3</v>
      </c>
    </row>
    <row r="1509" spans="1:5" x14ac:dyDescent="0.3">
      <c r="A1509" s="295">
        <v>2021</v>
      </c>
      <c r="B1509" s="295">
        <v>4</v>
      </c>
      <c r="C1509" s="295" t="s">
        <v>352</v>
      </c>
      <c r="D1509" s="295" t="s">
        <v>1</v>
      </c>
      <c r="E1509" s="296">
        <v>0.12798999999999999</v>
      </c>
    </row>
    <row r="1510" spans="1:5" x14ac:dyDescent="0.3">
      <c r="A1510" s="295">
        <v>2021</v>
      </c>
      <c r="B1510" s="295">
        <v>4</v>
      </c>
      <c r="C1510" s="295" t="s">
        <v>352</v>
      </c>
      <c r="D1510" s="295" t="s">
        <v>2</v>
      </c>
      <c r="E1510" s="296">
        <v>0.15462999999999999</v>
      </c>
    </row>
    <row r="1511" spans="1:5" x14ac:dyDescent="0.3">
      <c r="A1511" s="295">
        <v>2021</v>
      </c>
      <c r="B1511" s="295">
        <v>4</v>
      </c>
      <c r="C1511" s="295" t="s">
        <v>352</v>
      </c>
      <c r="D1511" s="295" t="s">
        <v>259</v>
      </c>
      <c r="E1511" s="296">
        <v>0.11117</v>
      </c>
    </row>
    <row r="1512" spans="1:5" x14ac:dyDescent="0.3">
      <c r="A1512" s="295">
        <v>2021</v>
      </c>
      <c r="B1512" s="295">
        <v>4</v>
      </c>
      <c r="C1512" s="295" t="s">
        <v>352</v>
      </c>
      <c r="D1512" s="295" t="s">
        <v>85</v>
      </c>
      <c r="E1512" s="296">
        <v>0.82674999999999998</v>
      </c>
    </row>
    <row r="1513" spans="1:5" x14ac:dyDescent="0.3">
      <c r="A1513" s="295">
        <v>2021</v>
      </c>
      <c r="B1513" s="295">
        <v>4</v>
      </c>
      <c r="C1513" s="295" t="s">
        <v>352</v>
      </c>
      <c r="D1513" s="295" t="s">
        <v>101</v>
      </c>
      <c r="E1513" s="296">
        <v>3.1016599999999999</v>
      </c>
    </row>
    <row r="1514" spans="1:5" x14ac:dyDescent="0.3">
      <c r="A1514" s="295">
        <v>2021</v>
      </c>
      <c r="B1514" s="295">
        <v>4</v>
      </c>
      <c r="C1514" s="295" t="s">
        <v>352</v>
      </c>
      <c r="D1514" s="295" t="s">
        <v>179</v>
      </c>
      <c r="E1514" s="296">
        <v>109.8349</v>
      </c>
    </row>
    <row r="1515" spans="1:5" x14ac:dyDescent="0.3">
      <c r="A1515" s="295">
        <v>2021</v>
      </c>
      <c r="B1515" s="295">
        <v>4</v>
      </c>
      <c r="C1515" s="295" t="s">
        <v>1</v>
      </c>
      <c r="D1515" s="295" t="s">
        <v>1</v>
      </c>
      <c r="E1515" s="296">
        <v>1</v>
      </c>
    </row>
    <row r="1516" spans="1:5" x14ac:dyDescent="0.3">
      <c r="A1516" s="295">
        <v>2021</v>
      </c>
      <c r="B1516" s="295">
        <v>4</v>
      </c>
      <c r="C1516" s="295" t="s">
        <v>2</v>
      </c>
      <c r="D1516" s="295" t="s">
        <v>2</v>
      </c>
      <c r="E1516" s="296">
        <v>1</v>
      </c>
    </row>
    <row r="1517" spans="1:5" x14ac:dyDescent="0.3">
      <c r="A1517" s="295">
        <v>2021</v>
      </c>
      <c r="B1517" s="295">
        <v>4</v>
      </c>
      <c r="C1517" s="295" t="s">
        <v>259</v>
      </c>
      <c r="D1517" s="295" t="s">
        <v>259</v>
      </c>
      <c r="E1517" s="296">
        <v>1</v>
      </c>
    </row>
    <row r="1518" spans="1:5" x14ac:dyDescent="0.3">
      <c r="A1518" s="295">
        <v>2021</v>
      </c>
      <c r="B1518" s="295">
        <v>4</v>
      </c>
      <c r="C1518" s="295" t="s">
        <v>85</v>
      </c>
      <c r="D1518" s="295" t="s">
        <v>85</v>
      </c>
      <c r="E1518" s="296">
        <v>1</v>
      </c>
    </row>
    <row r="1519" spans="1:5" x14ac:dyDescent="0.3">
      <c r="A1519" s="295">
        <v>2021</v>
      </c>
      <c r="B1519" s="295">
        <v>4</v>
      </c>
      <c r="C1519" s="295" t="s">
        <v>101</v>
      </c>
      <c r="D1519" s="295" t="s">
        <v>101</v>
      </c>
      <c r="E1519" s="296">
        <v>1</v>
      </c>
    </row>
    <row r="1520" spans="1:5" x14ac:dyDescent="0.3">
      <c r="A1520" s="295">
        <v>2021</v>
      </c>
      <c r="B1520" s="295">
        <v>4</v>
      </c>
      <c r="C1520" s="295" t="s">
        <v>179</v>
      </c>
      <c r="D1520" s="295" t="s">
        <v>179</v>
      </c>
      <c r="E1520" s="296">
        <v>1</v>
      </c>
    </row>
    <row r="1521" spans="1:5" x14ac:dyDescent="0.3">
      <c r="A1521" s="295">
        <v>2021</v>
      </c>
      <c r="B1521" s="295">
        <v>4</v>
      </c>
      <c r="C1521" s="295" t="s">
        <v>352</v>
      </c>
      <c r="D1521" s="295" t="s">
        <v>352</v>
      </c>
      <c r="E1521" s="296">
        <v>1</v>
      </c>
    </row>
    <row r="1522" spans="1:5" x14ac:dyDescent="0.3">
      <c r="A1522" s="295">
        <v>2021</v>
      </c>
      <c r="B1522" s="295">
        <v>5</v>
      </c>
      <c r="C1522" s="295" t="s">
        <v>1</v>
      </c>
      <c r="D1522" s="295" t="s">
        <v>2</v>
      </c>
      <c r="E1522" s="296">
        <v>1.2201</v>
      </c>
    </row>
    <row r="1523" spans="1:5" x14ac:dyDescent="0.3">
      <c r="A1523" s="295">
        <v>2021</v>
      </c>
      <c r="B1523" s="295">
        <v>5</v>
      </c>
      <c r="C1523" s="295" t="s">
        <v>1</v>
      </c>
      <c r="D1523" s="295" t="s">
        <v>259</v>
      </c>
      <c r="E1523" s="296">
        <v>0.86012999999999995</v>
      </c>
    </row>
    <row r="1524" spans="1:5" x14ac:dyDescent="0.3">
      <c r="A1524" s="295">
        <v>2021</v>
      </c>
      <c r="B1524" s="295">
        <v>5</v>
      </c>
      <c r="C1524" s="295" t="s">
        <v>1</v>
      </c>
      <c r="D1524" s="295" t="s">
        <v>85</v>
      </c>
      <c r="E1524" s="296">
        <v>6.3868</v>
      </c>
    </row>
    <row r="1525" spans="1:5" x14ac:dyDescent="0.3">
      <c r="A1525" s="295">
        <v>2021</v>
      </c>
      <c r="B1525" s="295">
        <v>5</v>
      </c>
      <c r="C1525" s="295" t="s">
        <v>1</v>
      </c>
      <c r="D1525" s="295" t="s">
        <v>101</v>
      </c>
      <c r="E1525" s="296">
        <v>24.313099999999999</v>
      </c>
    </row>
    <row r="1526" spans="1:5" x14ac:dyDescent="0.3">
      <c r="A1526" s="295">
        <v>2021</v>
      </c>
      <c r="B1526" s="295">
        <v>5</v>
      </c>
      <c r="C1526" s="295" t="s">
        <v>1</v>
      </c>
      <c r="D1526" s="295" t="s">
        <v>179</v>
      </c>
      <c r="E1526" s="296">
        <v>881.43700000000001</v>
      </c>
    </row>
    <row r="1527" spans="1:5" x14ac:dyDescent="0.3">
      <c r="A1527" s="295">
        <v>2021</v>
      </c>
      <c r="B1527" s="295">
        <v>5</v>
      </c>
      <c r="C1527" s="295" t="s">
        <v>1</v>
      </c>
      <c r="D1527" s="295" t="s">
        <v>352</v>
      </c>
      <c r="E1527" s="296">
        <v>7.7721999999999998</v>
      </c>
    </row>
    <row r="1528" spans="1:5" x14ac:dyDescent="0.3">
      <c r="A1528" s="295">
        <v>2021</v>
      </c>
      <c r="B1528" s="295">
        <v>5</v>
      </c>
      <c r="C1528" s="295" t="s">
        <v>2</v>
      </c>
      <c r="D1528" s="295" t="s">
        <v>1</v>
      </c>
      <c r="E1528" s="296">
        <v>0.8196</v>
      </c>
    </row>
    <row r="1529" spans="1:5" x14ac:dyDescent="0.3">
      <c r="A1529" s="295">
        <v>2021</v>
      </c>
      <c r="B1529" s="295">
        <v>5</v>
      </c>
      <c r="C1529" s="295" t="s">
        <v>2</v>
      </c>
      <c r="D1529" s="295" t="s">
        <v>259</v>
      </c>
      <c r="E1529" s="296">
        <v>0.70496999999999999</v>
      </c>
    </row>
    <row r="1530" spans="1:5" x14ac:dyDescent="0.3">
      <c r="A1530" s="295">
        <v>2021</v>
      </c>
      <c r="B1530" s="295">
        <v>5</v>
      </c>
      <c r="C1530" s="295" t="s">
        <v>2</v>
      </c>
      <c r="D1530" s="295" t="s">
        <v>85</v>
      </c>
      <c r="E1530" s="296">
        <v>5.2346500000000002</v>
      </c>
    </row>
    <row r="1531" spans="1:5" x14ac:dyDescent="0.3">
      <c r="A1531" s="295">
        <v>2021</v>
      </c>
      <c r="B1531" s="295">
        <v>5</v>
      </c>
      <c r="C1531" s="295" t="s">
        <v>2</v>
      </c>
      <c r="D1531" s="295" t="s">
        <v>101</v>
      </c>
      <c r="E1531" s="296">
        <v>19.927140000000001</v>
      </c>
    </row>
    <row r="1532" spans="1:5" x14ac:dyDescent="0.3">
      <c r="A1532" s="295">
        <v>2021</v>
      </c>
      <c r="B1532" s="295">
        <v>5</v>
      </c>
      <c r="C1532" s="295" t="s">
        <v>2</v>
      </c>
      <c r="D1532" s="295" t="s">
        <v>179</v>
      </c>
      <c r="E1532" s="296">
        <v>722.43012999999996</v>
      </c>
    </row>
    <row r="1533" spans="1:5" x14ac:dyDescent="0.3">
      <c r="A1533" s="295">
        <v>2021</v>
      </c>
      <c r="B1533" s="295">
        <v>5</v>
      </c>
      <c r="C1533" s="295" t="s">
        <v>2</v>
      </c>
      <c r="D1533" s="295" t="s">
        <v>352</v>
      </c>
      <c r="E1533" s="296">
        <v>6.3701299999999996</v>
      </c>
    </row>
    <row r="1534" spans="1:5" x14ac:dyDescent="0.3">
      <c r="A1534" s="295">
        <v>2021</v>
      </c>
      <c r="B1534" s="295">
        <v>5</v>
      </c>
      <c r="C1534" s="295" t="s">
        <v>259</v>
      </c>
      <c r="D1534" s="295" t="s">
        <v>1</v>
      </c>
      <c r="E1534" s="296">
        <v>1.1626099999999999</v>
      </c>
    </row>
    <row r="1535" spans="1:5" x14ac:dyDescent="0.3">
      <c r="A1535" s="295">
        <v>2021</v>
      </c>
      <c r="B1535" s="295">
        <v>5</v>
      </c>
      <c r="C1535" s="295" t="s">
        <v>259</v>
      </c>
      <c r="D1535" s="295" t="s">
        <v>2</v>
      </c>
      <c r="E1535" s="296">
        <v>1.4185099999999999</v>
      </c>
    </row>
    <row r="1536" spans="1:5" x14ac:dyDescent="0.3">
      <c r="A1536" s="295">
        <v>2021</v>
      </c>
      <c r="B1536" s="295">
        <v>5</v>
      </c>
      <c r="C1536" s="295" t="s">
        <v>259</v>
      </c>
      <c r="D1536" s="295" t="s">
        <v>85</v>
      </c>
      <c r="E1536" s="296">
        <v>7.4253900000000002</v>
      </c>
    </row>
    <row r="1537" spans="1:5" x14ac:dyDescent="0.3">
      <c r="A1537" s="295">
        <v>2021</v>
      </c>
      <c r="B1537" s="295">
        <v>5</v>
      </c>
      <c r="C1537" s="295" t="s">
        <v>259</v>
      </c>
      <c r="D1537" s="295" t="s">
        <v>101</v>
      </c>
      <c r="E1537" s="296">
        <v>28.266770000000001</v>
      </c>
    </row>
    <row r="1538" spans="1:5" x14ac:dyDescent="0.3">
      <c r="A1538" s="295">
        <v>2021</v>
      </c>
      <c r="B1538" s="295">
        <v>5</v>
      </c>
      <c r="C1538" s="295" t="s">
        <v>259</v>
      </c>
      <c r="D1538" s="295" t="s">
        <v>179</v>
      </c>
      <c r="E1538" s="296">
        <v>1024.7718400000001</v>
      </c>
    </row>
    <row r="1539" spans="1:5" x14ac:dyDescent="0.3">
      <c r="A1539" s="295">
        <v>2021</v>
      </c>
      <c r="B1539" s="295">
        <v>5</v>
      </c>
      <c r="C1539" s="295" t="s">
        <v>259</v>
      </c>
      <c r="D1539" s="295" t="s">
        <v>352</v>
      </c>
      <c r="E1539" s="296">
        <v>9.0360800000000001</v>
      </c>
    </row>
    <row r="1540" spans="1:5" x14ac:dyDescent="0.3">
      <c r="A1540" s="295">
        <v>2021</v>
      </c>
      <c r="B1540" s="295">
        <v>5</v>
      </c>
      <c r="C1540" s="295" t="s">
        <v>85</v>
      </c>
      <c r="D1540" s="295" t="s">
        <v>1</v>
      </c>
      <c r="E1540" s="296">
        <v>0.15656999999999999</v>
      </c>
    </row>
    <row r="1541" spans="1:5" x14ac:dyDescent="0.3">
      <c r="A1541" s="295">
        <v>2021</v>
      </c>
      <c r="B1541" s="295">
        <v>5</v>
      </c>
      <c r="C1541" s="295" t="s">
        <v>85</v>
      </c>
      <c r="D1541" s="295" t="s">
        <v>2</v>
      </c>
      <c r="E1541" s="296">
        <v>0.19103000000000001</v>
      </c>
    </row>
    <row r="1542" spans="1:5" x14ac:dyDescent="0.3">
      <c r="A1542" s="295">
        <v>2021</v>
      </c>
      <c r="B1542" s="295">
        <v>5</v>
      </c>
      <c r="C1542" s="295" t="s">
        <v>85</v>
      </c>
      <c r="D1542" s="295" t="s">
        <v>259</v>
      </c>
      <c r="E1542" s="296">
        <v>0.13467000000000001</v>
      </c>
    </row>
    <row r="1543" spans="1:5" x14ac:dyDescent="0.3">
      <c r="A1543" s="295">
        <v>2021</v>
      </c>
      <c r="B1543" s="295">
        <v>5</v>
      </c>
      <c r="C1543" s="295" t="s">
        <v>85</v>
      </c>
      <c r="D1543" s="295" t="s">
        <v>101</v>
      </c>
      <c r="E1543" s="296">
        <v>3.8067700000000002</v>
      </c>
    </row>
    <row r="1544" spans="1:5" x14ac:dyDescent="0.3">
      <c r="A1544" s="295">
        <v>2021</v>
      </c>
      <c r="B1544" s="295">
        <v>5</v>
      </c>
      <c r="C1544" s="295" t="s">
        <v>85</v>
      </c>
      <c r="D1544" s="295" t="s">
        <v>179</v>
      </c>
      <c r="E1544" s="296">
        <v>138.00917999999999</v>
      </c>
    </row>
    <row r="1545" spans="1:5" x14ac:dyDescent="0.3">
      <c r="A1545" s="295">
        <v>2021</v>
      </c>
      <c r="B1545" s="295">
        <v>5</v>
      </c>
      <c r="C1545" s="295" t="s">
        <v>85</v>
      </c>
      <c r="D1545" s="295" t="s">
        <v>352</v>
      </c>
      <c r="E1545" s="296">
        <v>1.21692</v>
      </c>
    </row>
    <row r="1546" spans="1:5" x14ac:dyDescent="0.3">
      <c r="A1546" s="295">
        <v>2021</v>
      </c>
      <c r="B1546" s="295">
        <v>5</v>
      </c>
      <c r="C1546" s="295" t="s">
        <v>101</v>
      </c>
      <c r="D1546" s="295" t="s">
        <v>1</v>
      </c>
      <c r="E1546" s="296">
        <v>4.113E-2</v>
      </c>
    </row>
    <row r="1547" spans="1:5" x14ac:dyDescent="0.3">
      <c r="A1547" s="295">
        <v>2021</v>
      </c>
      <c r="B1547" s="295">
        <v>5</v>
      </c>
      <c r="C1547" s="295" t="s">
        <v>101</v>
      </c>
      <c r="D1547" s="295" t="s">
        <v>2</v>
      </c>
      <c r="E1547" s="296">
        <v>5.0180000000000002E-2</v>
      </c>
    </row>
    <row r="1548" spans="1:5" x14ac:dyDescent="0.3">
      <c r="A1548" s="295">
        <v>2021</v>
      </c>
      <c r="B1548" s="295">
        <v>5</v>
      </c>
      <c r="C1548" s="295" t="s">
        <v>101</v>
      </c>
      <c r="D1548" s="295" t="s">
        <v>259</v>
      </c>
      <c r="E1548" s="296">
        <v>3.5380000000000002E-2</v>
      </c>
    </row>
    <row r="1549" spans="1:5" x14ac:dyDescent="0.3">
      <c r="A1549" s="295">
        <v>2021</v>
      </c>
      <c r="B1549" s="295">
        <v>5</v>
      </c>
      <c r="C1549" s="295" t="s">
        <v>101</v>
      </c>
      <c r="D1549" s="295" t="s">
        <v>85</v>
      </c>
      <c r="E1549" s="296">
        <v>0.26268999999999998</v>
      </c>
    </row>
    <row r="1550" spans="1:5" x14ac:dyDescent="0.3">
      <c r="A1550" s="295">
        <v>2021</v>
      </c>
      <c r="B1550" s="295">
        <v>5</v>
      </c>
      <c r="C1550" s="295" t="s">
        <v>101</v>
      </c>
      <c r="D1550" s="295" t="s">
        <v>179</v>
      </c>
      <c r="E1550" s="296">
        <v>36.253579999999999</v>
      </c>
    </row>
    <row r="1551" spans="1:5" x14ac:dyDescent="0.3">
      <c r="A1551" s="295">
        <v>2021</v>
      </c>
      <c r="B1551" s="295">
        <v>5</v>
      </c>
      <c r="C1551" s="295" t="s">
        <v>101</v>
      </c>
      <c r="D1551" s="295" t="s">
        <v>352</v>
      </c>
      <c r="E1551" s="296">
        <v>0.31967000000000001</v>
      </c>
    </row>
    <row r="1552" spans="1:5" x14ac:dyDescent="0.3">
      <c r="A1552" s="295">
        <v>2021</v>
      </c>
      <c r="B1552" s="295">
        <v>5</v>
      </c>
      <c r="C1552" s="295" t="s">
        <v>179</v>
      </c>
      <c r="D1552" s="295" t="s">
        <v>1</v>
      </c>
      <c r="E1552" s="296">
        <v>1.1299999999999999E-3</v>
      </c>
    </row>
    <row r="1553" spans="1:5" x14ac:dyDescent="0.3">
      <c r="A1553" s="295">
        <v>2021</v>
      </c>
      <c r="B1553" s="295">
        <v>5</v>
      </c>
      <c r="C1553" s="295" t="s">
        <v>179</v>
      </c>
      <c r="D1553" s="295" t="s">
        <v>2</v>
      </c>
      <c r="E1553" s="296">
        <v>1.3799999999999999E-3</v>
      </c>
    </row>
    <row r="1554" spans="1:5" x14ac:dyDescent="0.3">
      <c r="A1554" s="295">
        <v>2021</v>
      </c>
      <c r="B1554" s="295">
        <v>5</v>
      </c>
      <c r="C1554" s="295" t="s">
        <v>179</v>
      </c>
      <c r="D1554" s="295" t="s">
        <v>259</v>
      </c>
      <c r="E1554" s="296">
        <v>9.7999999999999997E-4</v>
      </c>
    </row>
    <row r="1555" spans="1:5" x14ac:dyDescent="0.3">
      <c r="A1555" s="295">
        <v>2021</v>
      </c>
      <c r="B1555" s="295">
        <v>5</v>
      </c>
      <c r="C1555" s="295" t="s">
        <v>179</v>
      </c>
      <c r="D1555" s="295" t="s">
        <v>85</v>
      </c>
      <c r="E1555" s="296">
        <v>7.2500000000000004E-3</v>
      </c>
    </row>
    <row r="1556" spans="1:5" x14ac:dyDescent="0.3">
      <c r="A1556" s="295">
        <v>2021</v>
      </c>
      <c r="B1556" s="295">
        <v>5</v>
      </c>
      <c r="C1556" s="295" t="s">
        <v>179</v>
      </c>
      <c r="D1556" s="295" t="s">
        <v>101</v>
      </c>
      <c r="E1556" s="296">
        <v>2.758E-2</v>
      </c>
    </row>
    <row r="1557" spans="1:5" x14ac:dyDescent="0.3">
      <c r="A1557" s="295">
        <v>2021</v>
      </c>
      <c r="B1557" s="295">
        <v>5</v>
      </c>
      <c r="C1557" s="295" t="s">
        <v>179</v>
      </c>
      <c r="D1557" s="295" t="s">
        <v>352</v>
      </c>
      <c r="E1557" s="296">
        <v>8.8199999999999997E-3</v>
      </c>
    </row>
    <row r="1558" spans="1:5" x14ac:dyDescent="0.3">
      <c r="A1558" s="295">
        <v>2021</v>
      </c>
      <c r="B1558" s="295">
        <v>5</v>
      </c>
      <c r="C1558" s="295" t="s">
        <v>352</v>
      </c>
      <c r="D1558" s="295" t="s">
        <v>1</v>
      </c>
      <c r="E1558" s="296">
        <v>0.12866</v>
      </c>
    </row>
    <row r="1559" spans="1:5" x14ac:dyDescent="0.3">
      <c r="A1559" s="295">
        <v>2021</v>
      </c>
      <c r="B1559" s="295">
        <v>5</v>
      </c>
      <c r="C1559" s="295" t="s">
        <v>352</v>
      </c>
      <c r="D1559" s="295" t="s">
        <v>2</v>
      </c>
      <c r="E1559" s="296">
        <v>0.15698000000000001</v>
      </c>
    </row>
    <row r="1560" spans="1:5" x14ac:dyDescent="0.3">
      <c r="A1560" s="295">
        <v>2021</v>
      </c>
      <c r="B1560" s="295">
        <v>5</v>
      </c>
      <c r="C1560" s="295" t="s">
        <v>352</v>
      </c>
      <c r="D1560" s="295" t="s">
        <v>259</v>
      </c>
      <c r="E1560" s="296">
        <v>0.11067</v>
      </c>
    </row>
    <row r="1561" spans="1:5" x14ac:dyDescent="0.3">
      <c r="A1561" s="295">
        <v>2021</v>
      </c>
      <c r="B1561" s="295">
        <v>5</v>
      </c>
      <c r="C1561" s="295" t="s">
        <v>352</v>
      </c>
      <c r="D1561" s="295" t="s">
        <v>85</v>
      </c>
      <c r="E1561" s="296">
        <v>0.82174999999999998</v>
      </c>
    </row>
    <row r="1562" spans="1:5" x14ac:dyDescent="0.3">
      <c r="A1562" s="295">
        <v>2021</v>
      </c>
      <c r="B1562" s="295">
        <v>5</v>
      </c>
      <c r="C1562" s="295" t="s">
        <v>352</v>
      </c>
      <c r="D1562" s="295" t="s">
        <v>101</v>
      </c>
      <c r="E1562" s="296">
        <v>3.1282100000000002</v>
      </c>
    </row>
    <row r="1563" spans="1:5" x14ac:dyDescent="0.3">
      <c r="A1563" s="295">
        <v>2021</v>
      </c>
      <c r="B1563" s="295">
        <v>5</v>
      </c>
      <c r="C1563" s="295" t="s">
        <v>352</v>
      </c>
      <c r="D1563" s="295" t="s">
        <v>179</v>
      </c>
      <c r="E1563" s="296">
        <v>113.40891999999999</v>
      </c>
    </row>
    <row r="1564" spans="1:5" x14ac:dyDescent="0.3">
      <c r="A1564" s="295">
        <v>2021</v>
      </c>
      <c r="B1564" s="295">
        <v>5</v>
      </c>
      <c r="C1564" s="295" t="s">
        <v>1</v>
      </c>
      <c r="D1564" s="295" t="s">
        <v>1</v>
      </c>
      <c r="E1564" s="296">
        <v>1</v>
      </c>
    </row>
    <row r="1565" spans="1:5" x14ac:dyDescent="0.3">
      <c r="A1565" s="295">
        <v>2021</v>
      </c>
      <c r="B1565" s="295">
        <v>5</v>
      </c>
      <c r="C1565" s="295" t="s">
        <v>2</v>
      </c>
      <c r="D1565" s="295" t="s">
        <v>2</v>
      </c>
      <c r="E1565" s="296">
        <v>1</v>
      </c>
    </row>
    <row r="1566" spans="1:5" x14ac:dyDescent="0.3">
      <c r="A1566" s="295">
        <v>2021</v>
      </c>
      <c r="B1566" s="295">
        <v>5</v>
      </c>
      <c r="C1566" s="295" t="s">
        <v>259</v>
      </c>
      <c r="D1566" s="295" t="s">
        <v>259</v>
      </c>
      <c r="E1566" s="296">
        <v>1</v>
      </c>
    </row>
    <row r="1567" spans="1:5" x14ac:dyDescent="0.3">
      <c r="A1567" s="295">
        <v>2021</v>
      </c>
      <c r="B1567" s="295">
        <v>5</v>
      </c>
      <c r="C1567" s="295" t="s">
        <v>85</v>
      </c>
      <c r="D1567" s="295" t="s">
        <v>85</v>
      </c>
      <c r="E1567" s="296">
        <v>1</v>
      </c>
    </row>
    <row r="1568" spans="1:5" x14ac:dyDescent="0.3">
      <c r="A1568" s="295">
        <v>2021</v>
      </c>
      <c r="B1568" s="295">
        <v>5</v>
      </c>
      <c r="C1568" s="295" t="s">
        <v>101</v>
      </c>
      <c r="D1568" s="295" t="s">
        <v>101</v>
      </c>
      <c r="E1568" s="296">
        <v>1</v>
      </c>
    </row>
    <row r="1569" spans="1:5" x14ac:dyDescent="0.3">
      <c r="A1569" s="295">
        <v>2021</v>
      </c>
      <c r="B1569" s="295">
        <v>5</v>
      </c>
      <c r="C1569" s="295" t="s">
        <v>179</v>
      </c>
      <c r="D1569" s="295" t="s">
        <v>179</v>
      </c>
      <c r="E1569" s="296">
        <v>1</v>
      </c>
    </row>
    <row r="1570" spans="1:5" x14ac:dyDescent="0.3">
      <c r="A1570" s="295">
        <v>2021</v>
      </c>
      <c r="B1570" s="295">
        <v>5</v>
      </c>
      <c r="C1570" s="295" t="s">
        <v>352</v>
      </c>
      <c r="D1570" s="295" t="s">
        <v>352</v>
      </c>
      <c r="E1570" s="296">
        <v>1</v>
      </c>
    </row>
    <row r="1571" spans="1:5" x14ac:dyDescent="0.3">
      <c r="A1571" s="295">
        <v>2021</v>
      </c>
      <c r="B1571" s="295">
        <v>6</v>
      </c>
      <c r="C1571" s="295" t="s">
        <v>1</v>
      </c>
      <c r="D1571" s="295" t="s">
        <v>2</v>
      </c>
      <c r="E1571" s="296">
        <v>1.1883999999999999</v>
      </c>
    </row>
    <row r="1572" spans="1:5" x14ac:dyDescent="0.3">
      <c r="A1572" s="295">
        <v>2021</v>
      </c>
      <c r="B1572" s="295">
        <v>6</v>
      </c>
      <c r="C1572" s="295" t="s">
        <v>1</v>
      </c>
      <c r="D1572" s="295" t="s">
        <v>259</v>
      </c>
      <c r="E1572" s="296">
        <v>0.85804999999999998</v>
      </c>
    </row>
    <row r="1573" spans="1:5" x14ac:dyDescent="0.3">
      <c r="A1573" s="295">
        <v>2021</v>
      </c>
      <c r="B1573" s="295">
        <v>6</v>
      </c>
      <c r="C1573" s="295" t="s">
        <v>1</v>
      </c>
      <c r="D1573" s="295" t="s">
        <v>85</v>
      </c>
      <c r="E1573" s="296">
        <v>5.9050000000000002</v>
      </c>
    </row>
    <row r="1574" spans="1:5" x14ac:dyDescent="0.3">
      <c r="A1574" s="295">
        <v>2021</v>
      </c>
      <c r="B1574" s="295">
        <v>6</v>
      </c>
      <c r="C1574" s="295" t="s">
        <v>1</v>
      </c>
      <c r="D1574" s="295" t="s">
        <v>101</v>
      </c>
      <c r="E1574" s="296">
        <v>23.578399999999998</v>
      </c>
    </row>
    <row r="1575" spans="1:5" x14ac:dyDescent="0.3">
      <c r="A1575" s="295">
        <v>2021</v>
      </c>
      <c r="B1575" s="295">
        <v>6</v>
      </c>
      <c r="C1575" s="295" t="s">
        <v>1</v>
      </c>
      <c r="D1575" s="295" t="s">
        <v>179</v>
      </c>
      <c r="E1575" s="296">
        <v>869.55228</v>
      </c>
    </row>
    <row r="1576" spans="1:5" x14ac:dyDescent="0.3">
      <c r="A1576" s="295">
        <v>2021</v>
      </c>
      <c r="B1576" s="295">
        <v>6</v>
      </c>
      <c r="C1576" s="295" t="s">
        <v>1</v>
      </c>
      <c r="D1576" s="295" t="s">
        <v>352</v>
      </c>
      <c r="E1576" s="296">
        <v>7.6741999999999999</v>
      </c>
    </row>
    <row r="1577" spans="1:5" x14ac:dyDescent="0.3">
      <c r="A1577" s="295">
        <v>2021</v>
      </c>
      <c r="B1577" s="295">
        <v>6</v>
      </c>
      <c r="C1577" s="295" t="s">
        <v>2</v>
      </c>
      <c r="D1577" s="295" t="s">
        <v>1</v>
      </c>
      <c r="E1577" s="296">
        <v>0.84147000000000005</v>
      </c>
    </row>
    <row r="1578" spans="1:5" x14ac:dyDescent="0.3">
      <c r="A1578" s="295">
        <v>2021</v>
      </c>
      <c r="B1578" s="295">
        <v>6</v>
      </c>
      <c r="C1578" s="295" t="s">
        <v>2</v>
      </c>
      <c r="D1578" s="295" t="s">
        <v>259</v>
      </c>
      <c r="E1578" s="296">
        <v>0.72202</v>
      </c>
    </row>
    <row r="1579" spans="1:5" x14ac:dyDescent="0.3">
      <c r="A1579" s="295">
        <v>2021</v>
      </c>
      <c r="B1579" s="295">
        <v>6</v>
      </c>
      <c r="C1579" s="295" t="s">
        <v>2</v>
      </c>
      <c r="D1579" s="295" t="s">
        <v>85</v>
      </c>
      <c r="E1579" s="296">
        <v>4.9688699999999999</v>
      </c>
    </row>
    <row r="1580" spans="1:5" x14ac:dyDescent="0.3">
      <c r="A1580" s="295">
        <v>2021</v>
      </c>
      <c r="B1580" s="295">
        <v>6</v>
      </c>
      <c r="C1580" s="295" t="s">
        <v>2</v>
      </c>
      <c r="D1580" s="295" t="s">
        <v>101</v>
      </c>
      <c r="E1580" s="296">
        <v>19.84046</v>
      </c>
    </row>
    <row r="1581" spans="1:5" x14ac:dyDescent="0.3">
      <c r="A1581" s="295">
        <v>2021</v>
      </c>
      <c r="B1581" s="295">
        <v>6</v>
      </c>
      <c r="C1581" s="295" t="s">
        <v>2</v>
      </c>
      <c r="D1581" s="295" t="s">
        <v>179</v>
      </c>
      <c r="E1581" s="296">
        <v>731.7</v>
      </c>
    </row>
    <row r="1582" spans="1:5" x14ac:dyDescent="0.3">
      <c r="A1582" s="295">
        <v>2021</v>
      </c>
      <c r="B1582" s="295">
        <v>6</v>
      </c>
      <c r="C1582" s="295" t="s">
        <v>2</v>
      </c>
      <c r="D1582" s="295" t="s">
        <v>352</v>
      </c>
      <c r="E1582" s="296">
        <v>6.4575899999999997</v>
      </c>
    </row>
    <row r="1583" spans="1:5" x14ac:dyDescent="0.3">
      <c r="A1583" s="295">
        <v>2021</v>
      </c>
      <c r="B1583" s="295">
        <v>6</v>
      </c>
      <c r="C1583" s="295" t="s">
        <v>259</v>
      </c>
      <c r="D1583" s="295" t="s">
        <v>1</v>
      </c>
      <c r="E1583" s="296">
        <v>1.16543</v>
      </c>
    </row>
    <row r="1584" spans="1:5" x14ac:dyDescent="0.3">
      <c r="A1584" s="295">
        <v>2021</v>
      </c>
      <c r="B1584" s="295">
        <v>6</v>
      </c>
      <c r="C1584" s="295" t="s">
        <v>259</v>
      </c>
      <c r="D1584" s="295" t="s">
        <v>2</v>
      </c>
      <c r="E1584" s="296">
        <v>1.385</v>
      </c>
    </row>
    <row r="1585" spans="1:5" x14ac:dyDescent="0.3">
      <c r="A1585" s="295">
        <v>2021</v>
      </c>
      <c r="B1585" s="295">
        <v>6</v>
      </c>
      <c r="C1585" s="295" t="s">
        <v>259</v>
      </c>
      <c r="D1585" s="295" t="s">
        <v>85</v>
      </c>
      <c r="E1585" s="296">
        <v>6.8818799999999998</v>
      </c>
    </row>
    <row r="1586" spans="1:5" x14ac:dyDescent="0.3">
      <c r="A1586" s="295">
        <v>2021</v>
      </c>
      <c r="B1586" s="295">
        <v>6</v>
      </c>
      <c r="C1586" s="295" t="s">
        <v>259</v>
      </c>
      <c r="D1586" s="295" t="s">
        <v>101</v>
      </c>
      <c r="E1586" s="296">
        <v>27.479050000000001</v>
      </c>
    </row>
    <row r="1587" spans="1:5" x14ac:dyDescent="0.3">
      <c r="A1587" s="295">
        <v>2021</v>
      </c>
      <c r="B1587" s="295">
        <v>6</v>
      </c>
      <c r="C1587" s="295" t="s">
        <v>259</v>
      </c>
      <c r="D1587" s="295" t="s">
        <v>179</v>
      </c>
      <c r="E1587" s="296">
        <v>1013.40514</v>
      </c>
    </row>
    <row r="1588" spans="1:5" x14ac:dyDescent="0.3">
      <c r="A1588" s="295">
        <v>2021</v>
      </c>
      <c r="B1588" s="295">
        <v>6</v>
      </c>
      <c r="C1588" s="295" t="s">
        <v>259</v>
      </c>
      <c r="D1588" s="295" t="s">
        <v>352</v>
      </c>
      <c r="E1588" s="296">
        <v>8.9437700000000007</v>
      </c>
    </row>
    <row r="1589" spans="1:5" x14ac:dyDescent="0.3">
      <c r="A1589" s="295">
        <v>2021</v>
      </c>
      <c r="B1589" s="295">
        <v>6</v>
      </c>
      <c r="C1589" s="295" t="s">
        <v>85</v>
      </c>
      <c r="D1589" s="295" t="s">
        <v>1</v>
      </c>
      <c r="E1589" s="296">
        <v>0.16935</v>
      </c>
    </row>
    <row r="1590" spans="1:5" x14ac:dyDescent="0.3">
      <c r="A1590" s="295">
        <v>2021</v>
      </c>
      <c r="B1590" s="295">
        <v>6</v>
      </c>
      <c r="C1590" s="295" t="s">
        <v>85</v>
      </c>
      <c r="D1590" s="295" t="s">
        <v>2</v>
      </c>
      <c r="E1590" s="296">
        <v>0.20125000000000001</v>
      </c>
    </row>
    <row r="1591" spans="1:5" x14ac:dyDescent="0.3">
      <c r="A1591" s="295">
        <v>2021</v>
      </c>
      <c r="B1591" s="295">
        <v>6</v>
      </c>
      <c r="C1591" s="295" t="s">
        <v>85</v>
      </c>
      <c r="D1591" s="295" t="s">
        <v>259</v>
      </c>
      <c r="E1591" s="296">
        <v>0.14530999999999999</v>
      </c>
    </row>
    <row r="1592" spans="1:5" x14ac:dyDescent="0.3">
      <c r="A1592" s="295">
        <v>2021</v>
      </c>
      <c r="B1592" s="295">
        <v>6</v>
      </c>
      <c r="C1592" s="295" t="s">
        <v>85</v>
      </c>
      <c r="D1592" s="295" t="s">
        <v>101</v>
      </c>
      <c r="E1592" s="296">
        <v>3.9929600000000001</v>
      </c>
    </row>
    <row r="1593" spans="1:5" x14ac:dyDescent="0.3">
      <c r="A1593" s="295">
        <v>2021</v>
      </c>
      <c r="B1593" s="295">
        <v>6</v>
      </c>
      <c r="C1593" s="295" t="s">
        <v>85</v>
      </c>
      <c r="D1593" s="295" t="s">
        <v>179</v>
      </c>
      <c r="E1593" s="296">
        <v>147.25694999999999</v>
      </c>
    </row>
    <row r="1594" spans="1:5" x14ac:dyDescent="0.3">
      <c r="A1594" s="295">
        <v>2021</v>
      </c>
      <c r="B1594" s="295">
        <v>6</v>
      </c>
      <c r="C1594" s="295" t="s">
        <v>85</v>
      </c>
      <c r="D1594" s="295" t="s">
        <v>352</v>
      </c>
      <c r="E1594" s="296">
        <v>1.2996099999999999</v>
      </c>
    </row>
    <row r="1595" spans="1:5" x14ac:dyDescent="0.3">
      <c r="A1595" s="295">
        <v>2021</v>
      </c>
      <c r="B1595" s="295">
        <v>6</v>
      </c>
      <c r="C1595" s="295" t="s">
        <v>101</v>
      </c>
      <c r="D1595" s="295" t="s">
        <v>1</v>
      </c>
      <c r="E1595" s="296">
        <v>4.2410000000000003E-2</v>
      </c>
    </row>
    <row r="1596" spans="1:5" x14ac:dyDescent="0.3">
      <c r="A1596" s="295">
        <v>2021</v>
      </c>
      <c r="B1596" s="295">
        <v>6</v>
      </c>
      <c r="C1596" s="295" t="s">
        <v>101</v>
      </c>
      <c r="D1596" s="295" t="s">
        <v>2</v>
      </c>
      <c r="E1596" s="296">
        <v>5.04E-2</v>
      </c>
    </row>
    <row r="1597" spans="1:5" x14ac:dyDescent="0.3">
      <c r="A1597" s="295">
        <v>2021</v>
      </c>
      <c r="B1597" s="295">
        <v>6</v>
      </c>
      <c r="C1597" s="295" t="s">
        <v>101</v>
      </c>
      <c r="D1597" s="295" t="s">
        <v>259</v>
      </c>
      <c r="E1597" s="296">
        <v>3.6389999999999999E-2</v>
      </c>
    </row>
    <row r="1598" spans="1:5" x14ac:dyDescent="0.3">
      <c r="A1598" s="295">
        <v>2021</v>
      </c>
      <c r="B1598" s="295">
        <v>6</v>
      </c>
      <c r="C1598" s="295" t="s">
        <v>101</v>
      </c>
      <c r="D1598" s="295" t="s">
        <v>85</v>
      </c>
      <c r="E1598" s="296">
        <v>0.25044</v>
      </c>
    </row>
    <row r="1599" spans="1:5" x14ac:dyDescent="0.3">
      <c r="A1599" s="295">
        <v>2021</v>
      </c>
      <c r="B1599" s="295">
        <v>6</v>
      </c>
      <c r="C1599" s="295" t="s">
        <v>101</v>
      </c>
      <c r="D1599" s="295" t="s">
        <v>179</v>
      </c>
      <c r="E1599" s="296">
        <v>36.879190000000001</v>
      </c>
    </row>
    <row r="1600" spans="1:5" x14ac:dyDescent="0.3">
      <c r="A1600" s="295">
        <v>2021</v>
      </c>
      <c r="B1600" s="295">
        <v>6</v>
      </c>
      <c r="C1600" s="295" t="s">
        <v>101</v>
      </c>
      <c r="D1600" s="295" t="s">
        <v>352</v>
      </c>
      <c r="E1600" s="296">
        <v>0.32547999999999999</v>
      </c>
    </row>
    <row r="1601" spans="1:5" x14ac:dyDescent="0.3">
      <c r="A1601" s="295">
        <v>2021</v>
      </c>
      <c r="B1601" s="295">
        <v>6</v>
      </c>
      <c r="C1601" s="295" t="s">
        <v>179</v>
      </c>
      <c r="D1601" s="295" t="s">
        <v>1</v>
      </c>
      <c r="E1601" s="296">
        <v>1.15E-3</v>
      </c>
    </row>
    <row r="1602" spans="1:5" x14ac:dyDescent="0.3">
      <c r="A1602" s="295">
        <v>2021</v>
      </c>
      <c r="B1602" s="295">
        <v>6</v>
      </c>
      <c r="C1602" s="295" t="s">
        <v>179</v>
      </c>
      <c r="D1602" s="295" t="s">
        <v>2</v>
      </c>
      <c r="E1602" s="296">
        <v>1.3699999999999999E-3</v>
      </c>
    </row>
    <row r="1603" spans="1:5" x14ac:dyDescent="0.3">
      <c r="A1603" s="295">
        <v>2021</v>
      </c>
      <c r="B1603" s="295">
        <v>6</v>
      </c>
      <c r="C1603" s="295" t="s">
        <v>179</v>
      </c>
      <c r="D1603" s="295" t="s">
        <v>259</v>
      </c>
      <c r="E1603" s="296">
        <v>9.8999999999999999E-4</v>
      </c>
    </row>
    <row r="1604" spans="1:5" x14ac:dyDescent="0.3">
      <c r="A1604" s="295">
        <v>2021</v>
      </c>
      <c r="B1604" s="295">
        <v>6</v>
      </c>
      <c r="C1604" s="295" t="s">
        <v>179</v>
      </c>
      <c r="D1604" s="295" t="s">
        <v>85</v>
      </c>
      <c r="E1604" s="296">
        <v>6.79E-3</v>
      </c>
    </row>
    <row r="1605" spans="1:5" x14ac:dyDescent="0.3">
      <c r="A1605" s="295">
        <v>2021</v>
      </c>
      <c r="B1605" s="295">
        <v>6</v>
      </c>
      <c r="C1605" s="295" t="s">
        <v>179</v>
      </c>
      <c r="D1605" s="295" t="s">
        <v>101</v>
      </c>
      <c r="E1605" s="296">
        <v>2.7119999999999998E-2</v>
      </c>
    </row>
    <row r="1606" spans="1:5" x14ac:dyDescent="0.3">
      <c r="A1606" s="295">
        <v>2021</v>
      </c>
      <c r="B1606" s="295">
        <v>6</v>
      </c>
      <c r="C1606" s="295" t="s">
        <v>179</v>
      </c>
      <c r="D1606" s="295" t="s">
        <v>352</v>
      </c>
      <c r="E1606" s="296">
        <v>8.8299999999999993E-3</v>
      </c>
    </row>
    <row r="1607" spans="1:5" x14ac:dyDescent="0.3">
      <c r="A1607" s="295">
        <v>2021</v>
      </c>
      <c r="B1607" s="295">
        <v>6</v>
      </c>
      <c r="C1607" s="295" t="s">
        <v>352</v>
      </c>
      <c r="D1607" s="295" t="s">
        <v>1</v>
      </c>
      <c r="E1607" s="296">
        <v>0.13031000000000001</v>
      </c>
    </row>
    <row r="1608" spans="1:5" x14ac:dyDescent="0.3">
      <c r="A1608" s="295">
        <v>2021</v>
      </c>
      <c r="B1608" s="295">
        <v>6</v>
      </c>
      <c r="C1608" s="295" t="s">
        <v>352</v>
      </c>
      <c r="D1608" s="295" t="s">
        <v>2</v>
      </c>
      <c r="E1608" s="296">
        <v>0.15486</v>
      </c>
    </row>
    <row r="1609" spans="1:5" x14ac:dyDescent="0.3">
      <c r="A1609" s="295">
        <v>2021</v>
      </c>
      <c r="B1609" s="295">
        <v>6</v>
      </c>
      <c r="C1609" s="295" t="s">
        <v>352</v>
      </c>
      <c r="D1609" s="295" t="s">
        <v>259</v>
      </c>
      <c r="E1609" s="296">
        <v>0.11181000000000001</v>
      </c>
    </row>
    <row r="1610" spans="1:5" x14ac:dyDescent="0.3">
      <c r="A1610" s="295">
        <v>2021</v>
      </c>
      <c r="B1610" s="295">
        <v>6</v>
      </c>
      <c r="C1610" s="295" t="s">
        <v>352</v>
      </c>
      <c r="D1610" s="295" t="s">
        <v>85</v>
      </c>
      <c r="E1610" s="296">
        <v>0.76946000000000003</v>
      </c>
    </row>
    <row r="1611" spans="1:5" x14ac:dyDescent="0.3">
      <c r="A1611" s="295">
        <v>2021</v>
      </c>
      <c r="B1611" s="295">
        <v>6</v>
      </c>
      <c r="C1611" s="295" t="s">
        <v>352</v>
      </c>
      <c r="D1611" s="295" t="s">
        <v>101</v>
      </c>
      <c r="E1611" s="296">
        <v>3.0724200000000002</v>
      </c>
    </row>
    <row r="1612" spans="1:5" x14ac:dyDescent="0.3">
      <c r="A1612" s="295">
        <v>2021</v>
      </c>
      <c r="B1612" s="295">
        <v>6</v>
      </c>
      <c r="C1612" s="295" t="s">
        <v>352</v>
      </c>
      <c r="D1612" s="295" t="s">
        <v>179</v>
      </c>
      <c r="E1612" s="296">
        <v>113.30852</v>
      </c>
    </row>
    <row r="1613" spans="1:5" x14ac:dyDescent="0.3">
      <c r="A1613" s="295">
        <v>2021</v>
      </c>
      <c r="B1613" s="295">
        <v>6</v>
      </c>
      <c r="C1613" s="295" t="s">
        <v>1</v>
      </c>
      <c r="D1613" s="295" t="s">
        <v>1</v>
      </c>
      <c r="E1613" s="296">
        <v>1</v>
      </c>
    </row>
    <row r="1614" spans="1:5" x14ac:dyDescent="0.3">
      <c r="A1614" s="295">
        <v>2021</v>
      </c>
      <c r="B1614" s="295">
        <v>6</v>
      </c>
      <c r="C1614" s="295" t="s">
        <v>2</v>
      </c>
      <c r="D1614" s="295" t="s">
        <v>2</v>
      </c>
      <c r="E1614" s="296">
        <v>1</v>
      </c>
    </row>
    <row r="1615" spans="1:5" x14ac:dyDescent="0.3">
      <c r="A1615" s="295">
        <v>2021</v>
      </c>
      <c r="B1615" s="295">
        <v>6</v>
      </c>
      <c r="C1615" s="295" t="s">
        <v>259</v>
      </c>
      <c r="D1615" s="295" t="s">
        <v>259</v>
      </c>
      <c r="E1615" s="296">
        <v>1</v>
      </c>
    </row>
    <row r="1616" spans="1:5" x14ac:dyDescent="0.3">
      <c r="A1616" s="295">
        <v>2021</v>
      </c>
      <c r="B1616" s="295">
        <v>6</v>
      </c>
      <c r="C1616" s="295" t="s">
        <v>85</v>
      </c>
      <c r="D1616" s="295" t="s">
        <v>85</v>
      </c>
      <c r="E1616" s="296">
        <v>1</v>
      </c>
    </row>
    <row r="1617" spans="1:5" x14ac:dyDescent="0.3">
      <c r="A1617" s="295">
        <v>2021</v>
      </c>
      <c r="B1617" s="295">
        <v>6</v>
      </c>
      <c r="C1617" s="295" t="s">
        <v>101</v>
      </c>
      <c r="D1617" s="295" t="s">
        <v>101</v>
      </c>
      <c r="E1617" s="296">
        <v>1</v>
      </c>
    </row>
    <row r="1618" spans="1:5" x14ac:dyDescent="0.3">
      <c r="A1618" s="295">
        <v>2021</v>
      </c>
      <c r="B1618" s="295">
        <v>6</v>
      </c>
      <c r="C1618" s="295" t="s">
        <v>179</v>
      </c>
      <c r="D1618" s="295" t="s">
        <v>179</v>
      </c>
      <c r="E1618" s="296">
        <v>1</v>
      </c>
    </row>
    <row r="1619" spans="1:5" x14ac:dyDescent="0.3">
      <c r="A1619" s="295">
        <v>2021</v>
      </c>
      <c r="B1619" s="295">
        <v>6</v>
      </c>
      <c r="C1619" s="295" t="s">
        <v>352</v>
      </c>
      <c r="D1619" s="295" t="s">
        <v>352</v>
      </c>
      <c r="E1619" s="296">
        <v>1</v>
      </c>
    </row>
    <row r="1620" spans="1:5" x14ac:dyDescent="0.3">
      <c r="A1620" s="295">
        <v>2021</v>
      </c>
      <c r="B1620" s="295">
        <v>7</v>
      </c>
      <c r="C1620" s="295" t="s">
        <v>1</v>
      </c>
      <c r="D1620" s="295" t="s">
        <v>2</v>
      </c>
      <c r="E1620" s="296">
        <v>1.1884999999999999</v>
      </c>
    </row>
    <row r="1621" spans="1:5" x14ac:dyDescent="0.3">
      <c r="A1621" s="295">
        <v>2021</v>
      </c>
      <c r="B1621" s="295">
        <v>7</v>
      </c>
      <c r="C1621" s="295" t="s">
        <v>1</v>
      </c>
      <c r="D1621" s="295" t="s">
        <v>259</v>
      </c>
      <c r="E1621" s="296">
        <v>0.85140000000000005</v>
      </c>
    </row>
    <row r="1622" spans="1:5" x14ac:dyDescent="0.3">
      <c r="A1622" s="295">
        <v>2021</v>
      </c>
      <c r="B1622" s="295">
        <v>7</v>
      </c>
      <c r="C1622" s="295" t="s">
        <v>1</v>
      </c>
      <c r="D1622" s="295" t="s">
        <v>85</v>
      </c>
      <c r="E1622" s="296">
        <v>6.0716000000000001</v>
      </c>
    </row>
    <row r="1623" spans="1:5" x14ac:dyDescent="0.3">
      <c r="A1623" s="295">
        <v>2021</v>
      </c>
      <c r="B1623" s="295">
        <v>7</v>
      </c>
      <c r="C1623" s="295" t="s">
        <v>1</v>
      </c>
      <c r="D1623" s="295" t="s">
        <v>101</v>
      </c>
      <c r="E1623" s="296">
        <v>23.627700000000001</v>
      </c>
    </row>
    <row r="1624" spans="1:5" x14ac:dyDescent="0.3">
      <c r="A1624" s="295">
        <v>2021</v>
      </c>
      <c r="B1624" s="295">
        <v>7</v>
      </c>
      <c r="C1624" s="295" t="s">
        <v>1</v>
      </c>
      <c r="D1624" s="295" t="s">
        <v>179</v>
      </c>
      <c r="E1624" s="296">
        <v>899.197</v>
      </c>
    </row>
    <row r="1625" spans="1:5" x14ac:dyDescent="0.3">
      <c r="A1625" s="295">
        <v>2021</v>
      </c>
      <c r="B1625" s="295">
        <v>7</v>
      </c>
      <c r="C1625" s="295" t="s">
        <v>1</v>
      </c>
      <c r="D1625" s="295" t="s">
        <v>352</v>
      </c>
      <c r="E1625" s="296">
        <v>7.6837999999999997</v>
      </c>
    </row>
    <row r="1626" spans="1:5" x14ac:dyDescent="0.3">
      <c r="A1626" s="295">
        <v>2021</v>
      </c>
      <c r="B1626" s="295">
        <v>7</v>
      </c>
      <c r="C1626" s="295" t="s">
        <v>2</v>
      </c>
      <c r="D1626" s="295" t="s">
        <v>1</v>
      </c>
      <c r="E1626" s="296">
        <v>0.84140000000000004</v>
      </c>
    </row>
    <row r="1627" spans="1:5" x14ac:dyDescent="0.3">
      <c r="A1627" s="295">
        <v>2021</v>
      </c>
      <c r="B1627" s="295">
        <v>7</v>
      </c>
      <c r="C1627" s="295" t="s">
        <v>2</v>
      </c>
      <c r="D1627" s="295" t="s">
        <v>259</v>
      </c>
      <c r="E1627" s="296">
        <v>0.71599999999999997</v>
      </c>
    </row>
    <row r="1628" spans="1:5" x14ac:dyDescent="0.3">
      <c r="A1628" s="295">
        <v>2021</v>
      </c>
      <c r="B1628" s="295">
        <v>7</v>
      </c>
      <c r="C1628" s="295" t="s">
        <v>2</v>
      </c>
      <c r="D1628" s="295" t="s">
        <v>85</v>
      </c>
      <c r="E1628" s="296">
        <v>5.1060499999999998</v>
      </c>
    </row>
    <row r="1629" spans="1:5" x14ac:dyDescent="0.3">
      <c r="A1629" s="295">
        <v>2021</v>
      </c>
      <c r="B1629" s="295">
        <v>7</v>
      </c>
      <c r="C1629" s="295" t="s">
        <v>2</v>
      </c>
      <c r="D1629" s="295" t="s">
        <v>101</v>
      </c>
      <c r="E1629" s="296">
        <v>19.870239999999999</v>
      </c>
    </row>
    <row r="1630" spans="1:5" x14ac:dyDescent="0.3">
      <c r="A1630" s="295">
        <v>2021</v>
      </c>
      <c r="B1630" s="295">
        <v>7</v>
      </c>
      <c r="C1630" s="295" t="s">
        <v>2</v>
      </c>
      <c r="D1630" s="295" t="s">
        <v>179</v>
      </c>
      <c r="E1630" s="296">
        <v>756.19965000000002</v>
      </c>
    </row>
    <row r="1631" spans="1:5" x14ac:dyDescent="0.3">
      <c r="A1631" s="295">
        <v>2021</v>
      </c>
      <c r="B1631" s="295">
        <v>7</v>
      </c>
      <c r="C1631" s="295" t="s">
        <v>2</v>
      </c>
      <c r="D1631" s="295" t="s">
        <v>352</v>
      </c>
      <c r="E1631" s="296">
        <v>6.4618599999999997</v>
      </c>
    </row>
    <row r="1632" spans="1:5" x14ac:dyDescent="0.3">
      <c r="A1632" s="295">
        <v>2021</v>
      </c>
      <c r="B1632" s="295">
        <v>7</v>
      </c>
      <c r="C1632" s="295" t="s">
        <v>259</v>
      </c>
      <c r="D1632" s="295" t="s">
        <v>1</v>
      </c>
      <c r="E1632" s="296">
        <v>1.1745399999999999</v>
      </c>
    </row>
    <row r="1633" spans="1:5" x14ac:dyDescent="0.3">
      <c r="A1633" s="295">
        <v>2021</v>
      </c>
      <c r="B1633" s="295">
        <v>7</v>
      </c>
      <c r="C1633" s="295" t="s">
        <v>259</v>
      </c>
      <c r="D1633" s="295" t="s">
        <v>2</v>
      </c>
      <c r="E1633" s="296">
        <v>1.3966400000000001</v>
      </c>
    </row>
    <row r="1634" spans="1:5" x14ac:dyDescent="0.3">
      <c r="A1634" s="295">
        <v>2021</v>
      </c>
      <c r="B1634" s="295">
        <v>7</v>
      </c>
      <c r="C1634" s="295" t="s">
        <v>259</v>
      </c>
      <c r="D1634" s="295" t="s">
        <v>85</v>
      </c>
      <c r="E1634" s="296">
        <v>7.13131</v>
      </c>
    </row>
    <row r="1635" spans="1:5" x14ac:dyDescent="0.3">
      <c r="A1635" s="295">
        <v>2021</v>
      </c>
      <c r="B1635" s="295">
        <v>7</v>
      </c>
      <c r="C1635" s="295" t="s">
        <v>259</v>
      </c>
      <c r="D1635" s="295" t="s">
        <v>101</v>
      </c>
      <c r="E1635" s="296">
        <v>27.75159</v>
      </c>
    </row>
    <row r="1636" spans="1:5" x14ac:dyDescent="0.3">
      <c r="A1636" s="295">
        <v>2021</v>
      </c>
      <c r="B1636" s="295">
        <v>7</v>
      </c>
      <c r="C1636" s="295" t="s">
        <v>259</v>
      </c>
      <c r="D1636" s="295" t="s">
        <v>179</v>
      </c>
      <c r="E1636" s="296">
        <v>1056.1393</v>
      </c>
    </row>
    <row r="1637" spans="1:5" x14ac:dyDescent="0.3">
      <c r="A1637" s="295">
        <v>2021</v>
      </c>
      <c r="B1637" s="295">
        <v>7</v>
      </c>
      <c r="C1637" s="295" t="s">
        <v>259</v>
      </c>
      <c r="D1637" s="295" t="s">
        <v>352</v>
      </c>
      <c r="E1637" s="296">
        <v>9.0249000000000006</v>
      </c>
    </row>
    <row r="1638" spans="1:5" x14ac:dyDescent="0.3">
      <c r="A1638" s="295">
        <v>2021</v>
      </c>
      <c r="B1638" s="295">
        <v>7</v>
      </c>
      <c r="C1638" s="295" t="s">
        <v>85</v>
      </c>
      <c r="D1638" s="295" t="s">
        <v>1</v>
      </c>
      <c r="E1638" s="296">
        <v>0.16470000000000001</v>
      </c>
    </row>
    <row r="1639" spans="1:5" x14ac:dyDescent="0.3">
      <c r="A1639" s="295">
        <v>2021</v>
      </c>
      <c r="B1639" s="295">
        <v>7</v>
      </c>
      <c r="C1639" s="295" t="s">
        <v>85</v>
      </c>
      <c r="D1639" s="295" t="s">
        <v>2</v>
      </c>
      <c r="E1639" s="296">
        <v>0.19585</v>
      </c>
    </row>
    <row r="1640" spans="1:5" x14ac:dyDescent="0.3">
      <c r="A1640" s="295">
        <v>2021</v>
      </c>
      <c r="B1640" s="295">
        <v>7</v>
      </c>
      <c r="C1640" s="295" t="s">
        <v>85</v>
      </c>
      <c r="D1640" s="295" t="s">
        <v>259</v>
      </c>
      <c r="E1640" s="296">
        <v>0.14022999999999999</v>
      </c>
    </row>
    <row r="1641" spans="1:5" x14ac:dyDescent="0.3">
      <c r="A1641" s="295">
        <v>2021</v>
      </c>
      <c r="B1641" s="295">
        <v>7</v>
      </c>
      <c r="C1641" s="295" t="s">
        <v>85</v>
      </c>
      <c r="D1641" s="295" t="s">
        <v>101</v>
      </c>
      <c r="E1641" s="296">
        <v>3.8915099999999998</v>
      </c>
    </row>
    <row r="1642" spans="1:5" x14ac:dyDescent="0.3">
      <c r="A1642" s="295">
        <v>2021</v>
      </c>
      <c r="B1642" s="295">
        <v>7</v>
      </c>
      <c r="C1642" s="295" t="s">
        <v>85</v>
      </c>
      <c r="D1642" s="295" t="s">
        <v>179</v>
      </c>
      <c r="E1642" s="296">
        <v>148.09885</v>
      </c>
    </row>
    <row r="1643" spans="1:5" x14ac:dyDescent="0.3">
      <c r="A1643" s="295">
        <v>2021</v>
      </c>
      <c r="B1643" s="295">
        <v>7</v>
      </c>
      <c r="C1643" s="295" t="s">
        <v>85</v>
      </c>
      <c r="D1643" s="295" t="s">
        <v>352</v>
      </c>
      <c r="E1643" s="296">
        <v>1.26553</v>
      </c>
    </row>
    <row r="1644" spans="1:5" x14ac:dyDescent="0.3">
      <c r="A1644" s="295">
        <v>2021</v>
      </c>
      <c r="B1644" s="295">
        <v>7</v>
      </c>
      <c r="C1644" s="295" t="s">
        <v>101</v>
      </c>
      <c r="D1644" s="295" t="s">
        <v>1</v>
      </c>
      <c r="E1644" s="296">
        <v>4.2320000000000003E-2</v>
      </c>
    </row>
    <row r="1645" spans="1:5" x14ac:dyDescent="0.3">
      <c r="A1645" s="295">
        <v>2021</v>
      </c>
      <c r="B1645" s="295">
        <v>7</v>
      </c>
      <c r="C1645" s="295" t="s">
        <v>101</v>
      </c>
      <c r="D1645" s="295" t="s">
        <v>2</v>
      </c>
      <c r="E1645" s="296">
        <v>5.033E-2</v>
      </c>
    </row>
    <row r="1646" spans="1:5" x14ac:dyDescent="0.3">
      <c r="A1646" s="295">
        <v>2021</v>
      </c>
      <c r="B1646" s="295">
        <v>7</v>
      </c>
      <c r="C1646" s="295" t="s">
        <v>101</v>
      </c>
      <c r="D1646" s="295" t="s">
        <v>259</v>
      </c>
      <c r="E1646" s="296">
        <v>3.603E-2</v>
      </c>
    </row>
    <row r="1647" spans="1:5" x14ac:dyDescent="0.3">
      <c r="A1647" s="295">
        <v>2021</v>
      </c>
      <c r="B1647" s="295">
        <v>7</v>
      </c>
      <c r="C1647" s="295" t="s">
        <v>101</v>
      </c>
      <c r="D1647" s="295" t="s">
        <v>85</v>
      </c>
      <c r="E1647" s="296">
        <v>0.25696999999999998</v>
      </c>
    </row>
    <row r="1648" spans="1:5" x14ac:dyDescent="0.3">
      <c r="A1648" s="295">
        <v>2021</v>
      </c>
      <c r="B1648" s="295">
        <v>7</v>
      </c>
      <c r="C1648" s="295" t="s">
        <v>101</v>
      </c>
      <c r="D1648" s="295" t="s">
        <v>179</v>
      </c>
      <c r="E1648" s="296">
        <v>38.056899999999999</v>
      </c>
    </row>
    <row r="1649" spans="1:5" x14ac:dyDescent="0.3">
      <c r="A1649" s="295">
        <v>2021</v>
      </c>
      <c r="B1649" s="295">
        <v>7</v>
      </c>
      <c r="C1649" s="295" t="s">
        <v>101</v>
      </c>
      <c r="D1649" s="295" t="s">
        <v>352</v>
      </c>
      <c r="E1649" s="296">
        <v>0.32519999999999999</v>
      </c>
    </row>
    <row r="1650" spans="1:5" x14ac:dyDescent="0.3">
      <c r="A1650" s="295">
        <v>2021</v>
      </c>
      <c r="B1650" s="295">
        <v>7</v>
      </c>
      <c r="C1650" s="295" t="s">
        <v>179</v>
      </c>
      <c r="D1650" s="295" t="s">
        <v>1</v>
      </c>
      <c r="E1650" s="296">
        <v>1.1100000000000001E-3</v>
      </c>
    </row>
    <row r="1651" spans="1:5" x14ac:dyDescent="0.3">
      <c r="A1651" s="295">
        <v>2021</v>
      </c>
      <c r="B1651" s="295">
        <v>7</v>
      </c>
      <c r="C1651" s="295" t="s">
        <v>179</v>
      </c>
      <c r="D1651" s="295" t="s">
        <v>2</v>
      </c>
      <c r="E1651" s="296">
        <v>1.32E-3</v>
      </c>
    </row>
    <row r="1652" spans="1:5" x14ac:dyDescent="0.3">
      <c r="A1652" s="295">
        <v>2021</v>
      </c>
      <c r="B1652" s="295">
        <v>7</v>
      </c>
      <c r="C1652" s="295" t="s">
        <v>179</v>
      </c>
      <c r="D1652" s="295" t="s">
        <v>259</v>
      </c>
      <c r="E1652" s="296">
        <v>9.5E-4</v>
      </c>
    </row>
    <row r="1653" spans="1:5" x14ac:dyDescent="0.3">
      <c r="A1653" s="295">
        <v>2021</v>
      </c>
      <c r="B1653" s="295">
        <v>7</v>
      </c>
      <c r="C1653" s="295" t="s">
        <v>179</v>
      </c>
      <c r="D1653" s="295" t="s">
        <v>85</v>
      </c>
      <c r="E1653" s="296">
        <v>6.7499999999999999E-3</v>
      </c>
    </row>
    <row r="1654" spans="1:5" x14ac:dyDescent="0.3">
      <c r="A1654" s="295">
        <v>2021</v>
      </c>
      <c r="B1654" s="295">
        <v>7</v>
      </c>
      <c r="C1654" s="295" t="s">
        <v>179</v>
      </c>
      <c r="D1654" s="295" t="s">
        <v>101</v>
      </c>
      <c r="E1654" s="296">
        <v>2.6280000000000001E-2</v>
      </c>
    </row>
    <row r="1655" spans="1:5" x14ac:dyDescent="0.3">
      <c r="A1655" s="295">
        <v>2021</v>
      </c>
      <c r="B1655" s="295">
        <v>7</v>
      </c>
      <c r="C1655" s="295" t="s">
        <v>179</v>
      </c>
      <c r="D1655" s="295" t="s">
        <v>352</v>
      </c>
      <c r="E1655" s="296">
        <v>8.5500000000000003E-3</v>
      </c>
    </row>
    <row r="1656" spans="1:5" x14ac:dyDescent="0.3">
      <c r="A1656" s="295">
        <v>2021</v>
      </c>
      <c r="B1656" s="295">
        <v>7</v>
      </c>
      <c r="C1656" s="295" t="s">
        <v>352</v>
      </c>
      <c r="D1656" s="295" t="s">
        <v>1</v>
      </c>
      <c r="E1656" s="296">
        <v>0.13014000000000001</v>
      </c>
    </row>
    <row r="1657" spans="1:5" x14ac:dyDescent="0.3">
      <c r="A1657" s="295">
        <v>2021</v>
      </c>
      <c r="B1657" s="295">
        <v>7</v>
      </c>
      <c r="C1657" s="295" t="s">
        <v>352</v>
      </c>
      <c r="D1657" s="295" t="s">
        <v>2</v>
      </c>
      <c r="E1657" s="296">
        <v>0.15475</v>
      </c>
    </row>
    <row r="1658" spans="1:5" x14ac:dyDescent="0.3">
      <c r="A1658" s="295">
        <v>2021</v>
      </c>
      <c r="B1658" s="295">
        <v>7</v>
      </c>
      <c r="C1658" s="295" t="s">
        <v>352</v>
      </c>
      <c r="D1658" s="295" t="s">
        <v>259</v>
      </c>
      <c r="E1658" s="296">
        <v>0.1108</v>
      </c>
    </row>
    <row r="1659" spans="1:5" x14ac:dyDescent="0.3">
      <c r="A1659" s="295">
        <v>2021</v>
      </c>
      <c r="B1659" s="295">
        <v>7</v>
      </c>
      <c r="C1659" s="295" t="s">
        <v>352</v>
      </c>
      <c r="D1659" s="295" t="s">
        <v>85</v>
      </c>
      <c r="E1659" s="296">
        <v>0.79017999999999999</v>
      </c>
    </row>
    <row r="1660" spans="1:5" x14ac:dyDescent="0.3">
      <c r="A1660" s="295">
        <v>2021</v>
      </c>
      <c r="B1660" s="295">
        <v>7</v>
      </c>
      <c r="C1660" s="295" t="s">
        <v>352</v>
      </c>
      <c r="D1660" s="295" t="s">
        <v>101</v>
      </c>
      <c r="E1660" s="296">
        <v>3.0750000000000002</v>
      </c>
    </row>
    <row r="1661" spans="1:5" x14ac:dyDescent="0.3">
      <c r="A1661" s="295">
        <v>2021</v>
      </c>
      <c r="B1661" s="295">
        <v>7</v>
      </c>
      <c r="C1661" s="295" t="s">
        <v>352</v>
      </c>
      <c r="D1661" s="295" t="s">
        <v>179</v>
      </c>
      <c r="E1661" s="296">
        <v>117.02504</v>
      </c>
    </row>
    <row r="1662" spans="1:5" x14ac:dyDescent="0.3">
      <c r="A1662" s="295">
        <v>2021</v>
      </c>
      <c r="B1662" s="295">
        <v>7</v>
      </c>
      <c r="C1662" s="295" t="s">
        <v>1</v>
      </c>
      <c r="D1662" s="295" t="s">
        <v>1</v>
      </c>
      <c r="E1662" s="296">
        <v>1</v>
      </c>
    </row>
    <row r="1663" spans="1:5" x14ac:dyDescent="0.3">
      <c r="A1663" s="295">
        <v>2021</v>
      </c>
      <c r="B1663" s="295">
        <v>7</v>
      </c>
      <c r="C1663" s="295" t="s">
        <v>2</v>
      </c>
      <c r="D1663" s="295" t="s">
        <v>2</v>
      </c>
      <c r="E1663" s="296">
        <v>1</v>
      </c>
    </row>
    <row r="1664" spans="1:5" x14ac:dyDescent="0.3">
      <c r="A1664" s="295">
        <v>2021</v>
      </c>
      <c r="B1664" s="295">
        <v>7</v>
      </c>
      <c r="C1664" s="295" t="s">
        <v>259</v>
      </c>
      <c r="D1664" s="295" t="s">
        <v>259</v>
      </c>
      <c r="E1664" s="296">
        <v>1</v>
      </c>
    </row>
    <row r="1665" spans="1:5" x14ac:dyDescent="0.3">
      <c r="A1665" s="295">
        <v>2021</v>
      </c>
      <c r="B1665" s="295">
        <v>7</v>
      </c>
      <c r="C1665" s="295" t="s">
        <v>85</v>
      </c>
      <c r="D1665" s="295" t="s">
        <v>85</v>
      </c>
      <c r="E1665" s="296">
        <v>1</v>
      </c>
    </row>
    <row r="1666" spans="1:5" x14ac:dyDescent="0.3">
      <c r="A1666" s="295">
        <v>2021</v>
      </c>
      <c r="B1666" s="295">
        <v>7</v>
      </c>
      <c r="C1666" s="295" t="s">
        <v>101</v>
      </c>
      <c r="D1666" s="295" t="s">
        <v>101</v>
      </c>
      <c r="E1666" s="296">
        <v>1</v>
      </c>
    </row>
    <row r="1667" spans="1:5" x14ac:dyDescent="0.3">
      <c r="A1667" s="295">
        <v>2021</v>
      </c>
      <c r="B1667" s="295">
        <v>7</v>
      </c>
      <c r="C1667" s="295" t="s">
        <v>179</v>
      </c>
      <c r="D1667" s="295" t="s">
        <v>179</v>
      </c>
      <c r="E1667" s="296">
        <v>1</v>
      </c>
    </row>
    <row r="1668" spans="1:5" x14ac:dyDescent="0.3">
      <c r="A1668" s="295">
        <v>2021</v>
      </c>
      <c r="B1668" s="295">
        <v>7</v>
      </c>
      <c r="C1668" s="295" t="s">
        <v>352</v>
      </c>
      <c r="D1668" s="295" t="s">
        <v>352</v>
      </c>
      <c r="E1668" s="296">
        <v>1</v>
      </c>
    </row>
    <row r="1669" spans="1:5" x14ac:dyDescent="0.3">
      <c r="A1669" s="295">
        <v>2021</v>
      </c>
      <c r="B1669" s="295">
        <v>8</v>
      </c>
      <c r="C1669" s="295" t="s">
        <v>1</v>
      </c>
      <c r="D1669" s="295" t="s">
        <v>2</v>
      </c>
      <c r="E1669" s="296">
        <v>1.1834</v>
      </c>
    </row>
    <row r="1670" spans="1:5" x14ac:dyDescent="0.3">
      <c r="A1670" s="295">
        <v>2021</v>
      </c>
      <c r="B1670" s="295">
        <v>8</v>
      </c>
      <c r="C1670" s="295" t="s">
        <v>1</v>
      </c>
      <c r="D1670" s="295" t="s">
        <v>259</v>
      </c>
      <c r="E1670" s="296">
        <v>0.85875000000000001</v>
      </c>
    </row>
    <row r="1671" spans="1:5" x14ac:dyDescent="0.3">
      <c r="A1671" s="295">
        <v>2021</v>
      </c>
      <c r="B1671" s="295">
        <v>8</v>
      </c>
      <c r="C1671" s="295" t="s">
        <v>1</v>
      </c>
      <c r="D1671" s="295" t="s">
        <v>85</v>
      </c>
      <c r="E1671" s="296">
        <v>6.1386000000000003</v>
      </c>
    </row>
    <row r="1672" spans="1:5" x14ac:dyDescent="0.3">
      <c r="A1672" s="295">
        <v>2021</v>
      </c>
      <c r="B1672" s="295">
        <v>8</v>
      </c>
      <c r="C1672" s="295" t="s">
        <v>1</v>
      </c>
      <c r="D1672" s="295" t="s">
        <v>101</v>
      </c>
      <c r="E1672" s="296">
        <v>23.7864</v>
      </c>
    </row>
    <row r="1673" spans="1:5" x14ac:dyDescent="0.3">
      <c r="A1673" s="295">
        <v>2021</v>
      </c>
      <c r="B1673" s="295">
        <v>8</v>
      </c>
      <c r="C1673" s="295" t="s">
        <v>1</v>
      </c>
      <c r="D1673" s="295" t="s">
        <v>179</v>
      </c>
      <c r="E1673" s="296">
        <v>914.33</v>
      </c>
    </row>
    <row r="1674" spans="1:5" x14ac:dyDescent="0.3">
      <c r="A1674" s="295">
        <v>2021</v>
      </c>
      <c r="B1674" s="295">
        <v>8</v>
      </c>
      <c r="C1674" s="295" t="s">
        <v>1</v>
      </c>
      <c r="D1674" s="295" t="s">
        <v>352</v>
      </c>
      <c r="E1674" s="296">
        <v>7.6464999999999996</v>
      </c>
    </row>
    <row r="1675" spans="1:5" x14ac:dyDescent="0.3">
      <c r="A1675" s="295">
        <v>2021</v>
      </c>
      <c r="B1675" s="295">
        <v>8</v>
      </c>
      <c r="C1675" s="295" t="s">
        <v>2</v>
      </c>
      <c r="D1675" s="295" t="s">
        <v>1</v>
      </c>
      <c r="E1675" s="296">
        <v>0.84501999999999999</v>
      </c>
    </row>
    <row r="1676" spans="1:5" x14ac:dyDescent="0.3">
      <c r="A1676" s="295">
        <v>2021</v>
      </c>
      <c r="B1676" s="295">
        <v>8</v>
      </c>
      <c r="C1676" s="295" t="s">
        <v>2</v>
      </c>
      <c r="D1676" s="295" t="s">
        <v>259</v>
      </c>
      <c r="E1676" s="296">
        <v>0.72565999999999997</v>
      </c>
    </row>
    <row r="1677" spans="1:5" x14ac:dyDescent="0.3">
      <c r="A1677" s="295">
        <v>2021</v>
      </c>
      <c r="B1677" s="295">
        <v>8</v>
      </c>
      <c r="C1677" s="295" t="s">
        <v>2</v>
      </c>
      <c r="D1677" s="295" t="s">
        <v>85</v>
      </c>
      <c r="E1677" s="296">
        <v>5.1872600000000002</v>
      </c>
    </row>
    <row r="1678" spans="1:5" x14ac:dyDescent="0.3">
      <c r="A1678" s="295">
        <v>2021</v>
      </c>
      <c r="B1678" s="295">
        <v>8</v>
      </c>
      <c r="C1678" s="295" t="s">
        <v>2</v>
      </c>
      <c r="D1678" s="295" t="s">
        <v>101</v>
      </c>
      <c r="E1678" s="296">
        <v>20.10005</v>
      </c>
    </row>
    <row r="1679" spans="1:5" x14ac:dyDescent="0.3">
      <c r="A1679" s="295">
        <v>2021</v>
      </c>
      <c r="B1679" s="295">
        <v>8</v>
      </c>
      <c r="C1679" s="295" t="s">
        <v>2</v>
      </c>
      <c r="D1679" s="295" t="s">
        <v>179</v>
      </c>
      <c r="E1679" s="296">
        <v>772.62971000000005</v>
      </c>
    </row>
    <row r="1680" spans="1:5" x14ac:dyDescent="0.3">
      <c r="A1680" s="295">
        <v>2021</v>
      </c>
      <c r="B1680" s="295">
        <v>8</v>
      </c>
      <c r="C1680" s="295" t="s">
        <v>2</v>
      </c>
      <c r="D1680" s="295" t="s">
        <v>352</v>
      </c>
      <c r="E1680" s="296">
        <v>6.4614700000000003</v>
      </c>
    </row>
    <row r="1681" spans="1:5" x14ac:dyDescent="0.3">
      <c r="A1681" s="295">
        <v>2021</v>
      </c>
      <c r="B1681" s="295">
        <v>8</v>
      </c>
      <c r="C1681" s="295" t="s">
        <v>259</v>
      </c>
      <c r="D1681" s="295" t="s">
        <v>1</v>
      </c>
      <c r="E1681" s="296">
        <v>1.16448</v>
      </c>
    </row>
    <row r="1682" spans="1:5" x14ac:dyDescent="0.3">
      <c r="A1682" s="295">
        <v>2021</v>
      </c>
      <c r="B1682" s="295">
        <v>8</v>
      </c>
      <c r="C1682" s="295" t="s">
        <v>259</v>
      </c>
      <c r="D1682" s="295" t="s">
        <v>2</v>
      </c>
      <c r="E1682" s="296">
        <v>1.37805</v>
      </c>
    </row>
    <row r="1683" spans="1:5" x14ac:dyDescent="0.3">
      <c r="A1683" s="295">
        <v>2021</v>
      </c>
      <c r="B1683" s="295">
        <v>8</v>
      </c>
      <c r="C1683" s="295" t="s">
        <v>259</v>
      </c>
      <c r="D1683" s="295" t="s">
        <v>85</v>
      </c>
      <c r="E1683" s="296">
        <v>7.1482999999999999</v>
      </c>
    </row>
    <row r="1684" spans="1:5" x14ac:dyDescent="0.3">
      <c r="A1684" s="295">
        <v>2021</v>
      </c>
      <c r="B1684" s="295">
        <v>8</v>
      </c>
      <c r="C1684" s="295" t="s">
        <v>259</v>
      </c>
      <c r="D1684" s="295" t="s">
        <v>101</v>
      </c>
      <c r="E1684" s="296">
        <v>27.69886</v>
      </c>
    </row>
    <row r="1685" spans="1:5" x14ac:dyDescent="0.3">
      <c r="A1685" s="295">
        <v>2021</v>
      </c>
      <c r="B1685" s="295">
        <v>8</v>
      </c>
      <c r="C1685" s="295" t="s">
        <v>259</v>
      </c>
      <c r="D1685" s="295" t="s">
        <v>179</v>
      </c>
      <c r="E1685" s="296">
        <v>1064.72198</v>
      </c>
    </row>
    <row r="1686" spans="1:5" x14ac:dyDescent="0.3">
      <c r="A1686" s="295">
        <v>2021</v>
      </c>
      <c r="B1686" s="295">
        <v>8</v>
      </c>
      <c r="C1686" s="295" t="s">
        <v>259</v>
      </c>
      <c r="D1686" s="295" t="s">
        <v>352</v>
      </c>
      <c r="E1686" s="296">
        <v>8.9042200000000005</v>
      </c>
    </row>
    <row r="1687" spans="1:5" x14ac:dyDescent="0.3">
      <c r="A1687" s="295">
        <v>2021</v>
      </c>
      <c r="B1687" s="295">
        <v>8</v>
      </c>
      <c r="C1687" s="295" t="s">
        <v>85</v>
      </c>
      <c r="D1687" s="295" t="s">
        <v>1</v>
      </c>
      <c r="E1687" s="296">
        <v>0.16289999999999999</v>
      </c>
    </row>
    <row r="1688" spans="1:5" x14ac:dyDescent="0.3">
      <c r="A1688" s="295">
        <v>2021</v>
      </c>
      <c r="B1688" s="295">
        <v>8</v>
      </c>
      <c r="C1688" s="295" t="s">
        <v>85</v>
      </c>
      <c r="D1688" s="295" t="s">
        <v>2</v>
      </c>
      <c r="E1688" s="296">
        <v>0.19278000000000001</v>
      </c>
    </row>
    <row r="1689" spans="1:5" x14ac:dyDescent="0.3">
      <c r="A1689" s="295">
        <v>2021</v>
      </c>
      <c r="B1689" s="295">
        <v>8</v>
      </c>
      <c r="C1689" s="295" t="s">
        <v>85</v>
      </c>
      <c r="D1689" s="295" t="s">
        <v>259</v>
      </c>
      <c r="E1689" s="296">
        <v>0.13988999999999999</v>
      </c>
    </row>
    <row r="1690" spans="1:5" x14ac:dyDescent="0.3">
      <c r="A1690" s="295">
        <v>2021</v>
      </c>
      <c r="B1690" s="295">
        <v>8</v>
      </c>
      <c r="C1690" s="295" t="s">
        <v>85</v>
      </c>
      <c r="D1690" s="295" t="s">
        <v>101</v>
      </c>
      <c r="E1690" s="296">
        <v>3.8748900000000002</v>
      </c>
    </row>
    <row r="1691" spans="1:5" x14ac:dyDescent="0.3">
      <c r="A1691" s="295">
        <v>2021</v>
      </c>
      <c r="B1691" s="295">
        <v>8</v>
      </c>
      <c r="C1691" s="295" t="s">
        <v>85</v>
      </c>
      <c r="D1691" s="295" t="s">
        <v>179</v>
      </c>
      <c r="E1691" s="296">
        <v>148.94764000000001</v>
      </c>
    </row>
    <row r="1692" spans="1:5" x14ac:dyDescent="0.3">
      <c r="A1692" s="295">
        <v>2021</v>
      </c>
      <c r="B1692" s="295">
        <v>8</v>
      </c>
      <c r="C1692" s="295" t="s">
        <v>85</v>
      </c>
      <c r="D1692" s="295" t="s">
        <v>352</v>
      </c>
      <c r="E1692" s="296">
        <v>1.2456400000000001</v>
      </c>
    </row>
    <row r="1693" spans="1:5" x14ac:dyDescent="0.3">
      <c r="A1693" s="295">
        <v>2021</v>
      </c>
      <c r="B1693" s="295">
        <v>8</v>
      </c>
      <c r="C1693" s="295" t="s">
        <v>101</v>
      </c>
      <c r="D1693" s="295" t="s">
        <v>1</v>
      </c>
      <c r="E1693" s="296">
        <v>4.2040000000000001E-2</v>
      </c>
    </row>
    <row r="1694" spans="1:5" x14ac:dyDescent="0.3">
      <c r="A1694" s="295">
        <v>2021</v>
      </c>
      <c r="B1694" s="295">
        <v>8</v>
      </c>
      <c r="C1694" s="295" t="s">
        <v>101</v>
      </c>
      <c r="D1694" s="295" t="s">
        <v>2</v>
      </c>
      <c r="E1694" s="296">
        <v>4.9750000000000003E-2</v>
      </c>
    </row>
    <row r="1695" spans="1:5" x14ac:dyDescent="0.3">
      <c r="A1695" s="295">
        <v>2021</v>
      </c>
      <c r="B1695" s="295">
        <v>8</v>
      </c>
      <c r="C1695" s="295" t="s">
        <v>101</v>
      </c>
      <c r="D1695" s="295" t="s">
        <v>259</v>
      </c>
      <c r="E1695" s="296">
        <v>3.61E-2</v>
      </c>
    </row>
    <row r="1696" spans="1:5" x14ac:dyDescent="0.3">
      <c r="A1696" s="295">
        <v>2021</v>
      </c>
      <c r="B1696" s="295">
        <v>8</v>
      </c>
      <c r="C1696" s="295" t="s">
        <v>101</v>
      </c>
      <c r="D1696" s="295" t="s">
        <v>85</v>
      </c>
      <c r="E1696" s="296">
        <v>0.25807000000000002</v>
      </c>
    </row>
    <row r="1697" spans="1:5" x14ac:dyDescent="0.3">
      <c r="A1697" s="295">
        <v>2021</v>
      </c>
      <c r="B1697" s="295">
        <v>8</v>
      </c>
      <c r="C1697" s="295" t="s">
        <v>101</v>
      </c>
      <c r="D1697" s="295" t="s">
        <v>179</v>
      </c>
      <c r="E1697" s="296">
        <v>38.439190000000004</v>
      </c>
    </row>
    <row r="1698" spans="1:5" x14ac:dyDescent="0.3">
      <c r="A1698" s="295">
        <v>2021</v>
      </c>
      <c r="B1698" s="295">
        <v>8</v>
      </c>
      <c r="C1698" s="295" t="s">
        <v>101</v>
      </c>
      <c r="D1698" s="295" t="s">
        <v>352</v>
      </c>
      <c r="E1698" s="296">
        <v>0.32146999999999998</v>
      </c>
    </row>
    <row r="1699" spans="1:5" x14ac:dyDescent="0.3">
      <c r="A1699" s="295">
        <v>2021</v>
      </c>
      <c r="B1699" s="295">
        <v>8</v>
      </c>
      <c r="C1699" s="295" t="s">
        <v>179</v>
      </c>
      <c r="D1699" s="295" t="s">
        <v>1</v>
      </c>
      <c r="E1699" s="296">
        <v>1.09E-3</v>
      </c>
    </row>
    <row r="1700" spans="1:5" x14ac:dyDescent="0.3">
      <c r="A1700" s="295">
        <v>2021</v>
      </c>
      <c r="B1700" s="295">
        <v>8</v>
      </c>
      <c r="C1700" s="295" t="s">
        <v>179</v>
      </c>
      <c r="D1700" s="295" t="s">
        <v>2</v>
      </c>
      <c r="E1700" s="296">
        <v>1.2899999999999999E-3</v>
      </c>
    </row>
    <row r="1701" spans="1:5" x14ac:dyDescent="0.3">
      <c r="A1701" s="295">
        <v>2021</v>
      </c>
      <c r="B1701" s="295">
        <v>8</v>
      </c>
      <c r="C1701" s="295" t="s">
        <v>179</v>
      </c>
      <c r="D1701" s="295" t="s">
        <v>259</v>
      </c>
      <c r="E1701" s="296">
        <v>9.3999999999999997E-4</v>
      </c>
    </row>
    <row r="1702" spans="1:5" x14ac:dyDescent="0.3">
      <c r="A1702" s="295">
        <v>2021</v>
      </c>
      <c r="B1702" s="295">
        <v>8</v>
      </c>
      <c r="C1702" s="295" t="s">
        <v>179</v>
      </c>
      <c r="D1702" s="295" t="s">
        <v>85</v>
      </c>
      <c r="E1702" s="296">
        <v>6.7099999999999998E-3</v>
      </c>
    </row>
    <row r="1703" spans="1:5" x14ac:dyDescent="0.3">
      <c r="A1703" s="295">
        <v>2021</v>
      </c>
      <c r="B1703" s="295">
        <v>8</v>
      </c>
      <c r="C1703" s="295" t="s">
        <v>179</v>
      </c>
      <c r="D1703" s="295" t="s">
        <v>101</v>
      </c>
      <c r="E1703" s="296">
        <v>2.6020000000000001E-2</v>
      </c>
    </row>
    <row r="1704" spans="1:5" x14ac:dyDescent="0.3">
      <c r="A1704" s="295">
        <v>2021</v>
      </c>
      <c r="B1704" s="295">
        <v>8</v>
      </c>
      <c r="C1704" s="295" t="s">
        <v>179</v>
      </c>
      <c r="D1704" s="295" t="s">
        <v>352</v>
      </c>
      <c r="E1704" s="296">
        <v>8.3599999999999994E-3</v>
      </c>
    </row>
    <row r="1705" spans="1:5" x14ac:dyDescent="0.3">
      <c r="A1705" s="295">
        <v>2021</v>
      </c>
      <c r="B1705" s="295">
        <v>8</v>
      </c>
      <c r="C1705" s="295" t="s">
        <v>352</v>
      </c>
      <c r="D1705" s="295" t="s">
        <v>1</v>
      </c>
      <c r="E1705" s="296">
        <v>0.13078000000000001</v>
      </c>
    </row>
    <row r="1706" spans="1:5" x14ac:dyDescent="0.3">
      <c r="A1706" s="295">
        <v>2021</v>
      </c>
      <c r="B1706" s="295">
        <v>8</v>
      </c>
      <c r="C1706" s="295" t="s">
        <v>352</v>
      </c>
      <c r="D1706" s="295" t="s">
        <v>2</v>
      </c>
      <c r="E1706" s="296">
        <v>0.15476000000000001</v>
      </c>
    </row>
    <row r="1707" spans="1:5" x14ac:dyDescent="0.3">
      <c r="A1707" s="295">
        <v>2021</v>
      </c>
      <c r="B1707" s="295">
        <v>8</v>
      </c>
      <c r="C1707" s="295" t="s">
        <v>352</v>
      </c>
      <c r="D1707" s="295" t="s">
        <v>259</v>
      </c>
      <c r="E1707" s="296">
        <v>0.11230999999999999</v>
      </c>
    </row>
    <row r="1708" spans="1:5" x14ac:dyDescent="0.3">
      <c r="A1708" s="295">
        <v>2021</v>
      </c>
      <c r="B1708" s="295">
        <v>8</v>
      </c>
      <c r="C1708" s="295" t="s">
        <v>352</v>
      </c>
      <c r="D1708" s="295" t="s">
        <v>85</v>
      </c>
      <c r="E1708" s="296">
        <v>0.80279999999999996</v>
      </c>
    </row>
    <row r="1709" spans="1:5" x14ac:dyDescent="0.3">
      <c r="A1709" s="295">
        <v>2021</v>
      </c>
      <c r="B1709" s="295">
        <v>8</v>
      </c>
      <c r="C1709" s="295" t="s">
        <v>352</v>
      </c>
      <c r="D1709" s="295" t="s">
        <v>101</v>
      </c>
      <c r="E1709" s="296">
        <v>3.11076</v>
      </c>
    </row>
    <row r="1710" spans="1:5" x14ac:dyDescent="0.3">
      <c r="A1710" s="295">
        <v>2021</v>
      </c>
      <c r="B1710" s="295">
        <v>8</v>
      </c>
      <c r="C1710" s="295" t="s">
        <v>352</v>
      </c>
      <c r="D1710" s="295" t="s">
        <v>179</v>
      </c>
      <c r="E1710" s="296">
        <v>119.57496999999999</v>
      </c>
    </row>
    <row r="1711" spans="1:5" x14ac:dyDescent="0.3">
      <c r="A1711" s="295">
        <v>2021</v>
      </c>
      <c r="B1711" s="295">
        <v>8</v>
      </c>
      <c r="C1711" s="295" t="s">
        <v>1</v>
      </c>
      <c r="D1711" s="295" t="s">
        <v>1</v>
      </c>
      <c r="E1711" s="296">
        <v>1</v>
      </c>
    </row>
    <row r="1712" spans="1:5" x14ac:dyDescent="0.3">
      <c r="A1712" s="295">
        <v>2021</v>
      </c>
      <c r="B1712" s="295">
        <v>8</v>
      </c>
      <c r="C1712" s="295" t="s">
        <v>2</v>
      </c>
      <c r="D1712" s="295" t="s">
        <v>2</v>
      </c>
      <c r="E1712" s="296">
        <v>1</v>
      </c>
    </row>
    <row r="1713" spans="1:5" x14ac:dyDescent="0.3">
      <c r="A1713" s="295">
        <v>2021</v>
      </c>
      <c r="B1713" s="295">
        <v>8</v>
      </c>
      <c r="C1713" s="295" t="s">
        <v>259</v>
      </c>
      <c r="D1713" s="295" t="s">
        <v>259</v>
      </c>
      <c r="E1713" s="296">
        <v>1</v>
      </c>
    </row>
    <row r="1714" spans="1:5" x14ac:dyDescent="0.3">
      <c r="A1714" s="295">
        <v>2021</v>
      </c>
      <c r="B1714" s="295">
        <v>8</v>
      </c>
      <c r="C1714" s="295" t="s">
        <v>85</v>
      </c>
      <c r="D1714" s="295" t="s">
        <v>85</v>
      </c>
      <c r="E1714" s="296">
        <v>1</v>
      </c>
    </row>
    <row r="1715" spans="1:5" x14ac:dyDescent="0.3">
      <c r="A1715" s="295">
        <v>2021</v>
      </c>
      <c r="B1715" s="295">
        <v>8</v>
      </c>
      <c r="C1715" s="295" t="s">
        <v>101</v>
      </c>
      <c r="D1715" s="295" t="s">
        <v>101</v>
      </c>
      <c r="E1715" s="296">
        <v>1</v>
      </c>
    </row>
    <row r="1716" spans="1:5" x14ac:dyDescent="0.3">
      <c r="A1716" s="295">
        <v>2021</v>
      </c>
      <c r="B1716" s="295">
        <v>8</v>
      </c>
      <c r="C1716" s="295" t="s">
        <v>179</v>
      </c>
      <c r="D1716" s="295" t="s">
        <v>179</v>
      </c>
      <c r="E1716" s="296">
        <v>1</v>
      </c>
    </row>
    <row r="1717" spans="1:5" x14ac:dyDescent="0.3">
      <c r="A1717" s="295">
        <v>2021</v>
      </c>
      <c r="B1717" s="295">
        <v>8</v>
      </c>
      <c r="C1717" s="295" t="s">
        <v>352</v>
      </c>
      <c r="D1717" s="295" t="s">
        <v>352</v>
      </c>
      <c r="E1717" s="296">
        <v>1</v>
      </c>
    </row>
    <row r="1718" spans="1:5" x14ac:dyDescent="0.3">
      <c r="A1718" s="295">
        <v>2021</v>
      </c>
      <c r="B1718" s="295">
        <v>9</v>
      </c>
      <c r="C1718" s="295" t="s">
        <v>1</v>
      </c>
      <c r="D1718" s="295" t="s">
        <v>2</v>
      </c>
      <c r="E1718" s="296">
        <v>1.1578999999999999</v>
      </c>
    </row>
    <row r="1719" spans="1:5" x14ac:dyDescent="0.3">
      <c r="A1719" s="295">
        <v>2021</v>
      </c>
      <c r="B1719" s="295">
        <v>9</v>
      </c>
      <c r="C1719" s="295" t="s">
        <v>1</v>
      </c>
      <c r="D1719" s="295" t="s">
        <v>259</v>
      </c>
      <c r="E1719" s="296">
        <v>0.86053000000000002</v>
      </c>
    </row>
    <row r="1720" spans="1:5" x14ac:dyDescent="0.3">
      <c r="A1720" s="295">
        <v>2021</v>
      </c>
      <c r="B1720" s="295">
        <v>9</v>
      </c>
      <c r="C1720" s="295" t="s">
        <v>1</v>
      </c>
      <c r="D1720" s="295" t="s">
        <v>85</v>
      </c>
      <c r="E1720" s="296">
        <v>6.2630999999999997</v>
      </c>
    </row>
    <row r="1721" spans="1:5" x14ac:dyDescent="0.3">
      <c r="A1721" s="295">
        <v>2021</v>
      </c>
      <c r="B1721" s="295">
        <v>9</v>
      </c>
      <c r="C1721" s="295" t="s">
        <v>1</v>
      </c>
      <c r="D1721" s="295" t="s">
        <v>101</v>
      </c>
      <c r="E1721" s="296">
        <v>23.7439</v>
      </c>
    </row>
    <row r="1722" spans="1:5" x14ac:dyDescent="0.3">
      <c r="A1722" s="295">
        <v>2021</v>
      </c>
      <c r="B1722" s="295">
        <v>9</v>
      </c>
      <c r="C1722" s="295" t="s">
        <v>1</v>
      </c>
      <c r="D1722" s="295" t="s">
        <v>179</v>
      </c>
      <c r="E1722" s="296">
        <v>938.51300000000003</v>
      </c>
    </row>
    <row r="1723" spans="1:5" x14ac:dyDescent="0.3">
      <c r="A1723" s="295">
        <v>2021</v>
      </c>
      <c r="B1723" s="295">
        <v>9</v>
      </c>
      <c r="C1723" s="295" t="s">
        <v>1</v>
      </c>
      <c r="D1723" s="295" t="s">
        <v>352</v>
      </c>
      <c r="E1723" s="296">
        <v>7.4847000000000001</v>
      </c>
    </row>
    <row r="1724" spans="1:5" x14ac:dyDescent="0.3">
      <c r="A1724" s="295">
        <v>2021</v>
      </c>
      <c r="B1724" s="295">
        <v>9</v>
      </c>
      <c r="C1724" s="295" t="s">
        <v>2</v>
      </c>
      <c r="D1724" s="295" t="s">
        <v>1</v>
      </c>
      <c r="E1724" s="296">
        <v>0.86363000000000001</v>
      </c>
    </row>
    <row r="1725" spans="1:5" x14ac:dyDescent="0.3">
      <c r="A1725" s="295">
        <v>2021</v>
      </c>
      <c r="B1725" s="295">
        <v>9</v>
      </c>
      <c r="C1725" s="295" t="s">
        <v>2</v>
      </c>
      <c r="D1725" s="295" t="s">
        <v>259</v>
      </c>
      <c r="E1725" s="296">
        <v>0.74317999999999995</v>
      </c>
    </row>
    <row r="1726" spans="1:5" x14ac:dyDescent="0.3">
      <c r="A1726" s="295">
        <v>2021</v>
      </c>
      <c r="B1726" s="295">
        <v>9</v>
      </c>
      <c r="C1726" s="295" t="s">
        <v>2</v>
      </c>
      <c r="D1726" s="295" t="s">
        <v>85</v>
      </c>
      <c r="E1726" s="296">
        <v>5.4090199999999999</v>
      </c>
    </row>
    <row r="1727" spans="1:5" x14ac:dyDescent="0.3">
      <c r="A1727" s="295">
        <v>2021</v>
      </c>
      <c r="B1727" s="295">
        <v>9</v>
      </c>
      <c r="C1727" s="295" t="s">
        <v>2</v>
      </c>
      <c r="D1727" s="295" t="s">
        <v>101</v>
      </c>
      <c r="E1727" s="296">
        <v>20.506</v>
      </c>
    </row>
    <row r="1728" spans="1:5" x14ac:dyDescent="0.3">
      <c r="A1728" s="295">
        <v>2021</v>
      </c>
      <c r="B1728" s="295">
        <v>9</v>
      </c>
      <c r="C1728" s="295" t="s">
        <v>2</v>
      </c>
      <c r="D1728" s="295" t="s">
        <v>179</v>
      </c>
      <c r="E1728" s="296">
        <v>810.53026999999997</v>
      </c>
    </row>
    <row r="1729" spans="1:5" x14ac:dyDescent="0.3">
      <c r="A1729" s="295">
        <v>2021</v>
      </c>
      <c r="B1729" s="295">
        <v>9</v>
      </c>
      <c r="C1729" s="295" t="s">
        <v>2</v>
      </c>
      <c r="D1729" s="295" t="s">
        <v>352</v>
      </c>
      <c r="E1729" s="296">
        <v>6.4640300000000002</v>
      </c>
    </row>
    <row r="1730" spans="1:5" x14ac:dyDescent="0.3">
      <c r="A1730" s="295">
        <v>2021</v>
      </c>
      <c r="B1730" s="295">
        <v>9</v>
      </c>
      <c r="C1730" s="295" t="s">
        <v>259</v>
      </c>
      <c r="D1730" s="295" t="s">
        <v>1</v>
      </c>
      <c r="E1730" s="296">
        <v>1.1620699999999999</v>
      </c>
    </row>
    <row r="1731" spans="1:5" x14ac:dyDescent="0.3">
      <c r="A1731" s="295">
        <v>2021</v>
      </c>
      <c r="B1731" s="295">
        <v>9</v>
      </c>
      <c r="C1731" s="295" t="s">
        <v>259</v>
      </c>
      <c r="D1731" s="295" t="s">
        <v>2</v>
      </c>
      <c r="E1731" s="296">
        <v>1.3455699999999999</v>
      </c>
    </row>
    <row r="1732" spans="1:5" x14ac:dyDescent="0.3">
      <c r="A1732" s="295">
        <v>2021</v>
      </c>
      <c r="B1732" s="295">
        <v>9</v>
      </c>
      <c r="C1732" s="295" t="s">
        <v>259</v>
      </c>
      <c r="D1732" s="295" t="s">
        <v>85</v>
      </c>
      <c r="E1732" s="296">
        <v>7.2781900000000004</v>
      </c>
    </row>
    <row r="1733" spans="1:5" x14ac:dyDescent="0.3">
      <c r="A1733" s="295">
        <v>2021</v>
      </c>
      <c r="B1733" s="295">
        <v>9</v>
      </c>
      <c r="C1733" s="295" t="s">
        <v>259</v>
      </c>
      <c r="D1733" s="295" t="s">
        <v>101</v>
      </c>
      <c r="E1733" s="296">
        <v>27.592179999999999</v>
      </c>
    </row>
    <row r="1734" spans="1:5" x14ac:dyDescent="0.3">
      <c r="A1734" s="295">
        <v>2021</v>
      </c>
      <c r="B1734" s="295">
        <v>9</v>
      </c>
      <c r="C1734" s="295" t="s">
        <v>259</v>
      </c>
      <c r="D1734" s="295" t="s">
        <v>179</v>
      </c>
      <c r="E1734" s="296">
        <v>1090.6220599999999</v>
      </c>
    </row>
    <row r="1735" spans="1:5" x14ac:dyDescent="0.3">
      <c r="A1735" s="295">
        <v>2021</v>
      </c>
      <c r="B1735" s="295">
        <v>9</v>
      </c>
      <c r="C1735" s="295" t="s">
        <v>259</v>
      </c>
      <c r="D1735" s="295" t="s">
        <v>352</v>
      </c>
      <c r="E1735" s="296">
        <v>8.6977799999999998</v>
      </c>
    </row>
    <row r="1736" spans="1:5" x14ac:dyDescent="0.3">
      <c r="A1736" s="295">
        <v>2021</v>
      </c>
      <c r="B1736" s="295">
        <v>9</v>
      </c>
      <c r="C1736" s="295" t="s">
        <v>85</v>
      </c>
      <c r="D1736" s="295" t="s">
        <v>1</v>
      </c>
      <c r="E1736" s="296">
        <v>0.15967000000000001</v>
      </c>
    </row>
    <row r="1737" spans="1:5" x14ac:dyDescent="0.3">
      <c r="A1737" s="295">
        <v>2021</v>
      </c>
      <c r="B1737" s="295">
        <v>9</v>
      </c>
      <c r="C1737" s="295" t="s">
        <v>85</v>
      </c>
      <c r="D1737" s="295" t="s">
        <v>2</v>
      </c>
      <c r="E1737" s="296">
        <v>0.18487999999999999</v>
      </c>
    </row>
    <row r="1738" spans="1:5" x14ac:dyDescent="0.3">
      <c r="A1738" s="295">
        <v>2021</v>
      </c>
      <c r="B1738" s="295">
        <v>9</v>
      </c>
      <c r="C1738" s="295" t="s">
        <v>85</v>
      </c>
      <c r="D1738" s="295" t="s">
        <v>259</v>
      </c>
      <c r="E1738" s="296">
        <v>0.13739999999999999</v>
      </c>
    </row>
    <row r="1739" spans="1:5" x14ac:dyDescent="0.3">
      <c r="A1739" s="295">
        <v>2021</v>
      </c>
      <c r="B1739" s="295">
        <v>9</v>
      </c>
      <c r="C1739" s="295" t="s">
        <v>85</v>
      </c>
      <c r="D1739" s="295" t="s">
        <v>101</v>
      </c>
      <c r="E1739" s="296">
        <v>3.79108</v>
      </c>
    </row>
    <row r="1740" spans="1:5" x14ac:dyDescent="0.3">
      <c r="A1740" s="295">
        <v>2021</v>
      </c>
      <c r="B1740" s="295">
        <v>9</v>
      </c>
      <c r="C1740" s="295" t="s">
        <v>85</v>
      </c>
      <c r="D1740" s="295" t="s">
        <v>179</v>
      </c>
      <c r="E1740" s="296">
        <v>149.84800000000001</v>
      </c>
    </row>
    <row r="1741" spans="1:5" x14ac:dyDescent="0.3">
      <c r="A1741" s="295">
        <v>2021</v>
      </c>
      <c r="B1741" s="295">
        <v>9</v>
      </c>
      <c r="C1741" s="295" t="s">
        <v>85</v>
      </c>
      <c r="D1741" s="295" t="s">
        <v>352</v>
      </c>
      <c r="E1741" s="296">
        <v>1.1950499999999999</v>
      </c>
    </row>
    <row r="1742" spans="1:5" x14ac:dyDescent="0.3">
      <c r="A1742" s="295">
        <v>2021</v>
      </c>
      <c r="B1742" s="295">
        <v>9</v>
      </c>
      <c r="C1742" s="295" t="s">
        <v>101</v>
      </c>
      <c r="D1742" s="295" t="s">
        <v>1</v>
      </c>
      <c r="E1742" s="296">
        <v>4.2119999999999998E-2</v>
      </c>
    </row>
    <row r="1743" spans="1:5" x14ac:dyDescent="0.3">
      <c r="A1743" s="295">
        <v>2021</v>
      </c>
      <c r="B1743" s="295">
        <v>9</v>
      </c>
      <c r="C1743" s="295" t="s">
        <v>101</v>
      </c>
      <c r="D1743" s="295" t="s">
        <v>2</v>
      </c>
      <c r="E1743" s="296">
        <v>4.8770000000000001E-2</v>
      </c>
    </row>
    <row r="1744" spans="1:5" x14ac:dyDescent="0.3">
      <c r="A1744" s="295">
        <v>2021</v>
      </c>
      <c r="B1744" s="295">
        <v>9</v>
      </c>
      <c r="C1744" s="295" t="s">
        <v>101</v>
      </c>
      <c r="D1744" s="295" t="s">
        <v>259</v>
      </c>
      <c r="E1744" s="296">
        <v>3.6240000000000001E-2</v>
      </c>
    </row>
    <row r="1745" spans="1:5" x14ac:dyDescent="0.3">
      <c r="A1745" s="295">
        <v>2021</v>
      </c>
      <c r="B1745" s="295">
        <v>9</v>
      </c>
      <c r="C1745" s="295" t="s">
        <v>101</v>
      </c>
      <c r="D1745" s="295" t="s">
        <v>85</v>
      </c>
      <c r="E1745" s="296">
        <v>0.26378000000000001</v>
      </c>
    </row>
    <row r="1746" spans="1:5" x14ac:dyDescent="0.3">
      <c r="A1746" s="295">
        <v>2021</v>
      </c>
      <c r="B1746" s="295">
        <v>9</v>
      </c>
      <c r="C1746" s="295" t="s">
        <v>101</v>
      </c>
      <c r="D1746" s="295" t="s">
        <v>179</v>
      </c>
      <c r="E1746" s="296">
        <v>39.526490000000003</v>
      </c>
    </row>
    <row r="1747" spans="1:5" x14ac:dyDescent="0.3">
      <c r="A1747" s="295">
        <v>2021</v>
      </c>
      <c r="B1747" s="295">
        <v>9</v>
      </c>
      <c r="C1747" s="295" t="s">
        <v>101</v>
      </c>
      <c r="D1747" s="295" t="s">
        <v>352</v>
      </c>
      <c r="E1747" s="296">
        <v>0.31523000000000001</v>
      </c>
    </row>
    <row r="1748" spans="1:5" x14ac:dyDescent="0.3">
      <c r="A1748" s="295">
        <v>2021</v>
      </c>
      <c r="B1748" s="295">
        <v>9</v>
      </c>
      <c r="C1748" s="295" t="s">
        <v>179</v>
      </c>
      <c r="D1748" s="295" t="s">
        <v>1</v>
      </c>
      <c r="E1748" s="296">
        <v>1.07E-3</v>
      </c>
    </row>
    <row r="1749" spans="1:5" x14ac:dyDescent="0.3">
      <c r="A1749" s="295">
        <v>2021</v>
      </c>
      <c r="B1749" s="295">
        <v>9</v>
      </c>
      <c r="C1749" s="295" t="s">
        <v>179</v>
      </c>
      <c r="D1749" s="295" t="s">
        <v>2</v>
      </c>
      <c r="E1749" s="296">
        <v>1.23E-3</v>
      </c>
    </row>
    <row r="1750" spans="1:5" x14ac:dyDescent="0.3">
      <c r="A1750" s="295">
        <v>2021</v>
      </c>
      <c r="B1750" s="295">
        <v>9</v>
      </c>
      <c r="C1750" s="295" t="s">
        <v>179</v>
      </c>
      <c r="D1750" s="295" t="s">
        <v>259</v>
      </c>
      <c r="E1750" s="296">
        <v>9.2000000000000003E-4</v>
      </c>
    </row>
    <row r="1751" spans="1:5" x14ac:dyDescent="0.3">
      <c r="A1751" s="295">
        <v>2021</v>
      </c>
      <c r="B1751" s="295">
        <v>9</v>
      </c>
      <c r="C1751" s="295" t="s">
        <v>179</v>
      </c>
      <c r="D1751" s="295" t="s">
        <v>85</v>
      </c>
      <c r="E1751" s="296">
        <v>6.6699999999999997E-3</v>
      </c>
    </row>
    <row r="1752" spans="1:5" x14ac:dyDescent="0.3">
      <c r="A1752" s="295">
        <v>2021</v>
      </c>
      <c r="B1752" s="295">
        <v>9</v>
      </c>
      <c r="C1752" s="295" t="s">
        <v>179</v>
      </c>
      <c r="D1752" s="295" t="s">
        <v>101</v>
      </c>
      <c r="E1752" s="296">
        <v>2.53E-2</v>
      </c>
    </row>
    <row r="1753" spans="1:5" x14ac:dyDescent="0.3">
      <c r="A1753" s="295">
        <v>2021</v>
      </c>
      <c r="B1753" s="295">
        <v>9</v>
      </c>
      <c r="C1753" s="295" t="s">
        <v>179</v>
      </c>
      <c r="D1753" s="295" t="s">
        <v>352</v>
      </c>
      <c r="E1753" s="296">
        <v>7.9799999999999992E-3</v>
      </c>
    </row>
    <row r="1754" spans="1:5" x14ac:dyDescent="0.3">
      <c r="A1754" s="295">
        <v>2021</v>
      </c>
      <c r="B1754" s="295">
        <v>9</v>
      </c>
      <c r="C1754" s="295" t="s">
        <v>352</v>
      </c>
      <c r="D1754" s="295" t="s">
        <v>1</v>
      </c>
      <c r="E1754" s="296">
        <v>0.13361000000000001</v>
      </c>
    </row>
    <row r="1755" spans="1:5" x14ac:dyDescent="0.3">
      <c r="A1755" s="295">
        <v>2021</v>
      </c>
      <c r="B1755" s="295">
        <v>9</v>
      </c>
      <c r="C1755" s="295" t="s">
        <v>352</v>
      </c>
      <c r="D1755" s="295" t="s">
        <v>2</v>
      </c>
      <c r="E1755" s="296">
        <v>0.1547</v>
      </c>
    </row>
    <row r="1756" spans="1:5" x14ac:dyDescent="0.3">
      <c r="A1756" s="295">
        <v>2021</v>
      </c>
      <c r="B1756" s="295">
        <v>9</v>
      </c>
      <c r="C1756" s="295" t="s">
        <v>352</v>
      </c>
      <c r="D1756" s="295" t="s">
        <v>259</v>
      </c>
      <c r="E1756" s="296">
        <v>0.11497</v>
      </c>
    </row>
    <row r="1757" spans="1:5" x14ac:dyDescent="0.3">
      <c r="A1757" s="295">
        <v>2021</v>
      </c>
      <c r="B1757" s="295">
        <v>9</v>
      </c>
      <c r="C1757" s="295" t="s">
        <v>352</v>
      </c>
      <c r="D1757" s="295" t="s">
        <v>85</v>
      </c>
      <c r="E1757" s="296">
        <v>0.83679000000000003</v>
      </c>
    </row>
    <row r="1758" spans="1:5" x14ac:dyDescent="0.3">
      <c r="A1758" s="295">
        <v>2021</v>
      </c>
      <c r="B1758" s="295">
        <v>9</v>
      </c>
      <c r="C1758" s="295" t="s">
        <v>352</v>
      </c>
      <c r="D1758" s="295" t="s">
        <v>101</v>
      </c>
      <c r="E1758" s="296">
        <v>3.17232</v>
      </c>
    </row>
    <row r="1759" spans="1:5" x14ac:dyDescent="0.3">
      <c r="A1759" s="295">
        <v>2021</v>
      </c>
      <c r="B1759" s="295">
        <v>9</v>
      </c>
      <c r="C1759" s="295" t="s">
        <v>352</v>
      </c>
      <c r="D1759" s="295" t="s">
        <v>179</v>
      </c>
      <c r="E1759" s="296">
        <v>125.39086</v>
      </c>
    </row>
    <row r="1760" spans="1:5" x14ac:dyDescent="0.3">
      <c r="A1760" s="295">
        <v>2021</v>
      </c>
      <c r="B1760" s="295">
        <v>9</v>
      </c>
      <c r="C1760" s="295" t="s">
        <v>1</v>
      </c>
      <c r="D1760" s="295" t="s">
        <v>1</v>
      </c>
      <c r="E1760" s="296">
        <v>1</v>
      </c>
    </row>
    <row r="1761" spans="1:5" x14ac:dyDescent="0.3">
      <c r="A1761" s="295">
        <v>2021</v>
      </c>
      <c r="B1761" s="295">
        <v>9</v>
      </c>
      <c r="C1761" s="295" t="s">
        <v>2</v>
      </c>
      <c r="D1761" s="295" t="s">
        <v>2</v>
      </c>
      <c r="E1761" s="296">
        <v>1</v>
      </c>
    </row>
    <row r="1762" spans="1:5" x14ac:dyDescent="0.3">
      <c r="A1762" s="295">
        <v>2021</v>
      </c>
      <c r="B1762" s="295">
        <v>9</v>
      </c>
      <c r="C1762" s="295" t="s">
        <v>259</v>
      </c>
      <c r="D1762" s="295" t="s">
        <v>259</v>
      </c>
      <c r="E1762" s="296">
        <v>1</v>
      </c>
    </row>
    <row r="1763" spans="1:5" x14ac:dyDescent="0.3">
      <c r="A1763" s="295">
        <v>2021</v>
      </c>
      <c r="B1763" s="295">
        <v>9</v>
      </c>
      <c r="C1763" s="295" t="s">
        <v>85</v>
      </c>
      <c r="D1763" s="295" t="s">
        <v>85</v>
      </c>
      <c r="E1763" s="296">
        <v>1</v>
      </c>
    </row>
    <row r="1764" spans="1:5" x14ac:dyDescent="0.3">
      <c r="A1764" s="295">
        <v>2021</v>
      </c>
      <c r="B1764" s="295">
        <v>9</v>
      </c>
      <c r="C1764" s="295" t="s">
        <v>101</v>
      </c>
      <c r="D1764" s="295" t="s">
        <v>101</v>
      </c>
      <c r="E1764" s="296">
        <v>1</v>
      </c>
    </row>
    <row r="1765" spans="1:5" x14ac:dyDescent="0.3">
      <c r="A1765" s="295">
        <v>2021</v>
      </c>
      <c r="B1765" s="295">
        <v>9</v>
      </c>
      <c r="C1765" s="295" t="s">
        <v>179</v>
      </c>
      <c r="D1765" s="295" t="s">
        <v>179</v>
      </c>
      <c r="E1765" s="296">
        <v>1</v>
      </c>
    </row>
    <row r="1766" spans="1:5" x14ac:dyDescent="0.3">
      <c r="A1766" s="295">
        <v>2021</v>
      </c>
      <c r="B1766" s="295">
        <v>9</v>
      </c>
      <c r="C1766" s="295" t="s">
        <v>352</v>
      </c>
      <c r="D1766" s="295" t="s">
        <v>352</v>
      </c>
      <c r="E1766" s="296">
        <v>1</v>
      </c>
    </row>
    <row r="1767" spans="1:5" x14ac:dyDescent="0.3">
      <c r="A1767" s="295">
        <v>2021</v>
      </c>
      <c r="B1767" s="295">
        <v>10</v>
      </c>
      <c r="C1767" s="295" t="s">
        <v>1</v>
      </c>
      <c r="D1767" s="295" t="s">
        <v>2</v>
      </c>
      <c r="E1767" s="296">
        <v>1.1645000000000001</v>
      </c>
    </row>
    <row r="1768" spans="1:5" x14ac:dyDescent="0.3">
      <c r="A1768" s="295">
        <v>2021</v>
      </c>
      <c r="B1768" s="295">
        <v>10</v>
      </c>
      <c r="C1768" s="295" t="s">
        <v>1</v>
      </c>
      <c r="D1768" s="295" t="s">
        <v>259</v>
      </c>
      <c r="E1768" s="296">
        <v>0.84489999999999998</v>
      </c>
    </row>
    <row r="1769" spans="1:5" x14ac:dyDescent="0.3">
      <c r="A1769" s="295">
        <v>2021</v>
      </c>
      <c r="B1769" s="295">
        <v>10</v>
      </c>
      <c r="C1769" s="295" t="s">
        <v>1</v>
      </c>
      <c r="D1769" s="295" t="s">
        <v>85</v>
      </c>
      <c r="E1769" s="296">
        <v>6.5697999999999999</v>
      </c>
    </row>
    <row r="1770" spans="1:5" x14ac:dyDescent="0.3">
      <c r="A1770" s="295">
        <v>2021</v>
      </c>
      <c r="B1770" s="295">
        <v>10</v>
      </c>
      <c r="C1770" s="295" t="s">
        <v>1</v>
      </c>
      <c r="D1770" s="295" t="s">
        <v>101</v>
      </c>
      <c r="E1770" s="296">
        <v>23.8048</v>
      </c>
    </row>
    <row r="1771" spans="1:5" x14ac:dyDescent="0.3">
      <c r="A1771" s="295">
        <v>2021</v>
      </c>
      <c r="B1771" s="295">
        <v>10</v>
      </c>
      <c r="C1771" s="295" t="s">
        <v>1</v>
      </c>
      <c r="D1771" s="295" t="s">
        <v>179</v>
      </c>
      <c r="E1771" s="296">
        <v>946.971</v>
      </c>
    </row>
    <row r="1772" spans="1:5" x14ac:dyDescent="0.3">
      <c r="A1772" s="295">
        <v>2021</v>
      </c>
      <c r="B1772" s="295">
        <v>10</v>
      </c>
      <c r="C1772" s="295" t="s">
        <v>1</v>
      </c>
      <c r="D1772" s="295" t="s">
        <v>352</v>
      </c>
      <c r="E1772" s="296">
        <v>7.4488000000000003</v>
      </c>
    </row>
    <row r="1773" spans="1:5" x14ac:dyDescent="0.3">
      <c r="A1773" s="295">
        <v>2021</v>
      </c>
      <c r="B1773" s="295">
        <v>10</v>
      </c>
      <c r="C1773" s="295" t="s">
        <v>2</v>
      </c>
      <c r="D1773" s="295" t="s">
        <v>1</v>
      </c>
      <c r="E1773" s="296">
        <v>0.85873999999999995</v>
      </c>
    </row>
    <row r="1774" spans="1:5" x14ac:dyDescent="0.3">
      <c r="A1774" s="295">
        <v>2021</v>
      </c>
      <c r="B1774" s="295">
        <v>10</v>
      </c>
      <c r="C1774" s="295" t="s">
        <v>2</v>
      </c>
      <c r="D1774" s="295" t="s">
        <v>259</v>
      </c>
      <c r="E1774" s="296">
        <v>0.72555000000000003</v>
      </c>
    </row>
    <row r="1775" spans="1:5" x14ac:dyDescent="0.3">
      <c r="A1775" s="295">
        <v>2021</v>
      </c>
      <c r="B1775" s="295">
        <v>10</v>
      </c>
      <c r="C1775" s="295" t="s">
        <v>2</v>
      </c>
      <c r="D1775" s="295" t="s">
        <v>85</v>
      </c>
      <c r="E1775" s="296">
        <v>5.6417299999999999</v>
      </c>
    </row>
    <row r="1776" spans="1:5" x14ac:dyDescent="0.3">
      <c r="A1776" s="295">
        <v>2021</v>
      </c>
      <c r="B1776" s="295">
        <v>10</v>
      </c>
      <c r="C1776" s="295" t="s">
        <v>2</v>
      </c>
      <c r="D1776" s="295" t="s">
        <v>101</v>
      </c>
      <c r="E1776" s="296">
        <v>20.442080000000001</v>
      </c>
    </row>
    <row r="1777" spans="1:5" x14ac:dyDescent="0.3">
      <c r="A1777" s="295">
        <v>2021</v>
      </c>
      <c r="B1777" s="295">
        <v>10</v>
      </c>
      <c r="C1777" s="295" t="s">
        <v>2</v>
      </c>
      <c r="D1777" s="295" t="s">
        <v>179</v>
      </c>
      <c r="E1777" s="296">
        <v>813.19965999999999</v>
      </c>
    </row>
    <row r="1778" spans="1:5" x14ac:dyDescent="0.3">
      <c r="A1778" s="295">
        <v>2021</v>
      </c>
      <c r="B1778" s="295">
        <v>10</v>
      </c>
      <c r="C1778" s="295" t="s">
        <v>2</v>
      </c>
      <c r="D1778" s="295" t="s">
        <v>352</v>
      </c>
      <c r="E1778" s="296">
        <v>6.3965699999999996</v>
      </c>
    </row>
    <row r="1779" spans="1:5" x14ac:dyDescent="0.3">
      <c r="A1779" s="295">
        <v>2021</v>
      </c>
      <c r="B1779" s="295">
        <v>10</v>
      </c>
      <c r="C1779" s="295" t="s">
        <v>259</v>
      </c>
      <c r="D1779" s="295" t="s">
        <v>1</v>
      </c>
      <c r="E1779" s="296">
        <v>1.18357</v>
      </c>
    </row>
    <row r="1780" spans="1:5" x14ac:dyDescent="0.3">
      <c r="A1780" s="295">
        <v>2021</v>
      </c>
      <c r="B1780" s="295">
        <v>10</v>
      </c>
      <c r="C1780" s="295" t="s">
        <v>259</v>
      </c>
      <c r="D1780" s="295" t="s">
        <v>2</v>
      </c>
      <c r="E1780" s="296">
        <v>1.3782700000000001</v>
      </c>
    </row>
    <row r="1781" spans="1:5" x14ac:dyDescent="0.3">
      <c r="A1781" s="295">
        <v>2021</v>
      </c>
      <c r="B1781" s="295">
        <v>10</v>
      </c>
      <c r="C1781" s="295" t="s">
        <v>259</v>
      </c>
      <c r="D1781" s="295" t="s">
        <v>85</v>
      </c>
      <c r="E1781" s="296">
        <v>7.77583</v>
      </c>
    </row>
    <row r="1782" spans="1:5" x14ac:dyDescent="0.3">
      <c r="A1782" s="295">
        <v>2021</v>
      </c>
      <c r="B1782" s="295">
        <v>10</v>
      </c>
      <c r="C1782" s="295" t="s">
        <v>259</v>
      </c>
      <c r="D1782" s="295" t="s">
        <v>101</v>
      </c>
      <c r="E1782" s="296">
        <v>28.174700000000001</v>
      </c>
    </row>
    <row r="1783" spans="1:5" x14ac:dyDescent="0.3">
      <c r="A1783" s="295">
        <v>2021</v>
      </c>
      <c r="B1783" s="295">
        <v>10</v>
      </c>
      <c r="C1783" s="295" t="s">
        <v>259</v>
      </c>
      <c r="D1783" s="295" t="s">
        <v>179</v>
      </c>
      <c r="E1783" s="296">
        <v>1120.8083799999999</v>
      </c>
    </row>
    <row r="1784" spans="1:5" x14ac:dyDescent="0.3">
      <c r="A1784" s="295">
        <v>2021</v>
      </c>
      <c r="B1784" s="295">
        <v>10</v>
      </c>
      <c r="C1784" s="295" t="s">
        <v>259</v>
      </c>
      <c r="D1784" s="295" t="s">
        <v>352</v>
      </c>
      <c r="E1784" s="296">
        <v>8.8161900000000006</v>
      </c>
    </row>
    <row r="1785" spans="1:5" x14ac:dyDescent="0.3">
      <c r="A1785" s="295">
        <v>2021</v>
      </c>
      <c r="B1785" s="295">
        <v>10</v>
      </c>
      <c r="C1785" s="295" t="s">
        <v>85</v>
      </c>
      <c r="D1785" s="295" t="s">
        <v>1</v>
      </c>
      <c r="E1785" s="296">
        <v>0.15221000000000001</v>
      </c>
    </row>
    <row r="1786" spans="1:5" x14ac:dyDescent="0.3">
      <c r="A1786" s="295">
        <v>2021</v>
      </c>
      <c r="B1786" s="295">
        <v>10</v>
      </c>
      <c r="C1786" s="295" t="s">
        <v>85</v>
      </c>
      <c r="D1786" s="295" t="s">
        <v>2</v>
      </c>
      <c r="E1786" s="296">
        <v>0.17724999999999999</v>
      </c>
    </row>
    <row r="1787" spans="1:5" x14ac:dyDescent="0.3">
      <c r="A1787" s="295">
        <v>2021</v>
      </c>
      <c r="B1787" s="295">
        <v>10</v>
      </c>
      <c r="C1787" s="295" t="s">
        <v>85</v>
      </c>
      <c r="D1787" s="295" t="s">
        <v>259</v>
      </c>
      <c r="E1787" s="296">
        <v>0.12859999999999999</v>
      </c>
    </row>
    <row r="1788" spans="1:5" x14ac:dyDescent="0.3">
      <c r="A1788" s="295">
        <v>2021</v>
      </c>
      <c r="B1788" s="295">
        <v>10</v>
      </c>
      <c r="C1788" s="295" t="s">
        <v>85</v>
      </c>
      <c r="D1788" s="295" t="s">
        <v>101</v>
      </c>
      <c r="E1788" s="296">
        <v>3.62337</v>
      </c>
    </row>
    <row r="1789" spans="1:5" x14ac:dyDescent="0.3">
      <c r="A1789" s="295">
        <v>2021</v>
      </c>
      <c r="B1789" s="295">
        <v>10</v>
      </c>
      <c r="C1789" s="295" t="s">
        <v>85</v>
      </c>
      <c r="D1789" s="295" t="s">
        <v>179</v>
      </c>
      <c r="E1789" s="296">
        <v>144.13999999999999</v>
      </c>
    </row>
    <row r="1790" spans="1:5" x14ac:dyDescent="0.3">
      <c r="A1790" s="295">
        <v>2021</v>
      </c>
      <c r="B1790" s="295">
        <v>10</v>
      </c>
      <c r="C1790" s="295" t="s">
        <v>85</v>
      </c>
      <c r="D1790" s="295" t="s">
        <v>352</v>
      </c>
      <c r="E1790" s="296">
        <v>1.1337900000000001</v>
      </c>
    </row>
    <row r="1791" spans="1:5" x14ac:dyDescent="0.3">
      <c r="A1791" s="295">
        <v>2021</v>
      </c>
      <c r="B1791" s="295">
        <v>10</v>
      </c>
      <c r="C1791" s="295" t="s">
        <v>101</v>
      </c>
      <c r="D1791" s="295" t="s">
        <v>1</v>
      </c>
      <c r="E1791" s="296">
        <v>4.2009999999999999E-2</v>
      </c>
    </row>
    <row r="1792" spans="1:5" x14ac:dyDescent="0.3">
      <c r="A1792" s="295">
        <v>2021</v>
      </c>
      <c r="B1792" s="295">
        <v>10</v>
      </c>
      <c r="C1792" s="295" t="s">
        <v>101</v>
      </c>
      <c r="D1792" s="295" t="s">
        <v>2</v>
      </c>
      <c r="E1792" s="296">
        <v>4.8919999999999998E-2</v>
      </c>
    </row>
    <row r="1793" spans="1:5" x14ac:dyDescent="0.3">
      <c r="A1793" s="295">
        <v>2021</v>
      </c>
      <c r="B1793" s="295">
        <v>10</v>
      </c>
      <c r="C1793" s="295" t="s">
        <v>101</v>
      </c>
      <c r="D1793" s="295" t="s">
        <v>259</v>
      </c>
      <c r="E1793" s="296">
        <v>3.5490000000000001E-2</v>
      </c>
    </row>
    <row r="1794" spans="1:5" x14ac:dyDescent="0.3">
      <c r="A1794" s="295">
        <v>2021</v>
      </c>
      <c r="B1794" s="295">
        <v>10</v>
      </c>
      <c r="C1794" s="295" t="s">
        <v>101</v>
      </c>
      <c r="D1794" s="295" t="s">
        <v>85</v>
      </c>
      <c r="E1794" s="296">
        <v>0.27599000000000001</v>
      </c>
    </row>
    <row r="1795" spans="1:5" x14ac:dyDescent="0.3">
      <c r="A1795" s="295">
        <v>2021</v>
      </c>
      <c r="B1795" s="295">
        <v>10</v>
      </c>
      <c r="C1795" s="295" t="s">
        <v>101</v>
      </c>
      <c r="D1795" s="295" t="s">
        <v>179</v>
      </c>
      <c r="E1795" s="296">
        <v>39.780670000000001</v>
      </c>
    </row>
    <row r="1796" spans="1:5" x14ac:dyDescent="0.3">
      <c r="A1796" s="295">
        <v>2021</v>
      </c>
      <c r="B1796" s="295">
        <v>10</v>
      </c>
      <c r="C1796" s="295" t="s">
        <v>101</v>
      </c>
      <c r="D1796" s="295" t="s">
        <v>352</v>
      </c>
      <c r="E1796" s="296">
        <v>0.31291000000000002</v>
      </c>
    </row>
    <row r="1797" spans="1:5" x14ac:dyDescent="0.3">
      <c r="A1797" s="295">
        <v>2021</v>
      </c>
      <c r="B1797" s="295">
        <v>10</v>
      </c>
      <c r="C1797" s="295" t="s">
        <v>179</v>
      </c>
      <c r="D1797" s="295" t="s">
        <v>1</v>
      </c>
      <c r="E1797" s="296">
        <v>1.06E-3</v>
      </c>
    </row>
    <row r="1798" spans="1:5" x14ac:dyDescent="0.3">
      <c r="A1798" s="295">
        <v>2021</v>
      </c>
      <c r="B1798" s="295">
        <v>10</v>
      </c>
      <c r="C1798" s="295" t="s">
        <v>179</v>
      </c>
      <c r="D1798" s="295" t="s">
        <v>2</v>
      </c>
      <c r="E1798" s="296">
        <v>1.23E-3</v>
      </c>
    </row>
    <row r="1799" spans="1:5" x14ac:dyDescent="0.3">
      <c r="A1799" s="295">
        <v>2021</v>
      </c>
      <c r="B1799" s="295">
        <v>10</v>
      </c>
      <c r="C1799" s="295" t="s">
        <v>179</v>
      </c>
      <c r="D1799" s="295" t="s">
        <v>259</v>
      </c>
      <c r="E1799" s="296">
        <v>8.8999999999999995E-4</v>
      </c>
    </row>
    <row r="1800" spans="1:5" x14ac:dyDescent="0.3">
      <c r="A1800" s="295">
        <v>2021</v>
      </c>
      <c r="B1800" s="295">
        <v>10</v>
      </c>
      <c r="C1800" s="295" t="s">
        <v>179</v>
      </c>
      <c r="D1800" s="295" t="s">
        <v>85</v>
      </c>
      <c r="E1800" s="296">
        <v>6.94E-3</v>
      </c>
    </row>
    <row r="1801" spans="1:5" x14ac:dyDescent="0.3">
      <c r="A1801" s="295">
        <v>2021</v>
      </c>
      <c r="B1801" s="295">
        <v>10</v>
      </c>
      <c r="C1801" s="295" t="s">
        <v>179</v>
      </c>
      <c r="D1801" s="295" t="s">
        <v>101</v>
      </c>
      <c r="E1801" s="296">
        <v>2.5139999999999999E-2</v>
      </c>
    </row>
    <row r="1802" spans="1:5" x14ac:dyDescent="0.3">
      <c r="A1802" s="295">
        <v>2021</v>
      </c>
      <c r="B1802" s="295">
        <v>10</v>
      </c>
      <c r="C1802" s="295" t="s">
        <v>179</v>
      </c>
      <c r="D1802" s="295" t="s">
        <v>352</v>
      </c>
      <c r="E1802" s="296">
        <v>7.8700000000000003E-3</v>
      </c>
    </row>
    <row r="1803" spans="1:5" x14ac:dyDescent="0.3">
      <c r="A1803" s="295">
        <v>2021</v>
      </c>
      <c r="B1803" s="295">
        <v>10</v>
      </c>
      <c r="C1803" s="295" t="s">
        <v>352</v>
      </c>
      <c r="D1803" s="295" t="s">
        <v>1</v>
      </c>
      <c r="E1803" s="296">
        <v>0.13425000000000001</v>
      </c>
    </row>
    <row r="1804" spans="1:5" x14ac:dyDescent="0.3">
      <c r="A1804" s="295">
        <v>2021</v>
      </c>
      <c r="B1804" s="295">
        <v>10</v>
      </c>
      <c r="C1804" s="295" t="s">
        <v>352</v>
      </c>
      <c r="D1804" s="295" t="s">
        <v>2</v>
      </c>
      <c r="E1804" s="296">
        <v>0.15633</v>
      </c>
    </row>
    <row r="1805" spans="1:5" x14ac:dyDescent="0.3">
      <c r="A1805" s="295">
        <v>2021</v>
      </c>
      <c r="B1805" s="295">
        <v>10</v>
      </c>
      <c r="C1805" s="295" t="s">
        <v>352</v>
      </c>
      <c r="D1805" s="295" t="s">
        <v>259</v>
      </c>
      <c r="E1805" s="296">
        <v>0.11343</v>
      </c>
    </row>
    <row r="1806" spans="1:5" x14ac:dyDescent="0.3">
      <c r="A1806" s="295">
        <v>2021</v>
      </c>
      <c r="B1806" s="295">
        <v>10</v>
      </c>
      <c r="C1806" s="295" t="s">
        <v>352</v>
      </c>
      <c r="D1806" s="295" t="s">
        <v>85</v>
      </c>
      <c r="E1806" s="296">
        <v>0.88199000000000005</v>
      </c>
    </row>
    <row r="1807" spans="1:5" x14ac:dyDescent="0.3">
      <c r="A1807" s="295">
        <v>2021</v>
      </c>
      <c r="B1807" s="295">
        <v>10</v>
      </c>
      <c r="C1807" s="295" t="s">
        <v>352</v>
      </c>
      <c r="D1807" s="295" t="s">
        <v>101</v>
      </c>
      <c r="E1807" s="296">
        <v>3.1957900000000001</v>
      </c>
    </row>
    <row r="1808" spans="1:5" x14ac:dyDescent="0.3">
      <c r="A1808" s="295">
        <v>2021</v>
      </c>
      <c r="B1808" s="295">
        <v>10</v>
      </c>
      <c r="C1808" s="295" t="s">
        <v>352</v>
      </c>
      <c r="D1808" s="295" t="s">
        <v>179</v>
      </c>
      <c r="E1808" s="296">
        <v>127.13068</v>
      </c>
    </row>
    <row r="1809" spans="1:5" x14ac:dyDescent="0.3">
      <c r="A1809" s="295">
        <v>2021</v>
      </c>
      <c r="B1809" s="295">
        <v>10</v>
      </c>
      <c r="C1809" s="295" t="s">
        <v>1</v>
      </c>
      <c r="D1809" s="295" t="s">
        <v>1</v>
      </c>
      <c r="E1809" s="296">
        <v>1</v>
      </c>
    </row>
    <row r="1810" spans="1:5" x14ac:dyDescent="0.3">
      <c r="A1810" s="295">
        <v>2021</v>
      </c>
      <c r="B1810" s="295">
        <v>10</v>
      </c>
      <c r="C1810" s="295" t="s">
        <v>2</v>
      </c>
      <c r="D1810" s="295" t="s">
        <v>2</v>
      </c>
      <c r="E1810" s="296">
        <v>1</v>
      </c>
    </row>
    <row r="1811" spans="1:5" x14ac:dyDescent="0.3">
      <c r="A1811" s="295">
        <v>2021</v>
      </c>
      <c r="B1811" s="295">
        <v>10</v>
      </c>
      <c r="C1811" s="295" t="s">
        <v>259</v>
      </c>
      <c r="D1811" s="295" t="s">
        <v>259</v>
      </c>
      <c r="E1811" s="296">
        <v>1</v>
      </c>
    </row>
    <row r="1812" spans="1:5" x14ac:dyDescent="0.3">
      <c r="A1812" s="295">
        <v>2021</v>
      </c>
      <c r="B1812" s="295">
        <v>10</v>
      </c>
      <c r="C1812" s="295" t="s">
        <v>85</v>
      </c>
      <c r="D1812" s="295" t="s">
        <v>85</v>
      </c>
      <c r="E1812" s="296">
        <v>1</v>
      </c>
    </row>
    <row r="1813" spans="1:5" x14ac:dyDescent="0.3">
      <c r="A1813" s="295">
        <v>2021</v>
      </c>
      <c r="B1813" s="295">
        <v>10</v>
      </c>
      <c r="C1813" s="295" t="s">
        <v>101</v>
      </c>
      <c r="D1813" s="295" t="s">
        <v>101</v>
      </c>
      <c r="E1813" s="296">
        <v>1</v>
      </c>
    </row>
    <row r="1814" spans="1:5" x14ac:dyDescent="0.3">
      <c r="A1814" s="295">
        <v>2021</v>
      </c>
      <c r="B1814" s="295">
        <v>10</v>
      </c>
      <c r="C1814" s="295" t="s">
        <v>179</v>
      </c>
      <c r="D1814" s="295" t="s">
        <v>179</v>
      </c>
      <c r="E1814" s="296">
        <v>1</v>
      </c>
    </row>
    <row r="1815" spans="1:5" x14ac:dyDescent="0.3">
      <c r="A1815" s="295">
        <v>2021</v>
      </c>
      <c r="B1815" s="295">
        <v>10</v>
      </c>
      <c r="C1815" s="295" t="s">
        <v>352</v>
      </c>
      <c r="D1815" s="295" t="s">
        <v>352</v>
      </c>
      <c r="E1815" s="296">
        <v>1</v>
      </c>
    </row>
    <row r="1816" spans="1:5" x14ac:dyDescent="0.3">
      <c r="A1816" s="295">
        <v>2021</v>
      </c>
      <c r="B1816" s="295">
        <v>11</v>
      </c>
      <c r="C1816" s="295" t="s">
        <v>1</v>
      </c>
      <c r="D1816" s="295" t="s">
        <v>2</v>
      </c>
      <c r="E1816" s="296">
        <v>1.1363000000000001</v>
      </c>
    </row>
    <row r="1817" spans="1:5" x14ac:dyDescent="0.3">
      <c r="A1817" s="295">
        <v>2021</v>
      </c>
      <c r="B1817" s="295">
        <v>11</v>
      </c>
      <c r="C1817" s="295" t="s">
        <v>1</v>
      </c>
      <c r="D1817" s="295" t="s">
        <v>259</v>
      </c>
      <c r="E1817" s="296">
        <v>0.85172999999999999</v>
      </c>
    </row>
    <row r="1818" spans="1:5" x14ac:dyDescent="0.3">
      <c r="A1818" s="295">
        <v>2021</v>
      </c>
      <c r="B1818" s="295">
        <v>11</v>
      </c>
      <c r="C1818" s="295" t="s">
        <v>1</v>
      </c>
      <c r="D1818" s="295" t="s">
        <v>85</v>
      </c>
      <c r="E1818" s="296">
        <v>6.3761999999999999</v>
      </c>
    </row>
    <row r="1819" spans="1:5" x14ac:dyDescent="0.3">
      <c r="A1819" s="295">
        <v>2021</v>
      </c>
      <c r="B1819" s="295">
        <v>11</v>
      </c>
      <c r="C1819" s="295" t="s">
        <v>1</v>
      </c>
      <c r="D1819" s="295" t="s">
        <v>101</v>
      </c>
      <c r="E1819" s="296">
        <v>24.5059</v>
      </c>
    </row>
    <row r="1820" spans="1:5" x14ac:dyDescent="0.3">
      <c r="A1820" s="295">
        <v>2021</v>
      </c>
      <c r="B1820" s="295">
        <v>11</v>
      </c>
      <c r="C1820" s="295" t="s">
        <v>1</v>
      </c>
      <c r="D1820" s="295" t="s">
        <v>179</v>
      </c>
      <c r="E1820" s="296">
        <v>939.37900000000002</v>
      </c>
    </row>
    <row r="1821" spans="1:5" x14ac:dyDescent="0.3">
      <c r="A1821" s="295">
        <v>2021</v>
      </c>
      <c r="B1821" s="295">
        <v>11</v>
      </c>
      <c r="C1821" s="295" t="s">
        <v>1</v>
      </c>
      <c r="D1821" s="295" t="s">
        <v>352</v>
      </c>
      <c r="E1821" s="296">
        <v>7.2394999999999996</v>
      </c>
    </row>
    <row r="1822" spans="1:5" x14ac:dyDescent="0.3">
      <c r="A1822" s="295">
        <v>2021</v>
      </c>
      <c r="B1822" s="295">
        <v>11</v>
      </c>
      <c r="C1822" s="295" t="s">
        <v>2</v>
      </c>
      <c r="D1822" s="295" t="s">
        <v>1</v>
      </c>
      <c r="E1822" s="296">
        <v>0.88005</v>
      </c>
    </row>
    <row r="1823" spans="1:5" x14ac:dyDescent="0.3">
      <c r="A1823" s="295">
        <v>2021</v>
      </c>
      <c r="B1823" s="295">
        <v>11</v>
      </c>
      <c r="C1823" s="295" t="s">
        <v>2</v>
      </c>
      <c r="D1823" s="295" t="s">
        <v>259</v>
      </c>
      <c r="E1823" s="296">
        <v>0.74956</v>
      </c>
    </row>
    <row r="1824" spans="1:5" x14ac:dyDescent="0.3">
      <c r="A1824" s="295">
        <v>2021</v>
      </c>
      <c r="B1824" s="295">
        <v>11</v>
      </c>
      <c r="C1824" s="295" t="s">
        <v>2</v>
      </c>
      <c r="D1824" s="295" t="s">
        <v>85</v>
      </c>
      <c r="E1824" s="296">
        <v>5.61137</v>
      </c>
    </row>
    <row r="1825" spans="1:5" x14ac:dyDescent="0.3">
      <c r="A1825" s="295">
        <v>2021</v>
      </c>
      <c r="B1825" s="295">
        <v>11</v>
      </c>
      <c r="C1825" s="295" t="s">
        <v>2</v>
      </c>
      <c r="D1825" s="295" t="s">
        <v>101</v>
      </c>
      <c r="E1825" s="296">
        <v>21.566400000000002</v>
      </c>
    </row>
    <row r="1826" spans="1:5" x14ac:dyDescent="0.3">
      <c r="A1826" s="295">
        <v>2021</v>
      </c>
      <c r="B1826" s="295">
        <v>11</v>
      </c>
      <c r="C1826" s="295" t="s">
        <v>2</v>
      </c>
      <c r="D1826" s="295" t="s">
        <v>179</v>
      </c>
      <c r="E1826" s="296">
        <v>826.69982000000005</v>
      </c>
    </row>
    <row r="1827" spans="1:5" x14ac:dyDescent="0.3">
      <c r="A1827" s="295">
        <v>2021</v>
      </c>
      <c r="B1827" s="295">
        <v>11</v>
      </c>
      <c r="C1827" s="295" t="s">
        <v>2</v>
      </c>
      <c r="D1827" s="295" t="s">
        <v>352</v>
      </c>
      <c r="E1827" s="296">
        <v>6.3711200000000003</v>
      </c>
    </row>
    <row r="1828" spans="1:5" x14ac:dyDescent="0.3">
      <c r="A1828" s="295">
        <v>2021</v>
      </c>
      <c r="B1828" s="295">
        <v>11</v>
      </c>
      <c r="C1828" s="295" t="s">
        <v>259</v>
      </c>
      <c r="D1828" s="295" t="s">
        <v>1</v>
      </c>
      <c r="E1828" s="296">
        <v>1.17408</v>
      </c>
    </row>
    <row r="1829" spans="1:5" x14ac:dyDescent="0.3">
      <c r="A1829" s="295">
        <v>2021</v>
      </c>
      <c r="B1829" s="295">
        <v>11</v>
      </c>
      <c r="C1829" s="295" t="s">
        <v>259</v>
      </c>
      <c r="D1829" s="295" t="s">
        <v>2</v>
      </c>
      <c r="E1829" s="296">
        <v>1.3341099999999999</v>
      </c>
    </row>
    <row r="1830" spans="1:5" x14ac:dyDescent="0.3">
      <c r="A1830" s="295">
        <v>2021</v>
      </c>
      <c r="B1830" s="295">
        <v>11</v>
      </c>
      <c r="C1830" s="295" t="s">
        <v>259</v>
      </c>
      <c r="D1830" s="295" t="s">
        <v>85</v>
      </c>
      <c r="E1830" s="296">
        <v>7.4861800000000001</v>
      </c>
    </row>
    <row r="1831" spans="1:5" x14ac:dyDescent="0.3">
      <c r="A1831" s="295">
        <v>2021</v>
      </c>
      <c r="B1831" s="295">
        <v>11</v>
      </c>
      <c r="C1831" s="295" t="s">
        <v>259</v>
      </c>
      <c r="D1831" s="295" t="s">
        <v>101</v>
      </c>
      <c r="E1831" s="296">
        <v>28.771909999999998</v>
      </c>
    </row>
    <row r="1832" spans="1:5" x14ac:dyDescent="0.3">
      <c r="A1832" s="295">
        <v>2021</v>
      </c>
      <c r="B1832" s="295">
        <v>11</v>
      </c>
      <c r="C1832" s="295" t="s">
        <v>259</v>
      </c>
      <c r="D1832" s="295" t="s">
        <v>179</v>
      </c>
      <c r="E1832" s="296">
        <v>1102.9070200000001</v>
      </c>
    </row>
    <row r="1833" spans="1:5" x14ac:dyDescent="0.3">
      <c r="A1833" s="295">
        <v>2021</v>
      </c>
      <c r="B1833" s="295">
        <v>11</v>
      </c>
      <c r="C1833" s="295" t="s">
        <v>259</v>
      </c>
      <c r="D1833" s="295" t="s">
        <v>352</v>
      </c>
      <c r="E1833" s="296">
        <v>8.4997600000000002</v>
      </c>
    </row>
    <row r="1834" spans="1:5" x14ac:dyDescent="0.3">
      <c r="A1834" s="295">
        <v>2021</v>
      </c>
      <c r="B1834" s="295">
        <v>11</v>
      </c>
      <c r="C1834" s="295" t="s">
        <v>85</v>
      </c>
      <c r="D1834" s="295" t="s">
        <v>1</v>
      </c>
      <c r="E1834" s="296">
        <v>0.15683</v>
      </c>
    </row>
    <row r="1835" spans="1:5" x14ac:dyDescent="0.3">
      <c r="A1835" s="295">
        <v>2021</v>
      </c>
      <c r="B1835" s="295">
        <v>11</v>
      </c>
      <c r="C1835" s="295" t="s">
        <v>85</v>
      </c>
      <c r="D1835" s="295" t="s">
        <v>2</v>
      </c>
      <c r="E1835" s="296">
        <v>0.17821000000000001</v>
      </c>
    </row>
    <row r="1836" spans="1:5" x14ac:dyDescent="0.3">
      <c r="A1836" s="295">
        <v>2021</v>
      </c>
      <c r="B1836" s="295">
        <v>11</v>
      </c>
      <c r="C1836" s="295" t="s">
        <v>85</v>
      </c>
      <c r="D1836" s="295" t="s">
        <v>259</v>
      </c>
      <c r="E1836" s="296">
        <v>0.13358</v>
      </c>
    </row>
    <row r="1837" spans="1:5" x14ac:dyDescent="0.3">
      <c r="A1837" s="295">
        <v>2021</v>
      </c>
      <c r="B1837" s="295">
        <v>11</v>
      </c>
      <c r="C1837" s="295" t="s">
        <v>85</v>
      </c>
      <c r="D1837" s="295" t="s">
        <v>101</v>
      </c>
      <c r="E1837" s="296">
        <v>3.84334</v>
      </c>
    </row>
    <row r="1838" spans="1:5" x14ac:dyDescent="0.3">
      <c r="A1838" s="295">
        <v>2021</v>
      </c>
      <c r="B1838" s="295">
        <v>11</v>
      </c>
      <c r="C1838" s="295" t="s">
        <v>85</v>
      </c>
      <c r="D1838" s="295" t="s">
        <v>179</v>
      </c>
      <c r="E1838" s="296">
        <v>147.32584</v>
      </c>
    </row>
    <row r="1839" spans="1:5" x14ac:dyDescent="0.3">
      <c r="A1839" s="295">
        <v>2021</v>
      </c>
      <c r="B1839" s="295">
        <v>11</v>
      </c>
      <c r="C1839" s="295" t="s">
        <v>85</v>
      </c>
      <c r="D1839" s="295" t="s">
        <v>352</v>
      </c>
      <c r="E1839" s="296">
        <v>1.1353899999999999</v>
      </c>
    </row>
    <row r="1840" spans="1:5" x14ac:dyDescent="0.3">
      <c r="A1840" s="295">
        <v>2021</v>
      </c>
      <c r="B1840" s="295">
        <v>11</v>
      </c>
      <c r="C1840" s="295" t="s">
        <v>101</v>
      </c>
      <c r="D1840" s="295" t="s">
        <v>1</v>
      </c>
      <c r="E1840" s="296">
        <v>4.0809999999999999E-2</v>
      </c>
    </row>
    <row r="1841" spans="1:5" x14ac:dyDescent="0.3">
      <c r="A1841" s="295">
        <v>2021</v>
      </c>
      <c r="B1841" s="295">
        <v>11</v>
      </c>
      <c r="C1841" s="295" t="s">
        <v>101</v>
      </c>
      <c r="D1841" s="295" t="s">
        <v>2</v>
      </c>
      <c r="E1841" s="296">
        <v>4.6370000000000001E-2</v>
      </c>
    </row>
    <row r="1842" spans="1:5" x14ac:dyDescent="0.3">
      <c r="A1842" s="295">
        <v>2021</v>
      </c>
      <c r="B1842" s="295">
        <v>11</v>
      </c>
      <c r="C1842" s="295" t="s">
        <v>101</v>
      </c>
      <c r="D1842" s="295" t="s">
        <v>259</v>
      </c>
      <c r="E1842" s="296">
        <v>3.4759999999999999E-2</v>
      </c>
    </row>
    <row r="1843" spans="1:5" x14ac:dyDescent="0.3">
      <c r="A1843" s="295">
        <v>2021</v>
      </c>
      <c r="B1843" s="295">
        <v>11</v>
      </c>
      <c r="C1843" s="295" t="s">
        <v>101</v>
      </c>
      <c r="D1843" s="295" t="s">
        <v>85</v>
      </c>
      <c r="E1843" s="296">
        <v>0.26018999999999998</v>
      </c>
    </row>
    <row r="1844" spans="1:5" x14ac:dyDescent="0.3">
      <c r="A1844" s="295">
        <v>2021</v>
      </c>
      <c r="B1844" s="295">
        <v>11</v>
      </c>
      <c r="C1844" s="295" t="s">
        <v>101</v>
      </c>
      <c r="D1844" s="295" t="s">
        <v>179</v>
      </c>
      <c r="E1844" s="296">
        <v>38.332769999999996</v>
      </c>
    </row>
    <row r="1845" spans="1:5" x14ac:dyDescent="0.3">
      <c r="A1845" s="295">
        <v>2021</v>
      </c>
      <c r="B1845" s="295">
        <v>11</v>
      </c>
      <c r="C1845" s="295" t="s">
        <v>101</v>
      </c>
      <c r="D1845" s="295" t="s">
        <v>352</v>
      </c>
      <c r="E1845" s="296">
        <v>0.29542000000000002</v>
      </c>
    </row>
    <row r="1846" spans="1:5" x14ac:dyDescent="0.3">
      <c r="A1846" s="295">
        <v>2021</v>
      </c>
      <c r="B1846" s="295">
        <v>11</v>
      </c>
      <c r="C1846" s="295" t="s">
        <v>179</v>
      </c>
      <c r="D1846" s="295" t="s">
        <v>1</v>
      </c>
      <c r="E1846" s="296">
        <v>1.06E-3</v>
      </c>
    </row>
    <row r="1847" spans="1:5" x14ac:dyDescent="0.3">
      <c r="A1847" s="295">
        <v>2021</v>
      </c>
      <c r="B1847" s="295">
        <v>11</v>
      </c>
      <c r="C1847" s="295" t="s">
        <v>179</v>
      </c>
      <c r="D1847" s="295" t="s">
        <v>2</v>
      </c>
      <c r="E1847" s="296">
        <v>1.2099999999999999E-3</v>
      </c>
    </row>
    <row r="1848" spans="1:5" x14ac:dyDescent="0.3">
      <c r="A1848" s="295">
        <v>2021</v>
      </c>
      <c r="B1848" s="295">
        <v>11</v>
      </c>
      <c r="C1848" s="295" t="s">
        <v>179</v>
      </c>
      <c r="D1848" s="295" t="s">
        <v>259</v>
      </c>
      <c r="E1848" s="296">
        <v>9.1E-4</v>
      </c>
    </row>
    <row r="1849" spans="1:5" x14ac:dyDescent="0.3">
      <c r="A1849" s="295">
        <v>2021</v>
      </c>
      <c r="B1849" s="295">
        <v>11</v>
      </c>
      <c r="C1849" s="295" t="s">
        <v>179</v>
      </c>
      <c r="D1849" s="295" t="s">
        <v>85</v>
      </c>
      <c r="E1849" s="296">
        <v>6.79E-3</v>
      </c>
    </row>
    <row r="1850" spans="1:5" x14ac:dyDescent="0.3">
      <c r="A1850" s="295">
        <v>2021</v>
      </c>
      <c r="B1850" s="295">
        <v>11</v>
      </c>
      <c r="C1850" s="295" t="s">
        <v>179</v>
      </c>
      <c r="D1850" s="295" t="s">
        <v>101</v>
      </c>
      <c r="E1850" s="296">
        <v>2.6089999999999999E-2</v>
      </c>
    </row>
    <row r="1851" spans="1:5" x14ac:dyDescent="0.3">
      <c r="A1851" s="295">
        <v>2021</v>
      </c>
      <c r="B1851" s="295">
        <v>11</v>
      </c>
      <c r="C1851" s="295" t="s">
        <v>179</v>
      </c>
      <c r="D1851" s="295" t="s">
        <v>352</v>
      </c>
      <c r="E1851" s="296">
        <v>7.7099999999999998E-3</v>
      </c>
    </row>
    <row r="1852" spans="1:5" x14ac:dyDescent="0.3">
      <c r="A1852" s="295">
        <v>2021</v>
      </c>
      <c r="B1852" s="295">
        <v>11</v>
      </c>
      <c r="C1852" s="295" t="s">
        <v>352</v>
      </c>
      <c r="D1852" s="295" t="s">
        <v>1</v>
      </c>
      <c r="E1852" s="296">
        <v>0.13813</v>
      </c>
    </row>
    <row r="1853" spans="1:5" x14ac:dyDescent="0.3">
      <c r="A1853" s="295">
        <v>2021</v>
      </c>
      <c r="B1853" s="295">
        <v>11</v>
      </c>
      <c r="C1853" s="295" t="s">
        <v>352</v>
      </c>
      <c r="D1853" s="295" t="s">
        <v>2</v>
      </c>
      <c r="E1853" s="296">
        <v>0.15695999999999999</v>
      </c>
    </row>
    <row r="1854" spans="1:5" x14ac:dyDescent="0.3">
      <c r="A1854" s="295">
        <v>2021</v>
      </c>
      <c r="B1854" s="295">
        <v>11</v>
      </c>
      <c r="C1854" s="295" t="s">
        <v>352</v>
      </c>
      <c r="D1854" s="295" t="s">
        <v>259</v>
      </c>
      <c r="E1854" s="296">
        <v>0.11765</v>
      </c>
    </row>
    <row r="1855" spans="1:5" x14ac:dyDescent="0.3">
      <c r="A1855" s="295">
        <v>2021</v>
      </c>
      <c r="B1855" s="295">
        <v>11</v>
      </c>
      <c r="C1855" s="295" t="s">
        <v>352</v>
      </c>
      <c r="D1855" s="295" t="s">
        <v>85</v>
      </c>
      <c r="E1855" s="296">
        <v>0.88075000000000003</v>
      </c>
    </row>
    <row r="1856" spans="1:5" x14ac:dyDescent="0.3">
      <c r="A1856" s="295">
        <v>2021</v>
      </c>
      <c r="B1856" s="295">
        <v>11</v>
      </c>
      <c r="C1856" s="295" t="s">
        <v>352</v>
      </c>
      <c r="D1856" s="295" t="s">
        <v>101</v>
      </c>
      <c r="E1856" s="296">
        <v>3.38503</v>
      </c>
    </row>
    <row r="1857" spans="1:5" x14ac:dyDescent="0.3">
      <c r="A1857" s="295">
        <v>2021</v>
      </c>
      <c r="B1857" s="295">
        <v>11</v>
      </c>
      <c r="C1857" s="295" t="s">
        <v>352</v>
      </c>
      <c r="D1857" s="295" t="s">
        <v>179</v>
      </c>
      <c r="E1857" s="296">
        <v>129.75744</v>
      </c>
    </row>
    <row r="1858" spans="1:5" x14ac:dyDescent="0.3">
      <c r="A1858" s="295">
        <v>2021</v>
      </c>
      <c r="B1858" s="295">
        <v>11</v>
      </c>
      <c r="C1858" s="295" t="s">
        <v>1</v>
      </c>
      <c r="D1858" s="295" t="s">
        <v>1</v>
      </c>
      <c r="E1858" s="296">
        <v>1</v>
      </c>
    </row>
    <row r="1859" spans="1:5" x14ac:dyDescent="0.3">
      <c r="A1859" s="295">
        <v>2021</v>
      </c>
      <c r="B1859" s="295">
        <v>11</v>
      </c>
      <c r="C1859" s="295" t="s">
        <v>2</v>
      </c>
      <c r="D1859" s="295" t="s">
        <v>2</v>
      </c>
      <c r="E1859" s="296">
        <v>1</v>
      </c>
    </row>
    <row r="1860" spans="1:5" x14ac:dyDescent="0.3">
      <c r="A1860" s="295">
        <v>2021</v>
      </c>
      <c r="B1860" s="295">
        <v>11</v>
      </c>
      <c r="C1860" s="295" t="s">
        <v>259</v>
      </c>
      <c r="D1860" s="295" t="s">
        <v>259</v>
      </c>
      <c r="E1860" s="296">
        <v>1</v>
      </c>
    </row>
    <row r="1861" spans="1:5" x14ac:dyDescent="0.3">
      <c r="A1861" s="295">
        <v>2021</v>
      </c>
      <c r="B1861" s="295">
        <v>11</v>
      </c>
      <c r="C1861" s="295" t="s">
        <v>85</v>
      </c>
      <c r="D1861" s="295" t="s">
        <v>85</v>
      </c>
      <c r="E1861" s="296">
        <v>1</v>
      </c>
    </row>
    <row r="1862" spans="1:5" x14ac:dyDescent="0.3">
      <c r="A1862" s="295">
        <v>2021</v>
      </c>
      <c r="B1862" s="295">
        <v>11</v>
      </c>
      <c r="C1862" s="295" t="s">
        <v>101</v>
      </c>
      <c r="D1862" s="295" t="s">
        <v>101</v>
      </c>
      <c r="E1862" s="296">
        <v>1</v>
      </c>
    </row>
    <row r="1863" spans="1:5" x14ac:dyDescent="0.3">
      <c r="A1863" s="295">
        <v>2021</v>
      </c>
      <c r="B1863" s="295">
        <v>11</v>
      </c>
      <c r="C1863" s="295" t="s">
        <v>179</v>
      </c>
      <c r="D1863" s="295" t="s">
        <v>179</v>
      </c>
      <c r="E1863" s="296">
        <v>1</v>
      </c>
    </row>
    <row r="1864" spans="1:5" x14ac:dyDescent="0.3">
      <c r="A1864" s="295">
        <v>2021</v>
      </c>
      <c r="B1864" s="295">
        <v>11</v>
      </c>
      <c r="C1864" s="295" t="s">
        <v>352</v>
      </c>
      <c r="D1864" s="295" t="s">
        <v>352</v>
      </c>
      <c r="E1864" s="296">
        <v>1</v>
      </c>
    </row>
    <row r="1865" spans="1:5" x14ac:dyDescent="0.3">
      <c r="A1865" s="295">
        <v>2021</v>
      </c>
      <c r="B1865" s="295">
        <v>12</v>
      </c>
      <c r="C1865" s="295" t="s">
        <v>1</v>
      </c>
      <c r="D1865" s="295" t="s">
        <v>2</v>
      </c>
      <c r="E1865" s="296">
        <v>1.1326000000000001</v>
      </c>
    </row>
    <row r="1866" spans="1:5" x14ac:dyDescent="0.3">
      <c r="A1866" s="295">
        <v>2021</v>
      </c>
      <c r="B1866" s="295">
        <v>12</v>
      </c>
      <c r="C1866" s="295" t="s">
        <v>1</v>
      </c>
      <c r="D1866" s="295" t="s">
        <v>259</v>
      </c>
      <c r="E1866" s="296">
        <v>0.84028000000000003</v>
      </c>
    </row>
    <row r="1867" spans="1:5" x14ac:dyDescent="0.3">
      <c r="A1867" s="295">
        <v>2021</v>
      </c>
      <c r="B1867" s="295">
        <v>12</v>
      </c>
      <c r="C1867" s="295" t="s">
        <v>1</v>
      </c>
      <c r="D1867" s="295" t="s">
        <v>85</v>
      </c>
      <c r="E1867" s="296">
        <v>6.3101000000000003</v>
      </c>
    </row>
    <row r="1868" spans="1:5" x14ac:dyDescent="0.3">
      <c r="A1868" s="295">
        <v>2021</v>
      </c>
      <c r="B1868" s="295">
        <v>12</v>
      </c>
      <c r="C1868" s="295" t="s">
        <v>1</v>
      </c>
      <c r="D1868" s="295" t="s">
        <v>101</v>
      </c>
      <c r="E1868" s="296">
        <v>23.143799999999999</v>
      </c>
    </row>
    <row r="1869" spans="1:5" x14ac:dyDescent="0.3">
      <c r="A1869" s="295">
        <v>2021</v>
      </c>
      <c r="B1869" s="295">
        <v>12</v>
      </c>
      <c r="C1869" s="295" t="s">
        <v>1</v>
      </c>
      <c r="D1869" s="295" t="s">
        <v>179</v>
      </c>
      <c r="E1869" s="296">
        <v>963.95600000000002</v>
      </c>
    </row>
    <row r="1870" spans="1:5" x14ac:dyDescent="0.3">
      <c r="A1870" s="295">
        <v>2021</v>
      </c>
      <c r="B1870" s="295">
        <v>12</v>
      </c>
      <c r="C1870" s="295" t="s">
        <v>1</v>
      </c>
      <c r="D1870" s="295" t="s">
        <v>352</v>
      </c>
      <c r="E1870" s="296">
        <v>7.1947000000000001</v>
      </c>
    </row>
    <row r="1871" spans="1:5" x14ac:dyDescent="0.3">
      <c r="A1871" s="295">
        <v>2021</v>
      </c>
      <c r="B1871" s="295">
        <v>12</v>
      </c>
      <c r="C1871" s="295" t="s">
        <v>2</v>
      </c>
      <c r="D1871" s="295" t="s">
        <v>1</v>
      </c>
      <c r="E1871" s="296">
        <v>0.88292000000000004</v>
      </c>
    </row>
    <row r="1872" spans="1:5" x14ac:dyDescent="0.3">
      <c r="A1872" s="295">
        <v>2021</v>
      </c>
      <c r="B1872" s="295">
        <v>12</v>
      </c>
      <c r="C1872" s="295" t="s">
        <v>2</v>
      </c>
      <c r="D1872" s="295" t="s">
        <v>259</v>
      </c>
      <c r="E1872" s="296">
        <v>0.7419</v>
      </c>
    </row>
    <row r="1873" spans="1:5" x14ac:dyDescent="0.3">
      <c r="A1873" s="295">
        <v>2021</v>
      </c>
      <c r="B1873" s="295">
        <v>12</v>
      </c>
      <c r="C1873" s="295" t="s">
        <v>2</v>
      </c>
      <c r="D1873" s="295" t="s">
        <v>85</v>
      </c>
      <c r="E1873" s="296">
        <v>5.5713400000000002</v>
      </c>
    </row>
    <row r="1874" spans="1:5" x14ac:dyDescent="0.3">
      <c r="A1874" s="295">
        <v>2021</v>
      </c>
      <c r="B1874" s="295">
        <v>12</v>
      </c>
      <c r="C1874" s="295" t="s">
        <v>2</v>
      </c>
      <c r="D1874" s="295" t="s">
        <v>101</v>
      </c>
      <c r="E1874" s="296">
        <v>20.43422</v>
      </c>
    </row>
    <row r="1875" spans="1:5" x14ac:dyDescent="0.3">
      <c r="A1875" s="295">
        <v>2021</v>
      </c>
      <c r="B1875" s="295">
        <v>12</v>
      </c>
      <c r="C1875" s="295" t="s">
        <v>2</v>
      </c>
      <c r="D1875" s="295" t="s">
        <v>179</v>
      </c>
      <c r="E1875" s="296">
        <v>851.10011999999995</v>
      </c>
    </row>
    <row r="1876" spans="1:5" x14ac:dyDescent="0.3">
      <c r="A1876" s="295">
        <v>2021</v>
      </c>
      <c r="B1876" s="295">
        <v>12</v>
      </c>
      <c r="C1876" s="295" t="s">
        <v>2</v>
      </c>
      <c r="D1876" s="295" t="s">
        <v>352</v>
      </c>
      <c r="E1876" s="296">
        <v>6.3523800000000001</v>
      </c>
    </row>
    <row r="1877" spans="1:5" x14ac:dyDescent="0.3">
      <c r="A1877" s="295">
        <v>2021</v>
      </c>
      <c r="B1877" s="295">
        <v>12</v>
      </c>
      <c r="C1877" s="295" t="s">
        <v>259</v>
      </c>
      <c r="D1877" s="295" t="s">
        <v>1</v>
      </c>
      <c r="E1877" s="296">
        <v>1.19008</v>
      </c>
    </row>
    <row r="1878" spans="1:5" x14ac:dyDescent="0.3">
      <c r="A1878" s="295">
        <v>2021</v>
      </c>
      <c r="B1878" s="295">
        <v>12</v>
      </c>
      <c r="C1878" s="295" t="s">
        <v>259</v>
      </c>
      <c r="D1878" s="295" t="s">
        <v>2</v>
      </c>
      <c r="E1878" s="296">
        <v>1.34788</v>
      </c>
    </row>
    <row r="1879" spans="1:5" x14ac:dyDescent="0.3">
      <c r="A1879" s="295">
        <v>2021</v>
      </c>
      <c r="B1879" s="295">
        <v>12</v>
      </c>
      <c r="C1879" s="295" t="s">
        <v>259</v>
      </c>
      <c r="D1879" s="295" t="s">
        <v>85</v>
      </c>
      <c r="E1879" s="296">
        <v>7.5095200000000002</v>
      </c>
    </row>
    <row r="1880" spans="1:5" x14ac:dyDescent="0.3">
      <c r="A1880" s="295">
        <v>2021</v>
      </c>
      <c r="B1880" s="295">
        <v>12</v>
      </c>
      <c r="C1880" s="295" t="s">
        <v>259</v>
      </c>
      <c r="D1880" s="295" t="s">
        <v>101</v>
      </c>
      <c r="E1880" s="296">
        <v>27.542960000000001</v>
      </c>
    </row>
    <row r="1881" spans="1:5" x14ac:dyDescent="0.3">
      <c r="A1881" s="295">
        <v>2021</v>
      </c>
      <c r="B1881" s="295">
        <v>12</v>
      </c>
      <c r="C1881" s="295" t="s">
        <v>259</v>
      </c>
      <c r="D1881" s="295" t="s">
        <v>179</v>
      </c>
      <c r="E1881" s="296">
        <v>1147.18427</v>
      </c>
    </row>
    <row r="1882" spans="1:5" x14ac:dyDescent="0.3">
      <c r="A1882" s="295">
        <v>2021</v>
      </c>
      <c r="B1882" s="295">
        <v>12</v>
      </c>
      <c r="C1882" s="295" t="s">
        <v>259</v>
      </c>
      <c r="D1882" s="295" t="s">
        <v>352</v>
      </c>
      <c r="E1882" s="296">
        <v>8.5622600000000002</v>
      </c>
    </row>
    <row r="1883" spans="1:5" x14ac:dyDescent="0.3">
      <c r="A1883" s="295">
        <v>2021</v>
      </c>
      <c r="B1883" s="295">
        <v>12</v>
      </c>
      <c r="C1883" s="295" t="s">
        <v>85</v>
      </c>
      <c r="D1883" s="295" t="s">
        <v>1</v>
      </c>
      <c r="E1883" s="296">
        <v>0.15848000000000001</v>
      </c>
    </row>
    <row r="1884" spans="1:5" x14ac:dyDescent="0.3">
      <c r="A1884" s="295">
        <v>2021</v>
      </c>
      <c r="B1884" s="295">
        <v>12</v>
      </c>
      <c r="C1884" s="295" t="s">
        <v>85</v>
      </c>
      <c r="D1884" s="295" t="s">
        <v>2</v>
      </c>
      <c r="E1884" s="296">
        <v>0.17949000000000001</v>
      </c>
    </row>
    <row r="1885" spans="1:5" x14ac:dyDescent="0.3">
      <c r="A1885" s="295">
        <v>2021</v>
      </c>
      <c r="B1885" s="295">
        <v>12</v>
      </c>
      <c r="C1885" s="295" t="s">
        <v>85</v>
      </c>
      <c r="D1885" s="295" t="s">
        <v>259</v>
      </c>
      <c r="E1885" s="296">
        <v>0.13316</v>
      </c>
    </row>
    <row r="1886" spans="1:5" x14ac:dyDescent="0.3">
      <c r="A1886" s="295">
        <v>2021</v>
      </c>
      <c r="B1886" s="295">
        <v>12</v>
      </c>
      <c r="C1886" s="295" t="s">
        <v>85</v>
      </c>
      <c r="D1886" s="295" t="s">
        <v>101</v>
      </c>
      <c r="E1886" s="296">
        <v>3.6677399999999998</v>
      </c>
    </row>
    <row r="1887" spans="1:5" x14ac:dyDescent="0.3">
      <c r="A1887" s="295">
        <v>2021</v>
      </c>
      <c r="B1887" s="295">
        <v>12</v>
      </c>
      <c r="C1887" s="295" t="s">
        <v>85</v>
      </c>
      <c r="D1887" s="295" t="s">
        <v>179</v>
      </c>
      <c r="E1887" s="296">
        <v>152.76398</v>
      </c>
    </row>
    <row r="1888" spans="1:5" x14ac:dyDescent="0.3">
      <c r="A1888" s="295">
        <v>2021</v>
      </c>
      <c r="B1888" s="295">
        <v>12</v>
      </c>
      <c r="C1888" s="295" t="s">
        <v>85</v>
      </c>
      <c r="D1888" s="295" t="s">
        <v>352</v>
      </c>
      <c r="E1888" s="296">
        <v>1.14019</v>
      </c>
    </row>
    <row r="1889" spans="1:5" x14ac:dyDescent="0.3">
      <c r="A1889" s="295">
        <v>2021</v>
      </c>
      <c r="B1889" s="295">
        <v>12</v>
      </c>
      <c r="C1889" s="295" t="s">
        <v>101</v>
      </c>
      <c r="D1889" s="295" t="s">
        <v>1</v>
      </c>
      <c r="E1889" s="296">
        <v>4.3209999999999998E-2</v>
      </c>
    </row>
    <row r="1890" spans="1:5" x14ac:dyDescent="0.3">
      <c r="A1890" s="295">
        <v>2021</v>
      </c>
      <c r="B1890" s="295">
        <v>12</v>
      </c>
      <c r="C1890" s="295" t="s">
        <v>101</v>
      </c>
      <c r="D1890" s="295" t="s">
        <v>2</v>
      </c>
      <c r="E1890" s="296">
        <v>4.8939999999999997E-2</v>
      </c>
    </row>
    <row r="1891" spans="1:5" x14ac:dyDescent="0.3">
      <c r="A1891" s="295">
        <v>2021</v>
      </c>
      <c r="B1891" s="295">
        <v>12</v>
      </c>
      <c r="C1891" s="295" t="s">
        <v>101</v>
      </c>
      <c r="D1891" s="295" t="s">
        <v>259</v>
      </c>
      <c r="E1891" s="296">
        <v>3.6310000000000002E-2</v>
      </c>
    </row>
    <row r="1892" spans="1:5" x14ac:dyDescent="0.3">
      <c r="A1892" s="295">
        <v>2021</v>
      </c>
      <c r="B1892" s="295">
        <v>12</v>
      </c>
      <c r="C1892" s="295" t="s">
        <v>101</v>
      </c>
      <c r="D1892" s="295" t="s">
        <v>85</v>
      </c>
      <c r="E1892" s="296">
        <v>0.27265</v>
      </c>
    </row>
    <row r="1893" spans="1:5" x14ac:dyDescent="0.3">
      <c r="A1893" s="295">
        <v>2021</v>
      </c>
      <c r="B1893" s="295">
        <v>12</v>
      </c>
      <c r="C1893" s="295" t="s">
        <v>101</v>
      </c>
      <c r="D1893" s="295" t="s">
        <v>179</v>
      </c>
      <c r="E1893" s="296">
        <v>41.65072</v>
      </c>
    </row>
    <row r="1894" spans="1:5" x14ac:dyDescent="0.3">
      <c r="A1894" s="295">
        <v>2021</v>
      </c>
      <c r="B1894" s="295">
        <v>12</v>
      </c>
      <c r="C1894" s="295" t="s">
        <v>101</v>
      </c>
      <c r="D1894" s="295" t="s">
        <v>352</v>
      </c>
      <c r="E1894" s="296">
        <v>0.31086999999999998</v>
      </c>
    </row>
    <row r="1895" spans="1:5" x14ac:dyDescent="0.3">
      <c r="A1895" s="295">
        <v>2021</v>
      </c>
      <c r="B1895" s="295">
        <v>12</v>
      </c>
      <c r="C1895" s="295" t="s">
        <v>179</v>
      </c>
      <c r="D1895" s="295" t="s">
        <v>1</v>
      </c>
      <c r="E1895" s="296">
        <v>1.0399999999999999E-3</v>
      </c>
    </row>
    <row r="1896" spans="1:5" x14ac:dyDescent="0.3">
      <c r="A1896" s="295">
        <v>2021</v>
      </c>
      <c r="B1896" s="295">
        <v>12</v>
      </c>
      <c r="C1896" s="295" t="s">
        <v>179</v>
      </c>
      <c r="D1896" s="295" t="s">
        <v>2</v>
      </c>
      <c r="E1896" s="296">
        <v>1.17E-3</v>
      </c>
    </row>
    <row r="1897" spans="1:5" x14ac:dyDescent="0.3">
      <c r="A1897" s="295">
        <v>2021</v>
      </c>
      <c r="B1897" s="295">
        <v>12</v>
      </c>
      <c r="C1897" s="295" t="s">
        <v>179</v>
      </c>
      <c r="D1897" s="295" t="s">
        <v>259</v>
      </c>
      <c r="E1897" s="296">
        <v>8.7000000000000001E-4</v>
      </c>
    </row>
    <row r="1898" spans="1:5" x14ac:dyDescent="0.3">
      <c r="A1898" s="295">
        <v>2021</v>
      </c>
      <c r="B1898" s="295">
        <v>12</v>
      </c>
      <c r="C1898" s="295" t="s">
        <v>179</v>
      </c>
      <c r="D1898" s="295" t="s">
        <v>85</v>
      </c>
      <c r="E1898" s="296">
        <v>6.5500000000000003E-3</v>
      </c>
    </row>
    <row r="1899" spans="1:5" x14ac:dyDescent="0.3">
      <c r="A1899" s="295">
        <v>2021</v>
      </c>
      <c r="B1899" s="295">
        <v>12</v>
      </c>
      <c r="C1899" s="295" t="s">
        <v>179</v>
      </c>
      <c r="D1899" s="295" t="s">
        <v>101</v>
      </c>
      <c r="E1899" s="296">
        <v>2.401E-2</v>
      </c>
    </row>
    <row r="1900" spans="1:5" x14ac:dyDescent="0.3">
      <c r="A1900" s="295">
        <v>2021</v>
      </c>
      <c r="B1900" s="295">
        <v>12</v>
      </c>
      <c r="C1900" s="295" t="s">
        <v>179</v>
      </c>
      <c r="D1900" s="295" t="s">
        <v>352</v>
      </c>
      <c r="E1900" s="296">
        <v>7.4599999999999996E-3</v>
      </c>
    </row>
    <row r="1901" spans="1:5" x14ac:dyDescent="0.3">
      <c r="A1901" s="295">
        <v>2021</v>
      </c>
      <c r="B1901" s="295">
        <v>12</v>
      </c>
      <c r="C1901" s="295" t="s">
        <v>352</v>
      </c>
      <c r="D1901" s="295" t="s">
        <v>1</v>
      </c>
      <c r="E1901" s="296">
        <v>0.13899</v>
      </c>
    </row>
    <row r="1902" spans="1:5" x14ac:dyDescent="0.3">
      <c r="A1902" s="295">
        <v>2021</v>
      </c>
      <c r="B1902" s="295">
        <v>12</v>
      </c>
      <c r="C1902" s="295" t="s">
        <v>352</v>
      </c>
      <c r="D1902" s="295" t="s">
        <v>2</v>
      </c>
      <c r="E1902" s="296">
        <v>0.15742</v>
      </c>
    </row>
    <row r="1903" spans="1:5" x14ac:dyDescent="0.3">
      <c r="A1903" s="295">
        <v>2021</v>
      </c>
      <c r="B1903" s="295">
        <v>12</v>
      </c>
      <c r="C1903" s="295" t="s">
        <v>352</v>
      </c>
      <c r="D1903" s="295" t="s">
        <v>259</v>
      </c>
      <c r="E1903" s="296">
        <v>0.11679</v>
      </c>
    </row>
    <row r="1904" spans="1:5" x14ac:dyDescent="0.3">
      <c r="A1904" s="295">
        <v>2021</v>
      </c>
      <c r="B1904" s="295">
        <v>12</v>
      </c>
      <c r="C1904" s="295" t="s">
        <v>352</v>
      </c>
      <c r="D1904" s="295" t="s">
        <v>85</v>
      </c>
      <c r="E1904" s="296">
        <v>0.87705</v>
      </c>
    </row>
    <row r="1905" spans="1:5" x14ac:dyDescent="0.3">
      <c r="A1905" s="295">
        <v>2021</v>
      </c>
      <c r="B1905" s="295">
        <v>12</v>
      </c>
      <c r="C1905" s="295" t="s">
        <v>352</v>
      </c>
      <c r="D1905" s="295" t="s">
        <v>101</v>
      </c>
      <c r="E1905" s="296">
        <v>3.21678</v>
      </c>
    </row>
    <row r="1906" spans="1:5" x14ac:dyDescent="0.3">
      <c r="A1906" s="295">
        <v>2021</v>
      </c>
      <c r="B1906" s="295">
        <v>12</v>
      </c>
      <c r="C1906" s="295" t="s">
        <v>352</v>
      </c>
      <c r="D1906" s="295" t="s">
        <v>179</v>
      </c>
      <c r="E1906" s="296">
        <v>133.98140000000001</v>
      </c>
    </row>
    <row r="1907" spans="1:5" x14ac:dyDescent="0.3">
      <c r="A1907" s="295">
        <v>2021</v>
      </c>
      <c r="B1907" s="295">
        <v>12</v>
      </c>
      <c r="C1907" s="295" t="s">
        <v>1</v>
      </c>
      <c r="D1907" s="295" t="s">
        <v>1</v>
      </c>
      <c r="E1907" s="296">
        <v>1</v>
      </c>
    </row>
    <row r="1908" spans="1:5" x14ac:dyDescent="0.3">
      <c r="A1908" s="295">
        <v>2021</v>
      </c>
      <c r="B1908" s="295">
        <v>12</v>
      </c>
      <c r="C1908" s="295" t="s">
        <v>2</v>
      </c>
      <c r="D1908" s="295" t="s">
        <v>2</v>
      </c>
      <c r="E1908" s="296">
        <v>1</v>
      </c>
    </row>
    <row r="1909" spans="1:5" x14ac:dyDescent="0.3">
      <c r="A1909" s="295">
        <v>2021</v>
      </c>
      <c r="B1909" s="295">
        <v>12</v>
      </c>
      <c r="C1909" s="295" t="s">
        <v>259</v>
      </c>
      <c r="D1909" s="295" t="s">
        <v>259</v>
      </c>
      <c r="E1909" s="296">
        <v>1</v>
      </c>
    </row>
    <row r="1910" spans="1:5" x14ac:dyDescent="0.3">
      <c r="A1910" s="295">
        <v>2021</v>
      </c>
      <c r="B1910" s="295">
        <v>12</v>
      </c>
      <c r="C1910" s="295" t="s">
        <v>85</v>
      </c>
      <c r="D1910" s="295" t="s">
        <v>85</v>
      </c>
      <c r="E1910" s="296">
        <v>1</v>
      </c>
    </row>
    <row r="1911" spans="1:5" x14ac:dyDescent="0.3">
      <c r="A1911" s="295">
        <v>2021</v>
      </c>
      <c r="B1911" s="295">
        <v>12</v>
      </c>
      <c r="C1911" s="295" t="s">
        <v>101</v>
      </c>
      <c r="D1911" s="295" t="s">
        <v>101</v>
      </c>
      <c r="E1911" s="296">
        <v>1</v>
      </c>
    </row>
    <row r="1912" spans="1:5" x14ac:dyDescent="0.3">
      <c r="A1912" s="295">
        <v>2021</v>
      </c>
      <c r="B1912" s="295">
        <v>12</v>
      </c>
      <c r="C1912" s="295" t="s">
        <v>179</v>
      </c>
      <c r="D1912" s="295" t="s">
        <v>179</v>
      </c>
      <c r="E1912" s="296">
        <v>1</v>
      </c>
    </row>
    <row r="1913" spans="1:5" x14ac:dyDescent="0.3">
      <c r="A1913" s="295">
        <v>2021</v>
      </c>
      <c r="B1913" s="295">
        <v>12</v>
      </c>
      <c r="C1913" s="295" t="s">
        <v>352</v>
      </c>
      <c r="D1913" s="295" t="s">
        <v>352</v>
      </c>
      <c r="E1913" s="296">
        <v>1</v>
      </c>
    </row>
    <row r="1914" spans="1:5" x14ac:dyDescent="0.3">
      <c r="A1914" s="295">
        <v>2022</v>
      </c>
      <c r="B1914" s="295">
        <v>1</v>
      </c>
      <c r="C1914" s="295" t="s">
        <v>1</v>
      </c>
      <c r="D1914" s="295" t="s">
        <v>2</v>
      </c>
      <c r="E1914" s="296">
        <v>1.1155999999999999</v>
      </c>
    </row>
    <row r="1915" spans="1:5" x14ac:dyDescent="0.3">
      <c r="A1915" s="295">
        <v>2022</v>
      </c>
      <c r="B1915" s="295">
        <v>1</v>
      </c>
      <c r="C1915" s="295" t="s">
        <v>1</v>
      </c>
      <c r="D1915" s="295" t="s">
        <v>259</v>
      </c>
      <c r="E1915" s="296">
        <v>0.83152999999999999</v>
      </c>
    </row>
    <row r="1916" spans="1:5" x14ac:dyDescent="0.3">
      <c r="A1916" s="295">
        <v>2022</v>
      </c>
      <c r="B1916" s="295">
        <v>1</v>
      </c>
      <c r="C1916" s="295" t="s">
        <v>1</v>
      </c>
      <c r="D1916" s="295" t="s">
        <v>85</v>
      </c>
      <c r="E1916" s="296">
        <v>6.0030000000000001</v>
      </c>
    </row>
    <row r="1917" spans="1:5" x14ac:dyDescent="0.3">
      <c r="A1917" s="295">
        <v>2022</v>
      </c>
      <c r="B1917" s="295">
        <v>1</v>
      </c>
      <c r="C1917" s="295" t="s">
        <v>1</v>
      </c>
      <c r="D1917" s="295" t="s">
        <v>101</v>
      </c>
      <c r="E1917" s="296">
        <v>23.185600000000001</v>
      </c>
    </row>
    <row r="1918" spans="1:5" x14ac:dyDescent="0.3">
      <c r="A1918" s="295">
        <v>2022</v>
      </c>
      <c r="B1918" s="295">
        <v>1</v>
      </c>
      <c r="C1918" s="295" t="s">
        <v>1</v>
      </c>
      <c r="D1918" s="295" t="s">
        <v>179</v>
      </c>
      <c r="E1918" s="296">
        <v>892.36800000000005</v>
      </c>
    </row>
    <row r="1919" spans="1:5" x14ac:dyDescent="0.3">
      <c r="A1919" s="295">
        <v>2022</v>
      </c>
      <c r="B1919" s="295">
        <v>1</v>
      </c>
      <c r="C1919" s="295" t="s">
        <v>1</v>
      </c>
      <c r="D1919" s="295" t="s">
        <v>352</v>
      </c>
      <c r="E1919" s="296">
        <v>7.0963000000000003</v>
      </c>
    </row>
    <row r="1920" spans="1:5" x14ac:dyDescent="0.3">
      <c r="A1920" s="295">
        <v>2022</v>
      </c>
      <c r="B1920" s="295">
        <v>1</v>
      </c>
      <c r="C1920" s="295" t="s">
        <v>2</v>
      </c>
      <c r="D1920" s="295" t="s">
        <v>1</v>
      </c>
      <c r="E1920" s="296">
        <v>0.89637999999999995</v>
      </c>
    </row>
    <row r="1921" spans="1:5" x14ac:dyDescent="0.3">
      <c r="A1921" s="295">
        <v>2022</v>
      </c>
      <c r="B1921" s="295">
        <v>1</v>
      </c>
      <c r="C1921" s="295" t="s">
        <v>2</v>
      </c>
      <c r="D1921" s="295" t="s">
        <v>259</v>
      </c>
      <c r="E1921" s="296">
        <v>0.74536999999999998</v>
      </c>
    </row>
    <row r="1922" spans="1:5" x14ac:dyDescent="0.3">
      <c r="A1922" s="295">
        <v>2022</v>
      </c>
      <c r="B1922" s="295">
        <v>1</v>
      </c>
      <c r="C1922" s="295" t="s">
        <v>2</v>
      </c>
      <c r="D1922" s="295" t="s">
        <v>85</v>
      </c>
      <c r="E1922" s="296">
        <v>5.38096</v>
      </c>
    </row>
    <row r="1923" spans="1:5" x14ac:dyDescent="0.3">
      <c r="A1923" s="295">
        <v>2022</v>
      </c>
      <c r="B1923" s="295">
        <v>1</v>
      </c>
      <c r="C1923" s="295" t="s">
        <v>2</v>
      </c>
      <c r="D1923" s="295" t="s">
        <v>101</v>
      </c>
      <c r="E1923" s="296">
        <v>20.783080000000002</v>
      </c>
    </row>
    <row r="1924" spans="1:5" x14ac:dyDescent="0.3">
      <c r="A1924" s="295">
        <v>2022</v>
      </c>
      <c r="B1924" s="295">
        <v>1</v>
      </c>
      <c r="C1924" s="295" t="s">
        <v>2</v>
      </c>
      <c r="D1924" s="295" t="s">
        <v>179</v>
      </c>
      <c r="E1924" s="296">
        <v>799.89961000000005</v>
      </c>
    </row>
    <row r="1925" spans="1:5" x14ac:dyDescent="0.3">
      <c r="A1925" s="295">
        <v>2022</v>
      </c>
      <c r="B1925" s="295">
        <v>1</v>
      </c>
      <c r="C1925" s="295" t="s">
        <v>2</v>
      </c>
      <c r="D1925" s="295" t="s">
        <v>352</v>
      </c>
      <c r="E1925" s="296">
        <v>6.36097</v>
      </c>
    </row>
    <row r="1926" spans="1:5" x14ac:dyDescent="0.3">
      <c r="A1926" s="295">
        <v>2022</v>
      </c>
      <c r="B1926" s="295">
        <v>1</v>
      </c>
      <c r="C1926" s="295" t="s">
        <v>259</v>
      </c>
      <c r="D1926" s="295" t="s">
        <v>1</v>
      </c>
      <c r="E1926" s="296">
        <v>1.2025999999999999</v>
      </c>
    </row>
    <row r="1927" spans="1:5" x14ac:dyDescent="0.3">
      <c r="A1927" s="295">
        <v>2022</v>
      </c>
      <c r="B1927" s="295">
        <v>1</v>
      </c>
      <c r="C1927" s="295" t="s">
        <v>259</v>
      </c>
      <c r="D1927" s="295" t="s">
        <v>2</v>
      </c>
      <c r="E1927" s="296">
        <v>1.34162</v>
      </c>
    </row>
    <row r="1928" spans="1:5" x14ac:dyDescent="0.3">
      <c r="A1928" s="295">
        <v>2022</v>
      </c>
      <c r="B1928" s="295">
        <v>1</v>
      </c>
      <c r="C1928" s="295" t="s">
        <v>259</v>
      </c>
      <c r="D1928" s="295" t="s">
        <v>85</v>
      </c>
      <c r="E1928" s="296">
        <v>7.21922</v>
      </c>
    </row>
    <row r="1929" spans="1:5" x14ac:dyDescent="0.3">
      <c r="A1929" s="295">
        <v>2022</v>
      </c>
      <c r="B1929" s="295">
        <v>1</v>
      </c>
      <c r="C1929" s="295" t="s">
        <v>259</v>
      </c>
      <c r="D1929" s="295" t="s">
        <v>101</v>
      </c>
      <c r="E1929" s="296">
        <v>27.88306</v>
      </c>
    </row>
    <row r="1930" spans="1:5" x14ac:dyDescent="0.3">
      <c r="A1930" s="295">
        <v>2022</v>
      </c>
      <c r="B1930" s="295">
        <v>1</v>
      </c>
      <c r="C1930" s="295" t="s">
        <v>259</v>
      </c>
      <c r="D1930" s="295" t="s">
        <v>179</v>
      </c>
      <c r="E1930" s="296">
        <v>1073.1639299999999</v>
      </c>
    </row>
    <row r="1931" spans="1:5" x14ac:dyDescent="0.3">
      <c r="A1931" s="295">
        <v>2022</v>
      </c>
      <c r="B1931" s="295">
        <v>1</v>
      </c>
      <c r="C1931" s="295" t="s">
        <v>259</v>
      </c>
      <c r="D1931" s="295" t="s">
        <v>352</v>
      </c>
      <c r="E1931" s="296">
        <v>8.5340299999999996</v>
      </c>
    </row>
    <row r="1932" spans="1:5" x14ac:dyDescent="0.3">
      <c r="A1932" s="295">
        <v>2022</v>
      </c>
      <c r="B1932" s="295">
        <v>1</v>
      </c>
      <c r="C1932" s="295" t="s">
        <v>85</v>
      </c>
      <c r="D1932" s="295" t="s">
        <v>1</v>
      </c>
      <c r="E1932" s="296">
        <v>0.16658000000000001</v>
      </c>
    </row>
    <row r="1933" spans="1:5" x14ac:dyDescent="0.3">
      <c r="A1933" s="295">
        <v>2022</v>
      </c>
      <c r="B1933" s="295">
        <v>1</v>
      </c>
      <c r="C1933" s="295" t="s">
        <v>85</v>
      </c>
      <c r="D1933" s="295" t="s">
        <v>2</v>
      </c>
      <c r="E1933" s="296">
        <v>0.18584000000000001</v>
      </c>
    </row>
    <row r="1934" spans="1:5" x14ac:dyDescent="0.3">
      <c r="A1934" s="295">
        <v>2022</v>
      </c>
      <c r="B1934" s="295">
        <v>1</v>
      </c>
      <c r="C1934" s="295" t="s">
        <v>85</v>
      </c>
      <c r="D1934" s="295" t="s">
        <v>259</v>
      </c>
      <c r="E1934" s="296">
        <v>0.13852</v>
      </c>
    </row>
    <row r="1935" spans="1:5" x14ac:dyDescent="0.3">
      <c r="A1935" s="295">
        <v>2022</v>
      </c>
      <c r="B1935" s="295">
        <v>1</v>
      </c>
      <c r="C1935" s="295" t="s">
        <v>85</v>
      </c>
      <c r="D1935" s="295" t="s">
        <v>101</v>
      </c>
      <c r="E1935" s="296">
        <v>3.8623400000000001</v>
      </c>
    </row>
    <row r="1936" spans="1:5" x14ac:dyDescent="0.3">
      <c r="A1936" s="295">
        <v>2022</v>
      </c>
      <c r="B1936" s="295">
        <v>1</v>
      </c>
      <c r="C1936" s="295" t="s">
        <v>85</v>
      </c>
      <c r="D1936" s="295" t="s">
        <v>179</v>
      </c>
      <c r="E1936" s="296">
        <v>148.65367000000001</v>
      </c>
    </row>
    <row r="1937" spans="1:5" x14ac:dyDescent="0.3">
      <c r="A1937" s="295">
        <v>2022</v>
      </c>
      <c r="B1937" s="295">
        <v>1</v>
      </c>
      <c r="C1937" s="295" t="s">
        <v>85</v>
      </c>
      <c r="D1937" s="295" t="s">
        <v>352</v>
      </c>
      <c r="E1937" s="296">
        <v>1.1821299999999999</v>
      </c>
    </row>
    <row r="1938" spans="1:5" x14ac:dyDescent="0.3">
      <c r="A1938" s="295">
        <v>2022</v>
      </c>
      <c r="B1938" s="295">
        <v>1</v>
      </c>
      <c r="C1938" s="295" t="s">
        <v>101</v>
      </c>
      <c r="D1938" s="295" t="s">
        <v>1</v>
      </c>
      <c r="E1938" s="296">
        <v>4.3130000000000002E-2</v>
      </c>
    </row>
    <row r="1939" spans="1:5" x14ac:dyDescent="0.3">
      <c r="A1939" s="295">
        <v>2022</v>
      </c>
      <c r="B1939" s="295">
        <v>1</v>
      </c>
      <c r="C1939" s="295" t="s">
        <v>101</v>
      </c>
      <c r="D1939" s="295" t="s">
        <v>2</v>
      </c>
      <c r="E1939" s="296">
        <v>4.8120000000000003E-2</v>
      </c>
    </row>
    <row r="1940" spans="1:5" x14ac:dyDescent="0.3">
      <c r="A1940" s="295">
        <v>2022</v>
      </c>
      <c r="B1940" s="295">
        <v>1</v>
      </c>
      <c r="C1940" s="295" t="s">
        <v>101</v>
      </c>
      <c r="D1940" s="295" t="s">
        <v>259</v>
      </c>
      <c r="E1940" s="296">
        <v>3.5860000000000003E-2</v>
      </c>
    </row>
    <row r="1941" spans="1:5" x14ac:dyDescent="0.3">
      <c r="A1941" s="295">
        <v>2022</v>
      </c>
      <c r="B1941" s="295">
        <v>1</v>
      </c>
      <c r="C1941" s="295" t="s">
        <v>101</v>
      </c>
      <c r="D1941" s="295" t="s">
        <v>85</v>
      </c>
      <c r="E1941" s="296">
        <v>0.25890999999999997</v>
      </c>
    </row>
    <row r="1942" spans="1:5" x14ac:dyDescent="0.3">
      <c r="A1942" s="295">
        <v>2022</v>
      </c>
      <c r="B1942" s="295">
        <v>1</v>
      </c>
      <c r="C1942" s="295" t="s">
        <v>101</v>
      </c>
      <c r="D1942" s="295" t="s">
        <v>179</v>
      </c>
      <c r="E1942" s="296">
        <v>38.488030000000002</v>
      </c>
    </row>
    <row r="1943" spans="1:5" x14ac:dyDescent="0.3">
      <c r="A1943" s="295">
        <v>2022</v>
      </c>
      <c r="B1943" s="295">
        <v>1</v>
      </c>
      <c r="C1943" s="295" t="s">
        <v>101</v>
      </c>
      <c r="D1943" s="295" t="s">
        <v>352</v>
      </c>
      <c r="E1943" s="296">
        <v>0.30606</v>
      </c>
    </row>
    <row r="1944" spans="1:5" x14ac:dyDescent="0.3">
      <c r="A1944" s="295">
        <v>2022</v>
      </c>
      <c r="B1944" s="295">
        <v>1</v>
      </c>
      <c r="C1944" s="295" t="s">
        <v>179</v>
      </c>
      <c r="D1944" s="295" t="s">
        <v>1</v>
      </c>
      <c r="E1944" s="296">
        <v>1.1199999999999999E-3</v>
      </c>
    </row>
    <row r="1945" spans="1:5" x14ac:dyDescent="0.3">
      <c r="A1945" s="295">
        <v>2022</v>
      </c>
      <c r="B1945" s="295">
        <v>1</v>
      </c>
      <c r="C1945" s="295" t="s">
        <v>179</v>
      </c>
      <c r="D1945" s="295" t="s">
        <v>2</v>
      </c>
      <c r="E1945" s="296">
        <v>1.25E-3</v>
      </c>
    </row>
    <row r="1946" spans="1:5" x14ac:dyDescent="0.3">
      <c r="A1946" s="295">
        <v>2022</v>
      </c>
      <c r="B1946" s="295">
        <v>1</v>
      </c>
      <c r="C1946" s="295" t="s">
        <v>179</v>
      </c>
      <c r="D1946" s="295" t="s">
        <v>259</v>
      </c>
      <c r="E1946" s="296">
        <v>9.3000000000000005E-4</v>
      </c>
    </row>
    <row r="1947" spans="1:5" x14ac:dyDescent="0.3">
      <c r="A1947" s="295">
        <v>2022</v>
      </c>
      <c r="B1947" s="295">
        <v>1</v>
      </c>
      <c r="C1947" s="295" t="s">
        <v>179</v>
      </c>
      <c r="D1947" s="295" t="s">
        <v>85</v>
      </c>
      <c r="E1947" s="296">
        <v>6.7299999999999999E-3</v>
      </c>
    </row>
    <row r="1948" spans="1:5" x14ac:dyDescent="0.3">
      <c r="A1948" s="295">
        <v>2022</v>
      </c>
      <c r="B1948" s="295">
        <v>1</v>
      </c>
      <c r="C1948" s="295" t="s">
        <v>179</v>
      </c>
      <c r="D1948" s="295" t="s">
        <v>101</v>
      </c>
      <c r="E1948" s="296">
        <v>2.598E-2</v>
      </c>
    </row>
    <row r="1949" spans="1:5" x14ac:dyDescent="0.3">
      <c r="A1949" s="295">
        <v>2022</v>
      </c>
      <c r="B1949" s="295">
        <v>1</v>
      </c>
      <c r="C1949" s="295" t="s">
        <v>179</v>
      </c>
      <c r="D1949" s="295" t="s">
        <v>352</v>
      </c>
      <c r="E1949" s="296">
        <v>7.9500000000000005E-3</v>
      </c>
    </row>
    <row r="1950" spans="1:5" x14ac:dyDescent="0.3">
      <c r="A1950" s="295">
        <v>2022</v>
      </c>
      <c r="B1950" s="295">
        <v>1</v>
      </c>
      <c r="C1950" s="295" t="s">
        <v>352</v>
      </c>
      <c r="D1950" s="295" t="s">
        <v>1</v>
      </c>
      <c r="E1950" s="296">
        <v>0.14091999999999999</v>
      </c>
    </row>
    <row r="1951" spans="1:5" x14ac:dyDescent="0.3">
      <c r="A1951" s="295">
        <v>2022</v>
      </c>
      <c r="B1951" s="295">
        <v>1</v>
      </c>
      <c r="C1951" s="295" t="s">
        <v>352</v>
      </c>
      <c r="D1951" s="295" t="s">
        <v>2</v>
      </c>
      <c r="E1951" s="296">
        <v>0.15720999999999999</v>
      </c>
    </row>
    <row r="1952" spans="1:5" x14ac:dyDescent="0.3">
      <c r="A1952" s="295">
        <v>2022</v>
      </c>
      <c r="B1952" s="295">
        <v>1</v>
      </c>
      <c r="C1952" s="295" t="s">
        <v>352</v>
      </c>
      <c r="D1952" s="295" t="s">
        <v>259</v>
      </c>
      <c r="E1952" s="296">
        <v>0.11718000000000001</v>
      </c>
    </row>
    <row r="1953" spans="1:5" x14ac:dyDescent="0.3">
      <c r="A1953" s="295">
        <v>2022</v>
      </c>
      <c r="B1953" s="295">
        <v>1</v>
      </c>
      <c r="C1953" s="295" t="s">
        <v>352</v>
      </c>
      <c r="D1953" s="295" t="s">
        <v>85</v>
      </c>
      <c r="E1953" s="296">
        <v>0.84592999999999996</v>
      </c>
    </row>
    <row r="1954" spans="1:5" x14ac:dyDescent="0.3">
      <c r="A1954" s="295">
        <v>2022</v>
      </c>
      <c r="B1954" s="295">
        <v>1</v>
      </c>
      <c r="C1954" s="295" t="s">
        <v>352</v>
      </c>
      <c r="D1954" s="295" t="s">
        <v>101</v>
      </c>
      <c r="E1954" s="296">
        <v>3.26728</v>
      </c>
    </row>
    <row r="1955" spans="1:5" x14ac:dyDescent="0.3">
      <c r="A1955" s="295">
        <v>2022</v>
      </c>
      <c r="B1955" s="295">
        <v>1</v>
      </c>
      <c r="C1955" s="295" t="s">
        <v>352</v>
      </c>
      <c r="D1955" s="295" t="s">
        <v>179</v>
      </c>
      <c r="E1955" s="296">
        <v>125.75117</v>
      </c>
    </row>
    <row r="1956" spans="1:5" x14ac:dyDescent="0.3">
      <c r="A1956" s="295">
        <v>2022</v>
      </c>
      <c r="B1956" s="295">
        <v>1</v>
      </c>
      <c r="C1956" s="295" t="s">
        <v>1</v>
      </c>
      <c r="D1956" s="295" t="s">
        <v>1</v>
      </c>
      <c r="E1956" s="296">
        <v>1</v>
      </c>
    </row>
    <row r="1957" spans="1:5" x14ac:dyDescent="0.3">
      <c r="A1957" s="295">
        <v>2022</v>
      </c>
      <c r="B1957" s="295">
        <v>1</v>
      </c>
      <c r="C1957" s="295" t="s">
        <v>2</v>
      </c>
      <c r="D1957" s="295" t="s">
        <v>2</v>
      </c>
      <c r="E1957" s="296">
        <v>1</v>
      </c>
    </row>
    <row r="1958" spans="1:5" x14ac:dyDescent="0.3">
      <c r="A1958" s="295">
        <v>2022</v>
      </c>
      <c r="B1958" s="295">
        <v>1</v>
      </c>
      <c r="C1958" s="295" t="s">
        <v>259</v>
      </c>
      <c r="D1958" s="295" t="s">
        <v>259</v>
      </c>
      <c r="E1958" s="296">
        <v>1</v>
      </c>
    </row>
    <row r="1959" spans="1:5" x14ac:dyDescent="0.3">
      <c r="A1959" s="295">
        <v>2022</v>
      </c>
      <c r="B1959" s="295">
        <v>1</v>
      </c>
      <c r="C1959" s="295" t="s">
        <v>85</v>
      </c>
      <c r="D1959" s="295" t="s">
        <v>85</v>
      </c>
      <c r="E1959" s="296">
        <v>1</v>
      </c>
    </row>
    <row r="1960" spans="1:5" x14ac:dyDescent="0.3">
      <c r="A1960" s="295">
        <v>2022</v>
      </c>
      <c r="B1960" s="295">
        <v>1</v>
      </c>
      <c r="C1960" s="295" t="s">
        <v>101</v>
      </c>
      <c r="D1960" s="295" t="s">
        <v>101</v>
      </c>
      <c r="E1960" s="296">
        <v>1</v>
      </c>
    </row>
    <row r="1961" spans="1:5" x14ac:dyDescent="0.3">
      <c r="A1961" s="295">
        <v>2022</v>
      </c>
      <c r="B1961" s="295">
        <v>1</v>
      </c>
      <c r="C1961" s="295" t="s">
        <v>179</v>
      </c>
      <c r="D1961" s="295" t="s">
        <v>179</v>
      </c>
      <c r="E1961" s="296">
        <v>1</v>
      </c>
    </row>
    <row r="1962" spans="1:5" x14ac:dyDescent="0.3">
      <c r="A1962" s="295">
        <v>2022</v>
      </c>
      <c r="B1962" s="295">
        <v>1</v>
      </c>
      <c r="C1962" s="295" t="s">
        <v>352</v>
      </c>
      <c r="D1962" s="295" t="s">
        <v>352</v>
      </c>
      <c r="E1962" s="296">
        <v>1</v>
      </c>
    </row>
    <row r="1963" spans="1:5" x14ac:dyDescent="0.3">
      <c r="A1963" s="295">
        <v>2022</v>
      </c>
      <c r="B1963" s="295">
        <v>2</v>
      </c>
      <c r="C1963" s="295" t="s">
        <v>1</v>
      </c>
      <c r="D1963" s="295" t="s">
        <v>2</v>
      </c>
      <c r="E1963" s="296">
        <v>1.1198999999999999</v>
      </c>
    </row>
    <row r="1964" spans="1:5" x14ac:dyDescent="0.3">
      <c r="A1964" s="295">
        <v>2022</v>
      </c>
      <c r="B1964" s="295">
        <v>2</v>
      </c>
      <c r="C1964" s="295" t="s">
        <v>1</v>
      </c>
      <c r="D1964" s="295" t="s">
        <v>259</v>
      </c>
      <c r="E1964" s="296">
        <v>0.83550000000000002</v>
      </c>
    </row>
    <row r="1965" spans="1:5" x14ac:dyDescent="0.3">
      <c r="A1965" s="295">
        <v>2022</v>
      </c>
      <c r="B1965" s="295">
        <v>2</v>
      </c>
      <c r="C1965" s="295" t="s">
        <v>1</v>
      </c>
      <c r="D1965" s="295" t="s">
        <v>85</v>
      </c>
      <c r="E1965" s="296">
        <v>5.7827999999999999</v>
      </c>
    </row>
    <row r="1966" spans="1:5" x14ac:dyDescent="0.3">
      <c r="A1966" s="295">
        <v>2022</v>
      </c>
      <c r="B1966" s="295">
        <v>2</v>
      </c>
      <c r="C1966" s="295" t="s">
        <v>1</v>
      </c>
      <c r="D1966" s="295" t="s">
        <v>101</v>
      </c>
      <c r="E1966" s="296">
        <v>22.9011</v>
      </c>
    </row>
    <row r="1967" spans="1:5" x14ac:dyDescent="0.3">
      <c r="A1967" s="295">
        <v>2022</v>
      </c>
      <c r="B1967" s="295">
        <v>2</v>
      </c>
      <c r="C1967" s="295" t="s">
        <v>1</v>
      </c>
      <c r="D1967" s="295" t="s">
        <v>179</v>
      </c>
      <c r="E1967" s="296">
        <v>893.68</v>
      </c>
    </row>
    <row r="1968" spans="1:5" x14ac:dyDescent="0.3">
      <c r="A1968" s="295">
        <v>2022</v>
      </c>
      <c r="B1968" s="295">
        <v>2</v>
      </c>
      <c r="C1968" s="295" t="s">
        <v>1</v>
      </c>
      <c r="D1968" s="295" t="s">
        <v>352</v>
      </c>
      <c r="E1968" s="296">
        <v>7.0670000000000002</v>
      </c>
    </row>
    <row r="1969" spans="1:5" x14ac:dyDescent="0.3">
      <c r="A1969" s="295">
        <v>2022</v>
      </c>
      <c r="B1969" s="295">
        <v>2</v>
      </c>
      <c r="C1969" s="295" t="s">
        <v>2</v>
      </c>
      <c r="D1969" s="295" t="s">
        <v>1</v>
      </c>
      <c r="E1969" s="296">
        <v>0.89293999999999996</v>
      </c>
    </row>
    <row r="1970" spans="1:5" x14ac:dyDescent="0.3">
      <c r="A1970" s="295">
        <v>2022</v>
      </c>
      <c r="B1970" s="295">
        <v>2</v>
      </c>
      <c r="C1970" s="295" t="s">
        <v>2</v>
      </c>
      <c r="D1970" s="295" t="s">
        <v>259</v>
      </c>
      <c r="E1970" s="296">
        <v>0.74604999999999999</v>
      </c>
    </row>
    <row r="1971" spans="1:5" x14ac:dyDescent="0.3">
      <c r="A1971" s="295">
        <v>2022</v>
      </c>
      <c r="B1971" s="295">
        <v>2</v>
      </c>
      <c r="C1971" s="295" t="s">
        <v>2</v>
      </c>
      <c r="D1971" s="295" t="s">
        <v>85</v>
      </c>
      <c r="E1971" s="296">
        <v>5.1636800000000003</v>
      </c>
    </row>
    <row r="1972" spans="1:5" x14ac:dyDescent="0.3">
      <c r="A1972" s="295">
        <v>2022</v>
      </c>
      <c r="B1972" s="295">
        <v>2</v>
      </c>
      <c r="C1972" s="295" t="s">
        <v>2</v>
      </c>
      <c r="D1972" s="295" t="s">
        <v>101</v>
      </c>
      <c r="E1972" s="296">
        <v>20.44924</v>
      </c>
    </row>
    <row r="1973" spans="1:5" x14ac:dyDescent="0.3">
      <c r="A1973" s="295">
        <v>2022</v>
      </c>
      <c r="B1973" s="295">
        <v>2</v>
      </c>
      <c r="C1973" s="295" t="s">
        <v>2</v>
      </c>
      <c r="D1973" s="295" t="s">
        <v>179</v>
      </c>
      <c r="E1973" s="296">
        <v>797.99982</v>
      </c>
    </row>
    <row r="1974" spans="1:5" x14ac:dyDescent="0.3">
      <c r="A1974" s="295">
        <v>2022</v>
      </c>
      <c r="B1974" s="295">
        <v>2</v>
      </c>
      <c r="C1974" s="295" t="s">
        <v>2</v>
      </c>
      <c r="D1974" s="295" t="s">
        <v>352</v>
      </c>
      <c r="E1974" s="296">
        <v>6.3103800000000003</v>
      </c>
    </row>
    <row r="1975" spans="1:5" x14ac:dyDescent="0.3">
      <c r="A1975" s="295">
        <v>2022</v>
      </c>
      <c r="B1975" s="295">
        <v>2</v>
      </c>
      <c r="C1975" s="295" t="s">
        <v>259</v>
      </c>
      <c r="D1975" s="295" t="s">
        <v>1</v>
      </c>
      <c r="E1975" s="296">
        <v>1.19689</v>
      </c>
    </row>
    <row r="1976" spans="1:5" x14ac:dyDescent="0.3">
      <c r="A1976" s="295">
        <v>2022</v>
      </c>
      <c r="B1976" s="295">
        <v>2</v>
      </c>
      <c r="C1976" s="295" t="s">
        <v>259</v>
      </c>
      <c r="D1976" s="295" t="s">
        <v>2</v>
      </c>
      <c r="E1976" s="296">
        <v>1.34039</v>
      </c>
    </row>
    <row r="1977" spans="1:5" x14ac:dyDescent="0.3">
      <c r="A1977" s="295">
        <v>2022</v>
      </c>
      <c r="B1977" s="295">
        <v>2</v>
      </c>
      <c r="C1977" s="295" t="s">
        <v>259</v>
      </c>
      <c r="D1977" s="295" t="s">
        <v>85</v>
      </c>
      <c r="E1977" s="296">
        <v>6.92136</v>
      </c>
    </row>
    <row r="1978" spans="1:5" x14ac:dyDescent="0.3">
      <c r="A1978" s="295">
        <v>2022</v>
      </c>
      <c r="B1978" s="295">
        <v>2</v>
      </c>
      <c r="C1978" s="295" t="s">
        <v>259</v>
      </c>
      <c r="D1978" s="295" t="s">
        <v>101</v>
      </c>
      <c r="E1978" s="296">
        <v>27.410049999999998</v>
      </c>
    </row>
    <row r="1979" spans="1:5" x14ac:dyDescent="0.3">
      <c r="A1979" s="295">
        <v>2022</v>
      </c>
      <c r="B1979" s="295">
        <v>2</v>
      </c>
      <c r="C1979" s="295" t="s">
        <v>259</v>
      </c>
      <c r="D1979" s="295" t="s">
        <v>179</v>
      </c>
      <c r="E1979" s="296">
        <v>1069.6349499999999</v>
      </c>
    </row>
    <row r="1980" spans="1:5" x14ac:dyDescent="0.3">
      <c r="A1980" s="295">
        <v>2022</v>
      </c>
      <c r="B1980" s="295">
        <v>2</v>
      </c>
      <c r="C1980" s="295" t="s">
        <v>259</v>
      </c>
      <c r="D1980" s="295" t="s">
        <v>352</v>
      </c>
      <c r="E1980" s="296">
        <v>8.4584100000000007</v>
      </c>
    </row>
    <row r="1981" spans="1:5" x14ac:dyDescent="0.3">
      <c r="A1981" s="295">
        <v>2022</v>
      </c>
      <c r="B1981" s="295">
        <v>2</v>
      </c>
      <c r="C1981" s="295" t="s">
        <v>85</v>
      </c>
      <c r="D1981" s="295" t="s">
        <v>1</v>
      </c>
      <c r="E1981" s="296">
        <v>0.17293</v>
      </c>
    </row>
    <row r="1982" spans="1:5" x14ac:dyDescent="0.3">
      <c r="A1982" s="295">
        <v>2022</v>
      </c>
      <c r="B1982" s="295">
        <v>2</v>
      </c>
      <c r="C1982" s="295" t="s">
        <v>85</v>
      </c>
      <c r="D1982" s="295" t="s">
        <v>2</v>
      </c>
      <c r="E1982" s="296">
        <v>0.19366</v>
      </c>
    </row>
    <row r="1983" spans="1:5" x14ac:dyDescent="0.3">
      <c r="A1983" s="295">
        <v>2022</v>
      </c>
      <c r="B1983" s="295">
        <v>2</v>
      </c>
      <c r="C1983" s="295" t="s">
        <v>85</v>
      </c>
      <c r="D1983" s="295" t="s">
        <v>259</v>
      </c>
      <c r="E1983" s="296">
        <v>0.14448</v>
      </c>
    </row>
    <row r="1984" spans="1:5" x14ac:dyDescent="0.3">
      <c r="A1984" s="295">
        <v>2022</v>
      </c>
      <c r="B1984" s="295">
        <v>2</v>
      </c>
      <c r="C1984" s="295" t="s">
        <v>85</v>
      </c>
      <c r="D1984" s="295" t="s">
        <v>101</v>
      </c>
      <c r="E1984" s="296">
        <v>3.96021</v>
      </c>
    </row>
    <row r="1985" spans="1:5" x14ac:dyDescent="0.3">
      <c r="A1985" s="295">
        <v>2022</v>
      </c>
      <c r="B1985" s="295">
        <v>2</v>
      </c>
      <c r="C1985" s="295" t="s">
        <v>85</v>
      </c>
      <c r="D1985" s="295" t="s">
        <v>179</v>
      </c>
      <c r="E1985" s="296">
        <v>154.54105000000001</v>
      </c>
    </row>
    <row r="1986" spans="1:5" x14ac:dyDescent="0.3">
      <c r="A1986" s="295">
        <v>2022</v>
      </c>
      <c r="B1986" s="295">
        <v>2</v>
      </c>
      <c r="C1986" s="295" t="s">
        <v>85</v>
      </c>
      <c r="D1986" s="295" t="s">
        <v>352</v>
      </c>
      <c r="E1986" s="296">
        <v>1.22207</v>
      </c>
    </row>
    <row r="1987" spans="1:5" x14ac:dyDescent="0.3">
      <c r="A1987" s="295">
        <v>2022</v>
      </c>
      <c r="B1987" s="295">
        <v>2</v>
      </c>
      <c r="C1987" s="295" t="s">
        <v>101</v>
      </c>
      <c r="D1987" s="295" t="s">
        <v>1</v>
      </c>
      <c r="E1987" s="296">
        <v>4.367E-2</v>
      </c>
    </row>
    <row r="1988" spans="1:5" x14ac:dyDescent="0.3">
      <c r="A1988" s="295">
        <v>2022</v>
      </c>
      <c r="B1988" s="295">
        <v>2</v>
      </c>
      <c r="C1988" s="295" t="s">
        <v>101</v>
      </c>
      <c r="D1988" s="295" t="s">
        <v>2</v>
      </c>
      <c r="E1988" s="296">
        <v>4.8899999999999999E-2</v>
      </c>
    </row>
    <row r="1989" spans="1:5" x14ac:dyDescent="0.3">
      <c r="A1989" s="295">
        <v>2022</v>
      </c>
      <c r="B1989" s="295">
        <v>2</v>
      </c>
      <c r="C1989" s="295" t="s">
        <v>101</v>
      </c>
      <c r="D1989" s="295" t="s">
        <v>259</v>
      </c>
      <c r="E1989" s="296">
        <v>3.6479999999999999E-2</v>
      </c>
    </row>
    <row r="1990" spans="1:5" x14ac:dyDescent="0.3">
      <c r="A1990" s="295">
        <v>2022</v>
      </c>
      <c r="B1990" s="295">
        <v>2</v>
      </c>
      <c r="C1990" s="295" t="s">
        <v>101</v>
      </c>
      <c r="D1990" s="295" t="s">
        <v>85</v>
      </c>
      <c r="E1990" s="296">
        <v>0.25251000000000001</v>
      </c>
    </row>
    <row r="1991" spans="1:5" x14ac:dyDescent="0.3">
      <c r="A1991" s="295">
        <v>2022</v>
      </c>
      <c r="B1991" s="295">
        <v>2</v>
      </c>
      <c r="C1991" s="295" t="s">
        <v>101</v>
      </c>
      <c r="D1991" s="295" t="s">
        <v>179</v>
      </c>
      <c r="E1991" s="296">
        <v>39.023449999999997</v>
      </c>
    </row>
    <row r="1992" spans="1:5" x14ac:dyDescent="0.3">
      <c r="A1992" s="295">
        <v>2022</v>
      </c>
      <c r="B1992" s="295">
        <v>2</v>
      </c>
      <c r="C1992" s="295" t="s">
        <v>101</v>
      </c>
      <c r="D1992" s="295" t="s">
        <v>352</v>
      </c>
      <c r="E1992" s="296">
        <v>0.30858999999999998</v>
      </c>
    </row>
    <row r="1993" spans="1:5" x14ac:dyDescent="0.3">
      <c r="A1993" s="295">
        <v>2022</v>
      </c>
      <c r="B1993" s="295">
        <v>2</v>
      </c>
      <c r="C1993" s="295" t="s">
        <v>179</v>
      </c>
      <c r="D1993" s="295" t="s">
        <v>1</v>
      </c>
      <c r="E1993" s="296">
        <v>1.1199999999999999E-3</v>
      </c>
    </row>
    <row r="1994" spans="1:5" x14ac:dyDescent="0.3">
      <c r="A1994" s="295">
        <v>2022</v>
      </c>
      <c r="B1994" s="295">
        <v>2</v>
      </c>
      <c r="C1994" s="295" t="s">
        <v>179</v>
      </c>
      <c r="D1994" s="295" t="s">
        <v>2</v>
      </c>
      <c r="E1994" s="296">
        <v>1.25E-3</v>
      </c>
    </row>
    <row r="1995" spans="1:5" x14ac:dyDescent="0.3">
      <c r="A1995" s="295">
        <v>2022</v>
      </c>
      <c r="B1995" s="295">
        <v>2</v>
      </c>
      <c r="C1995" s="295" t="s">
        <v>179</v>
      </c>
      <c r="D1995" s="295" t="s">
        <v>259</v>
      </c>
      <c r="E1995" s="296">
        <v>9.3000000000000005E-4</v>
      </c>
    </row>
    <row r="1996" spans="1:5" x14ac:dyDescent="0.3">
      <c r="A1996" s="295">
        <v>2022</v>
      </c>
      <c r="B1996" s="295">
        <v>2</v>
      </c>
      <c r="C1996" s="295" t="s">
        <v>179</v>
      </c>
      <c r="D1996" s="295" t="s">
        <v>85</v>
      </c>
      <c r="E1996" s="296">
        <v>6.4700000000000001E-3</v>
      </c>
    </row>
    <row r="1997" spans="1:5" x14ac:dyDescent="0.3">
      <c r="A1997" s="295">
        <v>2022</v>
      </c>
      <c r="B1997" s="295">
        <v>2</v>
      </c>
      <c r="C1997" s="295" t="s">
        <v>179</v>
      </c>
      <c r="D1997" s="295" t="s">
        <v>101</v>
      </c>
      <c r="E1997" s="296">
        <v>2.563E-2</v>
      </c>
    </row>
    <row r="1998" spans="1:5" x14ac:dyDescent="0.3">
      <c r="A1998" s="295">
        <v>2022</v>
      </c>
      <c r="B1998" s="295">
        <v>2</v>
      </c>
      <c r="C1998" s="295" t="s">
        <v>179</v>
      </c>
      <c r="D1998" s="295" t="s">
        <v>352</v>
      </c>
      <c r="E1998" s="296">
        <v>7.9100000000000004E-3</v>
      </c>
    </row>
    <row r="1999" spans="1:5" x14ac:dyDescent="0.3">
      <c r="A1999" s="295">
        <v>2022</v>
      </c>
      <c r="B1999" s="295">
        <v>2</v>
      </c>
      <c r="C1999" s="295" t="s">
        <v>352</v>
      </c>
      <c r="D1999" s="295" t="s">
        <v>1</v>
      </c>
      <c r="E1999" s="296">
        <v>0.14149999999999999</v>
      </c>
    </row>
    <row r="2000" spans="1:5" x14ac:dyDescent="0.3">
      <c r="A2000" s="295">
        <v>2022</v>
      </c>
      <c r="B2000" s="295">
        <v>2</v>
      </c>
      <c r="C2000" s="295" t="s">
        <v>352</v>
      </c>
      <c r="D2000" s="295" t="s">
        <v>2</v>
      </c>
      <c r="E2000" s="296">
        <v>0.15847</v>
      </c>
    </row>
    <row r="2001" spans="1:5" x14ac:dyDescent="0.3">
      <c r="A2001" s="295">
        <v>2022</v>
      </c>
      <c r="B2001" s="295">
        <v>2</v>
      </c>
      <c r="C2001" s="295" t="s">
        <v>352</v>
      </c>
      <c r="D2001" s="295" t="s">
        <v>259</v>
      </c>
      <c r="E2001" s="296">
        <v>0.11823</v>
      </c>
    </row>
    <row r="2002" spans="1:5" x14ac:dyDescent="0.3">
      <c r="A2002" s="295">
        <v>2022</v>
      </c>
      <c r="B2002" s="295">
        <v>2</v>
      </c>
      <c r="C2002" s="295" t="s">
        <v>352</v>
      </c>
      <c r="D2002" s="295" t="s">
        <v>85</v>
      </c>
      <c r="E2002" s="296">
        <v>0.81828000000000001</v>
      </c>
    </row>
    <row r="2003" spans="1:5" x14ac:dyDescent="0.3">
      <c r="A2003" s="295">
        <v>2022</v>
      </c>
      <c r="B2003" s="295">
        <v>2</v>
      </c>
      <c r="C2003" s="295" t="s">
        <v>352</v>
      </c>
      <c r="D2003" s="295" t="s">
        <v>101</v>
      </c>
      <c r="E2003" s="296">
        <v>3.24057</v>
      </c>
    </row>
    <row r="2004" spans="1:5" x14ac:dyDescent="0.3">
      <c r="A2004" s="295">
        <v>2022</v>
      </c>
      <c r="B2004" s="295">
        <v>2</v>
      </c>
      <c r="C2004" s="295" t="s">
        <v>352</v>
      </c>
      <c r="D2004" s="295" t="s">
        <v>179</v>
      </c>
      <c r="E2004" s="296">
        <v>126.45819</v>
      </c>
    </row>
    <row r="2005" spans="1:5" x14ac:dyDescent="0.3">
      <c r="A2005" s="295">
        <v>2022</v>
      </c>
      <c r="B2005" s="295">
        <v>2</v>
      </c>
      <c r="C2005" s="295" t="s">
        <v>1</v>
      </c>
      <c r="D2005" s="295" t="s">
        <v>1</v>
      </c>
      <c r="E2005" s="296">
        <v>1</v>
      </c>
    </row>
    <row r="2006" spans="1:5" x14ac:dyDescent="0.3">
      <c r="A2006" s="295">
        <v>2022</v>
      </c>
      <c r="B2006" s="295">
        <v>2</v>
      </c>
      <c r="C2006" s="295" t="s">
        <v>2</v>
      </c>
      <c r="D2006" s="295" t="s">
        <v>2</v>
      </c>
      <c r="E2006" s="296">
        <v>1</v>
      </c>
    </row>
    <row r="2007" spans="1:5" x14ac:dyDescent="0.3">
      <c r="A2007" s="295">
        <v>2022</v>
      </c>
      <c r="B2007" s="295">
        <v>2</v>
      </c>
      <c r="C2007" s="295" t="s">
        <v>259</v>
      </c>
      <c r="D2007" s="295" t="s">
        <v>259</v>
      </c>
      <c r="E2007" s="296">
        <v>1</v>
      </c>
    </row>
    <row r="2008" spans="1:5" x14ac:dyDescent="0.3">
      <c r="A2008" s="295">
        <v>2022</v>
      </c>
      <c r="B2008" s="295">
        <v>2</v>
      </c>
      <c r="C2008" s="295" t="s">
        <v>85</v>
      </c>
      <c r="D2008" s="295" t="s">
        <v>85</v>
      </c>
      <c r="E2008" s="296">
        <v>1</v>
      </c>
    </row>
    <row r="2009" spans="1:5" x14ac:dyDescent="0.3">
      <c r="A2009" s="295">
        <v>2022</v>
      </c>
      <c r="B2009" s="295">
        <v>2</v>
      </c>
      <c r="C2009" s="295" t="s">
        <v>101</v>
      </c>
      <c r="D2009" s="295" t="s">
        <v>101</v>
      </c>
      <c r="E2009" s="296">
        <v>1</v>
      </c>
    </row>
    <row r="2010" spans="1:5" x14ac:dyDescent="0.3">
      <c r="A2010" s="295">
        <v>2022</v>
      </c>
      <c r="B2010" s="295">
        <v>2</v>
      </c>
      <c r="C2010" s="295" t="s">
        <v>179</v>
      </c>
      <c r="D2010" s="295" t="s">
        <v>179</v>
      </c>
      <c r="E2010" s="296">
        <v>1</v>
      </c>
    </row>
    <row r="2011" spans="1:5" x14ac:dyDescent="0.3">
      <c r="A2011" s="295">
        <v>2022</v>
      </c>
      <c r="B2011" s="295">
        <v>2</v>
      </c>
      <c r="C2011" s="295" t="s">
        <v>352</v>
      </c>
      <c r="D2011" s="295" t="s">
        <v>352</v>
      </c>
      <c r="E2011" s="296">
        <v>1</v>
      </c>
    </row>
    <row r="2012" spans="1:5" x14ac:dyDescent="0.3">
      <c r="A2012" s="295">
        <v>2022</v>
      </c>
      <c r="B2012" s="295">
        <v>3</v>
      </c>
      <c r="C2012" s="295" t="s">
        <v>1</v>
      </c>
      <c r="D2012" s="295" t="s">
        <v>2</v>
      </c>
      <c r="E2012" s="296">
        <v>1.1101000000000001</v>
      </c>
    </row>
    <row r="2013" spans="1:5" x14ac:dyDescent="0.3">
      <c r="A2013" s="295">
        <v>2022</v>
      </c>
      <c r="B2013" s="295">
        <v>3</v>
      </c>
      <c r="C2013" s="295" t="s">
        <v>1</v>
      </c>
      <c r="D2013" s="295" t="s">
        <v>259</v>
      </c>
      <c r="E2013" s="296">
        <v>0.84594999999999998</v>
      </c>
    </row>
    <row r="2014" spans="1:5" x14ac:dyDescent="0.3">
      <c r="A2014" s="295">
        <v>2022</v>
      </c>
      <c r="B2014" s="295">
        <v>3</v>
      </c>
      <c r="C2014" s="295" t="s">
        <v>1</v>
      </c>
      <c r="D2014" s="295" t="s">
        <v>85</v>
      </c>
      <c r="E2014" s="296">
        <v>5.3009000000000004</v>
      </c>
    </row>
    <row r="2015" spans="1:5" x14ac:dyDescent="0.3">
      <c r="A2015" s="295">
        <v>2022</v>
      </c>
      <c r="B2015" s="295">
        <v>3</v>
      </c>
      <c r="C2015" s="295" t="s">
        <v>1</v>
      </c>
      <c r="D2015" s="295" t="s">
        <v>101</v>
      </c>
      <c r="E2015" s="296">
        <v>22.090299999999999</v>
      </c>
    </row>
    <row r="2016" spans="1:5" x14ac:dyDescent="0.3">
      <c r="A2016" s="295">
        <v>2022</v>
      </c>
      <c r="B2016" s="295">
        <v>3</v>
      </c>
      <c r="C2016" s="295" t="s">
        <v>1</v>
      </c>
      <c r="D2016" s="295" t="s">
        <v>179</v>
      </c>
      <c r="E2016" s="296">
        <v>872.40499999999997</v>
      </c>
    </row>
    <row r="2017" spans="1:5" x14ac:dyDescent="0.3">
      <c r="A2017" s="295">
        <v>2022</v>
      </c>
      <c r="B2017" s="295">
        <v>3</v>
      </c>
      <c r="C2017" s="295" t="s">
        <v>1</v>
      </c>
      <c r="D2017" s="295" t="s">
        <v>352</v>
      </c>
      <c r="E2017" s="296">
        <v>7.0403000000000002</v>
      </c>
    </row>
    <row r="2018" spans="1:5" x14ac:dyDescent="0.3">
      <c r="A2018" s="295">
        <v>2022</v>
      </c>
      <c r="B2018" s="295">
        <v>3</v>
      </c>
      <c r="C2018" s="295" t="s">
        <v>2</v>
      </c>
      <c r="D2018" s="295" t="s">
        <v>1</v>
      </c>
      <c r="E2018" s="296">
        <v>0.90081999999999995</v>
      </c>
    </row>
    <row r="2019" spans="1:5" x14ac:dyDescent="0.3">
      <c r="A2019" s="295">
        <v>2022</v>
      </c>
      <c r="B2019" s="295">
        <v>3</v>
      </c>
      <c r="C2019" s="295" t="s">
        <v>2</v>
      </c>
      <c r="D2019" s="295" t="s">
        <v>259</v>
      </c>
      <c r="E2019" s="296">
        <v>0.76205000000000001</v>
      </c>
    </row>
    <row r="2020" spans="1:5" x14ac:dyDescent="0.3">
      <c r="A2020" s="295">
        <v>2022</v>
      </c>
      <c r="B2020" s="295">
        <v>3</v>
      </c>
      <c r="C2020" s="295" t="s">
        <v>2</v>
      </c>
      <c r="D2020" s="295" t="s">
        <v>85</v>
      </c>
      <c r="E2020" s="296">
        <v>4.7751599999999996</v>
      </c>
    </row>
    <row r="2021" spans="1:5" x14ac:dyDescent="0.3">
      <c r="A2021" s="295">
        <v>2022</v>
      </c>
      <c r="B2021" s="295">
        <v>3</v>
      </c>
      <c r="C2021" s="295" t="s">
        <v>2</v>
      </c>
      <c r="D2021" s="295" t="s">
        <v>101</v>
      </c>
      <c r="E2021" s="296">
        <v>19.899380000000001</v>
      </c>
    </row>
    <row r="2022" spans="1:5" x14ac:dyDescent="0.3">
      <c r="A2022" s="295">
        <v>2022</v>
      </c>
      <c r="B2022" s="295">
        <v>3</v>
      </c>
      <c r="C2022" s="295" t="s">
        <v>2</v>
      </c>
      <c r="D2022" s="295" t="s">
        <v>179</v>
      </c>
      <c r="E2022" s="296">
        <v>785.87964999999997</v>
      </c>
    </row>
    <row r="2023" spans="1:5" x14ac:dyDescent="0.3">
      <c r="A2023" s="295">
        <v>2022</v>
      </c>
      <c r="B2023" s="295">
        <v>3</v>
      </c>
      <c r="C2023" s="295" t="s">
        <v>2</v>
      </c>
      <c r="D2023" s="295" t="s">
        <v>352</v>
      </c>
      <c r="E2023" s="296">
        <v>6.3420399999999999</v>
      </c>
    </row>
    <row r="2024" spans="1:5" x14ac:dyDescent="0.3">
      <c r="A2024" s="295">
        <v>2022</v>
      </c>
      <c r="B2024" s="295">
        <v>3</v>
      </c>
      <c r="C2024" s="295" t="s">
        <v>259</v>
      </c>
      <c r="D2024" s="295" t="s">
        <v>1</v>
      </c>
      <c r="E2024" s="296">
        <v>1.1820999999999999</v>
      </c>
    </row>
    <row r="2025" spans="1:5" x14ac:dyDescent="0.3">
      <c r="A2025" s="295">
        <v>2022</v>
      </c>
      <c r="B2025" s="295">
        <v>3</v>
      </c>
      <c r="C2025" s="295" t="s">
        <v>259</v>
      </c>
      <c r="D2025" s="295" t="s">
        <v>2</v>
      </c>
      <c r="E2025" s="296">
        <v>1.3122499999999999</v>
      </c>
    </row>
    <row r="2026" spans="1:5" x14ac:dyDescent="0.3">
      <c r="A2026" s="295">
        <v>2022</v>
      </c>
      <c r="B2026" s="295">
        <v>3</v>
      </c>
      <c r="C2026" s="295" t="s">
        <v>259</v>
      </c>
      <c r="D2026" s="295" t="s">
        <v>85</v>
      </c>
      <c r="E2026" s="296">
        <v>6.2662100000000001</v>
      </c>
    </row>
    <row r="2027" spans="1:5" x14ac:dyDescent="0.3">
      <c r="A2027" s="295">
        <v>2022</v>
      </c>
      <c r="B2027" s="295">
        <v>3</v>
      </c>
      <c r="C2027" s="295" t="s">
        <v>259</v>
      </c>
      <c r="D2027" s="295" t="s">
        <v>101</v>
      </c>
      <c r="E2027" s="296">
        <v>26.113009999999999</v>
      </c>
    </row>
    <row r="2028" spans="1:5" x14ac:dyDescent="0.3">
      <c r="A2028" s="295">
        <v>2022</v>
      </c>
      <c r="B2028" s="295">
        <v>3</v>
      </c>
      <c r="C2028" s="295" t="s">
        <v>259</v>
      </c>
      <c r="D2028" s="295" t="s">
        <v>179</v>
      </c>
      <c r="E2028" s="296">
        <v>1031.27253</v>
      </c>
    </row>
    <row r="2029" spans="1:5" x14ac:dyDescent="0.3">
      <c r="A2029" s="295">
        <v>2022</v>
      </c>
      <c r="B2029" s="295">
        <v>3</v>
      </c>
      <c r="C2029" s="295" t="s">
        <v>259</v>
      </c>
      <c r="D2029" s="295" t="s">
        <v>352</v>
      </c>
      <c r="E2029" s="296">
        <v>8.3223599999999998</v>
      </c>
    </row>
    <row r="2030" spans="1:5" x14ac:dyDescent="0.3">
      <c r="A2030" s="295">
        <v>2022</v>
      </c>
      <c r="B2030" s="295">
        <v>3</v>
      </c>
      <c r="C2030" s="295" t="s">
        <v>85</v>
      </c>
      <c r="D2030" s="295" t="s">
        <v>1</v>
      </c>
      <c r="E2030" s="296">
        <v>0.18865000000000001</v>
      </c>
    </row>
    <row r="2031" spans="1:5" x14ac:dyDescent="0.3">
      <c r="A2031" s="295">
        <v>2022</v>
      </c>
      <c r="B2031" s="295">
        <v>3</v>
      </c>
      <c r="C2031" s="295" t="s">
        <v>85</v>
      </c>
      <c r="D2031" s="295" t="s">
        <v>2</v>
      </c>
      <c r="E2031" s="296">
        <v>0.20942</v>
      </c>
    </row>
    <row r="2032" spans="1:5" x14ac:dyDescent="0.3">
      <c r="A2032" s="295">
        <v>2022</v>
      </c>
      <c r="B2032" s="295">
        <v>3</v>
      </c>
      <c r="C2032" s="295" t="s">
        <v>85</v>
      </c>
      <c r="D2032" s="295" t="s">
        <v>259</v>
      </c>
      <c r="E2032" s="296">
        <v>0.15959000000000001</v>
      </c>
    </row>
    <row r="2033" spans="1:5" x14ac:dyDescent="0.3">
      <c r="A2033" s="295">
        <v>2022</v>
      </c>
      <c r="B2033" s="295">
        <v>3</v>
      </c>
      <c r="C2033" s="295" t="s">
        <v>85</v>
      </c>
      <c r="D2033" s="295" t="s">
        <v>101</v>
      </c>
      <c r="E2033" s="296">
        <v>4.1672700000000003</v>
      </c>
    </row>
    <row r="2034" spans="1:5" x14ac:dyDescent="0.3">
      <c r="A2034" s="295">
        <v>2022</v>
      </c>
      <c r="B2034" s="295">
        <v>3</v>
      </c>
      <c r="C2034" s="295" t="s">
        <v>85</v>
      </c>
      <c r="D2034" s="295" t="s">
        <v>179</v>
      </c>
      <c r="E2034" s="296">
        <v>164.57677000000001</v>
      </c>
    </row>
    <row r="2035" spans="1:5" x14ac:dyDescent="0.3">
      <c r="A2035" s="295">
        <v>2022</v>
      </c>
      <c r="B2035" s="295">
        <v>3</v>
      </c>
      <c r="C2035" s="295" t="s">
        <v>85</v>
      </c>
      <c r="D2035" s="295" t="s">
        <v>352</v>
      </c>
      <c r="E2035" s="296">
        <v>1.32813</v>
      </c>
    </row>
    <row r="2036" spans="1:5" x14ac:dyDescent="0.3">
      <c r="A2036" s="295">
        <v>2022</v>
      </c>
      <c r="B2036" s="295">
        <v>3</v>
      </c>
      <c r="C2036" s="295" t="s">
        <v>101</v>
      </c>
      <c r="D2036" s="295" t="s">
        <v>1</v>
      </c>
      <c r="E2036" s="296">
        <v>4.5269999999999998E-2</v>
      </c>
    </row>
    <row r="2037" spans="1:5" x14ac:dyDescent="0.3">
      <c r="A2037" s="295">
        <v>2022</v>
      </c>
      <c r="B2037" s="295">
        <v>3</v>
      </c>
      <c r="C2037" s="295" t="s">
        <v>101</v>
      </c>
      <c r="D2037" s="295" t="s">
        <v>2</v>
      </c>
      <c r="E2037" s="296">
        <v>5.0250000000000003E-2</v>
      </c>
    </row>
    <row r="2038" spans="1:5" x14ac:dyDescent="0.3">
      <c r="A2038" s="295">
        <v>2022</v>
      </c>
      <c r="B2038" s="295">
        <v>3</v>
      </c>
      <c r="C2038" s="295" t="s">
        <v>101</v>
      </c>
      <c r="D2038" s="295" t="s">
        <v>259</v>
      </c>
      <c r="E2038" s="296">
        <v>3.8300000000000001E-2</v>
      </c>
    </row>
    <row r="2039" spans="1:5" x14ac:dyDescent="0.3">
      <c r="A2039" s="295">
        <v>2022</v>
      </c>
      <c r="B2039" s="295">
        <v>3</v>
      </c>
      <c r="C2039" s="295" t="s">
        <v>101</v>
      </c>
      <c r="D2039" s="295" t="s">
        <v>85</v>
      </c>
      <c r="E2039" s="296">
        <v>0.23996999999999999</v>
      </c>
    </row>
    <row r="2040" spans="1:5" x14ac:dyDescent="0.3">
      <c r="A2040" s="295">
        <v>2022</v>
      </c>
      <c r="B2040" s="295">
        <v>3</v>
      </c>
      <c r="C2040" s="295" t="s">
        <v>101</v>
      </c>
      <c r="D2040" s="295" t="s">
        <v>179</v>
      </c>
      <c r="E2040" s="296">
        <v>39.492669999999997</v>
      </c>
    </row>
    <row r="2041" spans="1:5" x14ac:dyDescent="0.3">
      <c r="A2041" s="295">
        <v>2022</v>
      </c>
      <c r="B2041" s="295">
        <v>3</v>
      </c>
      <c r="C2041" s="295" t="s">
        <v>101</v>
      </c>
      <c r="D2041" s="295" t="s">
        <v>352</v>
      </c>
      <c r="E2041" s="296">
        <v>0.31870999999999999</v>
      </c>
    </row>
    <row r="2042" spans="1:5" x14ac:dyDescent="0.3">
      <c r="A2042" s="295">
        <v>2022</v>
      </c>
      <c r="B2042" s="295">
        <v>3</v>
      </c>
      <c r="C2042" s="295" t="s">
        <v>179</v>
      </c>
      <c r="D2042" s="295" t="s">
        <v>1</v>
      </c>
      <c r="E2042" s="296">
        <v>1.15E-3</v>
      </c>
    </row>
    <row r="2043" spans="1:5" x14ac:dyDescent="0.3">
      <c r="A2043" s="295">
        <v>2022</v>
      </c>
      <c r="B2043" s="295">
        <v>3</v>
      </c>
      <c r="C2043" s="295" t="s">
        <v>179</v>
      </c>
      <c r="D2043" s="295" t="s">
        <v>2</v>
      </c>
      <c r="E2043" s="296">
        <v>1.2700000000000001E-3</v>
      </c>
    </row>
    <row r="2044" spans="1:5" x14ac:dyDescent="0.3">
      <c r="A2044" s="295">
        <v>2022</v>
      </c>
      <c r="B2044" s="295">
        <v>3</v>
      </c>
      <c r="C2044" s="295" t="s">
        <v>179</v>
      </c>
      <c r="D2044" s="295" t="s">
        <v>259</v>
      </c>
      <c r="E2044" s="296">
        <v>9.7000000000000005E-4</v>
      </c>
    </row>
    <row r="2045" spans="1:5" x14ac:dyDescent="0.3">
      <c r="A2045" s="295">
        <v>2022</v>
      </c>
      <c r="B2045" s="295">
        <v>3</v>
      </c>
      <c r="C2045" s="295" t="s">
        <v>179</v>
      </c>
      <c r="D2045" s="295" t="s">
        <v>85</v>
      </c>
      <c r="E2045" s="296">
        <v>6.0800000000000003E-3</v>
      </c>
    </row>
    <row r="2046" spans="1:5" x14ac:dyDescent="0.3">
      <c r="A2046" s="295">
        <v>2022</v>
      </c>
      <c r="B2046" s="295">
        <v>3</v>
      </c>
      <c r="C2046" s="295" t="s">
        <v>179</v>
      </c>
      <c r="D2046" s="295" t="s">
        <v>101</v>
      </c>
      <c r="E2046" s="296">
        <v>2.5319999999999999E-2</v>
      </c>
    </row>
    <row r="2047" spans="1:5" x14ac:dyDescent="0.3">
      <c r="A2047" s="295">
        <v>2022</v>
      </c>
      <c r="B2047" s="295">
        <v>3</v>
      </c>
      <c r="C2047" s="295" t="s">
        <v>179</v>
      </c>
      <c r="D2047" s="295" t="s">
        <v>352</v>
      </c>
      <c r="E2047" s="296">
        <v>8.0700000000000008E-3</v>
      </c>
    </row>
    <row r="2048" spans="1:5" x14ac:dyDescent="0.3">
      <c r="A2048" s="295">
        <v>2022</v>
      </c>
      <c r="B2048" s="295">
        <v>3</v>
      </c>
      <c r="C2048" s="295" t="s">
        <v>352</v>
      </c>
      <c r="D2048" s="295" t="s">
        <v>1</v>
      </c>
      <c r="E2048" s="296">
        <v>0.14204</v>
      </c>
    </row>
    <row r="2049" spans="1:5" x14ac:dyDescent="0.3">
      <c r="A2049" s="295">
        <v>2022</v>
      </c>
      <c r="B2049" s="295">
        <v>3</v>
      </c>
      <c r="C2049" s="295" t="s">
        <v>352</v>
      </c>
      <c r="D2049" s="295" t="s">
        <v>2</v>
      </c>
      <c r="E2049" s="296">
        <v>0.15767999999999999</v>
      </c>
    </row>
    <row r="2050" spans="1:5" x14ac:dyDescent="0.3">
      <c r="A2050" s="295">
        <v>2022</v>
      </c>
      <c r="B2050" s="295">
        <v>3</v>
      </c>
      <c r="C2050" s="295" t="s">
        <v>352</v>
      </c>
      <c r="D2050" s="295" t="s">
        <v>259</v>
      </c>
      <c r="E2050" s="296">
        <v>0.12016</v>
      </c>
    </row>
    <row r="2051" spans="1:5" x14ac:dyDescent="0.3">
      <c r="A2051" s="295">
        <v>2022</v>
      </c>
      <c r="B2051" s="295">
        <v>3</v>
      </c>
      <c r="C2051" s="295" t="s">
        <v>352</v>
      </c>
      <c r="D2051" s="295" t="s">
        <v>85</v>
      </c>
      <c r="E2051" s="296">
        <v>0.75294000000000005</v>
      </c>
    </row>
    <row r="2052" spans="1:5" x14ac:dyDescent="0.3">
      <c r="A2052" s="295">
        <v>2022</v>
      </c>
      <c r="B2052" s="295">
        <v>3</v>
      </c>
      <c r="C2052" s="295" t="s">
        <v>352</v>
      </c>
      <c r="D2052" s="295" t="s">
        <v>101</v>
      </c>
      <c r="E2052" s="296">
        <v>3.1376900000000001</v>
      </c>
    </row>
    <row r="2053" spans="1:5" x14ac:dyDescent="0.3">
      <c r="A2053" s="295">
        <v>2022</v>
      </c>
      <c r="B2053" s="295">
        <v>3</v>
      </c>
      <c r="C2053" s="295" t="s">
        <v>352</v>
      </c>
      <c r="D2053" s="295" t="s">
        <v>179</v>
      </c>
      <c r="E2053" s="296">
        <v>123.91588</v>
      </c>
    </row>
    <row r="2054" spans="1:5" x14ac:dyDescent="0.3">
      <c r="A2054" s="295">
        <v>2022</v>
      </c>
      <c r="B2054" s="295">
        <v>3</v>
      </c>
      <c r="C2054" s="295" t="s">
        <v>1</v>
      </c>
      <c r="D2054" s="295" t="s">
        <v>1</v>
      </c>
      <c r="E2054" s="296">
        <v>1</v>
      </c>
    </row>
    <row r="2055" spans="1:5" x14ac:dyDescent="0.3">
      <c r="A2055" s="295">
        <v>2022</v>
      </c>
      <c r="B2055" s="295">
        <v>3</v>
      </c>
      <c r="C2055" s="295" t="s">
        <v>2</v>
      </c>
      <c r="D2055" s="295" t="s">
        <v>2</v>
      </c>
      <c r="E2055" s="296">
        <v>1</v>
      </c>
    </row>
    <row r="2056" spans="1:5" x14ac:dyDescent="0.3">
      <c r="A2056" s="295">
        <v>2022</v>
      </c>
      <c r="B2056" s="295">
        <v>3</v>
      </c>
      <c r="C2056" s="295" t="s">
        <v>259</v>
      </c>
      <c r="D2056" s="295" t="s">
        <v>259</v>
      </c>
      <c r="E2056" s="296">
        <v>1</v>
      </c>
    </row>
    <row r="2057" spans="1:5" x14ac:dyDescent="0.3">
      <c r="A2057" s="295">
        <v>2022</v>
      </c>
      <c r="B2057" s="295">
        <v>3</v>
      </c>
      <c r="C2057" s="295" t="s">
        <v>85</v>
      </c>
      <c r="D2057" s="295" t="s">
        <v>85</v>
      </c>
      <c r="E2057" s="296">
        <v>1</v>
      </c>
    </row>
    <row r="2058" spans="1:5" x14ac:dyDescent="0.3">
      <c r="A2058" s="295">
        <v>2022</v>
      </c>
      <c r="B2058" s="295">
        <v>3</v>
      </c>
      <c r="C2058" s="295" t="s">
        <v>101</v>
      </c>
      <c r="D2058" s="295" t="s">
        <v>101</v>
      </c>
      <c r="E2058" s="296">
        <v>1</v>
      </c>
    </row>
    <row r="2059" spans="1:5" x14ac:dyDescent="0.3">
      <c r="A2059" s="295">
        <v>2022</v>
      </c>
      <c r="B2059" s="295">
        <v>3</v>
      </c>
      <c r="C2059" s="295" t="s">
        <v>179</v>
      </c>
      <c r="D2059" s="295" t="s">
        <v>179</v>
      </c>
      <c r="E2059" s="296">
        <v>1</v>
      </c>
    </row>
    <row r="2060" spans="1:5" x14ac:dyDescent="0.3">
      <c r="A2060" s="295">
        <v>2022</v>
      </c>
      <c r="B2060" s="295">
        <v>3</v>
      </c>
      <c r="C2060" s="295" t="s">
        <v>352</v>
      </c>
      <c r="D2060" s="295" t="s">
        <v>352</v>
      </c>
      <c r="E2060" s="296">
        <v>1</v>
      </c>
    </row>
    <row r="2061" spans="1:5" x14ac:dyDescent="0.3">
      <c r="A2061" s="295">
        <v>2022</v>
      </c>
      <c r="B2061" s="295">
        <v>4</v>
      </c>
      <c r="C2061" s="295" t="s">
        <v>1</v>
      </c>
      <c r="D2061" s="295" t="s">
        <v>2</v>
      </c>
      <c r="E2061" s="296">
        <v>1.054</v>
      </c>
    </row>
    <row r="2062" spans="1:5" x14ac:dyDescent="0.3">
      <c r="A2062" s="295">
        <v>2022</v>
      </c>
      <c r="B2062" s="295">
        <v>4</v>
      </c>
      <c r="C2062" s="295" t="s">
        <v>1</v>
      </c>
      <c r="D2062" s="295" t="s">
        <v>259</v>
      </c>
      <c r="E2062" s="296">
        <v>0.83908000000000005</v>
      </c>
    </row>
    <row r="2063" spans="1:5" x14ac:dyDescent="0.3">
      <c r="A2063" s="295">
        <v>2022</v>
      </c>
      <c r="B2063" s="295">
        <v>4</v>
      </c>
      <c r="C2063" s="295" t="s">
        <v>1</v>
      </c>
      <c r="D2063" s="295" t="s">
        <v>85</v>
      </c>
      <c r="E2063" s="296">
        <v>5.1608000000000001</v>
      </c>
    </row>
    <row r="2064" spans="1:5" x14ac:dyDescent="0.3">
      <c r="A2064" s="295">
        <v>2022</v>
      </c>
      <c r="B2064" s="295">
        <v>4</v>
      </c>
      <c r="C2064" s="295" t="s">
        <v>1</v>
      </c>
      <c r="D2064" s="295" t="s">
        <v>101</v>
      </c>
      <c r="E2064" s="296">
        <v>21.418099999999999</v>
      </c>
    </row>
    <row r="2065" spans="1:5" x14ac:dyDescent="0.3">
      <c r="A2065" s="295">
        <v>2022</v>
      </c>
      <c r="B2065" s="295">
        <v>4</v>
      </c>
      <c r="C2065" s="295" t="s">
        <v>1</v>
      </c>
      <c r="D2065" s="295" t="s">
        <v>179</v>
      </c>
      <c r="E2065" s="296">
        <v>897.09100000000001</v>
      </c>
    </row>
    <row r="2066" spans="1:5" x14ac:dyDescent="0.3">
      <c r="A2066" s="295">
        <v>2022</v>
      </c>
      <c r="B2066" s="295">
        <v>4</v>
      </c>
      <c r="C2066" s="295" t="s">
        <v>1</v>
      </c>
      <c r="D2066" s="295" t="s">
        <v>352</v>
      </c>
      <c r="E2066" s="296">
        <v>6.9440999999999997</v>
      </c>
    </row>
    <row r="2067" spans="1:5" x14ac:dyDescent="0.3">
      <c r="A2067" s="295">
        <v>2022</v>
      </c>
      <c r="B2067" s="295">
        <v>4</v>
      </c>
      <c r="C2067" s="295" t="s">
        <v>2</v>
      </c>
      <c r="D2067" s="295" t="s">
        <v>1</v>
      </c>
      <c r="E2067" s="296">
        <v>0.94877</v>
      </c>
    </row>
    <row r="2068" spans="1:5" x14ac:dyDescent="0.3">
      <c r="A2068" s="295">
        <v>2022</v>
      </c>
      <c r="B2068" s="295">
        <v>4</v>
      </c>
      <c r="C2068" s="295" t="s">
        <v>2</v>
      </c>
      <c r="D2068" s="295" t="s">
        <v>259</v>
      </c>
      <c r="E2068" s="296">
        <v>0.79608999999999996</v>
      </c>
    </row>
    <row r="2069" spans="1:5" x14ac:dyDescent="0.3">
      <c r="A2069" s="295">
        <v>2022</v>
      </c>
      <c r="B2069" s="295">
        <v>4</v>
      </c>
      <c r="C2069" s="295" t="s">
        <v>2</v>
      </c>
      <c r="D2069" s="295" t="s">
        <v>85</v>
      </c>
      <c r="E2069" s="296">
        <v>4.8963900000000002</v>
      </c>
    </row>
    <row r="2070" spans="1:5" x14ac:dyDescent="0.3">
      <c r="A2070" s="295">
        <v>2022</v>
      </c>
      <c r="B2070" s="295">
        <v>4</v>
      </c>
      <c r="C2070" s="295" t="s">
        <v>2</v>
      </c>
      <c r="D2070" s="295" t="s">
        <v>101</v>
      </c>
      <c r="E2070" s="296">
        <v>20.320779999999999</v>
      </c>
    </row>
    <row r="2071" spans="1:5" x14ac:dyDescent="0.3">
      <c r="A2071" s="295">
        <v>2022</v>
      </c>
      <c r="B2071" s="295">
        <v>4</v>
      </c>
      <c r="C2071" s="295" t="s">
        <v>2</v>
      </c>
      <c r="D2071" s="295" t="s">
        <v>179</v>
      </c>
      <c r="E2071" s="296">
        <v>851.12998000000005</v>
      </c>
    </row>
    <row r="2072" spans="1:5" x14ac:dyDescent="0.3">
      <c r="A2072" s="295">
        <v>2022</v>
      </c>
      <c r="B2072" s="295">
        <v>4</v>
      </c>
      <c r="C2072" s="295" t="s">
        <v>2</v>
      </c>
      <c r="D2072" s="295" t="s">
        <v>352</v>
      </c>
      <c r="E2072" s="296">
        <v>6.58833</v>
      </c>
    </row>
    <row r="2073" spans="1:5" x14ac:dyDescent="0.3">
      <c r="A2073" s="295">
        <v>2022</v>
      </c>
      <c r="B2073" s="295">
        <v>4</v>
      </c>
      <c r="C2073" s="295" t="s">
        <v>259</v>
      </c>
      <c r="D2073" s="295" t="s">
        <v>1</v>
      </c>
      <c r="E2073" s="296">
        <v>1.1917800000000001</v>
      </c>
    </row>
    <row r="2074" spans="1:5" x14ac:dyDescent="0.3">
      <c r="A2074" s="295">
        <v>2022</v>
      </c>
      <c r="B2074" s="295">
        <v>4</v>
      </c>
      <c r="C2074" s="295" t="s">
        <v>259</v>
      </c>
      <c r="D2074" s="295" t="s">
        <v>2</v>
      </c>
      <c r="E2074" s="296">
        <v>1.25614</v>
      </c>
    </row>
    <row r="2075" spans="1:5" x14ac:dyDescent="0.3">
      <c r="A2075" s="295">
        <v>2022</v>
      </c>
      <c r="B2075" s="295">
        <v>4</v>
      </c>
      <c r="C2075" s="295" t="s">
        <v>259</v>
      </c>
      <c r="D2075" s="295" t="s">
        <v>85</v>
      </c>
      <c r="E2075" s="296">
        <v>6.15055</v>
      </c>
    </row>
    <row r="2076" spans="1:5" x14ac:dyDescent="0.3">
      <c r="A2076" s="295">
        <v>2022</v>
      </c>
      <c r="B2076" s="295">
        <v>4</v>
      </c>
      <c r="C2076" s="295" t="s">
        <v>259</v>
      </c>
      <c r="D2076" s="295" t="s">
        <v>101</v>
      </c>
      <c r="E2076" s="296">
        <v>25.525690000000001</v>
      </c>
    </row>
    <row r="2077" spans="1:5" x14ac:dyDescent="0.3">
      <c r="A2077" s="295">
        <v>2022</v>
      </c>
      <c r="B2077" s="295">
        <v>4</v>
      </c>
      <c r="C2077" s="295" t="s">
        <v>259</v>
      </c>
      <c r="D2077" s="295" t="s">
        <v>179</v>
      </c>
      <c r="E2077" s="296">
        <v>1069.13644</v>
      </c>
    </row>
    <row r="2078" spans="1:5" x14ac:dyDescent="0.3">
      <c r="A2078" s="295">
        <v>2022</v>
      </c>
      <c r="B2078" s="295">
        <v>4</v>
      </c>
      <c r="C2078" s="295" t="s">
        <v>259</v>
      </c>
      <c r="D2078" s="295" t="s">
        <v>352</v>
      </c>
      <c r="E2078" s="296">
        <v>8.2758500000000002</v>
      </c>
    </row>
    <row r="2079" spans="1:5" x14ac:dyDescent="0.3">
      <c r="A2079" s="295">
        <v>2022</v>
      </c>
      <c r="B2079" s="295">
        <v>4</v>
      </c>
      <c r="C2079" s="295" t="s">
        <v>85</v>
      </c>
      <c r="D2079" s="295" t="s">
        <v>1</v>
      </c>
      <c r="E2079" s="296">
        <v>0.19377</v>
      </c>
    </row>
    <row r="2080" spans="1:5" x14ac:dyDescent="0.3">
      <c r="A2080" s="295">
        <v>2022</v>
      </c>
      <c r="B2080" s="295">
        <v>4</v>
      </c>
      <c r="C2080" s="295" t="s">
        <v>85</v>
      </c>
      <c r="D2080" s="295" t="s">
        <v>2</v>
      </c>
      <c r="E2080" s="296">
        <v>0.20422999999999999</v>
      </c>
    </row>
    <row r="2081" spans="1:5" x14ac:dyDescent="0.3">
      <c r="A2081" s="295">
        <v>2022</v>
      </c>
      <c r="B2081" s="295">
        <v>4</v>
      </c>
      <c r="C2081" s="295" t="s">
        <v>85</v>
      </c>
      <c r="D2081" s="295" t="s">
        <v>259</v>
      </c>
      <c r="E2081" s="296">
        <v>0.16259000000000001</v>
      </c>
    </row>
    <row r="2082" spans="1:5" x14ac:dyDescent="0.3">
      <c r="A2082" s="295">
        <v>2022</v>
      </c>
      <c r="B2082" s="295">
        <v>4</v>
      </c>
      <c r="C2082" s="295" t="s">
        <v>85</v>
      </c>
      <c r="D2082" s="295" t="s">
        <v>101</v>
      </c>
      <c r="E2082" s="296">
        <v>4.15015</v>
      </c>
    </row>
    <row r="2083" spans="1:5" x14ac:dyDescent="0.3">
      <c r="A2083" s="295">
        <v>2022</v>
      </c>
      <c r="B2083" s="295">
        <v>4</v>
      </c>
      <c r="C2083" s="295" t="s">
        <v>85</v>
      </c>
      <c r="D2083" s="295" t="s">
        <v>179</v>
      </c>
      <c r="E2083" s="296">
        <v>173.82789</v>
      </c>
    </row>
    <row r="2084" spans="1:5" x14ac:dyDescent="0.3">
      <c r="A2084" s="295">
        <v>2022</v>
      </c>
      <c r="B2084" s="295">
        <v>4</v>
      </c>
      <c r="C2084" s="295" t="s">
        <v>85</v>
      </c>
      <c r="D2084" s="295" t="s">
        <v>352</v>
      </c>
      <c r="E2084" s="296">
        <v>1.34555</v>
      </c>
    </row>
    <row r="2085" spans="1:5" x14ac:dyDescent="0.3">
      <c r="A2085" s="295">
        <v>2022</v>
      </c>
      <c r="B2085" s="295">
        <v>4</v>
      </c>
      <c r="C2085" s="295" t="s">
        <v>101</v>
      </c>
      <c r="D2085" s="295" t="s">
        <v>1</v>
      </c>
      <c r="E2085" s="296">
        <v>4.6690000000000002E-2</v>
      </c>
    </row>
    <row r="2086" spans="1:5" x14ac:dyDescent="0.3">
      <c r="A2086" s="295">
        <v>2022</v>
      </c>
      <c r="B2086" s="295">
        <v>4</v>
      </c>
      <c r="C2086" s="295" t="s">
        <v>101</v>
      </c>
      <c r="D2086" s="295" t="s">
        <v>2</v>
      </c>
      <c r="E2086" s="296">
        <v>4.9209999999999997E-2</v>
      </c>
    </row>
    <row r="2087" spans="1:5" x14ac:dyDescent="0.3">
      <c r="A2087" s="295">
        <v>2022</v>
      </c>
      <c r="B2087" s="295">
        <v>4</v>
      </c>
      <c r="C2087" s="295" t="s">
        <v>101</v>
      </c>
      <c r="D2087" s="295" t="s">
        <v>259</v>
      </c>
      <c r="E2087" s="296">
        <v>3.918E-2</v>
      </c>
    </row>
    <row r="2088" spans="1:5" x14ac:dyDescent="0.3">
      <c r="A2088" s="295">
        <v>2022</v>
      </c>
      <c r="B2088" s="295">
        <v>4</v>
      </c>
      <c r="C2088" s="295" t="s">
        <v>101</v>
      </c>
      <c r="D2088" s="295" t="s">
        <v>85</v>
      </c>
      <c r="E2088" s="296">
        <v>0.24096000000000001</v>
      </c>
    </row>
    <row r="2089" spans="1:5" x14ac:dyDescent="0.3">
      <c r="A2089" s="295">
        <v>2022</v>
      </c>
      <c r="B2089" s="295">
        <v>4</v>
      </c>
      <c r="C2089" s="295" t="s">
        <v>101</v>
      </c>
      <c r="D2089" s="295" t="s">
        <v>179</v>
      </c>
      <c r="E2089" s="296">
        <v>41.884709999999998</v>
      </c>
    </row>
    <row r="2090" spans="1:5" x14ac:dyDescent="0.3">
      <c r="A2090" s="295">
        <v>2022</v>
      </c>
      <c r="B2090" s="295">
        <v>4</v>
      </c>
      <c r="C2090" s="295" t="s">
        <v>101</v>
      </c>
      <c r="D2090" s="295" t="s">
        <v>352</v>
      </c>
      <c r="E2090" s="296">
        <v>0.32422000000000001</v>
      </c>
    </row>
    <row r="2091" spans="1:5" x14ac:dyDescent="0.3">
      <c r="A2091" s="295">
        <v>2022</v>
      </c>
      <c r="B2091" s="295">
        <v>4</v>
      </c>
      <c r="C2091" s="295" t="s">
        <v>179</v>
      </c>
      <c r="D2091" s="295" t="s">
        <v>1</v>
      </c>
      <c r="E2091" s="296">
        <v>1.1100000000000001E-3</v>
      </c>
    </row>
    <row r="2092" spans="1:5" x14ac:dyDescent="0.3">
      <c r="A2092" s="295">
        <v>2022</v>
      </c>
      <c r="B2092" s="295">
        <v>4</v>
      </c>
      <c r="C2092" s="295" t="s">
        <v>179</v>
      </c>
      <c r="D2092" s="295" t="s">
        <v>2</v>
      </c>
      <c r="E2092" s="296">
        <v>1.17E-3</v>
      </c>
    </row>
    <row r="2093" spans="1:5" x14ac:dyDescent="0.3">
      <c r="A2093" s="295">
        <v>2022</v>
      </c>
      <c r="B2093" s="295">
        <v>4</v>
      </c>
      <c r="C2093" s="295" t="s">
        <v>179</v>
      </c>
      <c r="D2093" s="295" t="s">
        <v>259</v>
      </c>
      <c r="E2093" s="296">
        <v>9.3999999999999997E-4</v>
      </c>
    </row>
    <row r="2094" spans="1:5" x14ac:dyDescent="0.3">
      <c r="A2094" s="295">
        <v>2022</v>
      </c>
      <c r="B2094" s="295">
        <v>4</v>
      </c>
      <c r="C2094" s="295" t="s">
        <v>179</v>
      </c>
      <c r="D2094" s="295" t="s">
        <v>85</v>
      </c>
      <c r="E2094" s="296">
        <v>5.7499999999999999E-3</v>
      </c>
    </row>
    <row r="2095" spans="1:5" x14ac:dyDescent="0.3">
      <c r="A2095" s="295">
        <v>2022</v>
      </c>
      <c r="B2095" s="295">
        <v>4</v>
      </c>
      <c r="C2095" s="295" t="s">
        <v>179</v>
      </c>
      <c r="D2095" s="295" t="s">
        <v>101</v>
      </c>
      <c r="E2095" s="296">
        <v>2.3879999999999998E-2</v>
      </c>
    </row>
    <row r="2096" spans="1:5" x14ac:dyDescent="0.3">
      <c r="A2096" s="295">
        <v>2022</v>
      </c>
      <c r="B2096" s="295">
        <v>4</v>
      </c>
      <c r="C2096" s="295" t="s">
        <v>179</v>
      </c>
      <c r="D2096" s="295" t="s">
        <v>352</v>
      </c>
      <c r="E2096" s="296">
        <v>7.7400000000000004E-3</v>
      </c>
    </row>
    <row r="2097" spans="1:5" x14ac:dyDescent="0.3">
      <c r="A2097" s="295">
        <v>2022</v>
      </c>
      <c r="B2097" s="295">
        <v>4</v>
      </c>
      <c r="C2097" s="295" t="s">
        <v>352</v>
      </c>
      <c r="D2097" s="295" t="s">
        <v>1</v>
      </c>
      <c r="E2097" s="296">
        <v>0.14401</v>
      </c>
    </row>
    <row r="2098" spans="1:5" x14ac:dyDescent="0.3">
      <c r="A2098" s="295">
        <v>2022</v>
      </c>
      <c r="B2098" s="295">
        <v>4</v>
      </c>
      <c r="C2098" s="295" t="s">
        <v>352</v>
      </c>
      <c r="D2098" s="295" t="s">
        <v>2</v>
      </c>
      <c r="E2098" s="296">
        <v>0.15178</v>
      </c>
    </row>
    <row r="2099" spans="1:5" x14ac:dyDescent="0.3">
      <c r="A2099" s="295">
        <v>2022</v>
      </c>
      <c r="B2099" s="295">
        <v>4</v>
      </c>
      <c r="C2099" s="295" t="s">
        <v>352</v>
      </c>
      <c r="D2099" s="295" t="s">
        <v>259</v>
      </c>
      <c r="E2099" s="296">
        <v>0.12083000000000001</v>
      </c>
    </row>
    <row r="2100" spans="1:5" x14ac:dyDescent="0.3">
      <c r="A2100" s="295">
        <v>2022</v>
      </c>
      <c r="B2100" s="295">
        <v>4</v>
      </c>
      <c r="C2100" s="295" t="s">
        <v>352</v>
      </c>
      <c r="D2100" s="295" t="s">
        <v>85</v>
      </c>
      <c r="E2100" s="296">
        <v>0.74319000000000002</v>
      </c>
    </row>
    <row r="2101" spans="1:5" x14ac:dyDescent="0.3">
      <c r="A2101" s="295">
        <v>2022</v>
      </c>
      <c r="B2101" s="295">
        <v>4</v>
      </c>
      <c r="C2101" s="295" t="s">
        <v>352</v>
      </c>
      <c r="D2101" s="295" t="s">
        <v>101</v>
      </c>
      <c r="E2101" s="296">
        <v>3.0843600000000002</v>
      </c>
    </row>
    <row r="2102" spans="1:5" x14ac:dyDescent="0.3">
      <c r="A2102" s="295">
        <v>2022</v>
      </c>
      <c r="B2102" s="295">
        <v>4</v>
      </c>
      <c r="C2102" s="295" t="s">
        <v>352</v>
      </c>
      <c r="D2102" s="295" t="s">
        <v>179</v>
      </c>
      <c r="E2102" s="296">
        <v>129.18751</v>
      </c>
    </row>
    <row r="2103" spans="1:5" x14ac:dyDescent="0.3">
      <c r="A2103" s="295">
        <v>2022</v>
      </c>
      <c r="B2103" s="295">
        <v>4</v>
      </c>
      <c r="C2103" s="295" t="s">
        <v>1</v>
      </c>
      <c r="D2103" s="295" t="s">
        <v>1</v>
      </c>
      <c r="E2103" s="296">
        <v>1</v>
      </c>
    </row>
    <row r="2104" spans="1:5" x14ac:dyDescent="0.3">
      <c r="A2104" s="295">
        <v>2022</v>
      </c>
      <c r="B2104" s="295">
        <v>4</v>
      </c>
      <c r="C2104" s="295" t="s">
        <v>2</v>
      </c>
      <c r="D2104" s="295" t="s">
        <v>2</v>
      </c>
      <c r="E2104" s="296">
        <v>1</v>
      </c>
    </row>
    <row r="2105" spans="1:5" x14ac:dyDescent="0.3">
      <c r="A2105" s="295">
        <v>2022</v>
      </c>
      <c r="B2105" s="295">
        <v>4</v>
      </c>
      <c r="C2105" s="295" t="s">
        <v>259</v>
      </c>
      <c r="D2105" s="295" t="s">
        <v>259</v>
      </c>
      <c r="E2105" s="296">
        <v>1</v>
      </c>
    </row>
    <row r="2106" spans="1:5" x14ac:dyDescent="0.3">
      <c r="A2106" s="295">
        <v>2022</v>
      </c>
      <c r="B2106" s="295">
        <v>4</v>
      </c>
      <c r="C2106" s="295" t="s">
        <v>85</v>
      </c>
      <c r="D2106" s="295" t="s">
        <v>85</v>
      </c>
      <c r="E2106" s="296">
        <v>1</v>
      </c>
    </row>
    <row r="2107" spans="1:5" x14ac:dyDescent="0.3">
      <c r="A2107" s="295">
        <v>2022</v>
      </c>
      <c r="B2107" s="295">
        <v>4</v>
      </c>
      <c r="C2107" s="295" t="s">
        <v>101</v>
      </c>
      <c r="D2107" s="295" t="s">
        <v>101</v>
      </c>
      <c r="E2107" s="296">
        <v>1</v>
      </c>
    </row>
    <row r="2108" spans="1:5" x14ac:dyDescent="0.3">
      <c r="A2108" s="295">
        <v>2022</v>
      </c>
      <c r="B2108" s="295">
        <v>4</v>
      </c>
      <c r="C2108" s="295" t="s">
        <v>179</v>
      </c>
      <c r="D2108" s="295" t="s">
        <v>179</v>
      </c>
      <c r="E2108" s="296">
        <v>1</v>
      </c>
    </row>
    <row r="2109" spans="1:5" x14ac:dyDescent="0.3">
      <c r="A2109" s="295">
        <v>2022</v>
      </c>
      <c r="B2109" s="295">
        <v>4</v>
      </c>
      <c r="C2109" s="295" t="s">
        <v>352</v>
      </c>
      <c r="D2109" s="295" t="s">
        <v>352</v>
      </c>
      <c r="E2109" s="296">
        <v>1</v>
      </c>
    </row>
    <row r="2110" spans="1:5" x14ac:dyDescent="0.3">
      <c r="A2110" s="295">
        <v>2022</v>
      </c>
      <c r="B2110" s="295">
        <v>5</v>
      </c>
      <c r="C2110" s="295" t="s">
        <v>1</v>
      </c>
      <c r="D2110" s="295" t="s">
        <v>2</v>
      </c>
      <c r="E2110" s="296">
        <v>1.0712999999999999</v>
      </c>
    </row>
    <row r="2111" spans="1:5" x14ac:dyDescent="0.3">
      <c r="A2111" s="295">
        <v>2022</v>
      </c>
      <c r="B2111" s="295">
        <v>5</v>
      </c>
      <c r="C2111" s="295" t="s">
        <v>1</v>
      </c>
      <c r="D2111" s="295" t="s">
        <v>259</v>
      </c>
      <c r="E2111" s="296">
        <v>0.85138000000000003</v>
      </c>
    </row>
    <row r="2112" spans="1:5" x14ac:dyDescent="0.3">
      <c r="A2112" s="295">
        <v>2022</v>
      </c>
      <c r="B2112" s="295">
        <v>5</v>
      </c>
      <c r="C2112" s="295" t="s">
        <v>1</v>
      </c>
      <c r="D2112" s="295" t="s">
        <v>85</v>
      </c>
      <c r="E2112" s="296">
        <v>5.0964999999999998</v>
      </c>
    </row>
    <row r="2113" spans="1:5" x14ac:dyDescent="0.3">
      <c r="A2113" s="295">
        <v>2022</v>
      </c>
      <c r="B2113" s="295">
        <v>5</v>
      </c>
      <c r="C2113" s="295" t="s">
        <v>1</v>
      </c>
      <c r="D2113" s="295" t="s">
        <v>101</v>
      </c>
      <c r="E2113" s="296">
        <v>20.986999999999998</v>
      </c>
    </row>
    <row r="2114" spans="1:5" x14ac:dyDescent="0.3">
      <c r="A2114" s="295">
        <v>2022</v>
      </c>
      <c r="B2114" s="295">
        <v>5</v>
      </c>
      <c r="C2114" s="295" t="s">
        <v>1</v>
      </c>
      <c r="D2114" s="295" t="s">
        <v>179</v>
      </c>
      <c r="E2114" s="296">
        <v>882.08699999999999</v>
      </c>
    </row>
    <row r="2115" spans="1:5" x14ac:dyDescent="0.3">
      <c r="A2115" s="295">
        <v>2022</v>
      </c>
      <c r="B2115" s="295">
        <v>5</v>
      </c>
      <c r="C2115" s="295" t="s">
        <v>1</v>
      </c>
      <c r="D2115" s="295" t="s">
        <v>352</v>
      </c>
      <c r="E2115" s="296">
        <v>7.1402000000000001</v>
      </c>
    </row>
    <row r="2116" spans="1:5" x14ac:dyDescent="0.3">
      <c r="A2116" s="295">
        <v>2022</v>
      </c>
      <c r="B2116" s="295">
        <v>5</v>
      </c>
      <c r="C2116" s="295" t="s">
        <v>2</v>
      </c>
      <c r="D2116" s="295" t="s">
        <v>1</v>
      </c>
      <c r="E2116" s="296">
        <v>0.93345</v>
      </c>
    </row>
    <row r="2117" spans="1:5" x14ac:dyDescent="0.3">
      <c r="A2117" s="295">
        <v>2022</v>
      </c>
      <c r="B2117" s="295">
        <v>5</v>
      </c>
      <c r="C2117" s="295" t="s">
        <v>2</v>
      </c>
      <c r="D2117" s="295" t="s">
        <v>259</v>
      </c>
      <c r="E2117" s="296">
        <v>0.79471999999999998</v>
      </c>
    </row>
    <row r="2118" spans="1:5" x14ac:dyDescent="0.3">
      <c r="A2118" s="295">
        <v>2022</v>
      </c>
      <c r="B2118" s="295">
        <v>5</v>
      </c>
      <c r="C2118" s="295" t="s">
        <v>2</v>
      </c>
      <c r="D2118" s="295" t="s">
        <v>85</v>
      </c>
      <c r="E2118" s="296">
        <v>4.7572999999999999</v>
      </c>
    </row>
    <row r="2119" spans="1:5" x14ac:dyDescent="0.3">
      <c r="A2119" s="295">
        <v>2022</v>
      </c>
      <c r="B2119" s="295">
        <v>5</v>
      </c>
      <c r="C2119" s="295" t="s">
        <v>2</v>
      </c>
      <c r="D2119" s="295" t="s">
        <v>101</v>
      </c>
      <c r="E2119" s="296">
        <v>19.590219999999999</v>
      </c>
    </row>
    <row r="2120" spans="1:5" x14ac:dyDescent="0.3">
      <c r="A2120" s="295">
        <v>2022</v>
      </c>
      <c r="B2120" s="295">
        <v>5</v>
      </c>
      <c r="C2120" s="295" t="s">
        <v>2</v>
      </c>
      <c r="D2120" s="295" t="s">
        <v>179</v>
      </c>
      <c r="E2120" s="296">
        <v>823.38000999999997</v>
      </c>
    </row>
    <row r="2121" spans="1:5" x14ac:dyDescent="0.3">
      <c r="A2121" s="295">
        <v>2022</v>
      </c>
      <c r="B2121" s="295">
        <v>5</v>
      </c>
      <c r="C2121" s="295" t="s">
        <v>2</v>
      </c>
      <c r="D2121" s="295" t="s">
        <v>352</v>
      </c>
      <c r="E2121" s="296">
        <v>6.6649900000000004</v>
      </c>
    </row>
    <row r="2122" spans="1:5" x14ac:dyDescent="0.3">
      <c r="A2122" s="295">
        <v>2022</v>
      </c>
      <c r="B2122" s="295">
        <v>5</v>
      </c>
      <c r="C2122" s="295" t="s">
        <v>259</v>
      </c>
      <c r="D2122" s="295" t="s">
        <v>1</v>
      </c>
      <c r="E2122" s="296">
        <v>1.17456</v>
      </c>
    </row>
    <row r="2123" spans="1:5" x14ac:dyDescent="0.3">
      <c r="A2123" s="295">
        <v>2022</v>
      </c>
      <c r="B2123" s="295">
        <v>5</v>
      </c>
      <c r="C2123" s="295" t="s">
        <v>259</v>
      </c>
      <c r="D2123" s="295" t="s">
        <v>2</v>
      </c>
      <c r="E2123" s="296">
        <v>1.25831</v>
      </c>
    </row>
    <row r="2124" spans="1:5" x14ac:dyDescent="0.3">
      <c r="A2124" s="295">
        <v>2022</v>
      </c>
      <c r="B2124" s="295">
        <v>5</v>
      </c>
      <c r="C2124" s="295" t="s">
        <v>259</v>
      </c>
      <c r="D2124" s="295" t="s">
        <v>85</v>
      </c>
      <c r="E2124" s="296">
        <v>5.9861599999999999</v>
      </c>
    </row>
    <row r="2125" spans="1:5" x14ac:dyDescent="0.3">
      <c r="A2125" s="295">
        <v>2022</v>
      </c>
      <c r="B2125" s="295">
        <v>5</v>
      </c>
      <c r="C2125" s="295" t="s">
        <v>259</v>
      </c>
      <c r="D2125" s="295" t="s">
        <v>101</v>
      </c>
      <c r="E2125" s="296">
        <v>24.650569999999998</v>
      </c>
    </row>
    <row r="2126" spans="1:5" x14ac:dyDescent="0.3">
      <c r="A2126" s="295">
        <v>2022</v>
      </c>
      <c r="B2126" s="295">
        <v>5</v>
      </c>
      <c r="C2126" s="295" t="s">
        <v>259</v>
      </c>
      <c r="D2126" s="295" t="s">
        <v>179</v>
      </c>
      <c r="E2126" s="296">
        <v>1036.0673300000001</v>
      </c>
    </row>
    <row r="2127" spans="1:5" x14ac:dyDescent="0.3">
      <c r="A2127" s="295">
        <v>2022</v>
      </c>
      <c r="B2127" s="295">
        <v>5</v>
      </c>
      <c r="C2127" s="295" t="s">
        <v>259</v>
      </c>
      <c r="D2127" s="295" t="s">
        <v>352</v>
      </c>
      <c r="E2127" s="296">
        <v>8.3866200000000006</v>
      </c>
    </row>
    <row r="2128" spans="1:5" x14ac:dyDescent="0.3">
      <c r="A2128" s="295">
        <v>2022</v>
      </c>
      <c r="B2128" s="295">
        <v>5</v>
      </c>
      <c r="C2128" s="295" t="s">
        <v>85</v>
      </c>
      <c r="D2128" s="295" t="s">
        <v>1</v>
      </c>
      <c r="E2128" s="296">
        <v>0.19621</v>
      </c>
    </row>
    <row r="2129" spans="1:5" x14ac:dyDescent="0.3">
      <c r="A2129" s="295">
        <v>2022</v>
      </c>
      <c r="B2129" s="295">
        <v>5</v>
      </c>
      <c r="C2129" s="295" t="s">
        <v>85</v>
      </c>
      <c r="D2129" s="295" t="s">
        <v>2</v>
      </c>
      <c r="E2129" s="296">
        <v>0.2102</v>
      </c>
    </row>
    <row r="2130" spans="1:5" x14ac:dyDescent="0.3">
      <c r="A2130" s="295">
        <v>2022</v>
      </c>
      <c r="B2130" s="295">
        <v>5</v>
      </c>
      <c r="C2130" s="295" t="s">
        <v>85</v>
      </c>
      <c r="D2130" s="295" t="s">
        <v>259</v>
      </c>
      <c r="E2130" s="296">
        <v>0.16705</v>
      </c>
    </row>
    <row r="2131" spans="1:5" x14ac:dyDescent="0.3">
      <c r="A2131" s="295">
        <v>2022</v>
      </c>
      <c r="B2131" s="295">
        <v>5</v>
      </c>
      <c r="C2131" s="295" t="s">
        <v>85</v>
      </c>
      <c r="D2131" s="295" t="s">
        <v>101</v>
      </c>
      <c r="E2131" s="296">
        <v>4.1179199999999998</v>
      </c>
    </row>
    <row r="2132" spans="1:5" x14ac:dyDescent="0.3">
      <c r="A2132" s="295">
        <v>2022</v>
      </c>
      <c r="B2132" s="295">
        <v>5</v>
      </c>
      <c r="C2132" s="295" t="s">
        <v>85</v>
      </c>
      <c r="D2132" s="295" t="s">
        <v>179</v>
      </c>
      <c r="E2132" s="296">
        <v>173.07701</v>
      </c>
    </row>
    <row r="2133" spans="1:5" x14ac:dyDescent="0.3">
      <c r="A2133" s="295">
        <v>2022</v>
      </c>
      <c r="B2133" s="295">
        <v>5</v>
      </c>
      <c r="C2133" s="295" t="s">
        <v>85</v>
      </c>
      <c r="D2133" s="295" t="s">
        <v>352</v>
      </c>
      <c r="E2133" s="296">
        <v>1.401</v>
      </c>
    </row>
    <row r="2134" spans="1:5" x14ac:dyDescent="0.3">
      <c r="A2134" s="295">
        <v>2022</v>
      </c>
      <c r="B2134" s="295">
        <v>5</v>
      </c>
      <c r="C2134" s="295" t="s">
        <v>101</v>
      </c>
      <c r="D2134" s="295" t="s">
        <v>1</v>
      </c>
      <c r="E2134" s="296">
        <v>4.7649999999999998E-2</v>
      </c>
    </row>
    <row r="2135" spans="1:5" x14ac:dyDescent="0.3">
      <c r="A2135" s="295">
        <v>2022</v>
      </c>
      <c r="B2135" s="295">
        <v>5</v>
      </c>
      <c r="C2135" s="295" t="s">
        <v>101</v>
      </c>
      <c r="D2135" s="295" t="s">
        <v>2</v>
      </c>
      <c r="E2135" s="296">
        <v>5.1049999999999998E-2</v>
      </c>
    </row>
    <row r="2136" spans="1:5" x14ac:dyDescent="0.3">
      <c r="A2136" s="295">
        <v>2022</v>
      </c>
      <c r="B2136" s="295">
        <v>5</v>
      </c>
      <c r="C2136" s="295" t="s">
        <v>101</v>
      </c>
      <c r="D2136" s="295" t="s">
        <v>259</v>
      </c>
      <c r="E2136" s="296">
        <v>4.0570000000000002E-2</v>
      </c>
    </row>
    <row r="2137" spans="1:5" x14ac:dyDescent="0.3">
      <c r="A2137" s="295">
        <v>2022</v>
      </c>
      <c r="B2137" s="295">
        <v>5</v>
      </c>
      <c r="C2137" s="295" t="s">
        <v>101</v>
      </c>
      <c r="D2137" s="295" t="s">
        <v>85</v>
      </c>
      <c r="E2137" s="296">
        <v>0.24284</v>
      </c>
    </row>
    <row r="2138" spans="1:5" x14ac:dyDescent="0.3">
      <c r="A2138" s="295">
        <v>2022</v>
      </c>
      <c r="B2138" s="295">
        <v>5</v>
      </c>
      <c r="C2138" s="295" t="s">
        <v>101</v>
      </c>
      <c r="D2138" s="295" t="s">
        <v>179</v>
      </c>
      <c r="E2138" s="296">
        <v>42.030160000000002</v>
      </c>
    </row>
    <row r="2139" spans="1:5" x14ac:dyDescent="0.3">
      <c r="A2139" s="295">
        <v>2022</v>
      </c>
      <c r="B2139" s="295">
        <v>5</v>
      </c>
      <c r="C2139" s="295" t="s">
        <v>101</v>
      </c>
      <c r="D2139" s="295" t="s">
        <v>352</v>
      </c>
      <c r="E2139" s="296">
        <v>0.34022000000000002</v>
      </c>
    </row>
    <row r="2140" spans="1:5" x14ac:dyDescent="0.3">
      <c r="A2140" s="295">
        <v>2022</v>
      </c>
      <c r="B2140" s="295">
        <v>5</v>
      </c>
      <c r="C2140" s="295" t="s">
        <v>179</v>
      </c>
      <c r="D2140" s="295" t="s">
        <v>1</v>
      </c>
      <c r="E2140" s="296">
        <v>1.1299999999999999E-3</v>
      </c>
    </row>
    <row r="2141" spans="1:5" x14ac:dyDescent="0.3">
      <c r="A2141" s="295">
        <v>2022</v>
      </c>
      <c r="B2141" s="295">
        <v>5</v>
      </c>
      <c r="C2141" s="295" t="s">
        <v>179</v>
      </c>
      <c r="D2141" s="295" t="s">
        <v>2</v>
      </c>
      <c r="E2141" s="296">
        <v>1.2099999999999999E-3</v>
      </c>
    </row>
    <row r="2142" spans="1:5" x14ac:dyDescent="0.3">
      <c r="A2142" s="295">
        <v>2022</v>
      </c>
      <c r="B2142" s="295">
        <v>5</v>
      </c>
      <c r="C2142" s="295" t="s">
        <v>179</v>
      </c>
      <c r="D2142" s="295" t="s">
        <v>259</v>
      </c>
      <c r="E2142" s="296">
        <v>9.7000000000000005E-4</v>
      </c>
    </row>
    <row r="2143" spans="1:5" x14ac:dyDescent="0.3">
      <c r="A2143" s="295">
        <v>2022</v>
      </c>
      <c r="B2143" s="295">
        <v>5</v>
      </c>
      <c r="C2143" s="295" t="s">
        <v>179</v>
      </c>
      <c r="D2143" s="295" t="s">
        <v>85</v>
      </c>
      <c r="E2143" s="296">
        <v>5.7800000000000004E-3</v>
      </c>
    </row>
    <row r="2144" spans="1:5" x14ac:dyDescent="0.3">
      <c r="A2144" s="295">
        <v>2022</v>
      </c>
      <c r="B2144" s="295">
        <v>5</v>
      </c>
      <c r="C2144" s="295" t="s">
        <v>179</v>
      </c>
      <c r="D2144" s="295" t="s">
        <v>101</v>
      </c>
      <c r="E2144" s="296">
        <v>2.3789999999999999E-2</v>
      </c>
    </row>
    <row r="2145" spans="1:5" x14ac:dyDescent="0.3">
      <c r="A2145" s="295">
        <v>2022</v>
      </c>
      <c r="B2145" s="295">
        <v>5</v>
      </c>
      <c r="C2145" s="295" t="s">
        <v>179</v>
      </c>
      <c r="D2145" s="295" t="s">
        <v>352</v>
      </c>
      <c r="E2145" s="296">
        <v>8.09E-3</v>
      </c>
    </row>
    <row r="2146" spans="1:5" x14ac:dyDescent="0.3">
      <c r="A2146" s="295">
        <v>2022</v>
      </c>
      <c r="B2146" s="295">
        <v>5</v>
      </c>
      <c r="C2146" s="295" t="s">
        <v>352</v>
      </c>
      <c r="D2146" s="295" t="s">
        <v>1</v>
      </c>
      <c r="E2146" s="296">
        <v>0.14005000000000001</v>
      </c>
    </row>
    <row r="2147" spans="1:5" x14ac:dyDescent="0.3">
      <c r="A2147" s="295">
        <v>2022</v>
      </c>
      <c r="B2147" s="295">
        <v>5</v>
      </c>
      <c r="C2147" s="295" t="s">
        <v>352</v>
      </c>
      <c r="D2147" s="295" t="s">
        <v>2</v>
      </c>
      <c r="E2147" s="296">
        <v>0.15004000000000001</v>
      </c>
    </row>
    <row r="2148" spans="1:5" x14ac:dyDescent="0.3">
      <c r="A2148" s="295">
        <v>2022</v>
      </c>
      <c r="B2148" s="295">
        <v>5</v>
      </c>
      <c r="C2148" s="295" t="s">
        <v>352</v>
      </c>
      <c r="D2148" s="295" t="s">
        <v>259</v>
      </c>
      <c r="E2148" s="296">
        <v>0.11924</v>
      </c>
    </row>
    <row r="2149" spans="1:5" x14ac:dyDescent="0.3">
      <c r="A2149" s="295">
        <v>2022</v>
      </c>
      <c r="B2149" s="295">
        <v>5</v>
      </c>
      <c r="C2149" s="295" t="s">
        <v>352</v>
      </c>
      <c r="D2149" s="295" t="s">
        <v>85</v>
      </c>
      <c r="E2149" s="296">
        <v>0.71377999999999997</v>
      </c>
    </row>
    <row r="2150" spans="1:5" x14ac:dyDescent="0.3">
      <c r="A2150" s="295">
        <v>2022</v>
      </c>
      <c r="B2150" s="295">
        <v>5</v>
      </c>
      <c r="C2150" s="295" t="s">
        <v>352</v>
      </c>
      <c r="D2150" s="295" t="s">
        <v>101</v>
      </c>
      <c r="E2150" s="296">
        <v>2.93927</v>
      </c>
    </row>
    <row r="2151" spans="1:5" x14ac:dyDescent="0.3">
      <c r="A2151" s="295">
        <v>2022</v>
      </c>
      <c r="B2151" s="295">
        <v>5</v>
      </c>
      <c r="C2151" s="295" t="s">
        <v>352</v>
      </c>
      <c r="D2151" s="295" t="s">
        <v>179</v>
      </c>
      <c r="E2151" s="296">
        <v>123.53814</v>
      </c>
    </row>
    <row r="2152" spans="1:5" x14ac:dyDescent="0.3">
      <c r="A2152" s="295">
        <v>2022</v>
      </c>
      <c r="B2152" s="295">
        <v>5</v>
      </c>
      <c r="C2152" s="295" t="s">
        <v>1</v>
      </c>
      <c r="D2152" s="295" t="s">
        <v>1</v>
      </c>
      <c r="E2152" s="296">
        <v>1</v>
      </c>
    </row>
    <row r="2153" spans="1:5" x14ac:dyDescent="0.3">
      <c r="A2153" s="295">
        <v>2022</v>
      </c>
      <c r="B2153" s="295">
        <v>5</v>
      </c>
      <c r="C2153" s="295" t="s">
        <v>2</v>
      </c>
      <c r="D2153" s="295" t="s">
        <v>2</v>
      </c>
      <c r="E2153" s="296">
        <v>1</v>
      </c>
    </row>
    <row r="2154" spans="1:5" x14ac:dyDescent="0.3">
      <c r="A2154" s="295">
        <v>2022</v>
      </c>
      <c r="B2154" s="295">
        <v>5</v>
      </c>
      <c r="C2154" s="295" t="s">
        <v>259</v>
      </c>
      <c r="D2154" s="295" t="s">
        <v>259</v>
      </c>
      <c r="E2154" s="296">
        <v>1</v>
      </c>
    </row>
    <row r="2155" spans="1:5" x14ac:dyDescent="0.3">
      <c r="A2155" s="295">
        <v>2022</v>
      </c>
      <c r="B2155" s="295">
        <v>5</v>
      </c>
      <c r="C2155" s="295" t="s">
        <v>85</v>
      </c>
      <c r="D2155" s="295" t="s">
        <v>85</v>
      </c>
      <c r="E2155" s="296">
        <v>1</v>
      </c>
    </row>
    <row r="2156" spans="1:5" x14ac:dyDescent="0.3">
      <c r="A2156" s="295">
        <v>2022</v>
      </c>
      <c r="B2156" s="295">
        <v>5</v>
      </c>
      <c r="C2156" s="295" t="s">
        <v>101</v>
      </c>
      <c r="D2156" s="295" t="s">
        <v>101</v>
      </c>
      <c r="E2156" s="296">
        <v>1</v>
      </c>
    </row>
    <row r="2157" spans="1:5" x14ac:dyDescent="0.3">
      <c r="A2157" s="295">
        <v>2022</v>
      </c>
      <c r="B2157" s="295">
        <v>5</v>
      </c>
      <c r="C2157" s="295" t="s">
        <v>179</v>
      </c>
      <c r="D2157" s="295" t="s">
        <v>179</v>
      </c>
      <c r="E2157" s="296">
        <v>1</v>
      </c>
    </row>
    <row r="2158" spans="1:5" x14ac:dyDescent="0.3">
      <c r="A2158" s="295">
        <v>2022</v>
      </c>
      <c r="B2158" s="295">
        <v>5</v>
      </c>
      <c r="C2158" s="295" t="s">
        <v>352</v>
      </c>
      <c r="D2158" s="295" t="s">
        <v>352</v>
      </c>
      <c r="E2158" s="296">
        <v>1</v>
      </c>
    </row>
    <row r="2159" spans="1:5" x14ac:dyDescent="0.3">
      <c r="A2159" s="295">
        <v>2022</v>
      </c>
      <c r="B2159" s="295">
        <v>6</v>
      </c>
      <c r="C2159" s="295" t="s">
        <v>1</v>
      </c>
      <c r="D2159" s="295" t="s">
        <v>2</v>
      </c>
      <c r="E2159" s="296">
        <v>1.0387</v>
      </c>
    </row>
    <row r="2160" spans="1:5" x14ac:dyDescent="0.3">
      <c r="A2160" s="295">
        <v>2022</v>
      </c>
      <c r="B2160" s="295">
        <v>6</v>
      </c>
      <c r="C2160" s="295" t="s">
        <v>1</v>
      </c>
      <c r="D2160" s="295" t="s">
        <v>259</v>
      </c>
      <c r="E2160" s="296">
        <v>0.85819999999999996</v>
      </c>
    </row>
    <row r="2161" spans="1:5" x14ac:dyDescent="0.3">
      <c r="A2161" s="295">
        <v>2022</v>
      </c>
      <c r="B2161" s="295">
        <v>6</v>
      </c>
      <c r="C2161" s="295" t="s">
        <v>1</v>
      </c>
      <c r="D2161" s="295" t="s">
        <v>85</v>
      </c>
      <c r="E2161" s="296">
        <v>5.4229000000000003</v>
      </c>
    </row>
    <row r="2162" spans="1:5" x14ac:dyDescent="0.3">
      <c r="A2162" s="295">
        <v>2022</v>
      </c>
      <c r="B2162" s="295">
        <v>6</v>
      </c>
      <c r="C2162" s="295" t="s">
        <v>1</v>
      </c>
      <c r="D2162" s="295" t="s">
        <v>101</v>
      </c>
      <c r="E2162" s="296">
        <v>20.964099999999998</v>
      </c>
    </row>
    <row r="2163" spans="1:5" x14ac:dyDescent="0.3">
      <c r="A2163" s="295">
        <v>2022</v>
      </c>
      <c r="B2163" s="295">
        <v>6</v>
      </c>
      <c r="C2163" s="295" t="s">
        <v>1</v>
      </c>
      <c r="D2163" s="295" t="s">
        <v>179</v>
      </c>
      <c r="E2163" s="296">
        <v>951.76099999999997</v>
      </c>
    </row>
    <row r="2164" spans="1:5" x14ac:dyDescent="0.3">
      <c r="A2164" s="295">
        <v>2022</v>
      </c>
      <c r="B2164" s="295">
        <v>6</v>
      </c>
      <c r="C2164" s="295" t="s">
        <v>1</v>
      </c>
      <c r="D2164" s="295" t="s">
        <v>352</v>
      </c>
      <c r="E2164" s="296">
        <v>6.9623999999999997</v>
      </c>
    </row>
    <row r="2165" spans="1:5" x14ac:dyDescent="0.3">
      <c r="A2165" s="295">
        <v>2022</v>
      </c>
      <c r="B2165" s="295">
        <v>6</v>
      </c>
      <c r="C2165" s="295" t="s">
        <v>2</v>
      </c>
      <c r="D2165" s="295" t="s">
        <v>1</v>
      </c>
      <c r="E2165" s="296">
        <v>0.96274000000000004</v>
      </c>
    </row>
    <row r="2166" spans="1:5" x14ac:dyDescent="0.3">
      <c r="A2166" s="295">
        <v>2022</v>
      </c>
      <c r="B2166" s="295">
        <v>6</v>
      </c>
      <c r="C2166" s="295" t="s">
        <v>2</v>
      </c>
      <c r="D2166" s="295" t="s">
        <v>259</v>
      </c>
      <c r="E2166" s="296">
        <v>0.82623000000000002</v>
      </c>
    </row>
    <row r="2167" spans="1:5" x14ac:dyDescent="0.3">
      <c r="A2167" s="295">
        <v>2022</v>
      </c>
      <c r="B2167" s="295">
        <v>6</v>
      </c>
      <c r="C2167" s="295" t="s">
        <v>2</v>
      </c>
      <c r="D2167" s="295" t="s">
        <v>85</v>
      </c>
      <c r="E2167" s="296">
        <v>5.2208500000000004</v>
      </c>
    </row>
    <row r="2168" spans="1:5" x14ac:dyDescent="0.3">
      <c r="A2168" s="295">
        <v>2022</v>
      </c>
      <c r="B2168" s="295">
        <v>6</v>
      </c>
      <c r="C2168" s="295" t="s">
        <v>2</v>
      </c>
      <c r="D2168" s="295" t="s">
        <v>101</v>
      </c>
      <c r="E2168" s="296">
        <v>20.183019999999999</v>
      </c>
    </row>
    <row r="2169" spans="1:5" x14ac:dyDescent="0.3">
      <c r="A2169" s="295">
        <v>2022</v>
      </c>
      <c r="B2169" s="295">
        <v>6</v>
      </c>
      <c r="C2169" s="295" t="s">
        <v>2</v>
      </c>
      <c r="D2169" s="295" t="s">
        <v>179</v>
      </c>
      <c r="E2169" s="296">
        <v>916.30017999999995</v>
      </c>
    </row>
    <row r="2170" spans="1:5" x14ac:dyDescent="0.3">
      <c r="A2170" s="295">
        <v>2022</v>
      </c>
      <c r="B2170" s="295">
        <v>6</v>
      </c>
      <c r="C2170" s="295" t="s">
        <v>2</v>
      </c>
      <c r="D2170" s="295" t="s">
        <v>352</v>
      </c>
      <c r="E2170" s="296">
        <v>6.7029899999999998</v>
      </c>
    </row>
    <row r="2171" spans="1:5" x14ac:dyDescent="0.3">
      <c r="A2171" s="295">
        <v>2022</v>
      </c>
      <c r="B2171" s="295">
        <v>6</v>
      </c>
      <c r="C2171" s="295" t="s">
        <v>259</v>
      </c>
      <c r="D2171" s="295" t="s">
        <v>1</v>
      </c>
      <c r="E2171" s="296">
        <v>1.16523</v>
      </c>
    </row>
    <row r="2172" spans="1:5" x14ac:dyDescent="0.3">
      <c r="A2172" s="295">
        <v>2022</v>
      </c>
      <c r="B2172" s="295">
        <v>6</v>
      </c>
      <c r="C2172" s="295" t="s">
        <v>259</v>
      </c>
      <c r="D2172" s="295" t="s">
        <v>2</v>
      </c>
      <c r="E2172" s="296">
        <v>1.2103200000000001</v>
      </c>
    </row>
    <row r="2173" spans="1:5" x14ac:dyDescent="0.3">
      <c r="A2173" s="295">
        <v>2022</v>
      </c>
      <c r="B2173" s="295">
        <v>6</v>
      </c>
      <c r="C2173" s="295" t="s">
        <v>259</v>
      </c>
      <c r="D2173" s="295" t="s">
        <v>85</v>
      </c>
      <c r="E2173" s="296">
        <v>6.3189200000000003</v>
      </c>
    </row>
    <row r="2174" spans="1:5" x14ac:dyDescent="0.3">
      <c r="A2174" s="295">
        <v>2022</v>
      </c>
      <c r="B2174" s="295">
        <v>6</v>
      </c>
      <c r="C2174" s="295" t="s">
        <v>259</v>
      </c>
      <c r="D2174" s="295" t="s">
        <v>101</v>
      </c>
      <c r="E2174" s="296">
        <v>24.427990000000001</v>
      </c>
    </row>
    <row r="2175" spans="1:5" x14ac:dyDescent="0.3">
      <c r="A2175" s="295">
        <v>2022</v>
      </c>
      <c r="B2175" s="295">
        <v>6</v>
      </c>
      <c r="C2175" s="295" t="s">
        <v>259</v>
      </c>
      <c r="D2175" s="295" t="s">
        <v>179</v>
      </c>
      <c r="E2175" s="296">
        <v>1109.0200400000001</v>
      </c>
    </row>
    <row r="2176" spans="1:5" x14ac:dyDescent="0.3">
      <c r="A2176" s="295">
        <v>2022</v>
      </c>
      <c r="B2176" s="295">
        <v>6</v>
      </c>
      <c r="C2176" s="295" t="s">
        <v>259</v>
      </c>
      <c r="D2176" s="295" t="s">
        <v>352</v>
      </c>
      <c r="E2176" s="296">
        <v>8.1127900000000004</v>
      </c>
    </row>
    <row r="2177" spans="1:5" x14ac:dyDescent="0.3">
      <c r="A2177" s="295">
        <v>2022</v>
      </c>
      <c r="B2177" s="295">
        <v>6</v>
      </c>
      <c r="C2177" s="295" t="s">
        <v>85</v>
      </c>
      <c r="D2177" s="295" t="s">
        <v>1</v>
      </c>
      <c r="E2177" s="296">
        <v>0.18440000000000001</v>
      </c>
    </row>
    <row r="2178" spans="1:5" x14ac:dyDescent="0.3">
      <c r="A2178" s="295">
        <v>2022</v>
      </c>
      <c r="B2178" s="295">
        <v>6</v>
      </c>
      <c r="C2178" s="295" t="s">
        <v>85</v>
      </c>
      <c r="D2178" s="295" t="s">
        <v>2</v>
      </c>
      <c r="E2178" s="296">
        <v>0.19153999999999999</v>
      </c>
    </row>
    <row r="2179" spans="1:5" x14ac:dyDescent="0.3">
      <c r="A2179" s="295">
        <v>2022</v>
      </c>
      <c r="B2179" s="295">
        <v>6</v>
      </c>
      <c r="C2179" s="295" t="s">
        <v>85</v>
      </c>
      <c r="D2179" s="295" t="s">
        <v>259</v>
      </c>
      <c r="E2179" s="296">
        <v>0.15825</v>
      </c>
    </row>
    <row r="2180" spans="1:5" x14ac:dyDescent="0.3">
      <c r="A2180" s="295">
        <v>2022</v>
      </c>
      <c r="B2180" s="295">
        <v>6</v>
      </c>
      <c r="C2180" s="295" t="s">
        <v>85</v>
      </c>
      <c r="D2180" s="295" t="s">
        <v>101</v>
      </c>
      <c r="E2180" s="296">
        <v>3.86585</v>
      </c>
    </row>
    <row r="2181" spans="1:5" x14ac:dyDescent="0.3">
      <c r="A2181" s="295">
        <v>2022</v>
      </c>
      <c r="B2181" s="295">
        <v>6</v>
      </c>
      <c r="C2181" s="295" t="s">
        <v>85</v>
      </c>
      <c r="D2181" s="295" t="s">
        <v>179</v>
      </c>
      <c r="E2181" s="296">
        <v>175.50774999999999</v>
      </c>
    </row>
    <row r="2182" spans="1:5" x14ac:dyDescent="0.3">
      <c r="A2182" s="295">
        <v>2022</v>
      </c>
      <c r="B2182" s="295">
        <v>6</v>
      </c>
      <c r="C2182" s="295" t="s">
        <v>85</v>
      </c>
      <c r="D2182" s="295" t="s">
        <v>352</v>
      </c>
      <c r="E2182" s="296">
        <v>1.28389</v>
      </c>
    </row>
    <row r="2183" spans="1:5" x14ac:dyDescent="0.3">
      <c r="A2183" s="295">
        <v>2022</v>
      </c>
      <c r="B2183" s="295">
        <v>6</v>
      </c>
      <c r="C2183" s="295" t="s">
        <v>101</v>
      </c>
      <c r="D2183" s="295" t="s">
        <v>1</v>
      </c>
      <c r="E2183" s="296">
        <v>4.7699999999999999E-2</v>
      </c>
    </row>
    <row r="2184" spans="1:5" x14ac:dyDescent="0.3">
      <c r="A2184" s="295">
        <v>2022</v>
      </c>
      <c r="B2184" s="295">
        <v>6</v>
      </c>
      <c r="C2184" s="295" t="s">
        <v>101</v>
      </c>
      <c r="D2184" s="295" t="s">
        <v>2</v>
      </c>
      <c r="E2184" s="296">
        <v>4.9549999999999997E-2</v>
      </c>
    </row>
    <row r="2185" spans="1:5" x14ac:dyDescent="0.3">
      <c r="A2185" s="295">
        <v>2022</v>
      </c>
      <c r="B2185" s="295">
        <v>6</v>
      </c>
      <c r="C2185" s="295" t="s">
        <v>101</v>
      </c>
      <c r="D2185" s="295" t="s">
        <v>259</v>
      </c>
      <c r="E2185" s="296">
        <v>4.0939999999999997E-2</v>
      </c>
    </row>
    <row r="2186" spans="1:5" x14ac:dyDescent="0.3">
      <c r="A2186" s="295">
        <v>2022</v>
      </c>
      <c r="B2186" s="295">
        <v>6</v>
      </c>
      <c r="C2186" s="295" t="s">
        <v>101</v>
      </c>
      <c r="D2186" s="295" t="s">
        <v>85</v>
      </c>
      <c r="E2186" s="296">
        <v>0.25868000000000002</v>
      </c>
    </row>
    <row r="2187" spans="1:5" x14ac:dyDescent="0.3">
      <c r="A2187" s="295">
        <v>2022</v>
      </c>
      <c r="B2187" s="295">
        <v>6</v>
      </c>
      <c r="C2187" s="295" t="s">
        <v>101</v>
      </c>
      <c r="D2187" s="295" t="s">
        <v>179</v>
      </c>
      <c r="E2187" s="296">
        <v>45.399560000000001</v>
      </c>
    </row>
    <row r="2188" spans="1:5" x14ac:dyDescent="0.3">
      <c r="A2188" s="295">
        <v>2022</v>
      </c>
      <c r="B2188" s="295">
        <v>6</v>
      </c>
      <c r="C2188" s="295" t="s">
        <v>101</v>
      </c>
      <c r="D2188" s="295" t="s">
        <v>352</v>
      </c>
      <c r="E2188" s="296">
        <v>0.33211000000000002</v>
      </c>
    </row>
    <row r="2189" spans="1:5" x14ac:dyDescent="0.3">
      <c r="A2189" s="295">
        <v>2022</v>
      </c>
      <c r="B2189" s="295">
        <v>6</v>
      </c>
      <c r="C2189" s="295" t="s">
        <v>179</v>
      </c>
      <c r="D2189" s="295" t="s">
        <v>1</v>
      </c>
      <c r="E2189" s="296">
        <v>1.0499999999999999E-3</v>
      </c>
    </row>
    <row r="2190" spans="1:5" x14ac:dyDescent="0.3">
      <c r="A2190" s="295">
        <v>2022</v>
      </c>
      <c r="B2190" s="295">
        <v>6</v>
      </c>
      <c r="C2190" s="295" t="s">
        <v>179</v>
      </c>
      <c r="D2190" s="295" t="s">
        <v>2</v>
      </c>
      <c r="E2190" s="296">
        <v>1.09E-3</v>
      </c>
    </row>
    <row r="2191" spans="1:5" x14ac:dyDescent="0.3">
      <c r="A2191" s="295">
        <v>2022</v>
      </c>
      <c r="B2191" s="295">
        <v>6</v>
      </c>
      <c r="C2191" s="295" t="s">
        <v>179</v>
      </c>
      <c r="D2191" s="295" t="s">
        <v>259</v>
      </c>
      <c r="E2191" s="296">
        <v>8.9999999999999998E-4</v>
      </c>
    </row>
    <row r="2192" spans="1:5" x14ac:dyDescent="0.3">
      <c r="A2192" s="295">
        <v>2022</v>
      </c>
      <c r="B2192" s="295">
        <v>6</v>
      </c>
      <c r="C2192" s="295" t="s">
        <v>179</v>
      </c>
      <c r="D2192" s="295" t="s">
        <v>85</v>
      </c>
      <c r="E2192" s="296">
        <v>5.7000000000000002E-3</v>
      </c>
    </row>
    <row r="2193" spans="1:5" x14ac:dyDescent="0.3">
      <c r="A2193" s="295">
        <v>2022</v>
      </c>
      <c r="B2193" s="295">
        <v>6</v>
      </c>
      <c r="C2193" s="295" t="s">
        <v>179</v>
      </c>
      <c r="D2193" s="295" t="s">
        <v>101</v>
      </c>
      <c r="E2193" s="296">
        <v>2.2030000000000001E-2</v>
      </c>
    </row>
    <row r="2194" spans="1:5" x14ac:dyDescent="0.3">
      <c r="A2194" s="295">
        <v>2022</v>
      </c>
      <c r="B2194" s="295">
        <v>6</v>
      </c>
      <c r="C2194" s="295" t="s">
        <v>179</v>
      </c>
      <c r="D2194" s="295" t="s">
        <v>352</v>
      </c>
      <c r="E2194" s="296">
        <v>7.3200000000000001E-3</v>
      </c>
    </row>
    <row r="2195" spans="1:5" x14ac:dyDescent="0.3">
      <c r="A2195" s="295">
        <v>2022</v>
      </c>
      <c r="B2195" s="295">
        <v>6</v>
      </c>
      <c r="C2195" s="295" t="s">
        <v>352</v>
      </c>
      <c r="D2195" s="295" t="s">
        <v>1</v>
      </c>
      <c r="E2195" s="296">
        <v>0.14363000000000001</v>
      </c>
    </row>
    <row r="2196" spans="1:5" x14ac:dyDescent="0.3">
      <c r="A2196" s="295">
        <v>2022</v>
      </c>
      <c r="B2196" s="295">
        <v>6</v>
      </c>
      <c r="C2196" s="295" t="s">
        <v>352</v>
      </c>
      <c r="D2196" s="295" t="s">
        <v>2</v>
      </c>
      <c r="E2196" s="296">
        <v>0.14918999999999999</v>
      </c>
    </row>
    <row r="2197" spans="1:5" x14ac:dyDescent="0.3">
      <c r="A2197" s="295">
        <v>2022</v>
      </c>
      <c r="B2197" s="295">
        <v>6</v>
      </c>
      <c r="C2197" s="295" t="s">
        <v>352</v>
      </c>
      <c r="D2197" s="295" t="s">
        <v>259</v>
      </c>
      <c r="E2197" s="296">
        <v>0.12325999999999999</v>
      </c>
    </row>
    <row r="2198" spans="1:5" x14ac:dyDescent="0.3">
      <c r="A2198" s="295">
        <v>2022</v>
      </c>
      <c r="B2198" s="295">
        <v>6</v>
      </c>
      <c r="C2198" s="295" t="s">
        <v>352</v>
      </c>
      <c r="D2198" s="295" t="s">
        <v>85</v>
      </c>
      <c r="E2198" s="296">
        <v>0.77888000000000002</v>
      </c>
    </row>
    <row r="2199" spans="1:5" x14ac:dyDescent="0.3">
      <c r="A2199" s="295">
        <v>2022</v>
      </c>
      <c r="B2199" s="295">
        <v>6</v>
      </c>
      <c r="C2199" s="295" t="s">
        <v>352</v>
      </c>
      <c r="D2199" s="295" t="s">
        <v>101</v>
      </c>
      <c r="E2199" s="296">
        <v>3.01105</v>
      </c>
    </row>
    <row r="2200" spans="1:5" x14ac:dyDescent="0.3">
      <c r="A2200" s="295">
        <v>2022</v>
      </c>
      <c r="B2200" s="295">
        <v>6</v>
      </c>
      <c r="C2200" s="295" t="s">
        <v>352</v>
      </c>
      <c r="D2200" s="295" t="s">
        <v>179</v>
      </c>
      <c r="E2200" s="296">
        <v>136.70013</v>
      </c>
    </row>
    <row r="2201" spans="1:5" x14ac:dyDescent="0.3">
      <c r="A2201" s="295">
        <v>2022</v>
      </c>
      <c r="B2201" s="295">
        <v>6</v>
      </c>
      <c r="C2201" s="295" t="s">
        <v>1</v>
      </c>
      <c r="D2201" s="295" t="s">
        <v>1</v>
      </c>
      <c r="E2201" s="296">
        <v>1</v>
      </c>
    </row>
    <row r="2202" spans="1:5" x14ac:dyDescent="0.3">
      <c r="A2202" s="295">
        <v>2022</v>
      </c>
      <c r="B2202" s="295">
        <v>6</v>
      </c>
      <c r="C2202" s="295" t="s">
        <v>2</v>
      </c>
      <c r="D2202" s="295" t="s">
        <v>2</v>
      </c>
      <c r="E2202" s="296">
        <v>1</v>
      </c>
    </row>
    <row r="2203" spans="1:5" x14ac:dyDescent="0.3">
      <c r="A2203" s="295">
        <v>2022</v>
      </c>
      <c r="B2203" s="295">
        <v>6</v>
      </c>
      <c r="C2203" s="295" t="s">
        <v>259</v>
      </c>
      <c r="D2203" s="295" t="s">
        <v>259</v>
      </c>
      <c r="E2203" s="296">
        <v>1</v>
      </c>
    </row>
    <row r="2204" spans="1:5" x14ac:dyDescent="0.3">
      <c r="A2204" s="295">
        <v>2022</v>
      </c>
      <c r="B2204" s="295">
        <v>6</v>
      </c>
      <c r="C2204" s="295" t="s">
        <v>85</v>
      </c>
      <c r="D2204" s="295" t="s">
        <v>85</v>
      </c>
      <c r="E2204" s="296">
        <v>1</v>
      </c>
    </row>
    <row r="2205" spans="1:5" x14ac:dyDescent="0.3">
      <c r="A2205" s="295">
        <v>2022</v>
      </c>
      <c r="B2205" s="295">
        <v>6</v>
      </c>
      <c r="C2205" s="295" t="s">
        <v>101</v>
      </c>
      <c r="D2205" s="295" t="s">
        <v>101</v>
      </c>
      <c r="E2205" s="296">
        <v>1</v>
      </c>
    </row>
    <row r="2206" spans="1:5" x14ac:dyDescent="0.3">
      <c r="A2206" s="295">
        <v>2022</v>
      </c>
      <c r="B2206" s="295">
        <v>6</v>
      </c>
      <c r="C2206" s="295" t="s">
        <v>179</v>
      </c>
      <c r="D2206" s="295" t="s">
        <v>179</v>
      </c>
      <c r="E2206" s="296">
        <v>1</v>
      </c>
    </row>
    <row r="2207" spans="1:5" x14ac:dyDescent="0.3">
      <c r="A2207" s="295">
        <v>2022</v>
      </c>
      <c r="B2207" s="295">
        <v>6</v>
      </c>
      <c r="C2207" s="295" t="s">
        <v>352</v>
      </c>
      <c r="D2207" s="295" t="s">
        <v>352</v>
      </c>
      <c r="E2207" s="296">
        <v>1</v>
      </c>
    </row>
    <row r="2208" spans="1:5" x14ac:dyDescent="0.3">
      <c r="A2208" s="295">
        <v>2022</v>
      </c>
      <c r="B2208" s="295">
        <v>7</v>
      </c>
      <c r="C2208" s="295" t="s">
        <v>1</v>
      </c>
      <c r="D2208" s="295" t="s">
        <v>2</v>
      </c>
      <c r="E2208" s="296">
        <v>1.0198</v>
      </c>
    </row>
    <row r="2209" spans="1:5" x14ac:dyDescent="0.3">
      <c r="A2209" s="295">
        <v>2022</v>
      </c>
      <c r="B2209" s="295">
        <v>7</v>
      </c>
      <c r="C2209" s="295" t="s">
        <v>1</v>
      </c>
      <c r="D2209" s="295" t="s">
        <v>259</v>
      </c>
      <c r="E2209" s="296">
        <v>0.83989999999999998</v>
      </c>
    </row>
    <row r="2210" spans="1:5" x14ac:dyDescent="0.3">
      <c r="A2210" s="295">
        <v>2022</v>
      </c>
      <c r="B2210" s="295">
        <v>7</v>
      </c>
      <c r="C2210" s="295" t="s">
        <v>1</v>
      </c>
      <c r="D2210" s="295" t="s">
        <v>85</v>
      </c>
      <c r="E2210" s="296">
        <v>5.2739000000000003</v>
      </c>
    </row>
    <row r="2211" spans="1:5" x14ac:dyDescent="0.3">
      <c r="A2211" s="295">
        <v>2022</v>
      </c>
      <c r="B2211" s="295">
        <v>7</v>
      </c>
      <c r="C2211" s="295" t="s">
        <v>1</v>
      </c>
      <c r="D2211" s="295" t="s">
        <v>101</v>
      </c>
      <c r="E2211" s="296">
        <v>20.674499999999998</v>
      </c>
    </row>
    <row r="2212" spans="1:5" x14ac:dyDescent="0.3">
      <c r="A2212" s="295">
        <v>2022</v>
      </c>
      <c r="B2212" s="295">
        <v>7</v>
      </c>
      <c r="C2212" s="295" t="s">
        <v>1</v>
      </c>
      <c r="D2212" s="295" t="s">
        <v>179</v>
      </c>
      <c r="E2212" s="296">
        <v>917.31</v>
      </c>
    </row>
    <row r="2213" spans="1:5" x14ac:dyDescent="0.3">
      <c r="A2213" s="295">
        <v>2022</v>
      </c>
      <c r="B2213" s="295">
        <v>7</v>
      </c>
      <c r="C2213" s="295" t="s">
        <v>1</v>
      </c>
      <c r="D2213" s="295" t="s">
        <v>352</v>
      </c>
      <c r="E2213" s="296">
        <v>6.8704999999999998</v>
      </c>
    </row>
    <row r="2214" spans="1:5" x14ac:dyDescent="0.3">
      <c r="A2214" s="295">
        <v>2022</v>
      </c>
      <c r="B2214" s="295">
        <v>7</v>
      </c>
      <c r="C2214" s="295" t="s">
        <v>2</v>
      </c>
      <c r="D2214" s="295" t="s">
        <v>1</v>
      </c>
      <c r="E2214" s="296">
        <v>0.98058000000000001</v>
      </c>
    </row>
    <row r="2215" spans="1:5" x14ac:dyDescent="0.3">
      <c r="A2215" s="295">
        <v>2022</v>
      </c>
      <c r="B2215" s="295">
        <v>7</v>
      </c>
      <c r="C2215" s="295" t="s">
        <v>2</v>
      </c>
      <c r="D2215" s="295" t="s">
        <v>259</v>
      </c>
      <c r="E2215" s="296">
        <v>0.82359000000000004</v>
      </c>
    </row>
    <row r="2216" spans="1:5" x14ac:dyDescent="0.3">
      <c r="A2216" s="295">
        <v>2022</v>
      </c>
      <c r="B2216" s="295">
        <v>7</v>
      </c>
      <c r="C2216" s="295" t="s">
        <v>2</v>
      </c>
      <c r="D2216" s="295" t="s">
        <v>85</v>
      </c>
      <c r="E2216" s="296">
        <v>5.1715</v>
      </c>
    </row>
    <row r="2217" spans="1:5" x14ac:dyDescent="0.3">
      <c r="A2217" s="295">
        <v>2022</v>
      </c>
      <c r="B2217" s="295">
        <v>7</v>
      </c>
      <c r="C2217" s="295" t="s">
        <v>2</v>
      </c>
      <c r="D2217" s="295" t="s">
        <v>101</v>
      </c>
      <c r="E2217" s="296">
        <v>20.27309</v>
      </c>
    </row>
    <row r="2218" spans="1:5" x14ac:dyDescent="0.3">
      <c r="A2218" s="295">
        <v>2022</v>
      </c>
      <c r="B2218" s="295">
        <v>7</v>
      </c>
      <c r="C2218" s="295" t="s">
        <v>2</v>
      </c>
      <c r="D2218" s="295" t="s">
        <v>179</v>
      </c>
      <c r="E2218" s="296">
        <v>899.49990000000003</v>
      </c>
    </row>
    <row r="2219" spans="1:5" x14ac:dyDescent="0.3">
      <c r="A2219" s="295">
        <v>2022</v>
      </c>
      <c r="B2219" s="295">
        <v>7</v>
      </c>
      <c r="C2219" s="295" t="s">
        <v>2</v>
      </c>
      <c r="D2219" s="295" t="s">
        <v>352</v>
      </c>
      <c r="E2219" s="296">
        <v>6.7371100000000004</v>
      </c>
    </row>
    <row r="2220" spans="1:5" x14ac:dyDescent="0.3">
      <c r="A2220" s="295">
        <v>2022</v>
      </c>
      <c r="B2220" s="295">
        <v>7</v>
      </c>
      <c r="C2220" s="295" t="s">
        <v>259</v>
      </c>
      <c r="D2220" s="295" t="s">
        <v>1</v>
      </c>
      <c r="E2220" s="296">
        <v>1.19062</v>
      </c>
    </row>
    <row r="2221" spans="1:5" x14ac:dyDescent="0.3">
      <c r="A2221" s="295">
        <v>2022</v>
      </c>
      <c r="B2221" s="295">
        <v>7</v>
      </c>
      <c r="C2221" s="295" t="s">
        <v>259</v>
      </c>
      <c r="D2221" s="295" t="s">
        <v>2</v>
      </c>
      <c r="E2221" s="296">
        <v>1.2141900000000001</v>
      </c>
    </row>
    <row r="2222" spans="1:5" x14ac:dyDescent="0.3">
      <c r="A2222" s="295">
        <v>2022</v>
      </c>
      <c r="B2222" s="295">
        <v>7</v>
      </c>
      <c r="C2222" s="295" t="s">
        <v>259</v>
      </c>
      <c r="D2222" s="295" t="s">
        <v>85</v>
      </c>
      <c r="E2222" s="296">
        <v>6.2792000000000003</v>
      </c>
    </row>
    <row r="2223" spans="1:5" x14ac:dyDescent="0.3">
      <c r="A2223" s="295">
        <v>2022</v>
      </c>
      <c r="B2223" s="295">
        <v>7</v>
      </c>
      <c r="C2223" s="295" t="s">
        <v>259</v>
      </c>
      <c r="D2223" s="295" t="s">
        <v>101</v>
      </c>
      <c r="E2223" s="296">
        <v>24.61543</v>
      </c>
    </row>
    <row r="2224" spans="1:5" x14ac:dyDescent="0.3">
      <c r="A2224" s="295">
        <v>2022</v>
      </c>
      <c r="B2224" s="295">
        <v>7</v>
      </c>
      <c r="C2224" s="295" t="s">
        <v>259</v>
      </c>
      <c r="D2224" s="295" t="s">
        <v>179</v>
      </c>
      <c r="E2224" s="296">
        <v>1092.1657299999999</v>
      </c>
    </row>
    <row r="2225" spans="1:5" x14ac:dyDescent="0.3">
      <c r="A2225" s="295">
        <v>2022</v>
      </c>
      <c r="B2225" s="295">
        <v>7</v>
      </c>
      <c r="C2225" s="295" t="s">
        <v>259</v>
      </c>
      <c r="D2225" s="295" t="s">
        <v>352</v>
      </c>
      <c r="E2225" s="296">
        <v>8.1801399999999997</v>
      </c>
    </row>
    <row r="2226" spans="1:5" x14ac:dyDescent="0.3">
      <c r="A2226" s="295">
        <v>2022</v>
      </c>
      <c r="B2226" s="295">
        <v>7</v>
      </c>
      <c r="C2226" s="295" t="s">
        <v>85</v>
      </c>
      <c r="D2226" s="295" t="s">
        <v>1</v>
      </c>
      <c r="E2226" s="296">
        <v>0.18961</v>
      </c>
    </row>
    <row r="2227" spans="1:5" x14ac:dyDescent="0.3">
      <c r="A2227" s="295">
        <v>2022</v>
      </c>
      <c r="B2227" s="295">
        <v>7</v>
      </c>
      <c r="C2227" s="295" t="s">
        <v>85</v>
      </c>
      <c r="D2227" s="295" t="s">
        <v>2</v>
      </c>
      <c r="E2227" s="296">
        <v>0.19336999999999999</v>
      </c>
    </row>
    <row r="2228" spans="1:5" x14ac:dyDescent="0.3">
      <c r="A2228" s="295">
        <v>2022</v>
      </c>
      <c r="B2228" s="295">
        <v>7</v>
      </c>
      <c r="C2228" s="295" t="s">
        <v>85</v>
      </c>
      <c r="D2228" s="295" t="s">
        <v>259</v>
      </c>
      <c r="E2228" s="296">
        <v>0.15926000000000001</v>
      </c>
    </row>
    <row r="2229" spans="1:5" x14ac:dyDescent="0.3">
      <c r="A2229" s="295">
        <v>2022</v>
      </c>
      <c r="B2229" s="295">
        <v>7</v>
      </c>
      <c r="C2229" s="295" t="s">
        <v>85</v>
      </c>
      <c r="D2229" s="295" t="s">
        <v>101</v>
      </c>
      <c r="E2229" s="296">
        <v>3.92015</v>
      </c>
    </row>
    <row r="2230" spans="1:5" x14ac:dyDescent="0.3">
      <c r="A2230" s="295">
        <v>2022</v>
      </c>
      <c r="B2230" s="295">
        <v>7</v>
      </c>
      <c r="C2230" s="295" t="s">
        <v>85</v>
      </c>
      <c r="D2230" s="295" t="s">
        <v>179</v>
      </c>
      <c r="E2230" s="296">
        <v>173.93389999999999</v>
      </c>
    </row>
    <row r="2231" spans="1:5" x14ac:dyDescent="0.3">
      <c r="A2231" s="295">
        <v>2022</v>
      </c>
      <c r="B2231" s="295">
        <v>7</v>
      </c>
      <c r="C2231" s="295" t="s">
        <v>85</v>
      </c>
      <c r="D2231" s="295" t="s">
        <v>352</v>
      </c>
      <c r="E2231" s="296">
        <v>1.30274</v>
      </c>
    </row>
    <row r="2232" spans="1:5" x14ac:dyDescent="0.3">
      <c r="A2232" s="295">
        <v>2022</v>
      </c>
      <c r="B2232" s="295">
        <v>7</v>
      </c>
      <c r="C2232" s="295" t="s">
        <v>101</v>
      </c>
      <c r="D2232" s="295" t="s">
        <v>1</v>
      </c>
      <c r="E2232" s="296">
        <v>4.8370000000000003E-2</v>
      </c>
    </row>
    <row r="2233" spans="1:5" x14ac:dyDescent="0.3">
      <c r="A2233" s="295">
        <v>2022</v>
      </c>
      <c r="B2233" s="295">
        <v>7</v>
      </c>
      <c r="C2233" s="295" t="s">
        <v>101</v>
      </c>
      <c r="D2233" s="295" t="s">
        <v>2</v>
      </c>
      <c r="E2233" s="296">
        <v>4.9329999999999999E-2</v>
      </c>
    </row>
    <row r="2234" spans="1:5" x14ac:dyDescent="0.3">
      <c r="A2234" s="295">
        <v>2022</v>
      </c>
      <c r="B2234" s="295">
        <v>7</v>
      </c>
      <c r="C2234" s="295" t="s">
        <v>101</v>
      </c>
      <c r="D2234" s="295" t="s">
        <v>259</v>
      </c>
      <c r="E2234" s="296">
        <v>4.0620000000000003E-2</v>
      </c>
    </row>
    <row r="2235" spans="1:5" x14ac:dyDescent="0.3">
      <c r="A2235" s="295">
        <v>2022</v>
      </c>
      <c r="B2235" s="295">
        <v>7</v>
      </c>
      <c r="C2235" s="295" t="s">
        <v>101</v>
      </c>
      <c r="D2235" s="295" t="s">
        <v>85</v>
      </c>
      <c r="E2235" s="296">
        <v>0.25508999999999998</v>
      </c>
    </row>
    <row r="2236" spans="1:5" x14ac:dyDescent="0.3">
      <c r="A2236" s="295">
        <v>2022</v>
      </c>
      <c r="B2236" s="295">
        <v>7</v>
      </c>
      <c r="C2236" s="295" t="s">
        <v>101</v>
      </c>
      <c r="D2236" s="295" t="s">
        <v>179</v>
      </c>
      <c r="E2236" s="296">
        <v>44.369149999999998</v>
      </c>
    </row>
    <row r="2237" spans="1:5" x14ac:dyDescent="0.3">
      <c r="A2237" s="295">
        <v>2022</v>
      </c>
      <c r="B2237" s="295">
        <v>7</v>
      </c>
      <c r="C2237" s="295" t="s">
        <v>101</v>
      </c>
      <c r="D2237" s="295" t="s">
        <v>352</v>
      </c>
      <c r="E2237" s="296">
        <v>0.33232</v>
      </c>
    </row>
    <row r="2238" spans="1:5" x14ac:dyDescent="0.3">
      <c r="A2238" s="295">
        <v>2022</v>
      </c>
      <c r="B2238" s="295">
        <v>7</v>
      </c>
      <c r="C2238" s="295" t="s">
        <v>179</v>
      </c>
      <c r="D2238" s="295" t="s">
        <v>1</v>
      </c>
      <c r="E2238" s="296">
        <v>1.09E-3</v>
      </c>
    </row>
    <row r="2239" spans="1:5" x14ac:dyDescent="0.3">
      <c r="A2239" s="295">
        <v>2022</v>
      </c>
      <c r="B2239" s="295">
        <v>7</v>
      </c>
      <c r="C2239" s="295" t="s">
        <v>179</v>
      </c>
      <c r="D2239" s="295" t="s">
        <v>2</v>
      </c>
      <c r="E2239" s="296">
        <v>1.1100000000000001E-3</v>
      </c>
    </row>
    <row r="2240" spans="1:5" x14ac:dyDescent="0.3">
      <c r="A2240" s="295">
        <v>2022</v>
      </c>
      <c r="B2240" s="295">
        <v>7</v>
      </c>
      <c r="C2240" s="295" t="s">
        <v>179</v>
      </c>
      <c r="D2240" s="295" t="s">
        <v>259</v>
      </c>
      <c r="E2240" s="296">
        <v>9.2000000000000003E-4</v>
      </c>
    </row>
    <row r="2241" spans="1:5" x14ac:dyDescent="0.3">
      <c r="A2241" s="295">
        <v>2022</v>
      </c>
      <c r="B2241" s="295">
        <v>7</v>
      </c>
      <c r="C2241" s="295" t="s">
        <v>179</v>
      </c>
      <c r="D2241" s="295" t="s">
        <v>85</v>
      </c>
      <c r="E2241" s="296">
        <v>5.7499999999999999E-3</v>
      </c>
    </row>
    <row r="2242" spans="1:5" x14ac:dyDescent="0.3">
      <c r="A2242" s="295">
        <v>2022</v>
      </c>
      <c r="B2242" s="295">
        <v>7</v>
      </c>
      <c r="C2242" s="295" t="s">
        <v>179</v>
      </c>
      <c r="D2242" s="295" t="s">
        <v>101</v>
      </c>
      <c r="E2242" s="296">
        <v>2.2540000000000001E-2</v>
      </c>
    </row>
    <row r="2243" spans="1:5" x14ac:dyDescent="0.3">
      <c r="A2243" s="295">
        <v>2022</v>
      </c>
      <c r="B2243" s="295">
        <v>7</v>
      </c>
      <c r="C2243" s="295" t="s">
        <v>179</v>
      </c>
      <c r="D2243" s="295" t="s">
        <v>352</v>
      </c>
      <c r="E2243" s="296">
        <v>7.4900000000000001E-3</v>
      </c>
    </row>
    <row r="2244" spans="1:5" x14ac:dyDescent="0.3">
      <c r="A2244" s="295">
        <v>2022</v>
      </c>
      <c r="B2244" s="295">
        <v>7</v>
      </c>
      <c r="C2244" s="295" t="s">
        <v>352</v>
      </c>
      <c r="D2244" s="295" t="s">
        <v>1</v>
      </c>
      <c r="E2244" s="296">
        <v>0.14555000000000001</v>
      </c>
    </row>
    <row r="2245" spans="1:5" x14ac:dyDescent="0.3">
      <c r="A2245" s="295">
        <v>2022</v>
      </c>
      <c r="B2245" s="295">
        <v>7</v>
      </c>
      <c r="C2245" s="295" t="s">
        <v>352</v>
      </c>
      <c r="D2245" s="295" t="s">
        <v>2</v>
      </c>
      <c r="E2245" s="296">
        <v>0.14843000000000001</v>
      </c>
    </row>
    <row r="2246" spans="1:5" x14ac:dyDescent="0.3">
      <c r="A2246" s="295">
        <v>2022</v>
      </c>
      <c r="B2246" s="295">
        <v>7</v>
      </c>
      <c r="C2246" s="295" t="s">
        <v>352</v>
      </c>
      <c r="D2246" s="295" t="s">
        <v>259</v>
      </c>
      <c r="E2246" s="296">
        <v>0.12225</v>
      </c>
    </row>
    <row r="2247" spans="1:5" x14ac:dyDescent="0.3">
      <c r="A2247" s="295">
        <v>2022</v>
      </c>
      <c r="B2247" s="295">
        <v>7</v>
      </c>
      <c r="C2247" s="295" t="s">
        <v>352</v>
      </c>
      <c r="D2247" s="295" t="s">
        <v>85</v>
      </c>
      <c r="E2247" s="296">
        <v>0.76761999999999997</v>
      </c>
    </row>
    <row r="2248" spans="1:5" x14ac:dyDescent="0.3">
      <c r="A2248" s="295">
        <v>2022</v>
      </c>
      <c r="B2248" s="295">
        <v>7</v>
      </c>
      <c r="C2248" s="295" t="s">
        <v>352</v>
      </c>
      <c r="D2248" s="295" t="s">
        <v>101</v>
      </c>
      <c r="E2248" s="296">
        <v>3.0091700000000001</v>
      </c>
    </row>
    <row r="2249" spans="1:5" x14ac:dyDescent="0.3">
      <c r="A2249" s="295">
        <v>2022</v>
      </c>
      <c r="B2249" s="295">
        <v>7</v>
      </c>
      <c r="C2249" s="295" t="s">
        <v>352</v>
      </c>
      <c r="D2249" s="295" t="s">
        <v>179</v>
      </c>
      <c r="E2249" s="296">
        <v>133.51429999999999</v>
      </c>
    </row>
    <row r="2250" spans="1:5" x14ac:dyDescent="0.3">
      <c r="A2250" s="295">
        <v>2022</v>
      </c>
      <c r="B2250" s="295">
        <v>7</v>
      </c>
      <c r="C2250" s="295" t="s">
        <v>1</v>
      </c>
      <c r="D2250" s="295" t="s">
        <v>1</v>
      </c>
      <c r="E2250" s="296">
        <v>1</v>
      </c>
    </row>
    <row r="2251" spans="1:5" x14ac:dyDescent="0.3">
      <c r="A2251" s="295">
        <v>2022</v>
      </c>
      <c r="B2251" s="295">
        <v>7</v>
      </c>
      <c r="C2251" s="295" t="s">
        <v>2</v>
      </c>
      <c r="D2251" s="295" t="s">
        <v>2</v>
      </c>
      <c r="E2251" s="296">
        <v>1</v>
      </c>
    </row>
    <row r="2252" spans="1:5" x14ac:dyDescent="0.3">
      <c r="A2252" s="295">
        <v>2022</v>
      </c>
      <c r="B2252" s="295">
        <v>7</v>
      </c>
      <c r="C2252" s="295" t="s">
        <v>259</v>
      </c>
      <c r="D2252" s="295" t="s">
        <v>259</v>
      </c>
      <c r="E2252" s="296">
        <v>1</v>
      </c>
    </row>
    <row r="2253" spans="1:5" x14ac:dyDescent="0.3">
      <c r="A2253" s="295">
        <v>2022</v>
      </c>
      <c r="B2253" s="295">
        <v>7</v>
      </c>
      <c r="C2253" s="295" t="s">
        <v>85</v>
      </c>
      <c r="D2253" s="295" t="s">
        <v>85</v>
      </c>
      <c r="E2253" s="296">
        <v>1</v>
      </c>
    </row>
    <row r="2254" spans="1:5" x14ac:dyDescent="0.3">
      <c r="A2254" s="295">
        <v>2022</v>
      </c>
      <c r="B2254" s="295">
        <v>7</v>
      </c>
      <c r="C2254" s="295" t="s">
        <v>101</v>
      </c>
      <c r="D2254" s="295" t="s">
        <v>101</v>
      </c>
      <c r="E2254" s="296">
        <v>1</v>
      </c>
    </row>
    <row r="2255" spans="1:5" x14ac:dyDescent="0.3">
      <c r="A2255" s="295">
        <v>2022</v>
      </c>
      <c r="B2255" s="295">
        <v>7</v>
      </c>
      <c r="C2255" s="295" t="s">
        <v>179</v>
      </c>
      <c r="D2255" s="295" t="s">
        <v>179</v>
      </c>
      <c r="E2255" s="296">
        <v>1</v>
      </c>
    </row>
    <row r="2256" spans="1:5" x14ac:dyDescent="0.3">
      <c r="A2256" s="295">
        <v>2022</v>
      </c>
      <c r="B2256" s="295">
        <v>7</v>
      </c>
      <c r="C2256" s="295" t="s">
        <v>352</v>
      </c>
      <c r="D2256" s="295" t="s">
        <v>352</v>
      </c>
      <c r="E2256" s="296">
        <v>1</v>
      </c>
    </row>
    <row r="2257" spans="1:5" x14ac:dyDescent="0.3">
      <c r="A2257" s="295">
        <v>2022</v>
      </c>
      <c r="B2257" s="295">
        <v>8</v>
      </c>
      <c r="C2257" s="295" t="s">
        <v>1</v>
      </c>
      <c r="D2257" s="295" t="s">
        <v>2</v>
      </c>
      <c r="E2257" s="296">
        <v>1</v>
      </c>
    </row>
    <row r="2258" spans="1:5" x14ac:dyDescent="0.3">
      <c r="A2258" s="295">
        <v>2022</v>
      </c>
      <c r="B2258" s="295">
        <v>8</v>
      </c>
      <c r="C2258" s="295" t="s">
        <v>1</v>
      </c>
      <c r="D2258" s="295" t="s">
        <v>259</v>
      </c>
      <c r="E2258" s="296">
        <v>0.86034999999999995</v>
      </c>
    </row>
    <row r="2259" spans="1:5" x14ac:dyDescent="0.3">
      <c r="A2259" s="295">
        <v>2022</v>
      </c>
      <c r="B2259" s="295">
        <v>8</v>
      </c>
      <c r="C2259" s="295" t="s">
        <v>1</v>
      </c>
      <c r="D2259" s="295" t="s">
        <v>85</v>
      </c>
      <c r="E2259" s="296">
        <v>5.1482000000000001</v>
      </c>
    </row>
    <row r="2260" spans="1:5" x14ac:dyDescent="0.3">
      <c r="A2260" s="295">
        <v>2022</v>
      </c>
      <c r="B2260" s="295">
        <v>8</v>
      </c>
      <c r="C2260" s="295" t="s">
        <v>1</v>
      </c>
      <c r="D2260" s="295" t="s">
        <v>101</v>
      </c>
      <c r="E2260" s="296">
        <v>20.2044</v>
      </c>
    </row>
    <row r="2261" spans="1:5" x14ac:dyDescent="0.3">
      <c r="A2261" s="295">
        <v>2022</v>
      </c>
      <c r="B2261" s="295">
        <v>8</v>
      </c>
      <c r="C2261" s="295" t="s">
        <v>1</v>
      </c>
      <c r="D2261" s="295" t="s">
        <v>179</v>
      </c>
      <c r="E2261" s="296">
        <v>896.5</v>
      </c>
    </row>
    <row r="2262" spans="1:5" x14ac:dyDescent="0.3">
      <c r="A2262" s="295">
        <v>2022</v>
      </c>
      <c r="B2262" s="295">
        <v>8</v>
      </c>
      <c r="C2262" s="295" t="s">
        <v>1</v>
      </c>
      <c r="D2262" s="295" t="s">
        <v>352</v>
      </c>
      <c r="E2262" s="296">
        <v>6.8947000000000003</v>
      </c>
    </row>
    <row r="2263" spans="1:5" x14ac:dyDescent="0.3">
      <c r="A2263" s="295">
        <v>2022</v>
      </c>
      <c r="B2263" s="295">
        <v>8</v>
      </c>
      <c r="C2263" s="295" t="s">
        <v>2</v>
      </c>
      <c r="D2263" s="295" t="s">
        <v>1</v>
      </c>
      <c r="E2263" s="296">
        <v>1</v>
      </c>
    </row>
    <row r="2264" spans="1:5" x14ac:dyDescent="0.3">
      <c r="A2264" s="295">
        <v>2022</v>
      </c>
      <c r="B2264" s="295">
        <v>8</v>
      </c>
      <c r="C2264" s="295" t="s">
        <v>2</v>
      </c>
      <c r="D2264" s="295" t="s">
        <v>259</v>
      </c>
      <c r="E2264" s="296">
        <v>0.86034999999999995</v>
      </c>
    </row>
    <row r="2265" spans="1:5" x14ac:dyDescent="0.3">
      <c r="A2265" s="295">
        <v>2022</v>
      </c>
      <c r="B2265" s="295">
        <v>8</v>
      </c>
      <c r="C2265" s="295" t="s">
        <v>2</v>
      </c>
      <c r="D2265" s="295" t="s">
        <v>85</v>
      </c>
      <c r="E2265" s="296">
        <v>5.1482000000000001</v>
      </c>
    </row>
    <row r="2266" spans="1:5" x14ac:dyDescent="0.3">
      <c r="A2266" s="295">
        <v>2022</v>
      </c>
      <c r="B2266" s="295">
        <v>8</v>
      </c>
      <c r="C2266" s="295" t="s">
        <v>2</v>
      </c>
      <c r="D2266" s="295" t="s">
        <v>101</v>
      </c>
      <c r="E2266" s="296">
        <v>20.2044</v>
      </c>
    </row>
    <row r="2267" spans="1:5" x14ac:dyDescent="0.3">
      <c r="A2267" s="295">
        <v>2022</v>
      </c>
      <c r="B2267" s="295">
        <v>8</v>
      </c>
      <c r="C2267" s="295" t="s">
        <v>2</v>
      </c>
      <c r="D2267" s="295" t="s">
        <v>179</v>
      </c>
      <c r="E2267" s="296">
        <v>896.5</v>
      </c>
    </row>
    <row r="2268" spans="1:5" x14ac:dyDescent="0.3">
      <c r="A2268" s="295">
        <v>2022</v>
      </c>
      <c r="B2268" s="295">
        <v>8</v>
      </c>
      <c r="C2268" s="295" t="s">
        <v>2</v>
      </c>
      <c r="D2268" s="295" t="s">
        <v>352</v>
      </c>
      <c r="E2268" s="296">
        <v>6.8947000000000003</v>
      </c>
    </row>
    <row r="2269" spans="1:5" x14ac:dyDescent="0.3">
      <c r="A2269" s="295">
        <v>2022</v>
      </c>
      <c r="B2269" s="295">
        <v>8</v>
      </c>
      <c r="C2269" s="295" t="s">
        <v>259</v>
      </c>
      <c r="D2269" s="295" t="s">
        <v>1</v>
      </c>
      <c r="E2269" s="296">
        <v>1.16232</v>
      </c>
    </row>
    <row r="2270" spans="1:5" x14ac:dyDescent="0.3">
      <c r="A2270" s="295">
        <v>2022</v>
      </c>
      <c r="B2270" s="295">
        <v>8</v>
      </c>
      <c r="C2270" s="295" t="s">
        <v>259</v>
      </c>
      <c r="D2270" s="295" t="s">
        <v>2</v>
      </c>
      <c r="E2270" s="296">
        <v>1.16232</v>
      </c>
    </row>
    <row r="2271" spans="1:5" x14ac:dyDescent="0.3">
      <c r="A2271" s="295">
        <v>2022</v>
      </c>
      <c r="B2271" s="295">
        <v>8</v>
      </c>
      <c r="C2271" s="295" t="s">
        <v>259</v>
      </c>
      <c r="D2271" s="295" t="s">
        <v>85</v>
      </c>
      <c r="E2271" s="296">
        <v>5.9838399999999998</v>
      </c>
    </row>
    <row r="2272" spans="1:5" x14ac:dyDescent="0.3">
      <c r="A2272" s="295">
        <v>2022</v>
      </c>
      <c r="B2272" s="295">
        <v>8</v>
      </c>
      <c r="C2272" s="295" t="s">
        <v>259</v>
      </c>
      <c r="D2272" s="295" t="s">
        <v>101</v>
      </c>
      <c r="E2272" s="296">
        <v>23.483930000000001</v>
      </c>
    </row>
    <row r="2273" spans="1:5" x14ac:dyDescent="0.3">
      <c r="A2273" s="295">
        <v>2022</v>
      </c>
      <c r="B2273" s="295">
        <v>8</v>
      </c>
      <c r="C2273" s="295" t="s">
        <v>259</v>
      </c>
      <c r="D2273" s="295" t="s">
        <v>179</v>
      </c>
      <c r="E2273" s="296">
        <v>1042.0177799999999</v>
      </c>
    </row>
    <row r="2274" spans="1:5" x14ac:dyDescent="0.3">
      <c r="A2274" s="295">
        <v>2022</v>
      </c>
      <c r="B2274" s="295">
        <v>8</v>
      </c>
      <c r="C2274" s="295" t="s">
        <v>259</v>
      </c>
      <c r="D2274" s="295" t="s">
        <v>352</v>
      </c>
      <c r="E2274" s="296">
        <v>8.0138300000000005</v>
      </c>
    </row>
    <row r="2275" spans="1:5" x14ac:dyDescent="0.3">
      <c r="A2275" s="295">
        <v>2022</v>
      </c>
      <c r="B2275" s="295">
        <v>8</v>
      </c>
      <c r="C2275" s="295" t="s">
        <v>85</v>
      </c>
      <c r="D2275" s="295" t="s">
        <v>1</v>
      </c>
      <c r="E2275" s="296">
        <v>0.19424</v>
      </c>
    </row>
    <row r="2276" spans="1:5" x14ac:dyDescent="0.3">
      <c r="A2276" s="295">
        <v>2022</v>
      </c>
      <c r="B2276" s="295">
        <v>8</v>
      </c>
      <c r="C2276" s="295" t="s">
        <v>85</v>
      </c>
      <c r="D2276" s="295" t="s">
        <v>2</v>
      </c>
      <c r="E2276" s="296">
        <v>0.19424</v>
      </c>
    </row>
    <row r="2277" spans="1:5" x14ac:dyDescent="0.3">
      <c r="A2277" s="295">
        <v>2022</v>
      </c>
      <c r="B2277" s="295">
        <v>8</v>
      </c>
      <c r="C2277" s="295" t="s">
        <v>85</v>
      </c>
      <c r="D2277" s="295" t="s">
        <v>259</v>
      </c>
      <c r="E2277" s="296">
        <v>0.16711999999999999</v>
      </c>
    </row>
    <row r="2278" spans="1:5" x14ac:dyDescent="0.3">
      <c r="A2278" s="295">
        <v>2022</v>
      </c>
      <c r="B2278" s="295">
        <v>8</v>
      </c>
      <c r="C2278" s="295" t="s">
        <v>85</v>
      </c>
      <c r="D2278" s="295" t="s">
        <v>101</v>
      </c>
      <c r="E2278" s="296">
        <v>3.92456</v>
      </c>
    </row>
    <row r="2279" spans="1:5" x14ac:dyDescent="0.3">
      <c r="A2279" s="295">
        <v>2022</v>
      </c>
      <c r="B2279" s="295">
        <v>8</v>
      </c>
      <c r="C2279" s="295" t="s">
        <v>85</v>
      </c>
      <c r="D2279" s="295" t="s">
        <v>179</v>
      </c>
      <c r="E2279" s="296">
        <v>174.13853</v>
      </c>
    </row>
    <row r="2280" spans="1:5" x14ac:dyDescent="0.3">
      <c r="A2280" s="295">
        <v>2022</v>
      </c>
      <c r="B2280" s="295">
        <v>8</v>
      </c>
      <c r="C2280" s="295" t="s">
        <v>85</v>
      </c>
      <c r="D2280" s="295" t="s">
        <v>352</v>
      </c>
      <c r="E2280" s="296">
        <v>1.33924</v>
      </c>
    </row>
    <row r="2281" spans="1:5" x14ac:dyDescent="0.3">
      <c r="A2281" s="295">
        <v>2022</v>
      </c>
      <c r="B2281" s="295">
        <v>8</v>
      </c>
      <c r="C2281" s="295" t="s">
        <v>101</v>
      </c>
      <c r="D2281" s="295" t="s">
        <v>1</v>
      </c>
      <c r="E2281" s="296">
        <v>4.9489999999999999E-2</v>
      </c>
    </row>
    <row r="2282" spans="1:5" x14ac:dyDescent="0.3">
      <c r="A2282" s="295">
        <v>2022</v>
      </c>
      <c r="B2282" s="295">
        <v>8</v>
      </c>
      <c r="C2282" s="295" t="s">
        <v>101</v>
      </c>
      <c r="D2282" s="295" t="s">
        <v>2</v>
      </c>
      <c r="E2282" s="296">
        <v>4.9489999999999999E-2</v>
      </c>
    </row>
    <row r="2283" spans="1:5" x14ac:dyDescent="0.3">
      <c r="A2283" s="295">
        <v>2022</v>
      </c>
      <c r="B2283" s="295">
        <v>8</v>
      </c>
      <c r="C2283" s="295" t="s">
        <v>101</v>
      </c>
      <c r="D2283" s="295" t="s">
        <v>259</v>
      </c>
      <c r="E2283" s="296">
        <v>4.258E-2</v>
      </c>
    </row>
    <row r="2284" spans="1:5" x14ac:dyDescent="0.3">
      <c r="A2284" s="295">
        <v>2022</v>
      </c>
      <c r="B2284" s="295">
        <v>8</v>
      </c>
      <c r="C2284" s="295" t="s">
        <v>101</v>
      </c>
      <c r="D2284" s="295" t="s">
        <v>85</v>
      </c>
      <c r="E2284" s="296">
        <v>0.25480999999999998</v>
      </c>
    </row>
    <row r="2285" spans="1:5" x14ac:dyDescent="0.3">
      <c r="A2285" s="295">
        <v>2022</v>
      </c>
      <c r="B2285" s="295">
        <v>8</v>
      </c>
      <c r="C2285" s="295" t="s">
        <v>101</v>
      </c>
      <c r="D2285" s="295" t="s">
        <v>179</v>
      </c>
      <c r="E2285" s="296">
        <v>44.371519999999997</v>
      </c>
    </row>
    <row r="2286" spans="1:5" x14ac:dyDescent="0.3">
      <c r="A2286" s="295">
        <v>2022</v>
      </c>
      <c r="B2286" s="295">
        <v>8</v>
      </c>
      <c r="C2286" s="295" t="s">
        <v>101</v>
      </c>
      <c r="D2286" s="295" t="s">
        <v>352</v>
      </c>
      <c r="E2286" s="296">
        <v>0.34125</v>
      </c>
    </row>
    <row r="2287" spans="1:5" x14ac:dyDescent="0.3">
      <c r="A2287" s="295">
        <v>2022</v>
      </c>
      <c r="B2287" s="295">
        <v>8</v>
      </c>
      <c r="C2287" s="295" t="s">
        <v>179</v>
      </c>
      <c r="D2287" s="295" t="s">
        <v>1</v>
      </c>
      <c r="E2287" s="296">
        <v>1.1199999999999999E-3</v>
      </c>
    </row>
    <row r="2288" spans="1:5" x14ac:dyDescent="0.3">
      <c r="A2288" s="295">
        <v>2022</v>
      </c>
      <c r="B2288" s="295">
        <v>8</v>
      </c>
      <c r="C2288" s="295" t="s">
        <v>179</v>
      </c>
      <c r="D2288" s="295" t="s">
        <v>2</v>
      </c>
      <c r="E2288" s="296">
        <v>1.1199999999999999E-3</v>
      </c>
    </row>
    <row r="2289" spans="1:5" x14ac:dyDescent="0.3">
      <c r="A2289" s="295">
        <v>2022</v>
      </c>
      <c r="B2289" s="295">
        <v>8</v>
      </c>
      <c r="C2289" s="295" t="s">
        <v>179</v>
      </c>
      <c r="D2289" s="295" t="s">
        <v>259</v>
      </c>
      <c r="E2289" s="296">
        <v>9.6000000000000002E-4</v>
      </c>
    </row>
    <row r="2290" spans="1:5" x14ac:dyDescent="0.3">
      <c r="A2290" s="295">
        <v>2022</v>
      </c>
      <c r="B2290" s="295">
        <v>8</v>
      </c>
      <c r="C2290" s="295" t="s">
        <v>179</v>
      </c>
      <c r="D2290" s="295" t="s">
        <v>85</v>
      </c>
      <c r="E2290" s="296">
        <v>5.7400000000000003E-3</v>
      </c>
    </row>
    <row r="2291" spans="1:5" x14ac:dyDescent="0.3">
      <c r="A2291" s="295">
        <v>2022</v>
      </c>
      <c r="B2291" s="295">
        <v>8</v>
      </c>
      <c r="C2291" s="295" t="s">
        <v>179</v>
      </c>
      <c r="D2291" s="295" t="s">
        <v>101</v>
      </c>
      <c r="E2291" s="296">
        <v>2.2540000000000001E-2</v>
      </c>
    </row>
    <row r="2292" spans="1:5" x14ac:dyDescent="0.3">
      <c r="A2292" s="295">
        <v>2022</v>
      </c>
      <c r="B2292" s="295">
        <v>8</v>
      </c>
      <c r="C2292" s="295" t="s">
        <v>179</v>
      </c>
      <c r="D2292" s="295" t="s">
        <v>352</v>
      </c>
      <c r="E2292" s="296">
        <v>7.6899999999999998E-3</v>
      </c>
    </row>
    <row r="2293" spans="1:5" x14ac:dyDescent="0.3">
      <c r="A2293" s="295">
        <v>2022</v>
      </c>
      <c r="B2293" s="295">
        <v>8</v>
      </c>
      <c r="C2293" s="295" t="s">
        <v>352</v>
      </c>
      <c r="D2293" s="295" t="s">
        <v>1</v>
      </c>
      <c r="E2293" s="296">
        <v>0.14504</v>
      </c>
    </row>
    <row r="2294" spans="1:5" x14ac:dyDescent="0.3">
      <c r="A2294" s="295">
        <v>2022</v>
      </c>
      <c r="B2294" s="295">
        <v>8</v>
      </c>
      <c r="C2294" s="295" t="s">
        <v>352</v>
      </c>
      <c r="D2294" s="295" t="s">
        <v>2</v>
      </c>
      <c r="E2294" s="296">
        <v>0.14504</v>
      </c>
    </row>
    <row r="2295" spans="1:5" x14ac:dyDescent="0.3">
      <c r="A2295" s="295">
        <v>2022</v>
      </c>
      <c r="B2295" s="295">
        <v>8</v>
      </c>
      <c r="C2295" s="295" t="s">
        <v>352</v>
      </c>
      <c r="D2295" s="295" t="s">
        <v>259</v>
      </c>
      <c r="E2295" s="296">
        <v>0.12478</v>
      </c>
    </row>
    <row r="2296" spans="1:5" x14ac:dyDescent="0.3">
      <c r="A2296" s="295">
        <v>2022</v>
      </c>
      <c r="B2296" s="295">
        <v>8</v>
      </c>
      <c r="C2296" s="295" t="s">
        <v>352</v>
      </c>
      <c r="D2296" s="295" t="s">
        <v>85</v>
      </c>
      <c r="E2296" s="296">
        <v>0.74668999999999996</v>
      </c>
    </row>
    <row r="2297" spans="1:5" x14ac:dyDescent="0.3">
      <c r="A2297" s="295">
        <v>2022</v>
      </c>
      <c r="B2297" s="295">
        <v>8</v>
      </c>
      <c r="C2297" s="295" t="s">
        <v>352</v>
      </c>
      <c r="D2297" s="295" t="s">
        <v>101</v>
      </c>
      <c r="E2297" s="296">
        <v>2.9304199999999998</v>
      </c>
    </row>
    <row r="2298" spans="1:5" x14ac:dyDescent="0.3">
      <c r="A2298" s="295">
        <v>2022</v>
      </c>
      <c r="B2298" s="295">
        <v>8</v>
      </c>
      <c r="C2298" s="295" t="s">
        <v>352</v>
      </c>
      <c r="D2298" s="295" t="s">
        <v>179</v>
      </c>
      <c r="E2298" s="296">
        <v>130.02741</v>
      </c>
    </row>
    <row r="2299" spans="1:5" x14ac:dyDescent="0.3">
      <c r="A2299" s="295">
        <v>2022</v>
      </c>
      <c r="B2299" s="295">
        <v>8</v>
      </c>
      <c r="C2299" s="295" t="s">
        <v>1</v>
      </c>
      <c r="D2299" s="295" t="s">
        <v>1</v>
      </c>
      <c r="E2299" s="296">
        <v>1</v>
      </c>
    </row>
    <row r="2300" spans="1:5" x14ac:dyDescent="0.3">
      <c r="A2300" s="295">
        <v>2022</v>
      </c>
      <c r="B2300" s="295">
        <v>8</v>
      </c>
      <c r="C2300" s="295" t="s">
        <v>2</v>
      </c>
      <c r="D2300" s="295" t="s">
        <v>2</v>
      </c>
      <c r="E2300" s="296">
        <v>1</v>
      </c>
    </row>
    <row r="2301" spans="1:5" x14ac:dyDescent="0.3">
      <c r="A2301" s="295">
        <v>2022</v>
      </c>
      <c r="B2301" s="295">
        <v>8</v>
      </c>
      <c r="C2301" s="295" t="s">
        <v>259</v>
      </c>
      <c r="D2301" s="295" t="s">
        <v>259</v>
      </c>
      <c r="E2301" s="296">
        <v>1</v>
      </c>
    </row>
    <row r="2302" spans="1:5" x14ac:dyDescent="0.3">
      <c r="A2302" s="295">
        <v>2022</v>
      </c>
      <c r="B2302" s="295">
        <v>8</v>
      </c>
      <c r="C2302" s="295" t="s">
        <v>85</v>
      </c>
      <c r="D2302" s="295" t="s">
        <v>85</v>
      </c>
      <c r="E2302" s="296">
        <v>1</v>
      </c>
    </row>
    <row r="2303" spans="1:5" x14ac:dyDescent="0.3">
      <c r="A2303" s="295">
        <v>2022</v>
      </c>
      <c r="B2303" s="295">
        <v>8</v>
      </c>
      <c r="C2303" s="295" t="s">
        <v>101</v>
      </c>
      <c r="D2303" s="295" t="s">
        <v>101</v>
      </c>
      <c r="E2303" s="296">
        <v>1</v>
      </c>
    </row>
    <row r="2304" spans="1:5" x14ac:dyDescent="0.3">
      <c r="A2304" s="295">
        <v>2022</v>
      </c>
      <c r="B2304" s="295">
        <v>8</v>
      </c>
      <c r="C2304" s="295" t="s">
        <v>179</v>
      </c>
      <c r="D2304" s="295" t="s">
        <v>179</v>
      </c>
      <c r="E2304" s="296">
        <v>1</v>
      </c>
    </row>
    <row r="2305" spans="1:5" x14ac:dyDescent="0.3">
      <c r="A2305" s="295">
        <v>2022</v>
      </c>
      <c r="B2305" s="295">
        <v>8</v>
      </c>
      <c r="C2305" s="295" t="s">
        <v>352</v>
      </c>
      <c r="D2305" s="295" t="s">
        <v>352</v>
      </c>
      <c r="E2305" s="296">
        <v>1</v>
      </c>
    </row>
    <row r="2306" spans="1:5" x14ac:dyDescent="0.3">
      <c r="A2306" s="295">
        <v>2022</v>
      </c>
      <c r="B2306" s="295">
        <v>9</v>
      </c>
      <c r="C2306" s="295" t="s">
        <v>1</v>
      </c>
      <c r="D2306" s="295" t="s">
        <v>2</v>
      </c>
      <c r="E2306" s="296">
        <v>0.9748</v>
      </c>
    </row>
    <row r="2307" spans="1:5" x14ac:dyDescent="0.3">
      <c r="A2307" s="295">
        <v>2022</v>
      </c>
      <c r="B2307" s="295">
        <v>9</v>
      </c>
      <c r="C2307" s="295" t="s">
        <v>1</v>
      </c>
      <c r="D2307" s="295" t="s">
        <v>259</v>
      </c>
      <c r="E2307" s="296">
        <v>0.88300000000000001</v>
      </c>
    </row>
    <row r="2308" spans="1:5" x14ac:dyDescent="0.3">
      <c r="A2308" s="295">
        <v>2022</v>
      </c>
      <c r="B2308" s="295">
        <v>9</v>
      </c>
      <c r="C2308" s="295" t="s">
        <v>1</v>
      </c>
      <c r="D2308" s="295" t="s">
        <v>85</v>
      </c>
      <c r="E2308" s="296">
        <v>5.2584</v>
      </c>
    </row>
    <row r="2309" spans="1:5" x14ac:dyDescent="0.3">
      <c r="A2309" s="295">
        <v>2022</v>
      </c>
      <c r="B2309" s="295">
        <v>9</v>
      </c>
      <c r="C2309" s="295" t="s">
        <v>1</v>
      </c>
      <c r="D2309" s="295" t="s">
        <v>101</v>
      </c>
      <c r="E2309" s="296">
        <v>19.639299999999999</v>
      </c>
    </row>
    <row r="2310" spans="1:5" x14ac:dyDescent="0.3">
      <c r="A2310" s="295">
        <v>2022</v>
      </c>
      <c r="B2310" s="295">
        <v>9</v>
      </c>
      <c r="C2310" s="295" t="s">
        <v>1</v>
      </c>
      <c r="D2310" s="295" t="s">
        <v>179</v>
      </c>
      <c r="E2310" s="296">
        <v>942.27099999999996</v>
      </c>
    </row>
    <row r="2311" spans="1:5" x14ac:dyDescent="0.3">
      <c r="A2311" s="295">
        <v>2022</v>
      </c>
      <c r="B2311" s="295">
        <v>9</v>
      </c>
      <c r="C2311" s="295" t="s">
        <v>1</v>
      </c>
      <c r="D2311" s="295" t="s">
        <v>352</v>
      </c>
      <c r="E2311" s="296">
        <v>6.9367999999999999</v>
      </c>
    </row>
    <row r="2312" spans="1:5" x14ac:dyDescent="0.3">
      <c r="A2312" s="295">
        <v>2022</v>
      </c>
      <c r="B2312" s="295">
        <v>9</v>
      </c>
      <c r="C2312" s="295" t="s">
        <v>2</v>
      </c>
      <c r="D2312" s="295" t="s">
        <v>1</v>
      </c>
      <c r="E2312" s="296">
        <v>1.0258499999999999</v>
      </c>
    </row>
    <row r="2313" spans="1:5" x14ac:dyDescent="0.3">
      <c r="A2313" s="295">
        <v>2022</v>
      </c>
      <c r="B2313" s="295">
        <v>9</v>
      </c>
      <c r="C2313" s="295" t="s">
        <v>2</v>
      </c>
      <c r="D2313" s="295" t="s">
        <v>259</v>
      </c>
      <c r="E2313" s="296">
        <v>0.90583000000000002</v>
      </c>
    </row>
    <row r="2314" spans="1:5" x14ac:dyDescent="0.3">
      <c r="A2314" s="295">
        <v>2022</v>
      </c>
      <c r="B2314" s="295">
        <v>9</v>
      </c>
      <c r="C2314" s="295" t="s">
        <v>2</v>
      </c>
      <c r="D2314" s="295" t="s">
        <v>85</v>
      </c>
      <c r="E2314" s="296">
        <v>5.3943399999999997</v>
      </c>
    </row>
    <row r="2315" spans="1:5" x14ac:dyDescent="0.3">
      <c r="A2315" s="295">
        <v>2022</v>
      </c>
      <c r="B2315" s="295">
        <v>9</v>
      </c>
      <c r="C2315" s="295" t="s">
        <v>2</v>
      </c>
      <c r="D2315" s="295" t="s">
        <v>101</v>
      </c>
      <c r="E2315" s="296">
        <v>20.146999999999998</v>
      </c>
    </row>
    <row r="2316" spans="1:5" x14ac:dyDescent="0.3">
      <c r="A2316" s="295">
        <v>2022</v>
      </c>
      <c r="B2316" s="295">
        <v>9</v>
      </c>
      <c r="C2316" s="295" t="s">
        <v>2</v>
      </c>
      <c r="D2316" s="295" t="s">
        <v>179</v>
      </c>
      <c r="E2316" s="296">
        <v>966.63008000000002</v>
      </c>
    </row>
    <row r="2317" spans="1:5" x14ac:dyDescent="0.3">
      <c r="A2317" s="295">
        <v>2022</v>
      </c>
      <c r="B2317" s="295">
        <v>9</v>
      </c>
      <c r="C2317" s="295" t="s">
        <v>2</v>
      </c>
      <c r="D2317" s="295" t="s">
        <v>352</v>
      </c>
      <c r="E2317" s="296">
        <v>7.1161300000000001</v>
      </c>
    </row>
    <row r="2318" spans="1:5" x14ac:dyDescent="0.3">
      <c r="A2318" s="295">
        <v>2022</v>
      </c>
      <c r="B2318" s="295">
        <v>9</v>
      </c>
      <c r="C2318" s="295" t="s">
        <v>259</v>
      </c>
      <c r="D2318" s="295" t="s">
        <v>1</v>
      </c>
      <c r="E2318" s="296">
        <v>1.1325000000000001</v>
      </c>
    </row>
    <row r="2319" spans="1:5" x14ac:dyDescent="0.3">
      <c r="A2319" s="295">
        <v>2022</v>
      </c>
      <c r="B2319" s="295">
        <v>9</v>
      </c>
      <c r="C2319" s="295" t="s">
        <v>259</v>
      </c>
      <c r="D2319" s="295" t="s">
        <v>2</v>
      </c>
      <c r="E2319" s="296">
        <v>1.1039600000000001</v>
      </c>
    </row>
    <row r="2320" spans="1:5" x14ac:dyDescent="0.3">
      <c r="A2320" s="295">
        <v>2022</v>
      </c>
      <c r="B2320" s="295">
        <v>9</v>
      </c>
      <c r="C2320" s="295" t="s">
        <v>259</v>
      </c>
      <c r="D2320" s="295" t="s">
        <v>85</v>
      </c>
      <c r="E2320" s="296">
        <v>5.9551499999999997</v>
      </c>
    </row>
    <row r="2321" spans="1:5" x14ac:dyDescent="0.3">
      <c r="A2321" s="295">
        <v>2022</v>
      </c>
      <c r="B2321" s="295">
        <v>9</v>
      </c>
      <c r="C2321" s="295" t="s">
        <v>259</v>
      </c>
      <c r="D2321" s="295" t="s">
        <v>101</v>
      </c>
      <c r="E2321" s="296">
        <v>22.24156</v>
      </c>
    </row>
    <row r="2322" spans="1:5" x14ac:dyDescent="0.3">
      <c r="A2322" s="295">
        <v>2022</v>
      </c>
      <c r="B2322" s="295">
        <v>9</v>
      </c>
      <c r="C2322" s="295" t="s">
        <v>259</v>
      </c>
      <c r="D2322" s="295" t="s">
        <v>179</v>
      </c>
      <c r="E2322" s="296">
        <v>1067.1245799999999</v>
      </c>
    </row>
    <row r="2323" spans="1:5" x14ac:dyDescent="0.3">
      <c r="A2323" s="295">
        <v>2022</v>
      </c>
      <c r="B2323" s="295">
        <v>9</v>
      </c>
      <c r="C2323" s="295" t="s">
        <v>259</v>
      </c>
      <c r="D2323" s="295" t="s">
        <v>352</v>
      </c>
      <c r="E2323" s="296">
        <v>7.85595</v>
      </c>
    </row>
    <row r="2324" spans="1:5" x14ac:dyDescent="0.3">
      <c r="A2324" s="295">
        <v>2022</v>
      </c>
      <c r="B2324" s="295">
        <v>9</v>
      </c>
      <c r="C2324" s="295" t="s">
        <v>85</v>
      </c>
      <c r="D2324" s="295" t="s">
        <v>1</v>
      </c>
      <c r="E2324" s="296">
        <v>0.19017000000000001</v>
      </c>
    </row>
    <row r="2325" spans="1:5" x14ac:dyDescent="0.3">
      <c r="A2325" s="295">
        <v>2022</v>
      </c>
      <c r="B2325" s="295">
        <v>9</v>
      </c>
      <c r="C2325" s="295" t="s">
        <v>85</v>
      </c>
      <c r="D2325" s="295" t="s">
        <v>2</v>
      </c>
      <c r="E2325" s="296">
        <v>0.18537999999999999</v>
      </c>
    </row>
    <row r="2326" spans="1:5" x14ac:dyDescent="0.3">
      <c r="A2326" s="295">
        <v>2022</v>
      </c>
      <c r="B2326" s="295">
        <v>9</v>
      </c>
      <c r="C2326" s="295" t="s">
        <v>85</v>
      </c>
      <c r="D2326" s="295" t="s">
        <v>259</v>
      </c>
      <c r="E2326" s="296">
        <v>0.16792000000000001</v>
      </c>
    </row>
    <row r="2327" spans="1:5" x14ac:dyDescent="0.3">
      <c r="A2327" s="295">
        <v>2022</v>
      </c>
      <c r="B2327" s="295">
        <v>9</v>
      </c>
      <c r="C2327" s="295" t="s">
        <v>85</v>
      </c>
      <c r="D2327" s="295" t="s">
        <v>101</v>
      </c>
      <c r="E2327" s="296">
        <v>3.7348400000000002</v>
      </c>
    </row>
    <row r="2328" spans="1:5" x14ac:dyDescent="0.3">
      <c r="A2328" s="295">
        <v>2022</v>
      </c>
      <c r="B2328" s="295">
        <v>9</v>
      </c>
      <c r="C2328" s="295" t="s">
        <v>85</v>
      </c>
      <c r="D2328" s="295" t="s">
        <v>179</v>
      </c>
      <c r="E2328" s="296">
        <v>179.19347999999999</v>
      </c>
    </row>
    <row r="2329" spans="1:5" x14ac:dyDescent="0.3">
      <c r="A2329" s="295">
        <v>2022</v>
      </c>
      <c r="B2329" s="295">
        <v>9</v>
      </c>
      <c r="C2329" s="295" t="s">
        <v>85</v>
      </c>
      <c r="D2329" s="295" t="s">
        <v>352</v>
      </c>
      <c r="E2329" s="296">
        <v>1.31918</v>
      </c>
    </row>
    <row r="2330" spans="1:5" x14ac:dyDescent="0.3">
      <c r="A2330" s="295">
        <v>2022</v>
      </c>
      <c r="B2330" s="295">
        <v>9</v>
      </c>
      <c r="C2330" s="295" t="s">
        <v>101</v>
      </c>
      <c r="D2330" s="295" t="s">
        <v>1</v>
      </c>
      <c r="E2330" s="296">
        <v>5.092E-2</v>
      </c>
    </row>
    <row r="2331" spans="1:5" x14ac:dyDescent="0.3">
      <c r="A2331" s="295">
        <v>2022</v>
      </c>
      <c r="B2331" s="295">
        <v>9</v>
      </c>
      <c r="C2331" s="295" t="s">
        <v>101</v>
      </c>
      <c r="D2331" s="295" t="s">
        <v>2</v>
      </c>
      <c r="E2331" s="296">
        <v>4.9639999999999997E-2</v>
      </c>
    </row>
    <row r="2332" spans="1:5" x14ac:dyDescent="0.3">
      <c r="A2332" s="295">
        <v>2022</v>
      </c>
      <c r="B2332" s="295">
        <v>9</v>
      </c>
      <c r="C2332" s="295" t="s">
        <v>101</v>
      </c>
      <c r="D2332" s="295" t="s">
        <v>259</v>
      </c>
      <c r="E2332" s="296">
        <v>4.496E-2</v>
      </c>
    </row>
    <row r="2333" spans="1:5" x14ac:dyDescent="0.3">
      <c r="A2333" s="295">
        <v>2022</v>
      </c>
      <c r="B2333" s="295">
        <v>9</v>
      </c>
      <c r="C2333" s="295" t="s">
        <v>101</v>
      </c>
      <c r="D2333" s="295" t="s">
        <v>85</v>
      </c>
      <c r="E2333" s="296">
        <v>0.26774999999999999</v>
      </c>
    </row>
    <row r="2334" spans="1:5" x14ac:dyDescent="0.3">
      <c r="A2334" s="295">
        <v>2022</v>
      </c>
      <c r="B2334" s="295">
        <v>9</v>
      </c>
      <c r="C2334" s="295" t="s">
        <v>101</v>
      </c>
      <c r="D2334" s="295" t="s">
        <v>179</v>
      </c>
      <c r="E2334" s="296">
        <v>47.978850000000001</v>
      </c>
    </row>
    <row r="2335" spans="1:5" x14ac:dyDescent="0.3">
      <c r="A2335" s="295">
        <v>2022</v>
      </c>
      <c r="B2335" s="295">
        <v>9</v>
      </c>
      <c r="C2335" s="295" t="s">
        <v>101</v>
      </c>
      <c r="D2335" s="295" t="s">
        <v>352</v>
      </c>
      <c r="E2335" s="296">
        <v>0.35321000000000002</v>
      </c>
    </row>
    <row r="2336" spans="1:5" x14ac:dyDescent="0.3">
      <c r="A2336" s="295">
        <v>2022</v>
      </c>
      <c r="B2336" s="295">
        <v>9</v>
      </c>
      <c r="C2336" s="295" t="s">
        <v>179</v>
      </c>
      <c r="D2336" s="295" t="s">
        <v>1</v>
      </c>
      <c r="E2336" s="296">
        <v>1.06E-3</v>
      </c>
    </row>
    <row r="2337" spans="1:5" x14ac:dyDescent="0.3">
      <c r="A2337" s="295">
        <v>2022</v>
      </c>
      <c r="B2337" s="295">
        <v>9</v>
      </c>
      <c r="C2337" s="295" t="s">
        <v>179</v>
      </c>
      <c r="D2337" s="295" t="s">
        <v>2</v>
      </c>
      <c r="E2337" s="296">
        <v>1.0300000000000001E-3</v>
      </c>
    </row>
    <row r="2338" spans="1:5" x14ac:dyDescent="0.3">
      <c r="A2338" s="295">
        <v>2022</v>
      </c>
      <c r="B2338" s="295">
        <v>9</v>
      </c>
      <c r="C2338" s="295" t="s">
        <v>179</v>
      </c>
      <c r="D2338" s="295" t="s">
        <v>259</v>
      </c>
      <c r="E2338" s="296">
        <v>9.3999999999999997E-4</v>
      </c>
    </row>
    <row r="2339" spans="1:5" x14ac:dyDescent="0.3">
      <c r="A2339" s="295">
        <v>2022</v>
      </c>
      <c r="B2339" s="295">
        <v>9</v>
      </c>
      <c r="C2339" s="295" t="s">
        <v>179</v>
      </c>
      <c r="D2339" s="295" t="s">
        <v>85</v>
      </c>
      <c r="E2339" s="296">
        <v>5.5799999999999999E-3</v>
      </c>
    </row>
    <row r="2340" spans="1:5" x14ac:dyDescent="0.3">
      <c r="A2340" s="295">
        <v>2022</v>
      </c>
      <c r="B2340" s="295">
        <v>9</v>
      </c>
      <c r="C2340" s="295" t="s">
        <v>179</v>
      </c>
      <c r="D2340" s="295" t="s">
        <v>101</v>
      </c>
      <c r="E2340" s="296">
        <v>2.0840000000000001E-2</v>
      </c>
    </row>
    <row r="2341" spans="1:5" x14ac:dyDescent="0.3">
      <c r="A2341" s="295">
        <v>2022</v>
      </c>
      <c r="B2341" s="295">
        <v>9</v>
      </c>
      <c r="C2341" s="295" t="s">
        <v>179</v>
      </c>
      <c r="D2341" s="295" t="s">
        <v>352</v>
      </c>
      <c r="E2341" s="296">
        <v>7.3600000000000002E-3</v>
      </c>
    </row>
    <row r="2342" spans="1:5" x14ac:dyDescent="0.3">
      <c r="A2342" s="295">
        <v>2022</v>
      </c>
      <c r="B2342" s="295">
        <v>9</v>
      </c>
      <c r="C2342" s="295" t="s">
        <v>352</v>
      </c>
      <c r="D2342" s="295" t="s">
        <v>1</v>
      </c>
      <c r="E2342" s="296">
        <v>0.14416000000000001</v>
      </c>
    </row>
    <row r="2343" spans="1:5" x14ac:dyDescent="0.3">
      <c r="A2343" s="295">
        <v>2022</v>
      </c>
      <c r="B2343" s="295">
        <v>9</v>
      </c>
      <c r="C2343" s="295" t="s">
        <v>352</v>
      </c>
      <c r="D2343" s="295" t="s">
        <v>2</v>
      </c>
      <c r="E2343" s="296">
        <v>0.14052999999999999</v>
      </c>
    </row>
    <row r="2344" spans="1:5" x14ac:dyDescent="0.3">
      <c r="A2344" s="295">
        <v>2022</v>
      </c>
      <c r="B2344" s="295">
        <v>9</v>
      </c>
      <c r="C2344" s="295" t="s">
        <v>352</v>
      </c>
      <c r="D2344" s="295" t="s">
        <v>259</v>
      </c>
      <c r="E2344" s="296">
        <v>0.12728999999999999</v>
      </c>
    </row>
    <row r="2345" spans="1:5" x14ac:dyDescent="0.3">
      <c r="A2345" s="295">
        <v>2022</v>
      </c>
      <c r="B2345" s="295">
        <v>9</v>
      </c>
      <c r="C2345" s="295" t="s">
        <v>352</v>
      </c>
      <c r="D2345" s="295" t="s">
        <v>85</v>
      </c>
      <c r="E2345" s="296">
        <v>0.75804000000000005</v>
      </c>
    </row>
    <row r="2346" spans="1:5" x14ac:dyDescent="0.3">
      <c r="A2346" s="295">
        <v>2022</v>
      </c>
      <c r="B2346" s="295">
        <v>9</v>
      </c>
      <c r="C2346" s="295" t="s">
        <v>352</v>
      </c>
      <c r="D2346" s="295" t="s">
        <v>101</v>
      </c>
      <c r="E2346" s="296">
        <v>2.8311799999999998</v>
      </c>
    </row>
    <row r="2347" spans="1:5" x14ac:dyDescent="0.3">
      <c r="A2347" s="295">
        <v>2022</v>
      </c>
      <c r="B2347" s="295">
        <v>9</v>
      </c>
      <c r="C2347" s="295" t="s">
        <v>352</v>
      </c>
      <c r="D2347" s="295" t="s">
        <v>179</v>
      </c>
      <c r="E2347" s="296">
        <v>135.83654999999999</v>
      </c>
    </row>
    <row r="2348" spans="1:5" x14ac:dyDescent="0.3">
      <c r="A2348" s="295">
        <v>2022</v>
      </c>
      <c r="B2348" s="295">
        <v>9</v>
      </c>
      <c r="C2348" s="295" t="s">
        <v>1</v>
      </c>
      <c r="D2348" s="295" t="s">
        <v>1</v>
      </c>
      <c r="E2348" s="296">
        <v>1</v>
      </c>
    </row>
    <row r="2349" spans="1:5" x14ac:dyDescent="0.3">
      <c r="A2349" s="295">
        <v>2022</v>
      </c>
      <c r="B2349" s="295">
        <v>9</v>
      </c>
      <c r="C2349" s="295" t="s">
        <v>2</v>
      </c>
      <c r="D2349" s="295" t="s">
        <v>2</v>
      </c>
      <c r="E2349" s="296">
        <v>1</v>
      </c>
    </row>
    <row r="2350" spans="1:5" x14ac:dyDescent="0.3">
      <c r="A2350" s="295">
        <v>2022</v>
      </c>
      <c r="B2350" s="295">
        <v>9</v>
      </c>
      <c r="C2350" s="295" t="s">
        <v>259</v>
      </c>
      <c r="D2350" s="295" t="s">
        <v>259</v>
      </c>
      <c r="E2350" s="296">
        <v>1</v>
      </c>
    </row>
    <row r="2351" spans="1:5" x14ac:dyDescent="0.3">
      <c r="A2351" s="295">
        <v>2022</v>
      </c>
      <c r="B2351" s="295">
        <v>9</v>
      </c>
      <c r="C2351" s="295" t="s">
        <v>85</v>
      </c>
      <c r="D2351" s="295" t="s">
        <v>85</v>
      </c>
      <c r="E2351" s="296">
        <v>1</v>
      </c>
    </row>
    <row r="2352" spans="1:5" x14ac:dyDescent="0.3">
      <c r="A2352" s="295">
        <v>2022</v>
      </c>
      <c r="B2352" s="295">
        <v>9</v>
      </c>
      <c r="C2352" s="295" t="s">
        <v>101</v>
      </c>
      <c r="D2352" s="295" t="s">
        <v>101</v>
      </c>
      <c r="E2352" s="296">
        <v>1</v>
      </c>
    </row>
    <row r="2353" spans="1:5" x14ac:dyDescent="0.3">
      <c r="A2353" s="295">
        <v>2022</v>
      </c>
      <c r="B2353" s="295">
        <v>9</v>
      </c>
      <c r="C2353" s="295" t="s">
        <v>179</v>
      </c>
      <c r="D2353" s="295" t="s">
        <v>179</v>
      </c>
      <c r="E2353" s="296">
        <v>1</v>
      </c>
    </row>
    <row r="2354" spans="1:5" x14ac:dyDescent="0.3">
      <c r="A2354" s="295">
        <v>2022</v>
      </c>
      <c r="B2354" s="295">
        <v>9</v>
      </c>
      <c r="C2354" s="295" t="s">
        <v>352</v>
      </c>
      <c r="D2354" s="295" t="s">
        <v>352</v>
      </c>
      <c r="E2354" s="296">
        <v>1</v>
      </c>
    </row>
    <row r="2355" spans="1:5" x14ac:dyDescent="0.3">
      <c r="A2355" s="295">
        <v>2022</v>
      </c>
      <c r="B2355" s="295">
        <v>10</v>
      </c>
      <c r="C2355" s="295" t="s">
        <v>1</v>
      </c>
      <c r="D2355" s="295" t="s">
        <v>2</v>
      </c>
      <c r="E2355" s="296">
        <v>0.98719999999999997</v>
      </c>
    </row>
    <row r="2356" spans="1:5" x14ac:dyDescent="0.3">
      <c r="A2356" s="295">
        <v>2022</v>
      </c>
      <c r="B2356" s="295">
        <v>10</v>
      </c>
      <c r="C2356" s="295" t="s">
        <v>1</v>
      </c>
      <c r="D2356" s="295" t="s">
        <v>259</v>
      </c>
      <c r="E2356" s="296">
        <v>0.86114999999999997</v>
      </c>
    </row>
    <row r="2357" spans="1:5" x14ac:dyDescent="0.3">
      <c r="A2357" s="295">
        <v>2022</v>
      </c>
      <c r="B2357" s="295">
        <v>10</v>
      </c>
      <c r="C2357" s="295" t="s">
        <v>1</v>
      </c>
      <c r="D2357" s="295" t="s">
        <v>85</v>
      </c>
      <c r="E2357" s="296">
        <v>5.2694000000000001</v>
      </c>
    </row>
    <row r="2358" spans="1:5" x14ac:dyDescent="0.3">
      <c r="A2358" s="295">
        <v>2022</v>
      </c>
      <c r="B2358" s="295">
        <v>10</v>
      </c>
      <c r="C2358" s="295" t="s">
        <v>1</v>
      </c>
      <c r="D2358" s="295" t="s">
        <v>101</v>
      </c>
      <c r="E2358" s="296">
        <v>19.712199999999999</v>
      </c>
    </row>
    <row r="2359" spans="1:5" x14ac:dyDescent="0.3">
      <c r="A2359" s="295">
        <v>2022</v>
      </c>
      <c r="B2359" s="295">
        <v>10</v>
      </c>
      <c r="C2359" s="295" t="s">
        <v>1</v>
      </c>
      <c r="D2359" s="295" t="s">
        <v>179</v>
      </c>
      <c r="E2359" s="296">
        <v>934.94</v>
      </c>
    </row>
    <row r="2360" spans="1:5" x14ac:dyDescent="0.3">
      <c r="A2360" s="295">
        <v>2022</v>
      </c>
      <c r="B2360" s="295">
        <v>10</v>
      </c>
      <c r="C2360" s="295" t="s">
        <v>1</v>
      </c>
      <c r="D2360" s="295" t="s">
        <v>352</v>
      </c>
      <c r="E2360" s="296">
        <v>7.2380000000000004</v>
      </c>
    </row>
    <row r="2361" spans="1:5" x14ac:dyDescent="0.3">
      <c r="A2361" s="295">
        <v>2022</v>
      </c>
      <c r="B2361" s="295">
        <v>10</v>
      </c>
      <c r="C2361" s="295" t="s">
        <v>2</v>
      </c>
      <c r="D2361" s="295" t="s">
        <v>1</v>
      </c>
      <c r="E2361" s="296">
        <v>1.0129699999999999</v>
      </c>
    </row>
    <row r="2362" spans="1:5" x14ac:dyDescent="0.3">
      <c r="A2362" s="295">
        <v>2022</v>
      </c>
      <c r="B2362" s="295">
        <v>10</v>
      </c>
      <c r="C2362" s="295" t="s">
        <v>2</v>
      </c>
      <c r="D2362" s="295" t="s">
        <v>259</v>
      </c>
      <c r="E2362" s="296">
        <v>0.86861999999999995</v>
      </c>
    </row>
    <row r="2363" spans="1:5" x14ac:dyDescent="0.3">
      <c r="A2363" s="295">
        <v>2022</v>
      </c>
      <c r="B2363" s="295">
        <v>10</v>
      </c>
      <c r="C2363" s="295" t="s">
        <v>2</v>
      </c>
      <c r="D2363" s="295" t="s">
        <v>85</v>
      </c>
      <c r="E2363" s="296">
        <v>5.3151099999999998</v>
      </c>
    </row>
    <row r="2364" spans="1:5" x14ac:dyDescent="0.3">
      <c r="A2364" s="295">
        <v>2022</v>
      </c>
      <c r="B2364" s="295">
        <v>10</v>
      </c>
      <c r="C2364" s="295" t="s">
        <v>2</v>
      </c>
      <c r="D2364" s="295" t="s">
        <v>101</v>
      </c>
      <c r="E2364" s="296">
        <v>19.883199999999999</v>
      </c>
    </row>
    <row r="2365" spans="1:5" x14ac:dyDescent="0.3">
      <c r="A2365" s="295">
        <v>2022</v>
      </c>
      <c r="B2365" s="295">
        <v>10</v>
      </c>
      <c r="C2365" s="295" t="s">
        <v>2</v>
      </c>
      <c r="D2365" s="295" t="s">
        <v>179</v>
      </c>
      <c r="E2365" s="296">
        <v>943.05023000000006</v>
      </c>
    </row>
    <row r="2366" spans="1:5" x14ac:dyDescent="0.3">
      <c r="A2366" s="295">
        <v>2022</v>
      </c>
      <c r="B2366" s="295">
        <v>10</v>
      </c>
      <c r="C2366" s="295" t="s">
        <v>2</v>
      </c>
      <c r="D2366" s="295" t="s">
        <v>352</v>
      </c>
      <c r="E2366" s="296">
        <v>7.3007900000000001</v>
      </c>
    </row>
    <row r="2367" spans="1:5" x14ac:dyDescent="0.3">
      <c r="A2367" s="295">
        <v>2022</v>
      </c>
      <c r="B2367" s="295">
        <v>10</v>
      </c>
      <c r="C2367" s="295" t="s">
        <v>259</v>
      </c>
      <c r="D2367" s="295" t="s">
        <v>1</v>
      </c>
      <c r="E2367" s="296">
        <v>1.16124</v>
      </c>
    </row>
    <row r="2368" spans="1:5" x14ac:dyDescent="0.3">
      <c r="A2368" s="295">
        <v>2022</v>
      </c>
      <c r="B2368" s="295">
        <v>10</v>
      </c>
      <c r="C2368" s="295" t="s">
        <v>259</v>
      </c>
      <c r="D2368" s="295" t="s">
        <v>2</v>
      </c>
      <c r="E2368" s="296">
        <v>1.1512500000000001</v>
      </c>
    </row>
    <row r="2369" spans="1:5" x14ac:dyDescent="0.3">
      <c r="A2369" s="295">
        <v>2022</v>
      </c>
      <c r="B2369" s="295">
        <v>10</v>
      </c>
      <c r="C2369" s="295" t="s">
        <v>259</v>
      </c>
      <c r="D2369" s="295" t="s">
        <v>85</v>
      </c>
      <c r="E2369" s="296">
        <v>6.1190300000000004</v>
      </c>
    </row>
    <row r="2370" spans="1:5" x14ac:dyDescent="0.3">
      <c r="A2370" s="295">
        <v>2022</v>
      </c>
      <c r="B2370" s="295">
        <v>10</v>
      </c>
      <c r="C2370" s="295" t="s">
        <v>259</v>
      </c>
      <c r="D2370" s="295" t="s">
        <v>101</v>
      </c>
      <c r="E2370" s="296">
        <v>22.890550000000001</v>
      </c>
    </row>
    <row r="2371" spans="1:5" x14ac:dyDescent="0.3">
      <c r="A2371" s="295">
        <v>2022</v>
      </c>
      <c r="B2371" s="295">
        <v>10</v>
      </c>
      <c r="C2371" s="295" t="s">
        <v>259</v>
      </c>
      <c r="D2371" s="295" t="s">
        <v>179</v>
      </c>
      <c r="E2371" s="296">
        <v>1085.6877400000001</v>
      </c>
    </row>
    <row r="2372" spans="1:5" x14ac:dyDescent="0.3">
      <c r="A2372" s="295">
        <v>2022</v>
      </c>
      <c r="B2372" s="295">
        <v>10</v>
      </c>
      <c r="C2372" s="295" t="s">
        <v>259</v>
      </c>
      <c r="D2372" s="295" t="s">
        <v>352</v>
      </c>
      <c r="E2372" s="296">
        <v>8.4050399999999996</v>
      </c>
    </row>
    <row r="2373" spans="1:5" x14ac:dyDescent="0.3">
      <c r="A2373" s="295">
        <v>2022</v>
      </c>
      <c r="B2373" s="295">
        <v>10</v>
      </c>
      <c r="C2373" s="295" t="s">
        <v>85</v>
      </c>
      <c r="D2373" s="295" t="s">
        <v>1</v>
      </c>
      <c r="E2373" s="296">
        <v>0.18976999999999999</v>
      </c>
    </row>
    <row r="2374" spans="1:5" x14ac:dyDescent="0.3">
      <c r="A2374" s="295">
        <v>2022</v>
      </c>
      <c r="B2374" s="295">
        <v>10</v>
      </c>
      <c r="C2374" s="295" t="s">
        <v>85</v>
      </c>
      <c r="D2374" s="295" t="s">
        <v>2</v>
      </c>
      <c r="E2374" s="296">
        <v>0.18814</v>
      </c>
    </row>
    <row r="2375" spans="1:5" x14ac:dyDescent="0.3">
      <c r="A2375" s="295">
        <v>2022</v>
      </c>
      <c r="B2375" s="295">
        <v>10</v>
      </c>
      <c r="C2375" s="295" t="s">
        <v>85</v>
      </c>
      <c r="D2375" s="295" t="s">
        <v>259</v>
      </c>
      <c r="E2375" s="296">
        <v>0.16342000000000001</v>
      </c>
    </row>
    <row r="2376" spans="1:5" x14ac:dyDescent="0.3">
      <c r="A2376" s="295">
        <v>2022</v>
      </c>
      <c r="B2376" s="295">
        <v>10</v>
      </c>
      <c r="C2376" s="295" t="s">
        <v>85</v>
      </c>
      <c r="D2376" s="295" t="s">
        <v>101</v>
      </c>
      <c r="E2376" s="296">
        <v>3.7408800000000002</v>
      </c>
    </row>
    <row r="2377" spans="1:5" x14ac:dyDescent="0.3">
      <c r="A2377" s="295">
        <v>2022</v>
      </c>
      <c r="B2377" s="295">
        <v>10</v>
      </c>
      <c r="C2377" s="295" t="s">
        <v>85</v>
      </c>
      <c r="D2377" s="295" t="s">
        <v>179</v>
      </c>
      <c r="E2377" s="296">
        <v>177.42816999999999</v>
      </c>
    </row>
    <row r="2378" spans="1:5" x14ac:dyDescent="0.3">
      <c r="A2378" s="295">
        <v>2022</v>
      </c>
      <c r="B2378" s="295">
        <v>10</v>
      </c>
      <c r="C2378" s="295" t="s">
        <v>85</v>
      </c>
      <c r="D2378" s="295" t="s">
        <v>352</v>
      </c>
      <c r="E2378" s="296">
        <v>1.3735900000000001</v>
      </c>
    </row>
    <row r="2379" spans="1:5" x14ac:dyDescent="0.3">
      <c r="A2379" s="295">
        <v>2022</v>
      </c>
      <c r="B2379" s="295">
        <v>10</v>
      </c>
      <c r="C2379" s="295" t="s">
        <v>101</v>
      </c>
      <c r="D2379" s="295" t="s">
        <v>1</v>
      </c>
      <c r="E2379" s="296">
        <v>5.0729999999999997E-2</v>
      </c>
    </row>
    <row r="2380" spans="1:5" x14ac:dyDescent="0.3">
      <c r="A2380" s="295">
        <v>2022</v>
      </c>
      <c r="B2380" s="295">
        <v>10</v>
      </c>
      <c r="C2380" s="295" t="s">
        <v>101</v>
      </c>
      <c r="D2380" s="295" t="s">
        <v>2</v>
      </c>
      <c r="E2380" s="296">
        <v>5.0290000000000001E-2</v>
      </c>
    </row>
    <row r="2381" spans="1:5" x14ac:dyDescent="0.3">
      <c r="A2381" s="295">
        <v>2022</v>
      </c>
      <c r="B2381" s="295">
        <v>10</v>
      </c>
      <c r="C2381" s="295" t="s">
        <v>101</v>
      </c>
      <c r="D2381" s="295" t="s">
        <v>259</v>
      </c>
      <c r="E2381" s="296">
        <v>4.369E-2</v>
      </c>
    </row>
    <row r="2382" spans="1:5" x14ac:dyDescent="0.3">
      <c r="A2382" s="295">
        <v>2022</v>
      </c>
      <c r="B2382" s="295">
        <v>10</v>
      </c>
      <c r="C2382" s="295" t="s">
        <v>101</v>
      </c>
      <c r="D2382" s="295" t="s">
        <v>85</v>
      </c>
      <c r="E2382" s="296">
        <v>0.26732</v>
      </c>
    </row>
    <row r="2383" spans="1:5" x14ac:dyDescent="0.3">
      <c r="A2383" s="295">
        <v>2022</v>
      </c>
      <c r="B2383" s="295">
        <v>10</v>
      </c>
      <c r="C2383" s="295" t="s">
        <v>101</v>
      </c>
      <c r="D2383" s="295" t="s">
        <v>179</v>
      </c>
      <c r="E2383" s="296">
        <v>47.429510000000001</v>
      </c>
    </row>
    <row r="2384" spans="1:5" x14ac:dyDescent="0.3">
      <c r="A2384" s="295">
        <v>2022</v>
      </c>
      <c r="B2384" s="295">
        <v>10</v>
      </c>
      <c r="C2384" s="295" t="s">
        <v>101</v>
      </c>
      <c r="D2384" s="295" t="s">
        <v>352</v>
      </c>
      <c r="E2384" s="296">
        <v>0.36718000000000001</v>
      </c>
    </row>
    <row r="2385" spans="1:5" x14ac:dyDescent="0.3">
      <c r="A2385" s="295">
        <v>2022</v>
      </c>
      <c r="B2385" s="295">
        <v>10</v>
      </c>
      <c r="C2385" s="295" t="s">
        <v>179</v>
      </c>
      <c r="D2385" s="295" t="s">
        <v>1</v>
      </c>
      <c r="E2385" s="296">
        <v>1.07E-3</v>
      </c>
    </row>
    <row r="2386" spans="1:5" x14ac:dyDescent="0.3">
      <c r="A2386" s="295">
        <v>2022</v>
      </c>
      <c r="B2386" s="295">
        <v>10</v>
      </c>
      <c r="C2386" s="295" t="s">
        <v>179</v>
      </c>
      <c r="D2386" s="295" t="s">
        <v>2</v>
      </c>
      <c r="E2386" s="296">
        <v>1.06E-3</v>
      </c>
    </row>
    <row r="2387" spans="1:5" x14ac:dyDescent="0.3">
      <c r="A2387" s="295">
        <v>2022</v>
      </c>
      <c r="B2387" s="295">
        <v>10</v>
      </c>
      <c r="C2387" s="295" t="s">
        <v>179</v>
      </c>
      <c r="D2387" s="295" t="s">
        <v>259</v>
      </c>
      <c r="E2387" s="296">
        <v>9.2000000000000003E-4</v>
      </c>
    </row>
    <row r="2388" spans="1:5" x14ac:dyDescent="0.3">
      <c r="A2388" s="295">
        <v>2022</v>
      </c>
      <c r="B2388" s="295">
        <v>10</v>
      </c>
      <c r="C2388" s="295" t="s">
        <v>179</v>
      </c>
      <c r="D2388" s="295" t="s">
        <v>85</v>
      </c>
      <c r="E2388" s="296">
        <v>5.64E-3</v>
      </c>
    </row>
    <row r="2389" spans="1:5" x14ac:dyDescent="0.3">
      <c r="A2389" s="295">
        <v>2022</v>
      </c>
      <c r="B2389" s="295">
        <v>10</v>
      </c>
      <c r="C2389" s="295" t="s">
        <v>179</v>
      </c>
      <c r="D2389" s="295" t="s">
        <v>101</v>
      </c>
      <c r="E2389" s="296">
        <v>2.1080000000000002E-2</v>
      </c>
    </row>
    <row r="2390" spans="1:5" x14ac:dyDescent="0.3">
      <c r="A2390" s="295">
        <v>2022</v>
      </c>
      <c r="B2390" s="295">
        <v>10</v>
      </c>
      <c r="C2390" s="295" t="s">
        <v>179</v>
      </c>
      <c r="D2390" s="295" t="s">
        <v>352</v>
      </c>
      <c r="E2390" s="296">
        <v>7.7400000000000004E-3</v>
      </c>
    </row>
    <row r="2391" spans="1:5" x14ac:dyDescent="0.3">
      <c r="A2391" s="295">
        <v>2022</v>
      </c>
      <c r="B2391" s="295">
        <v>10</v>
      </c>
      <c r="C2391" s="295" t="s">
        <v>352</v>
      </c>
      <c r="D2391" s="295" t="s">
        <v>1</v>
      </c>
      <c r="E2391" s="296">
        <v>0.13816000000000001</v>
      </c>
    </row>
    <row r="2392" spans="1:5" x14ac:dyDescent="0.3">
      <c r="A2392" s="295">
        <v>2022</v>
      </c>
      <c r="B2392" s="295">
        <v>10</v>
      </c>
      <c r="C2392" s="295" t="s">
        <v>352</v>
      </c>
      <c r="D2392" s="295" t="s">
        <v>2</v>
      </c>
      <c r="E2392" s="296">
        <v>0.13697000000000001</v>
      </c>
    </row>
    <row r="2393" spans="1:5" x14ac:dyDescent="0.3">
      <c r="A2393" s="295">
        <v>2022</v>
      </c>
      <c r="B2393" s="295">
        <v>10</v>
      </c>
      <c r="C2393" s="295" t="s">
        <v>352</v>
      </c>
      <c r="D2393" s="295" t="s">
        <v>259</v>
      </c>
      <c r="E2393" s="296">
        <v>0.11898</v>
      </c>
    </row>
    <row r="2394" spans="1:5" x14ac:dyDescent="0.3">
      <c r="A2394" s="295">
        <v>2022</v>
      </c>
      <c r="B2394" s="295">
        <v>10</v>
      </c>
      <c r="C2394" s="295" t="s">
        <v>352</v>
      </c>
      <c r="D2394" s="295" t="s">
        <v>85</v>
      </c>
      <c r="E2394" s="296">
        <v>0.72802</v>
      </c>
    </row>
    <row r="2395" spans="1:5" x14ac:dyDescent="0.3">
      <c r="A2395" s="295">
        <v>2022</v>
      </c>
      <c r="B2395" s="295">
        <v>10</v>
      </c>
      <c r="C2395" s="295" t="s">
        <v>352</v>
      </c>
      <c r="D2395" s="295" t="s">
        <v>101</v>
      </c>
      <c r="E2395" s="296">
        <v>2.72343</v>
      </c>
    </row>
    <row r="2396" spans="1:5" x14ac:dyDescent="0.3">
      <c r="A2396" s="295">
        <v>2022</v>
      </c>
      <c r="B2396" s="295">
        <v>10</v>
      </c>
      <c r="C2396" s="295" t="s">
        <v>352</v>
      </c>
      <c r="D2396" s="295" t="s">
        <v>179</v>
      </c>
      <c r="E2396" s="296">
        <v>129.17104</v>
      </c>
    </row>
    <row r="2397" spans="1:5" x14ac:dyDescent="0.3">
      <c r="A2397" s="295">
        <v>2022</v>
      </c>
      <c r="B2397" s="295">
        <v>10</v>
      </c>
      <c r="C2397" s="295" t="s">
        <v>1</v>
      </c>
      <c r="D2397" s="295" t="s">
        <v>1</v>
      </c>
      <c r="E2397" s="296">
        <v>1</v>
      </c>
    </row>
    <row r="2398" spans="1:5" x14ac:dyDescent="0.3">
      <c r="A2398" s="295">
        <v>2022</v>
      </c>
      <c r="B2398" s="295">
        <v>10</v>
      </c>
      <c r="C2398" s="295" t="s">
        <v>2</v>
      </c>
      <c r="D2398" s="295" t="s">
        <v>2</v>
      </c>
      <c r="E2398" s="296">
        <v>1</v>
      </c>
    </row>
    <row r="2399" spans="1:5" x14ac:dyDescent="0.3">
      <c r="A2399" s="295">
        <v>2022</v>
      </c>
      <c r="B2399" s="295">
        <v>10</v>
      </c>
      <c r="C2399" s="295" t="s">
        <v>259</v>
      </c>
      <c r="D2399" s="295" t="s">
        <v>259</v>
      </c>
      <c r="E2399" s="296">
        <v>1</v>
      </c>
    </row>
    <row r="2400" spans="1:5" x14ac:dyDescent="0.3">
      <c r="A2400" s="295">
        <v>2022</v>
      </c>
      <c r="B2400" s="295">
        <v>10</v>
      </c>
      <c r="C2400" s="295" t="s">
        <v>85</v>
      </c>
      <c r="D2400" s="295" t="s">
        <v>85</v>
      </c>
      <c r="E2400" s="296">
        <v>1</v>
      </c>
    </row>
    <row r="2401" spans="1:5" x14ac:dyDescent="0.3">
      <c r="A2401" s="295">
        <v>2022</v>
      </c>
      <c r="B2401" s="295">
        <v>10</v>
      </c>
      <c r="C2401" s="295" t="s">
        <v>101</v>
      </c>
      <c r="D2401" s="295" t="s">
        <v>101</v>
      </c>
      <c r="E2401" s="296">
        <v>1</v>
      </c>
    </row>
    <row r="2402" spans="1:5" x14ac:dyDescent="0.3">
      <c r="A2402" s="295">
        <v>2022</v>
      </c>
      <c r="B2402" s="295">
        <v>10</v>
      </c>
      <c r="C2402" s="295" t="s">
        <v>179</v>
      </c>
      <c r="D2402" s="295" t="s">
        <v>179</v>
      </c>
      <c r="E2402" s="296">
        <v>1</v>
      </c>
    </row>
    <row r="2403" spans="1:5" x14ac:dyDescent="0.3">
      <c r="A2403" s="295">
        <v>2022</v>
      </c>
      <c r="B2403" s="295">
        <v>10</v>
      </c>
      <c r="C2403" s="295" t="s">
        <v>352</v>
      </c>
      <c r="D2403" s="295" t="s">
        <v>352</v>
      </c>
      <c r="E2403" s="296">
        <v>1</v>
      </c>
    </row>
    <row r="2404" spans="1:5" x14ac:dyDescent="0.3">
      <c r="A2404" s="295">
        <v>2022</v>
      </c>
      <c r="B2404" s="295">
        <v>11</v>
      </c>
      <c r="C2404" s="295" t="s">
        <v>1</v>
      </c>
      <c r="D2404" s="295" t="s">
        <v>2</v>
      </c>
      <c r="E2404" s="296">
        <v>1.0376000000000001</v>
      </c>
    </row>
    <row r="2405" spans="1:5" x14ac:dyDescent="0.3">
      <c r="A2405" s="295">
        <v>2022</v>
      </c>
      <c r="B2405" s="295">
        <v>11</v>
      </c>
      <c r="C2405" s="295" t="s">
        <v>1</v>
      </c>
      <c r="D2405" s="295" t="s">
        <v>259</v>
      </c>
      <c r="E2405" s="296">
        <v>0.86487999999999998</v>
      </c>
    </row>
    <row r="2406" spans="1:5" x14ac:dyDescent="0.3">
      <c r="A2406" s="295">
        <v>2022</v>
      </c>
      <c r="B2406" s="295">
        <v>11</v>
      </c>
      <c r="C2406" s="295" t="s">
        <v>1</v>
      </c>
      <c r="D2406" s="295" t="s">
        <v>85</v>
      </c>
      <c r="E2406" s="296">
        <v>5.5063000000000004</v>
      </c>
    </row>
    <row r="2407" spans="1:5" x14ac:dyDescent="0.3">
      <c r="A2407" s="295">
        <v>2022</v>
      </c>
      <c r="B2407" s="295">
        <v>11</v>
      </c>
      <c r="C2407" s="295" t="s">
        <v>1</v>
      </c>
      <c r="D2407" s="295" t="s">
        <v>101</v>
      </c>
      <c r="E2407" s="296">
        <v>20.011099999999999</v>
      </c>
    </row>
    <row r="2408" spans="1:5" x14ac:dyDescent="0.3">
      <c r="A2408" s="295">
        <v>2022</v>
      </c>
      <c r="B2408" s="295">
        <v>11</v>
      </c>
      <c r="C2408" s="295" t="s">
        <v>1</v>
      </c>
      <c r="D2408" s="295" t="s">
        <v>179</v>
      </c>
      <c r="E2408" s="296">
        <v>922.27099999999996</v>
      </c>
    </row>
    <row r="2409" spans="1:5" x14ac:dyDescent="0.3">
      <c r="A2409" s="295">
        <v>2022</v>
      </c>
      <c r="B2409" s="295">
        <v>11</v>
      </c>
      <c r="C2409" s="295" t="s">
        <v>1</v>
      </c>
      <c r="D2409" s="295" t="s">
        <v>352</v>
      </c>
      <c r="E2409" s="296">
        <v>7.3437000000000001</v>
      </c>
    </row>
    <row r="2410" spans="1:5" x14ac:dyDescent="0.3">
      <c r="A2410" s="295">
        <v>2022</v>
      </c>
      <c r="B2410" s="295">
        <v>11</v>
      </c>
      <c r="C2410" s="295" t="s">
        <v>2</v>
      </c>
      <c r="D2410" s="295" t="s">
        <v>1</v>
      </c>
      <c r="E2410" s="296">
        <v>0.96375999999999995</v>
      </c>
    </row>
    <row r="2411" spans="1:5" x14ac:dyDescent="0.3">
      <c r="A2411" s="295">
        <v>2022</v>
      </c>
      <c r="B2411" s="295">
        <v>11</v>
      </c>
      <c r="C2411" s="295" t="s">
        <v>2</v>
      </c>
      <c r="D2411" s="295" t="s">
        <v>259</v>
      </c>
      <c r="E2411" s="296">
        <v>0.83353999999999995</v>
      </c>
    </row>
    <row r="2412" spans="1:5" x14ac:dyDescent="0.3">
      <c r="A2412" s="295">
        <v>2022</v>
      </c>
      <c r="B2412" s="295">
        <v>11</v>
      </c>
      <c r="C2412" s="295" t="s">
        <v>2</v>
      </c>
      <c r="D2412" s="295" t="s">
        <v>85</v>
      </c>
      <c r="E2412" s="296">
        <v>5.3067700000000002</v>
      </c>
    </row>
    <row r="2413" spans="1:5" x14ac:dyDescent="0.3">
      <c r="A2413" s="295">
        <v>2022</v>
      </c>
      <c r="B2413" s="295">
        <v>11</v>
      </c>
      <c r="C2413" s="295" t="s">
        <v>2</v>
      </c>
      <c r="D2413" s="295" t="s">
        <v>101</v>
      </c>
      <c r="E2413" s="296">
        <v>19.28595</v>
      </c>
    </row>
    <row r="2414" spans="1:5" x14ac:dyDescent="0.3">
      <c r="A2414" s="295">
        <v>2022</v>
      </c>
      <c r="B2414" s="295">
        <v>11</v>
      </c>
      <c r="C2414" s="295" t="s">
        <v>2</v>
      </c>
      <c r="D2414" s="295" t="s">
        <v>179</v>
      </c>
      <c r="E2414" s="296">
        <v>888.85023000000001</v>
      </c>
    </row>
    <row r="2415" spans="1:5" x14ac:dyDescent="0.3">
      <c r="A2415" s="295">
        <v>2022</v>
      </c>
      <c r="B2415" s="295">
        <v>11</v>
      </c>
      <c r="C2415" s="295" t="s">
        <v>2</v>
      </c>
      <c r="D2415" s="295" t="s">
        <v>352</v>
      </c>
      <c r="E2415" s="296">
        <v>7.0775800000000002</v>
      </c>
    </row>
    <row r="2416" spans="1:5" x14ac:dyDescent="0.3">
      <c r="A2416" s="295">
        <v>2022</v>
      </c>
      <c r="B2416" s="295">
        <v>11</v>
      </c>
      <c r="C2416" s="295" t="s">
        <v>259</v>
      </c>
      <c r="D2416" s="295" t="s">
        <v>1</v>
      </c>
      <c r="E2416" s="296">
        <v>1.1562300000000001</v>
      </c>
    </row>
    <row r="2417" spans="1:5" x14ac:dyDescent="0.3">
      <c r="A2417" s="295">
        <v>2022</v>
      </c>
      <c r="B2417" s="295">
        <v>11</v>
      </c>
      <c r="C2417" s="295" t="s">
        <v>259</v>
      </c>
      <c r="D2417" s="295" t="s">
        <v>2</v>
      </c>
      <c r="E2417" s="296">
        <v>1.1997</v>
      </c>
    </row>
    <row r="2418" spans="1:5" x14ac:dyDescent="0.3">
      <c r="A2418" s="295">
        <v>2022</v>
      </c>
      <c r="B2418" s="295">
        <v>11</v>
      </c>
      <c r="C2418" s="295" t="s">
        <v>259</v>
      </c>
      <c r="D2418" s="295" t="s">
        <v>85</v>
      </c>
      <c r="E2418" s="296">
        <v>6.3665500000000002</v>
      </c>
    </row>
    <row r="2419" spans="1:5" x14ac:dyDescent="0.3">
      <c r="A2419" s="295">
        <v>2022</v>
      </c>
      <c r="B2419" s="295">
        <v>11</v>
      </c>
      <c r="C2419" s="295" t="s">
        <v>259</v>
      </c>
      <c r="D2419" s="295" t="s">
        <v>101</v>
      </c>
      <c r="E2419" s="296">
        <v>23.137429999999998</v>
      </c>
    </row>
    <row r="2420" spans="1:5" x14ac:dyDescent="0.3">
      <c r="A2420" s="295">
        <v>2022</v>
      </c>
      <c r="B2420" s="295">
        <v>11</v>
      </c>
      <c r="C2420" s="295" t="s">
        <v>259</v>
      </c>
      <c r="D2420" s="295" t="s">
        <v>179</v>
      </c>
      <c r="E2420" s="296">
        <v>1066.35718</v>
      </c>
    </row>
    <row r="2421" spans="1:5" x14ac:dyDescent="0.3">
      <c r="A2421" s="295">
        <v>2022</v>
      </c>
      <c r="B2421" s="295">
        <v>11</v>
      </c>
      <c r="C2421" s="295" t="s">
        <v>259</v>
      </c>
      <c r="D2421" s="295" t="s">
        <v>352</v>
      </c>
      <c r="E2421" s="296">
        <v>8.4909999999999997</v>
      </c>
    </row>
    <row r="2422" spans="1:5" x14ac:dyDescent="0.3">
      <c r="A2422" s="295">
        <v>2022</v>
      </c>
      <c r="B2422" s="295">
        <v>11</v>
      </c>
      <c r="C2422" s="295" t="s">
        <v>85</v>
      </c>
      <c r="D2422" s="295" t="s">
        <v>1</v>
      </c>
      <c r="E2422" s="296">
        <v>0.18160999999999999</v>
      </c>
    </row>
    <row r="2423" spans="1:5" x14ac:dyDescent="0.3">
      <c r="A2423" s="295">
        <v>2022</v>
      </c>
      <c r="B2423" s="295">
        <v>11</v>
      </c>
      <c r="C2423" s="295" t="s">
        <v>85</v>
      </c>
      <c r="D2423" s="295" t="s">
        <v>2</v>
      </c>
      <c r="E2423" s="296">
        <v>0.18844</v>
      </c>
    </row>
    <row r="2424" spans="1:5" x14ac:dyDescent="0.3">
      <c r="A2424" s="295">
        <v>2022</v>
      </c>
      <c r="B2424" s="295">
        <v>11</v>
      </c>
      <c r="C2424" s="295" t="s">
        <v>85</v>
      </c>
      <c r="D2424" s="295" t="s">
        <v>259</v>
      </c>
      <c r="E2424" s="296">
        <v>0.15706999999999999</v>
      </c>
    </row>
    <row r="2425" spans="1:5" x14ac:dyDescent="0.3">
      <c r="A2425" s="295">
        <v>2022</v>
      </c>
      <c r="B2425" s="295">
        <v>11</v>
      </c>
      <c r="C2425" s="295" t="s">
        <v>85</v>
      </c>
      <c r="D2425" s="295" t="s">
        <v>101</v>
      </c>
      <c r="E2425" s="296">
        <v>3.63422</v>
      </c>
    </row>
    <row r="2426" spans="1:5" x14ac:dyDescent="0.3">
      <c r="A2426" s="295">
        <v>2022</v>
      </c>
      <c r="B2426" s="295">
        <v>11</v>
      </c>
      <c r="C2426" s="295" t="s">
        <v>85</v>
      </c>
      <c r="D2426" s="295" t="s">
        <v>179</v>
      </c>
      <c r="E2426" s="296">
        <v>167.49377999999999</v>
      </c>
    </row>
    <row r="2427" spans="1:5" x14ac:dyDescent="0.3">
      <c r="A2427" s="295">
        <v>2022</v>
      </c>
      <c r="B2427" s="295">
        <v>11</v>
      </c>
      <c r="C2427" s="295" t="s">
        <v>85</v>
      </c>
      <c r="D2427" s="295" t="s">
        <v>352</v>
      </c>
      <c r="E2427" s="296">
        <v>1.33369</v>
      </c>
    </row>
    <row r="2428" spans="1:5" x14ac:dyDescent="0.3">
      <c r="A2428" s="295">
        <v>2022</v>
      </c>
      <c r="B2428" s="295">
        <v>11</v>
      </c>
      <c r="C2428" s="295" t="s">
        <v>101</v>
      </c>
      <c r="D2428" s="295" t="s">
        <v>1</v>
      </c>
      <c r="E2428" s="296">
        <v>4.9970000000000001E-2</v>
      </c>
    </row>
    <row r="2429" spans="1:5" x14ac:dyDescent="0.3">
      <c r="A2429" s="295">
        <v>2022</v>
      </c>
      <c r="B2429" s="295">
        <v>11</v>
      </c>
      <c r="C2429" s="295" t="s">
        <v>101</v>
      </c>
      <c r="D2429" s="295" t="s">
        <v>2</v>
      </c>
      <c r="E2429" s="296">
        <v>5.185E-2</v>
      </c>
    </row>
    <row r="2430" spans="1:5" x14ac:dyDescent="0.3">
      <c r="A2430" s="295">
        <v>2022</v>
      </c>
      <c r="B2430" s="295">
        <v>11</v>
      </c>
      <c r="C2430" s="295" t="s">
        <v>101</v>
      </c>
      <c r="D2430" s="295" t="s">
        <v>259</v>
      </c>
      <c r="E2430" s="296">
        <v>4.3220000000000001E-2</v>
      </c>
    </row>
    <row r="2431" spans="1:5" x14ac:dyDescent="0.3">
      <c r="A2431" s="295">
        <v>2022</v>
      </c>
      <c r="B2431" s="295">
        <v>11</v>
      </c>
      <c r="C2431" s="295" t="s">
        <v>101</v>
      </c>
      <c r="D2431" s="295" t="s">
        <v>85</v>
      </c>
      <c r="E2431" s="296">
        <v>0.27516000000000002</v>
      </c>
    </row>
    <row r="2432" spans="1:5" x14ac:dyDescent="0.3">
      <c r="A2432" s="295">
        <v>2022</v>
      </c>
      <c r="B2432" s="295">
        <v>11</v>
      </c>
      <c r="C2432" s="295" t="s">
        <v>101</v>
      </c>
      <c r="D2432" s="295" t="s">
        <v>179</v>
      </c>
      <c r="E2432" s="296">
        <v>46.087969999999999</v>
      </c>
    </row>
    <row r="2433" spans="1:5" x14ac:dyDescent="0.3">
      <c r="A2433" s="295">
        <v>2022</v>
      </c>
      <c r="B2433" s="295">
        <v>11</v>
      </c>
      <c r="C2433" s="295" t="s">
        <v>101</v>
      </c>
      <c r="D2433" s="295" t="s">
        <v>352</v>
      </c>
      <c r="E2433" s="296">
        <v>0.36697999999999997</v>
      </c>
    </row>
    <row r="2434" spans="1:5" x14ac:dyDescent="0.3">
      <c r="A2434" s="295">
        <v>2022</v>
      </c>
      <c r="B2434" s="295">
        <v>11</v>
      </c>
      <c r="C2434" s="295" t="s">
        <v>179</v>
      </c>
      <c r="D2434" s="295" t="s">
        <v>1</v>
      </c>
      <c r="E2434" s="296">
        <v>1.08E-3</v>
      </c>
    </row>
    <row r="2435" spans="1:5" x14ac:dyDescent="0.3">
      <c r="A2435" s="295">
        <v>2022</v>
      </c>
      <c r="B2435" s="295">
        <v>11</v>
      </c>
      <c r="C2435" s="295" t="s">
        <v>179</v>
      </c>
      <c r="D2435" s="295" t="s">
        <v>2</v>
      </c>
      <c r="E2435" s="296">
        <v>1.1299999999999999E-3</v>
      </c>
    </row>
    <row r="2436" spans="1:5" x14ac:dyDescent="0.3">
      <c r="A2436" s="295">
        <v>2022</v>
      </c>
      <c r="B2436" s="295">
        <v>11</v>
      </c>
      <c r="C2436" s="295" t="s">
        <v>179</v>
      </c>
      <c r="D2436" s="295" t="s">
        <v>259</v>
      </c>
      <c r="E2436" s="296">
        <v>9.3999999999999997E-4</v>
      </c>
    </row>
    <row r="2437" spans="1:5" x14ac:dyDescent="0.3">
      <c r="A2437" s="295">
        <v>2022</v>
      </c>
      <c r="B2437" s="295">
        <v>11</v>
      </c>
      <c r="C2437" s="295" t="s">
        <v>179</v>
      </c>
      <c r="D2437" s="295" t="s">
        <v>85</v>
      </c>
      <c r="E2437" s="296">
        <v>5.9699999999999996E-3</v>
      </c>
    </row>
    <row r="2438" spans="1:5" x14ac:dyDescent="0.3">
      <c r="A2438" s="295">
        <v>2022</v>
      </c>
      <c r="B2438" s="295">
        <v>11</v>
      </c>
      <c r="C2438" s="295" t="s">
        <v>179</v>
      </c>
      <c r="D2438" s="295" t="s">
        <v>101</v>
      </c>
      <c r="E2438" s="296">
        <v>2.1700000000000001E-2</v>
      </c>
    </row>
    <row r="2439" spans="1:5" x14ac:dyDescent="0.3">
      <c r="A2439" s="295">
        <v>2022</v>
      </c>
      <c r="B2439" s="295">
        <v>11</v>
      </c>
      <c r="C2439" s="295" t="s">
        <v>179</v>
      </c>
      <c r="D2439" s="295" t="s">
        <v>352</v>
      </c>
      <c r="E2439" s="296">
        <v>7.9600000000000001E-3</v>
      </c>
    </row>
    <row r="2440" spans="1:5" x14ac:dyDescent="0.3">
      <c r="A2440" s="295">
        <v>2022</v>
      </c>
      <c r="B2440" s="295">
        <v>11</v>
      </c>
      <c r="C2440" s="295" t="s">
        <v>352</v>
      </c>
      <c r="D2440" s="295" t="s">
        <v>1</v>
      </c>
      <c r="E2440" s="296">
        <v>0.13617000000000001</v>
      </c>
    </row>
    <row r="2441" spans="1:5" x14ac:dyDescent="0.3">
      <c r="A2441" s="295">
        <v>2022</v>
      </c>
      <c r="B2441" s="295">
        <v>11</v>
      </c>
      <c r="C2441" s="295" t="s">
        <v>352</v>
      </c>
      <c r="D2441" s="295" t="s">
        <v>2</v>
      </c>
      <c r="E2441" s="296">
        <v>0.14129</v>
      </c>
    </row>
    <row r="2442" spans="1:5" x14ac:dyDescent="0.3">
      <c r="A2442" s="295">
        <v>2022</v>
      </c>
      <c r="B2442" s="295">
        <v>11</v>
      </c>
      <c r="C2442" s="295" t="s">
        <v>352</v>
      </c>
      <c r="D2442" s="295" t="s">
        <v>259</v>
      </c>
      <c r="E2442" s="296">
        <v>0.11777</v>
      </c>
    </row>
    <row r="2443" spans="1:5" x14ac:dyDescent="0.3">
      <c r="A2443" s="295">
        <v>2022</v>
      </c>
      <c r="B2443" s="295">
        <v>11</v>
      </c>
      <c r="C2443" s="295" t="s">
        <v>352</v>
      </c>
      <c r="D2443" s="295" t="s">
        <v>85</v>
      </c>
      <c r="E2443" s="296">
        <v>0.74980000000000002</v>
      </c>
    </row>
    <row r="2444" spans="1:5" x14ac:dyDescent="0.3">
      <c r="A2444" s="295">
        <v>2022</v>
      </c>
      <c r="B2444" s="295">
        <v>11</v>
      </c>
      <c r="C2444" s="295" t="s">
        <v>352</v>
      </c>
      <c r="D2444" s="295" t="s">
        <v>101</v>
      </c>
      <c r="E2444" s="296">
        <v>2.7249300000000001</v>
      </c>
    </row>
    <row r="2445" spans="1:5" x14ac:dyDescent="0.3">
      <c r="A2445" s="295">
        <v>2022</v>
      </c>
      <c r="B2445" s="295">
        <v>11</v>
      </c>
      <c r="C2445" s="295" t="s">
        <v>352</v>
      </c>
      <c r="D2445" s="295" t="s">
        <v>179</v>
      </c>
      <c r="E2445" s="296">
        <v>125.58669</v>
      </c>
    </row>
    <row r="2446" spans="1:5" x14ac:dyDescent="0.3">
      <c r="A2446" s="295">
        <v>2022</v>
      </c>
      <c r="B2446" s="295">
        <v>11</v>
      </c>
      <c r="C2446" s="295" t="s">
        <v>1</v>
      </c>
      <c r="D2446" s="295" t="s">
        <v>1</v>
      </c>
      <c r="E2446" s="296">
        <v>1</v>
      </c>
    </row>
    <row r="2447" spans="1:5" x14ac:dyDescent="0.3">
      <c r="A2447" s="295">
        <v>2022</v>
      </c>
      <c r="B2447" s="295">
        <v>11</v>
      </c>
      <c r="C2447" s="295" t="s">
        <v>2</v>
      </c>
      <c r="D2447" s="295" t="s">
        <v>2</v>
      </c>
      <c r="E2447" s="296">
        <v>1</v>
      </c>
    </row>
    <row r="2448" spans="1:5" x14ac:dyDescent="0.3">
      <c r="A2448" s="295">
        <v>2022</v>
      </c>
      <c r="B2448" s="295">
        <v>11</v>
      </c>
      <c r="C2448" s="295" t="s">
        <v>259</v>
      </c>
      <c r="D2448" s="295" t="s">
        <v>259</v>
      </c>
      <c r="E2448" s="296">
        <v>1</v>
      </c>
    </row>
    <row r="2449" spans="1:5" x14ac:dyDescent="0.3">
      <c r="A2449" s="295">
        <v>2022</v>
      </c>
      <c r="B2449" s="295">
        <v>11</v>
      </c>
      <c r="C2449" s="295" t="s">
        <v>85</v>
      </c>
      <c r="D2449" s="295" t="s">
        <v>85</v>
      </c>
      <c r="E2449" s="296">
        <v>1</v>
      </c>
    </row>
    <row r="2450" spans="1:5" x14ac:dyDescent="0.3">
      <c r="A2450" s="295">
        <v>2022</v>
      </c>
      <c r="B2450" s="295">
        <v>11</v>
      </c>
      <c r="C2450" s="295" t="s">
        <v>101</v>
      </c>
      <c r="D2450" s="295" t="s">
        <v>101</v>
      </c>
      <c r="E2450" s="296">
        <v>1</v>
      </c>
    </row>
    <row r="2451" spans="1:5" x14ac:dyDescent="0.3">
      <c r="A2451" s="295">
        <v>2022</v>
      </c>
      <c r="B2451" s="295">
        <v>11</v>
      </c>
      <c r="C2451" s="295" t="s">
        <v>179</v>
      </c>
      <c r="D2451" s="295" t="s">
        <v>179</v>
      </c>
      <c r="E2451" s="296">
        <v>1</v>
      </c>
    </row>
    <row r="2452" spans="1:5" x14ac:dyDescent="0.3">
      <c r="A2452" s="295">
        <v>2022</v>
      </c>
      <c r="B2452" s="295">
        <v>11</v>
      </c>
      <c r="C2452" s="295" t="s">
        <v>352</v>
      </c>
      <c r="D2452" s="295" t="s">
        <v>352</v>
      </c>
      <c r="E2452" s="296">
        <v>1</v>
      </c>
    </row>
    <row r="2453" spans="1:5" x14ac:dyDescent="0.3">
      <c r="A2453" s="295">
        <v>2022</v>
      </c>
      <c r="B2453" s="295">
        <v>12</v>
      </c>
      <c r="C2453" s="295" t="s">
        <v>1</v>
      </c>
      <c r="D2453" s="295" t="s">
        <v>2</v>
      </c>
      <c r="E2453" s="296">
        <v>1.0666</v>
      </c>
    </row>
    <row r="2454" spans="1:5" x14ac:dyDescent="0.3">
      <c r="A2454" s="295">
        <v>2022</v>
      </c>
      <c r="B2454" s="295">
        <v>12</v>
      </c>
      <c r="C2454" s="295" t="s">
        <v>1</v>
      </c>
      <c r="D2454" s="295" t="s">
        <v>259</v>
      </c>
      <c r="E2454" s="296">
        <v>0.88693</v>
      </c>
    </row>
    <row r="2455" spans="1:5" x14ac:dyDescent="0.3">
      <c r="A2455" s="295">
        <v>2022</v>
      </c>
      <c r="B2455" s="295">
        <v>12</v>
      </c>
      <c r="C2455" s="295" t="s">
        <v>1</v>
      </c>
      <c r="D2455" s="295" t="s">
        <v>85</v>
      </c>
      <c r="E2455" s="296">
        <v>5.6386000000000003</v>
      </c>
    </row>
    <row r="2456" spans="1:5" x14ac:dyDescent="0.3">
      <c r="A2456" s="295">
        <v>2022</v>
      </c>
      <c r="B2456" s="295">
        <v>12</v>
      </c>
      <c r="C2456" s="295" t="s">
        <v>1</v>
      </c>
      <c r="D2456" s="295" t="s">
        <v>101</v>
      </c>
      <c r="E2456" s="296">
        <v>20.856000000000002</v>
      </c>
    </row>
    <row r="2457" spans="1:5" x14ac:dyDescent="0.3">
      <c r="A2457" s="295">
        <v>2022</v>
      </c>
      <c r="B2457" s="295">
        <v>12</v>
      </c>
      <c r="C2457" s="295" t="s">
        <v>1</v>
      </c>
      <c r="D2457" s="295" t="s">
        <v>179</v>
      </c>
      <c r="E2457" s="296">
        <v>904.26300000000003</v>
      </c>
    </row>
    <row r="2458" spans="1:5" x14ac:dyDescent="0.3">
      <c r="A2458" s="295">
        <v>2022</v>
      </c>
      <c r="B2458" s="295">
        <v>12</v>
      </c>
      <c r="C2458" s="295" t="s">
        <v>1</v>
      </c>
      <c r="D2458" s="295" t="s">
        <v>352</v>
      </c>
      <c r="E2458" s="296">
        <v>7.3582000000000001</v>
      </c>
    </row>
    <row r="2459" spans="1:5" x14ac:dyDescent="0.3">
      <c r="A2459" s="295">
        <v>2022</v>
      </c>
      <c r="B2459" s="295">
        <v>12</v>
      </c>
      <c r="C2459" s="295" t="s">
        <v>2</v>
      </c>
      <c r="D2459" s="295" t="s">
        <v>1</v>
      </c>
      <c r="E2459" s="296">
        <v>0.93755999999999995</v>
      </c>
    </row>
    <row r="2460" spans="1:5" x14ac:dyDescent="0.3">
      <c r="A2460" s="295">
        <v>2022</v>
      </c>
      <c r="B2460" s="295">
        <v>12</v>
      </c>
      <c r="C2460" s="295" t="s">
        <v>2</v>
      </c>
      <c r="D2460" s="295" t="s">
        <v>259</v>
      </c>
      <c r="E2460" s="296">
        <v>0.83155000000000001</v>
      </c>
    </row>
    <row r="2461" spans="1:5" x14ac:dyDescent="0.3">
      <c r="A2461" s="295">
        <v>2022</v>
      </c>
      <c r="B2461" s="295">
        <v>12</v>
      </c>
      <c r="C2461" s="295" t="s">
        <v>2</v>
      </c>
      <c r="D2461" s="295" t="s">
        <v>85</v>
      </c>
      <c r="E2461" s="296">
        <v>5.2865200000000003</v>
      </c>
    </row>
    <row r="2462" spans="1:5" x14ac:dyDescent="0.3">
      <c r="A2462" s="295">
        <v>2022</v>
      </c>
      <c r="B2462" s="295">
        <v>12</v>
      </c>
      <c r="C2462" s="295" t="s">
        <v>2</v>
      </c>
      <c r="D2462" s="295" t="s">
        <v>101</v>
      </c>
      <c r="E2462" s="296">
        <v>19.553719999999998</v>
      </c>
    </row>
    <row r="2463" spans="1:5" x14ac:dyDescent="0.3">
      <c r="A2463" s="295">
        <v>2022</v>
      </c>
      <c r="B2463" s="295">
        <v>12</v>
      </c>
      <c r="C2463" s="295" t="s">
        <v>2</v>
      </c>
      <c r="D2463" s="295" t="s">
        <v>179</v>
      </c>
      <c r="E2463" s="296">
        <v>847.79954999999995</v>
      </c>
    </row>
    <row r="2464" spans="1:5" x14ac:dyDescent="0.3">
      <c r="A2464" s="295">
        <v>2022</v>
      </c>
      <c r="B2464" s="295">
        <v>12</v>
      </c>
      <c r="C2464" s="295" t="s">
        <v>2</v>
      </c>
      <c r="D2464" s="295" t="s">
        <v>352</v>
      </c>
      <c r="E2464" s="296">
        <v>6.8987400000000001</v>
      </c>
    </row>
    <row r="2465" spans="1:5" x14ac:dyDescent="0.3">
      <c r="A2465" s="295">
        <v>2022</v>
      </c>
      <c r="B2465" s="295">
        <v>12</v>
      </c>
      <c r="C2465" s="295" t="s">
        <v>259</v>
      </c>
      <c r="D2465" s="295" t="s">
        <v>1</v>
      </c>
      <c r="E2465" s="296">
        <v>1.12748</v>
      </c>
    </row>
    <row r="2466" spans="1:5" x14ac:dyDescent="0.3">
      <c r="A2466" s="295">
        <v>2022</v>
      </c>
      <c r="B2466" s="295">
        <v>12</v>
      </c>
      <c r="C2466" s="295" t="s">
        <v>259</v>
      </c>
      <c r="D2466" s="295" t="s">
        <v>2</v>
      </c>
      <c r="E2466" s="296">
        <v>1.20258</v>
      </c>
    </row>
    <row r="2467" spans="1:5" x14ac:dyDescent="0.3">
      <c r="A2467" s="295">
        <v>2022</v>
      </c>
      <c r="B2467" s="295">
        <v>12</v>
      </c>
      <c r="C2467" s="295" t="s">
        <v>259</v>
      </c>
      <c r="D2467" s="295" t="s">
        <v>85</v>
      </c>
      <c r="E2467" s="296">
        <v>6.3574400000000004</v>
      </c>
    </row>
    <row r="2468" spans="1:5" x14ac:dyDescent="0.3">
      <c r="A2468" s="295">
        <v>2022</v>
      </c>
      <c r="B2468" s="295">
        <v>12</v>
      </c>
      <c r="C2468" s="295" t="s">
        <v>259</v>
      </c>
      <c r="D2468" s="295" t="s">
        <v>101</v>
      </c>
      <c r="E2468" s="296">
        <v>23.51482</v>
      </c>
    </row>
    <row r="2469" spans="1:5" x14ac:dyDescent="0.3">
      <c r="A2469" s="295">
        <v>2022</v>
      </c>
      <c r="B2469" s="295">
        <v>12</v>
      </c>
      <c r="C2469" s="295" t="s">
        <v>259</v>
      </c>
      <c r="D2469" s="295" t="s">
        <v>179</v>
      </c>
      <c r="E2469" s="296">
        <v>1019.54269</v>
      </c>
    </row>
    <row r="2470" spans="1:5" x14ac:dyDescent="0.3">
      <c r="A2470" s="295">
        <v>2022</v>
      </c>
      <c r="B2470" s="295">
        <v>12</v>
      </c>
      <c r="C2470" s="295" t="s">
        <v>259</v>
      </c>
      <c r="D2470" s="295" t="s">
        <v>352</v>
      </c>
      <c r="E2470" s="296">
        <v>8.2962600000000002</v>
      </c>
    </row>
    <row r="2471" spans="1:5" x14ac:dyDescent="0.3">
      <c r="A2471" s="295">
        <v>2022</v>
      </c>
      <c r="B2471" s="295">
        <v>12</v>
      </c>
      <c r="C2471" s="295" t="s">
        <v>85</v>
      </c>
      <c r="D2471" s="295" t="s">
        <v>1</v>
      </c>
      <c r="E2471" s="296">
        <v>0.17735000000000001</v>
      </c>
    </row>
    <row r="2472" spans="1:5" x14ac:dyDescent="0.3">
      <c r="A2472" s="295">
        <v>2022</v>
      </c>
      <c r="B2472" s="295">
        <v>12</v>
      </c>
      <c r="C2472" s="295" t="s">
        <v>85</v>
      </c>
      <c r="D2472" s="295" t="s">
        <v>2</v>
      </c>
      <c r="E2472" s="296">
        <v>0.18915999999999999</v>
      </c>
    </row>
    <row r="2473" spans="1:5" x14ac:dyDescent="0.3">
      <c r="A2473" s="295">
        <v>2022</v>
      </c>
      <c r="B2473" s="295">
        <v>12</v>
      </c>
      <c r="C2473" s="295" t="s">
        <v>85</v>
      </c>
      <c r="D2473" s="295" t="s">
        <v>259</v>
      </c>
      <c r="E2473" s="296">
        <v>0.1573</v>
      </c>
    </row>
    <row r="2474" spans="1:5" x14ac:dyDescent="0.3">
      <c r="A2474" s="295">
        <v>2022</v>
      </c>
      <c r="B2474" s="295">
        <v>12</v>
      </c>
      <c r="C2474" s="295" t="s">
        <v>85</v>
      </c>
      <c r="D2474" s="295" t="s">
        <v>101</v>
      </c>
      <c r="E2474" s="296">
        <v>3.6987899999999998</v>
      </c>
    </row>
    <row r="2475" spans="1:5" x14ac:dyDescent="0.3">
      <c r="A2475" s="295">
        <v>2022</v>
      </c>
      <c r="B2475" s="295">
        <v>12</v>
      </c>
      <c r="C2475" s="295" t="s">
        <v>85</v>
      </c>
      <c r="D2475" s="295" t="s">
        <v>179</v>
      </c>
      <c r="E2475" s="296">
        <v>160.37012999999999</v>
      </c>
    </row>
    <row r="2476" spans="1:5" x14ac:dyDescent="0.3">
      <c r="A2476" s="295">
        <v>2022</v>
      </c>
      <c r="B2476" s="295">
        <v>12</v>
      </c>
      <c r="C2476" s="295" t="s">
        <v>85</v>
      </c>
      <c r="D2476" s="295" t="s">
        <v>352</v>
      </c>
      <c r="E2476" s="296">
        <v>1.30497</v>
      </c>
    </row>
    <row r="2477" spans="1:5" x14ac:dyDescent="0.3">
      <c r="A2477" s="295">
        <v>2022</v>
      </c>
      <c r="B2477" s="295">
        <v>12</v>
      </c>
      <c r="C2477" s="295" t="s">
        <v>101</v>
      </c>
      <c r="D2477" s="295" t="s">
        <v>1</v>
      </c>
      <c r="E2477" s="296">
        <v>4.795E-2</v>
      </c>
    </row>
    <row r="2478" spans="1:5" x14ac:dyDescent="0.3">
      <c r="A2478" s="295">
        <v>2022</v>
      </c>
      <c r="B2478" s="295">
        <v>12</v>
      </c>
      <c r="C2478" s="295" t="s">
        <v>101</v>
      </c>
      <c r="D2478" s="295" t="s">
        <v>2</v>
      </c>
      <c r="E2478" s="296">
        <v>5.1139999999999998E-2</v>
      </c>
    </row>
    <row r="2479" spans="1:5" x14ac:dyDescent="0.3">
      <c r="A2479" s="295">
        <v>2022</v>
      </c>
      <c r="B2479" s="295">
        <v>12</v>
      </c>
      <c r="C2479" s="295" t="s">
        <v>101</v>
      </c>
      <c r="D2479" s="295" t="s">
        <v>259</v>
      </c>
      <c r="E2479" s="296">
        <v>4.2529999999999998E-2</v>
      </c>
    </row>
    <row r="2480" spans="1:5" x14ac:dyDescent="0.3">
      <c r="A2480" s="295">
        <v>2022</v>
      </c>
      <c r="B2480" s="295">
        <v>12</v>
      </c>
      <c r="C2480" s="295" t="s">
        <v>101</v>
      </c>
      <c r="D2480" s="295" t="s">
        <v>85</v>
      </c>
      <c r="E2480" s="296">
        <v>0.27035999999999999</v>
      </c>
    </row>
    <row r="2481" spans="1:5" x14ac:dyDescent="0.3">
      <c r="A2481" s="295">
        <v>2022</v>
      </c>
      <c r="B2481" s="295">
        <v>12</v>
      </c>
      <c r="C2481" s="295" t="s">
        <v>101</v>
      </c>
      <c r="D2481" s="295" t="s">
        <v>179</v>
      </c>
      <c r="E2481" s="296">
        <v>43.35745</v>
      </c>
    </row>
    <row r="2482" spans="1:5" x14ac:dyDescent="0.3">
      <c r="A2482" s="295">
        <v>2022</v>
      </c>
      <c r="B2482" s="295">
        <v>12</v>
      </c>
      <c r="C2482" s="295" t="s">
        <v>101</v>
      </c>
      <c r="D2482" s="295" t="s">
        <v>352</v>
      </c>
      <c r="E2482" s="296">
        <v>0.35281000000000001</v>
      </c>
    </row>
    <row r="2483" spans="1:5" x14ac:dyDescent="0.3">
      <c r="A2483" s="295">
        <v>2022</v>
      </c>
      <c r="B2483" s="295">
        <v>12</v>
      </c>
      <c r="C2483" s="295" t="s">
        <v>179</v>
      </c>
      <c r="D2483" s="295" t="s">
        <v>1</v>
      </c>
      <c r="E2483" s="296">
        <v>1.1100000000000001E-3</v>
      </c>
    </row>
    <row r="2484" spans="1:5" x14ac:dyDescent="0.3">
      <c r="A2484" s="295">
        <v>2022</v>
      </c>
      <c r="B2484" s="295">
        <v>12</v>
      </c>
      <c r="C2484" s="295" t="s">
        <v>179</v>
      </c>
      <c r="D2484" s="295" t="s">
        <v>2</v>
      </c>
      <c r="E2484" s="296">
        <v>1.1800000000000001E-3</v>
      </c>
    </row>
    <row r="2485" spans="1:5" x14ac:dyDescent="0.3">
      <c r="A2485" s="295">
        <v>2022</v>
      </c>
      <c r="B2485" s="295">
        <v>12</v>
      </c>
      <c r="C2485" s="295" t="s">
        <v>179</v>
      </c>
      <c r="D2485" s="295" t="s">
        <v>259</v>
      </c>
      <c r="E2485" s="296">
        <v>9.7999999999999997E-4</v>
      </c>
    </row>
    <row r="2486" spans="1:5" x14ac:dyDescent="0.3">
      <c r="A2486" s="295">
        <v>2022</v>
      </c>
      <c r="B2486" s="295">
        <v>12</v>
      </c>
      <c r="C2486" s="295" t="s">
        <v>179</v>
      </c>
      <c r="D2486" s="295" t="s">
        <v>85</v>
      </c>
      <c r="E2486" s="296">
        <v>6.2399999999999999E-3</v>
      </c>
    </row>
    <row r="2487" spans="1:5" x14ac:dyDescent="0.3">
      <c r="A2487" s="295">
        <v>2022</v>
      </c>
      <c r="B2487" s="295">
        <v>12</v>
      </c>
      <c r="C2487" s="295" t="s">
        <v>179</v>
      </c>
      <c r="D2487" s="295" t="s">
        <v>101</v>
      </c>
      <c r="E2487" s="296">
        <v>2.3060000000000001E-2</v>
      </c>
    </row>
    <row r="2488" spans="1:5" x14ac:dyDescent="0.3">
      <c r="A2488" s="295">
        <v>2022</v>
      </c>
      <c r="B2488" s="295">
        <v>12</v>
      </c>
      <c r="C2488" s="295" t="s">
        <v>179</v>
      </c>
      <c r="D2488" s="295" t="s">
        <v>352</v>
      </c>
      <c r="E2488" s="296">
        <v>8.1399999999999997E-3</v>
      </c>
    </row>
    <row r="2489" spans="1:5" x14ac:dyDescent="0.3">
      <c r="A2489" s="295">
        <v>2022</v>
      </c>
      <c r="B2489" s="295">
        <v>12</v>
      </c>
      <c r="C2489" s="295" t="s">
        <v>352</v>
      </c>
      <c r="D2489" s="295" t="s">
        <v>1</v>
      </c>
      <c r="E2489" s="296">
        <v>0.13589999999999999</v>
      </c>
    </row>
    <row r="2490" spans="1:5" x14ac:dyDescent="0.3">
      <c r="A2490" s="295">
        <v>2022</v>
      </c>
      <c r="B2490" s="295">
        <v>12</v>
      </c>
      <c r="C2490" s="295" t="s">
        <v>352</v>
      </c>
      <c r="D2490" s="295" t="s">
        <v>2</v>
      </c>
      <c r="E2490" s="296">
        <v>0.14495</v>
      </c>
    </row>
    <row r="2491" spans="1:5" x14ac:dyDescent="0.3">
      <c r="A2491" s="295">
        <v>2022</v>
      </c>
      <c r="B2491" s="295">
        <v>12</v>
      </c>
      <c r="C2491" s="295" t="s">
        <v>352</v>
      </c>
      <c r="D2491" s="295" t="s">
        <v>259</v>
      </c>
      <c r="E2491" s="296">
        <v>0.12053999999999999</v>
      </c>
    </row>
    <row r="2492" spans="1:5" x14ac:dyDescent="0.3">
      <c r="A2492" s="295">
        <v>2022</v>
      </c>
      <c r="B2492" s="295">
        <v>12</v>
      </c>
      <c r="C2492" s="295" t="s">
        <v>352</v>
      </c>
      <c r="D2492" s="295" t="s">
        <v>85</v>
      </c>
      <c r="E2492" s="296">
        <v>0.76629999999999998</v>
      </c>
    </row>
    <row r="2493" spans="1:5" x14ac:dyDescent="0.3">
      <c r="A2493" s="295">
        <v>2022</v>
      </c>
      <c r="B2493" s="295">
        <v>12</v>
      </c>
      <c r="C2493" s="295" t="s">
        <v>352</v>
      </c>
      <c r="D2493" s="295" t="s">
        <v>101</v>
      </c>
      <c r="E2493" s="296">
        <v>2.83439</v>
      </c>
    </row>
    <row r="2494" spans="1:5" x14ac:dyDescent="0.3">
      <c r="A2494" s="295">
        <v>2022</v>
      </c>
      <c r="B2494" s="295">
        <v>12</v>
      </c>
      <c r="C2494" s="295" t="s">
        <v>352</v>
      </c>
      <c r="D2494" s="295" t="s">
        <v>179</v>
      </c>
      <c r="E2494" s="296">
        <v>122.89188</v>
      </c>
    </row>
    <row r="2495" spans="1:5" x14ac:dyDescent="0.3">
      <c r="A2495" s="295">
        <v>2022</v>
      </c>
      <c r="B2495" s="295">
        <v>12</v>
      </c>
      <c r="C2495" s="295" t="s">
        <v>1</v>
      </c>
      <c r="D2495" s="295" t="s">
        <v>1</v>
      </c>
      <c r="E2495" s="296">
        <v>1</v>
      </c>
    </row>
    <row r="2496" spans="1:5" x14ac:dyDescent="0.3">
      <c r="A2496" s="295">
        <v>2022</v>
      </c>
      <c r="B2496" s="295">
        <v>12</v>
      </c>
      <c r="C2496" s="295" t="s">
        <v>2</v>
      </c>
      <c r="D2496" s="295" t="s">
        <v>2</v>
      </c>
      <c r="E2496" s="296">
        <v>1</v>
      </c>
    </row>
    <row r="2497" spans="1:5" x14ac:dyDescent="0.3">
      <c r="A2497" s="295">
        <v>2022</v>
      </c>
      <c r="B2497" s="295">
        <v>12</v>
      </c>
      <c r="C2497" s="295" t="s">
        <v>259</v>
      </c>
      <c r="D2497" s="295" t="s">
        <v>259</v>
      </c>
      <c r="E2497" s="296">
        <v>1</v>
      </c>
    </row>
    <row r="2498" spans="1:5" x14ac:dyDescent="0.3">
      <c r="A2498" s="295">
        <v>2022</v>
      </c>
      <c r="B2498" s="295">
        <v>12</v>
      </c>
      <c r="C2498" s="295" t="s">
        <v>85</v>
      </c>
      <c r="D2498" s="295" t="s">
        <v>85</v>
      </c>
      <c r="E2498" s="296">
        <v>1</v>
      </c>
    </row>
    <row r="2499" spans="1:5" x14ac:dyDescent="0.3">
      <c r="A2499" s="295">
        <v>2022</v>
      </c>
      <c r="B2499" s="295">
        <v>12</v>
      </c>
      <c r="C2499" s="295" t="s">
        <v>101</v>
      </c>
      <c r="D2499" s="295" t="s">
        <v>101</v>
      </c>
      <c r="E2499" s="296">
        <v>1</v>
      </c>
    </row>
    <row r="2500" spans="1:5" x14ac:dyDescent="0.3">
      <c r="A2500" s="295">
        <v>2022</v>
      </c>
      <c r="B2500" s="295">
        <v>12</v>
      </c>
      <c r="C2500" s="295" t="s">
        <v>179</v>
      </c>
      <c r="D2500" s="295" t="s">
        <v>179</v>
      </c>
      <c r="E2500" s="296">
        <v>1</v>
      </c>
    </row>
    <row r="2501" spans="1:5" x14ac:dyDescent="0.3">
      <c r="A2501" s="295">
        <v>2022</v>
      </c>
      <c r="B2501" s="295">
        <v>12</v>
      </c>
      <c r="C2501" s="295" t="s">
        <v>352</v>
      </c>
      <c r="D2501" s="295" t="s">
        <v>352</v>
      </c>
      <c r="E2501" s="296">
        <v>1</v>
      </c>
    </row>
    <row r="2502" spans="1:5" x14ac:dyDescent="0.3">
      <c r="A2502" s="295">
        <v>2023</v>
      </c>
      <c r="B2502" s="295">
        <v>1</v>
      </c>
      <c r="C2502" s="295" t="s">
        <v>1</v>
      </c>
      <c r="D2502" s="295" t="s">
        <v>2</v>
      </c>
      <c r="E2502" s="296">
        <v>1.0832999999999999</v>
      </c>
    </row>
    <row r="2503" spans="1:5" x14ac:dyDescent="0.3">
      <c r="A2503" s="295">
        <v>2023</v>
      </c>
      <c r="B2503" s="295">
        <v>1</v>
      </c>
      <c r="C2503" s="295" t="s">
        <v>1</v>
      </c>
      <c r="D2503" s="295" t="s">
        <v>259</v>
      </c>
      <c r="E2503" s="296">
        <v>0.88073000000000001</v>
      </c>
    </row>
    <row r="2504" spans="1:5" x14ac:dyDescent="0.3">
      <c r="A2504" s="295">
        <v>2023</v>
      </c>
      <c r="B2504" s="295">
        <v>1</v>
      </c>
      <c r="C2504" s="295" t="s">
        <v>1</v>
      </c>
      <c r="D2504" s="295" t="s">
        <v>85</v>
      </c>
      <c r="E2504" s="296">
        <v>5.5373000000000001</v>
      </c>
    </row>
    <row r="2505" spans="1:5" x14ac:dyDescent="0.3">
      <c r="A2505" s="295">
        <v>2023</v>
      </c>
      <c r="B2505" s="295">
        <v>1</v>
      </c>
      <c r="C2505" s="295" t="s">
        <v>1</v>
      </c>
      <c r="D2505" s="295" t="s">
        <v>101</v>
      </c>
      <c r="E2505" s="296">
        <v>20.396100000000001</v>
      </c>
    </row>
    <row r="2506" spans="1:5" x14ac:dyDescent="0.3">
      <c r="A2506" s="295">
        <v>2023</v>
      </c>
      <c r="B2506" s="295">
        <v>1</v>
      </c>
      <c r="C2506" s="295" t="s">
        <v>1</v>
      </c>
      <c r="D2506" s="295" t="s">
        <v>179</v>
      </c>
      <c r="E2506" s="296">
        <v>861.74300000000005</v>
      </c>
    </row>
    <row r="2507" spans="1:5" x14ac:dyDescent="0.3">
      <c r="A2507" s="295">
        <v>2023</v>
      </c>
      <c r="B2507" s="295">
        <v>1</v>
      </c>
      <c r="C2507" s="295" t="s">
        <v>1</v>
      </c>
      <c r="D2507" s="295" t="s">
        <v>352</v>
      </c>
      <c r="E2507" s="296">
        <v>7.3197999999999999</v>
      </c>
    </row>
    <row r="2508" spans="1:5" x14ac:dyDescent="0.3">
      <c r="A2508" s="295">
        <v>2023</v>
      </c>
      <c r="B2508" s="295">
        <v>1</v>
      </c>
      <c r="C2508" s="295" t="s">
        <v>1</v>
      </c>
      <c r="D2508" s="295" t="s">
        <v>426</v>
      </c>
      <c r="E2508" s="296">
        <v>1.0032000000000001</v>
      </c>
    </row>
    <row r="2509" spans="1:5" x14ac:dyDescent="0.3">
      <c r="A2509" s="295">
        <v>2023</v>
      </c>
      <c r="B2509" s="295">
        <v>1</v>
      </c>
      <c r="C2509" s="295" t="s">
        <v>2</v>
      </c>
      <c r="D2509" s="295" t="s">
        <v>1</v>
      </c>
      <c r="E2509" s="296">
        <v>0.9231053263177329</v>
      </c>
    </row>
    <row r="2510" spans="1:5" x14ac:dyDescent="0.3">
      <c r="A2510" s="295">
        <v>2023</v>
      </c>
      <c r="B2510" s="295">
        <v>1</v>
      </c>
      <c r="C2510" s="295" t="s">
        <v>2</v>
      </c>
      <c r="D2510" s="295" t="s">
        <v>259</v>
      </c>
      <c r="E2510" s="296">
        <v>0.81301000000000001</v>
      </c>
    </row>
    <row r="2511" spans="1:5" x14ac:dyDescent="0.3">
      <c r="A2511" s="295">
        <v>2023</v>
      </c>
      <c r="B2511" s="295">
        <v>1</v>
      </c>
      <c r="C2511" s="295" t="s">
        <v>2</v>
      </c>
      <c r="D2511" s="295" t="s">
        <v>85</v>
      </c>
      <c r="E2511" s="296">
        <v>5.11151</v>
      </c>
    </row>
    <row r="2512" spans="1:5" x14ac:dyDescent="0.3">
      <c r="A2512" s="295">
        <v>2023</v>
      </c>
      <c r="B2512" s="295">
        <v>1</v>
      </c>
      <c r="C2512" s="295" t="s">
        <v>2</v>
      </c>
      <c r="D2512" s="295" t="s">
        <v>101</v>
      </c>
      <c r="E2512" s="296">
        <v>18.827750000000002</v>
      </c>
    </row>
    <row r="2513" spans="1:5" x14ac:dyDescent="0.3">
      <c r="A2513" s="295">
        <v>2023</v>
      </c>
      <c r="B2513" s="295">
        <v>1</v>
      </c>
      <c r="C2513" s="295" t="s">
        <v>2</v>
      </c>
      <c r="D2513" s="295" t="s">
        <v>179</v>
      </c>
      <c r="E2513" s="296">
        <v>795.47955000000002</v>
      </c>
    </row>
    <row r="2514" spans="1:5" x14ac:dyDescent="0.3">
      <c r="A2514" s="295">
        <v>2023</v>
      </c>
      <c r="B2514" s="295">
        <v>1</v>
      </c>
      <c r="C2514" s="295" t="s">
        <v>2</v>
      </c>
      <c r="D2514" s="295" t="s">
        <v>352</v>
      </c>
      <c r="E2514" s="296">
        <v>6.7569499999999998</v>
      </c>
    </row>
    <row r="2515" spans="1:5" x14ac:dyDescent="0.3">
      <c r="A2515" s="295">
        <v>2023</v>
      </c>
      <c r="B2515" s="295">
        <v>1</v>
      </c>
      <c r="C2515" s="295" t="s">
        <v>2</v>
      </c>
      <c r="D2515" s="295" t="s">
        <v>426</v>
      </c>
      <c r="E2515" s="296">
        <v>0.92605999999999999</v>
      </c>
    </row>
    <row r="2516" spans="1:5" x14ac:dyDescent="0.3">
      <c r="A2516" s="295">
        <v>2023</v>
      </c>
      <c r="B2516" s="295">
        <v>1</v>
      </c>
      <c r="C2516" s="295" t="s">
        <v>259</v>
      </c>
      <c r="D2516" s="295" t="s">
        <v>1</v>
      </c>
      <c r="E2516" s="296">
        <v>1.1354217524099326</v>
      </c>
    </row>
    <row r="2517" spans="1:5" x14ac:dyDescent="0.3">
      <c r="A2517" s="295">
        <v>2023</v>
      </c>
      <c r="B2517" s="295">
        <v>1</v>
      </c>
      <c r="C2517" s="295" t="s">
        <v>259</v>
      </c>
      <c r="D2517" s="295" t="s">
        <v>2</v>
      </c>
      <c r="E2517" s="296">
        <v>1.2299971710065067</v>
      </c>
    </row>
    <row r="2518" spans="1:5" x14ac:dyDescent="0.3">
      <c r="A2518" s="295">
        <v>2023</v>
      </c>
      <c r="B2518" s="295">
        <v>1</v>
      </c>
      <c r="C2518" s="295" t="s">
        <v>259</v>
      </c>
      <c r="D2518" s="295" t="s">
        <v>85</v>
      </c>
      <c r="E2518" s="296">
        <v>6.2871699999999997</v>
      </c>
    </row>
    <row r="2519" spans="1:5" x14ac:dyDescent="0.3">
      <c r="A2519" s="295">
        <v>2023</v>
      </c>
      <c r="B2519" s="295">
        <v>1</v>
      </c>
      <c r="C2519" s="295" t="s">
        <v>259</v>
      </c>
      <c r="D2519" s="295" t="s">
        <v>101</v>
      </c>
      <c r="E2519" s="296">
        <v>23.158180000000002</v>
      </c>
    </row>
    <row r="2520" spans="1:5" x14ac:dyDescent="0.3">
      <c r="A2520" s="295">
        <v>2023</v>
      </c>
      <c r="B2520" s="295">
        <v>1</v>
      </c>
      <c r="C2520" s="295" t="s">
        <v>259</v>
      </c>
      <c r="D2520" s="295" t="s">
        <v>179</v>
      </c>
      <c r="E2520" s="296">
        <v>978.44174999999996</v>
      </c>
    </row>
    <row r="2521" spans="1:5" x14ac:dyDescent="0.3">
      <c r="A2521" s="295">
        <v>2023</v>
      </c>
      <c r="B2521" s="295">
        <v>1</v>
      </c>
      <c r="C2521" s="295" t="s">
        <v>259</v>
      </c>
      <c r="D2521" s="295" t="s">
        <v>352</v>
      </c>
      <c r="E2521" s="296">
        <v>8.3110599999999994</v>
      </c>
    </row>
    <row r="2522" spans="1:5" x14ac:dyDescent="0.3">
      <c r="A2522" s="295">
        <v>2023</v>
      </c>
      <c r="B2522" s="295">
        <v>1</v>
      </c>
      <c r="C2522" s="295" t="s">
        <v>259</v>
      </c>
      <c r="D2522" s="295" t="s">
        <v>426</v>
      </c>
      <c r="E2522" s="296">
        <v>1.13906</v>
      </c>
    </row>
    <row r="2523" spans="1:5" x14ac:dyDescent="0.3">
      <c r="A2523" s="295">
        <v>2023</v>
      </c>
      <c r="B2523" s="295">
        <v>1</v>
      </c>
      <c r="C2523" s="295" t="s">
        <v>85</v>
      </c>
      <c r="D2523" s="295" t="s">
        <v>1</v>
      </c>
      <c r="E2523" s="296">
        <v>0.18059343001101619</v>
      </c>
    </row>
    <row r="2524" spans="1:5" x14ac:dyDescent="0.3">
      <c r="A2524" s="295">
        <v>2023</v>
      </c>
      <c r="B2524" s="295">
        <v>1</v>
      </c>
      <c r="C2524" s="295" t="s">
        <v>85</v>
      </c>
      <c r="D2524" s="295" t="s">
        <v>2</v>
      </c>
      <c r="E2524" s="296">
        <v>0.19563690572844425</v>
      </c>
    </row>
    <row r="2525" spans="1:5" x14ac:dyDescent="0.3">
      <c r="A2525" s="295">
        <v>2023</v>
      </c>
      <c r="B2525" s="295">
        <v>1</v>
      </c>
      <c r="C2525" s="295" t="s">
        <v>85</v>
      </c>
      <c r="D2525" s="295" t="s">
        <v>259</v>
      </c>
      <c r="E2525" s="296">
        <v>0.15905407361340634</v>
      </c>
    </row>
    <row r="2526" spans="1:5" x14ac:dyDescent="0.3">
      <c r="A2526" s="295">
        <v>2023</v>
      </c>
      <c r="B2526" s="295">
        <v>1</v>
      </c>
      <c r="C2526" s="295" t="s">
        <v>85</v>
      </c>
      <c r="D2526" s="295" t="s">
        <v>101</v>
      </c>
      <c r="E2526" s="296">
        <v>3.6833999999999998</v>
      </c>
    </row>
    <row r="2527" spans="1:5" x14ac:dyDescent="0.3">
      <c r="A2527" s="295">
        <v>2023</v>
      </c>
      <c r="B2527" s="295">
        <v>1</v>
      </c>
      <c r="C2527" s="295" t="s">
        <v>85</v>
      </c>
      <c r="D2527" s="295" t="s">
        <v>179</v>
      </c>
      <c r="E2527" s="296">
        <v>155.62512000000001</v>
      </c>
    </row>
    <row r="2528" spans="1:5" x14ac:dyDescent="0.3">
      <c r="A2528" s="295">
        <v>2023</v>
      </c>
      <c r="B2528" s="295">
        <v>1</v>
      </c>
      <c r="C2528" s="295" t="s">
        <v>85</v>
      </c>
      <c r="D2528" s="295" t="s">
        <v>352</v>
      </c>
      <c r="E2528" s="296">
        <v>1.3219099999999999</v>
      </c>
    </row>
    <row r="2529" spans="1:5" x14ac:dyDescent="0.3">
      <c r="A2529" s="295">
        <v>2023</v>
      </c>
      <c r="B2529" s="295">
        <v>1</v>
      </c>
      <c r="C2529" s="295" t="s">
        <v>85</v>
      </c>
      <c r="D2529" s="295" t="s">
        <v>426</v>
      </c>
      <c r="E2529" s="296">
        <v>0.18117</v>
      </c>
    </row>
    <row r="2530" spans="1:5" x14ac:dyDescent="0.3">
      <c r="A2530" s="295">
        <v>2023</v>
      </c>
      <c r="B2530" s="295">
        <v>1</v>
      </c>
      <c r="C2530" s="295" t="s">
        <v>101</v>
      </c>
      <c r="D2530" s="295" t="s">
        <v>1</v>
      </c>
      <c r="E2530" s="296">
        <v>4.9028981030687237E-2</v>
      </c>
    </row>
    <row r="2531" spans="1:5" x14ac:dyDescent="0.3">
      <c r="A2531" s="295">
        <v>2023</v>
      </c>
      <c r="B2531" s="295">
        <v>1</v>
      </c>
      <c r="C2531" s="295" t="s">
        <v>101</v>
      </c>
      <c r="D2531" s="295" t="s">
        <v>2</v>
      </c>
      <c r="E2531" s="296">
        <v>5.3113091049116323E-2</v>
      </c>
    </row>
    <row r="2532" spans="1:5" x14ac:dyDescent="0.3">
      <c r="A2532" s="295">
        <v>2023</v>
      </c>
      <c r="B2532" s="295">
        <v>1</v>
      </c>
      <c r="C2532" s="295" t="s">
        <v>101</v>
      </c>
      <c r="D2532" s="295" t="s">
        <v>259</v>
      </c>
      <c r="E2532" s="296">
        <v>4.31812862668828E-2</v>
      </c>
    </row>
    <row r="2533" spans="1:5" x14ac:dyDescent="0.3">
      <c r="A2533" s="295">
        <v>2023</v>
      </c>
      <c r="B2533" s="295">
        <v>1</v>
      </c>
      <c r="C2533" s="295" t="s">
        <v>101</v>
      </c>
      <c r="D2533" s="295" t="s">
        <v>85</v>
      </c>
      <c r="E2533" s="296">
        <v>0.27148829885431941</v>
      </c>
    </row>
    <row r="2534" spans="1:5" x14ac:dyDescent="0.3">
      <c r="A2534" s="295">
        <v>2023</v>
      </c>
      <c r="B2534" s="295">
        <v>1</v>
      </c>
      <c r="C2534" s="295" t="s">
        <v>101</v>
      </c>
      <c r="D2534" s="295" t="s">
        <v>179</v>
      </c>
      <c r="E2534" s="296">
        <v>42.25038</v>
      </c>
    </row>
    <row r="2535" spans="1:5" x14ac:dyDescent="0.3">
      <c r="A2535" s="295">
        <v>2023</v>
      </c>
      <c r="B2535" s="295">
        <v>1</v>
      </c>
      <c r="C2535" s="295" t="s">
        <v>101</v>
      </c>
      <c r="D2535" s="295" t="s">
        <v>352</v>
      </c>
      <c r="E2535" s="296">
        <v>0.35887999999999998</v>
      </c>
    </row>
    <row r="2536" spans="1:5" x14ac:dyDescent="0.3">
      <c r="A2536" s="295">
        <v>2023</v>
      </c>
      <c r="B2536" s="295">
        <v>1</v>
      </c>
      <c r="C2536" s="295" t="s">
        <v>101</v>
      </c>
      <c r="D2536" s="295" t="s">
        <v>426</v>
      </c>
      <c r="E2536" s="296">
        <v>4.9189999999999998E-2</v>
      </c>
    </row>
    <row r="2537" spans="1:5" x14ac:dyDescent="0.3">
      <c r="A2537" s="295">
        <v>2023</v>
      </c>
      <c r="B2537" s="295">
        <v>1</v>
      </c>
      <c r="C2537" s="295" t="s">
        <v>179</v>
      </c>
      <c r="D2537" s="295" t="s">
        <v>1</v>
      </c>
      <c r="E2537" s="296">
        <v>1.1604387851134269E-3</v>
      </c>
    </row>
    <row r="2538" spans="1:5" x14ac:dyDescent="0.3">
      <c r="A2538" s="295">
        <v>2023</v>
      </c>
      <c r="B2538" s="295">
        <v>1</v>
      </c>
      <c r="C2538" s="295" t="s">
        <v>179</v>
      </c>
      <c r="D2538" s="295" t="s">
        <v>2</v>
      </c>
      <c r="E2538" s="296">
        <v>1.2571033409972639E-3</v>
      </c>
    </row>
    <row r="2539" spans="1:5" x14ac:dyDescent="0.3">
      <c r="A2539" s="295">
        <v>2023</v>
      </c>
      <c r="B2539" s="295">
        <v>1</v>
      </c>
      <c r="C2539" s="295" t="s">
        <v>179</v>
      </c>
      <c r="D2539" s="295" t="s">
        <v>259</v>
      </c>
      <c r="E2539" s="296">
        <v>1.0220332482746162E-3</v>
      </c>
    </row>
    <row r="2540" spans="1:5" x14ac:dyDescent="0.3">
      <c r="A2540" s="295">
        <v>2023</v>
      </c>
      <c r="B2540" s="295">
        <v>1</v>
      </c>
      <c r="C2540" s="295" t="s">
        <v>179</v>
      </c>
      <c r="D2540" s="295" t="s">
        <v>85</v>
      </c>
      <c r="E2540" s="296">
        <v>6.4256978564900058E-3</v>
      </c>
    </row>
    <row r="2541" spans="1:5" x14ac:dyDescent="0.3">
      <c r="A2541" s="295">
        <v>2023</v>
      </c>
      <c r="B2541" s="295">
        <v>1</v>
      </c>
      <c r="C2541" s="295" t="s">
        <v>179</v>
      </c>
      <c r="D2541" s="295" t="s">
        <v>101</v>
      </c>
      <c r="E2541" s="296">
        <v>2.3668426177468699E-2</v>
      </c>
    </row>
    <row r="2542" spans="1:5" x14ac:dyDescent="0.3">
      <c r="A2542" s="295">
        <v>2023</v>
      </c>
      <c r="B2542" s="295">
        <v>1</v>
      </c>
      <c r="C2542" s="295" t="s">
        <v>179</v>
      </c>
      <c r="D2542" s="295" t="s">
        <v>352</v>
      </c>
      <c r="E2542" s="296">
        <v>8.4899999999999993E-3</v>
      </c>
    </row>
    <row r="2543" spans="1:5" x14ac:dyDescent="0.3">
      <c r="A2543" s="295">
        <v>2023</v>
      </c>
      <c r="B2543" s="295">
        <v>1</v>
      </c>
      <c r="C2543" s="295" t="s">
        <v>179</v>
      </c>
      <c r="D2543" s="295" t="s">
        <v>426</v>
      </c>
      <c r="E2543" s="296">
        <v>1.16E-3</v>
      </c>
    </row>
    <row r="2544" spans="1:5" x14ac:dyDescent="0.3">
      <c r="A2544" s="295">
        <v>2023</v>
      </c>
      <c r="B2544" s="295">
        <v>1</v>
      </c>
      <c r="C2544" s="295" t="s">
        <v>352</v>
      </c>
      <c r="D2544" s="295" t="s">
        <v>1</v>
      </c>
      <c r="E2544" s="296">
        <v>0.13661575452881228</v>
      </c>
    </row>
    <row r="2545" spans="1:5" x14ac:dyDescent="0.3">
      <c r="A2545" s="295">
        <v>2023</v>
      </c>
      <c r="B2545" s="295">
        <v>1</v>
      </c>
      <c r="C2545" s="295" t="s">
        <v>352</v>
      </c>
      <c r="D2545" s="295" t="s">
        <v>2</v>
      </c>
      <c r="E2545" s="296">
        <v>0.14799576732105463</v>
      </c>
    </row>
    <row r="2546" spans="1:5" x14ac:dyDescent="0.3">
      <c r="A2546" s="295">
        <v>2023</v>
      </c>
      <c r="B2546" s="295">
        <v>1</v>
      </c>
      <c r="C2546" s="295" t="s">
        <v>352</v>
      </c>
      <c r="D2546" s="295" t="s">
        <v>259</v>
      </c>
      <c r="E2546" s="296">
        <v>0.12032159556061442</v>
      </c>
    </row>
    <row r="2547" spans="1:5" x14ac:dyDescent="0.3">
      <c r="A2547" s="295">
        <v>2023</v>
      </c>
      <c r="B2547" s="295">
        <v>1</v>
      </c>
      <c r="C2547" s="295" t="s">
        <v>352</v>
      </c>
      <c r="D2547" s="295" t="s">
        <v>85</v>
      </c>
      <c r="E2547" s="296">
        <v>0.75648115227209123</v>
      </c>
    </row>
    <row r="2548" spans="1:5" x14ac:dyDescent="0.3">
      <c r="A2548" s="295">
        <v>2023</v>
      </c>
      <c r="B2548" s="295">
        <v>1</v>
      </c>
      <c r="C2548" s="295" t="s">
        <v>352</v>
      </c>
      <c r="D2548" s="295" t="s">
        <v>101</v>
      </c>
      <c r="E2548" s="296">
        <v>2.7864467231386536</v>
      </c>
    </row>
    <row r="2549" spans="1:5" x14ac:dyDescent="0.3">
      <c r="A2549" s="295">
        <v>2023</v>
      </c>
      <c r="B2549" s="295">
        <v>1</v>
      </c>
      <c r="C2549" s="295" t="s">
        <v>352</v>
      </c>
      <c r="D2549" s="295" t="s">
        <v>179</v>
      </c>
      <c r="E2549" s="296">
        <v>117.78563015312133</v>
      </c>
    </row>
    <row r="2550" spans="1:5" x14ac:dyDescent="0.3">
      <c r="A2550" s="295">
        <v>2023</v>
      </c>
      <c r="B2550" s="295">
        <v>1</v>
      </c>
      <c r="C2550" s="295" t="s">
        <v>352</v>
      </c>
      <c r="D2550" s="295" t="s">
        <v>426</v>
      </c>
      <c r="E2550" s="296">
        <v>0.13705000000000001</v>
      </c>
    </row>
    <row r="2551" spans="1:5" x14ac:dyDescent="0.3">
      <c r="A2551" s="295">
        <v>2023</v>
      </c>
      <c r="B2551" s="295">
        <v>1</v>
      </c>
      <c r="C2551" s="295" t="s">
        <v>426</v>
      </c>
      <c r="D2551" s="295" t="s">
        <v>1</v>
      </c>
      <c r="E2551" s="296">
        <v>0.99681020733652304</v>
      </c>
    </row>
    <row r="2552" spans="1:5" x14ac:dyDescent="0.3">
      <c r="A2552" s="295">
        <v>2023</v>
      </c>
      <c r="B2552" s="295">
        <v>1</v>
      </c>
      <c r="C2552" s="295" t="s">
        <v>426</v>
      </c>
      <c r="D2552" s="295" t="s">
        <v>2</v>
      </c>
      <c r="E2552" s="296">
        <v>1.0798436386411248</v>
      </c>
    </row>
    <row r="2553" spans="1:5" x14ac:dyDescent="0.3">
      <c r="A2553" s="295">
        <v>2023</v>
      </c>
      <c r="B2553" s="295">
        <v>1</v>
      </c>
      <c r="C2553" s="295" t="s">
        <v>426</v>
      </c>
      <c r="D2553" s="295" t="s">
        <v>259</v>
      </c>
      <c r="E2553" s="296">
        <v>0.87791687882991243</v>
      </c>
    </row>
    <row r="2554" spans="1:5" x14ac:dyDescent="0.3">
      <c r="A2554" s="295">
        <v>2023</v>
      </c>
      <c r="B2554" s="295">
        <v>1</v>
      </c>
      <c r="C2554" s="295" t="s">
        <v>426</v>
      </c>
      <c r="D2554" s="295" t="s">
        <v>85</v>
      </c>
      <c r="E2554" s="296">
        <v>5.5196776508251917</v>
      </c>
    </row>
    <row r="2555" spans="1:5" x14ac:dyDescent="0.3">
      <c r="A2555" s="295">
        <v>2023</v>
      </c>
      <c r="B2555" s="295">
        <v>1</v>
      </c>
      <c r="C2555" s="295" t="s">
        <v>426</v>
      </c>
      <c r="D2555" s="295" t="s">
        <v>101</v>
      </c>
      <c r="E2555" s="296">
        <v>20.329335230737957</v>
      </c>
    </row>
    <row r="2556" spans="1:5" x14ac:dyDescent="0.3">
      <c r="A2556" s="295">
        <v>2023</v>
      </c>
      <c r="B2556" s="295">
        <v>1</v>
      </c>
      <c r="C2556" s="295" t="s">
        <v>426</v>
      </c>
      <c r="D2556" s="295" t="s">
        <v>179</v>
      </c>
      <c r="E2556" s="296">
        <v>862.06896551724139</v>
      </c>
    </row>
    <row r="2557" spans="1:5" x14ac:dyDescent="0.3">
      <c r="A2557" s="295">
        <v>2023</v>
      </c>
      <c r="B2557" s="295">
        <v>1</v>
      </c>
      <c r="C2557" s="295" t="s">
        <v>426</v>
      </c>
      <c r="D2557" s="295" t="s">
        <v>352</v>
      </c>
      <c r="E2557" s="296">
        <v>7.296607077708865</v>
      </c>
    </row>
    <row r="2558" spans="1:5" x14ac:dyDescent="0.3">
      <c r="A2558" s="295">
        <v>2023</v>
      </c>
      <c r="B2558" s="295">
        <v>1</v>
      </c>
      <c r="C2558" s="295" t="s">
        <v>1</v>
      </c>
      <c r="D2558" s="295" t="s">
        <v>1</v>
      </c>
      <c r="E2558" s="296">
        <v>1</v>
      </c>
    </row>
    <row r="2559" spans="1:5" x14ac:dyDescent="0.3">
      <c r="A2559" s="295">
        <v>2023</v>
      </c>
      <c r="B2559" s="295">
        <v>1</v>
      </c>
      <c r="C2559" s="295" t="s">
        <v>2</v>
      </c>
      <c r="D2559" s="295" t="s">
        <v>2</v>
      </c>
      <c r="E2559" s="296">
        <v>1</v>
      </c>
    </row>
    <row r="2560" spans="1:5" x14ac:dyDescent="0.3">
      <c r="A2560" s="295">
        <v>2023</v>
      </c>
      <c r="B2560" s="295">
        <v>1</v>
      </c>
      <c r="C2560" s="295" t="s">
        <v>259</v>
      </c>
      <c r="D2560" s="295" t="s">
        <v>259</v>
      </c>
      <c r="E2560" s="296">
        <v>1</v>
      </c>
    </row>
    <row r="2561" spans="1:5" x14ac:dyDescent="0.3">
      <c r="A2561" s="295">
        <v>2023</v>
      </c>
      <c r="B2561" s="295">
        <v>1</v>
      </c>
      <c r="C2561" s="295" t="s">
        <v>85</v>
      </c>
      <c r="D2561" s="295" t="s">
        <v>85</v>
      </c>
      <c r="E2561" s="296">
        <v>1</v>
      </c>
    </row>
    <row r="2562" spans="1:5" x14ac:dyDescent="0.3">
      <c r="A2562" s="295">
        <v>2023</v>
      </c>
      <c r="B2562" s="295">
        <v>1</v>
      </c>
      <c r="C2562" s="295" t="s">
        <v>101</v>
      </c>
      <c r="D2562" s="295" t="s">
        <v>101</v>
      </c>
      <c r="E2562" s="296">
        <v>1</v>
      </c>
    </row>
    <row r="2563" spans="1:5" x14ac:dyDescent="0.3">
      <c r="A2563" s="295">
        <v>2023</v>
      </c>
      <c r="B2563" s="295">
        <v>1</v>
      </c>
      <c r="C2563" s="295" t="s">
        <v>179</v>
      </c>
      <c r="D2563" s="295" t="s">
        <v>179</v>
      </c>
      <c r="E2563" s="296">
        <v>1</v>
      </c>
    </row>
    <row r="2564" spans="1:5" x14ac:dyDescent="0.3">
      <c r="A2564" s="295">
        <v>2023</v>
      </c>
      <c r="B2564" s="295">
        <v>1</v>
      </c>
      <c r="C2564" s="295" t="s">
        <v>352</v>
      </c>
      <c r="D2564" s="295" t="s">
        <v>352</v>
      </c>
      <c r="E2564" s="296">
        <v>1</v>
      </c>
    </row>
    <row r="2565" spans="1:5" x14ac:dyDescent="0.3">
      <c r="A2565" s="295">
        <v>2023</v>
      </c>
      <c r="B2565" s="295">
        <v>1</v>
      </c>
      <c r="C2565" s="295" t="s">
        <v>426</v>
      </c>
      <c r="D2565" s="295" t="s">
        <v>426</v>
      </c>
      <c r="E2565" s="296">
        <v>1</v>
      </c>
    </row>
    <row r="2566" spans="1:5" x14ac:dyDescent="0.3">
      <c r="A2566" s="295">
        <v>2023</v>
      </c>
      <c r="B2566" s="295">
        <v>2</v>
      </c>
      <c r="C2566" s="295" t="s">
        <v>1</v>
      </c>
      <c r="D2566" s="295" t="s">
        <v>2</v>
      </c>
      <c r="E2566" s="296">
        <v>1.0619000000000001</v>
      </c>
    </row>
    <row r="2567" spans="1:5" x14ac:dyDescent="0.3">
      <c r="A2567" s="295">
        <v>2023</v>
      </c>
      <c r="B2567" s="295">
        <v>2</v>
      </c>
      <c r="C2567" s="295" t="s">
        <v>1</v>
      </c>
      <c r="D2567" s="295" t="s">
        <v>259</v>
      </c>
      <c r="E2567" s="296">
        <v>0.87700999999999996</v>
      </c>
    </row>
    <row r="2568" spans="1:5" x14ac:dyDescent="0.3">
      <c r="A2568" s="295">
        <v>2023</v>
      </c>
      <c r="B2568" s="295">
        <v>2</v>
      </c>
      <c r="C2568" s="295" t="s">
        <v>1</v>
      </c>
      <c r="D2568" s="295" t="s">
        <v>85</v>
      </c>
      <c r="E2568" s="296">
        <v>5.5279999999999996</v>
      </c>
    </row>
    <row r="2569" spans="1:5" x14ac:dyDescent="0.3">
      <c r="A2569" s="295">
        <v>2023</v>
      </c>
      <c r="B2569" s="295">
        <v>2</v>
      </c>
      <c r="C2569" s="295" t="s">
        <v>1</v>
      </c>
      <c r="D2569" s="295" t="s">
        <v>101</v>
      </c>
      <c r="E2569" s="296">
        <v>19.448</v>
      </c>
    </row>
    <row r="2570" spans="1:5" x14ac:dyDescent="0.3">
      <c r="A2570" s="295">
        <v>2023</v>
      </c>
      <c r="B2570" s="295">
        <v>2</v>
      </c>
      <c r="C2570" s="295" t="s">
        <v>1</v>
      </c>
      <c r="D2570" s="295" t="s">
        <v>179</v>
      </c>
      <c r="E2570" s="296">
        <v>878.69</v>
      </c>
    </row>
    <row r="2571" spans="1:5" x14ac:dyDescent="0.3">
      <c r="A2571" s="295">
        <v>2023</v>
      </c>
      <c r="B2571" s="295">
        <v>2</v>
      </c>
      <c r="C2571" s="295" t="s">
        <v>1</v>
      </c>
      <c r="D2571" s="295" t="s">
        <v>352</v>
      </c>
      <c r="E2571" s="296">
        <v>7.3662999999999998</v>
      </c>
    </row>
    <row r="2572" spans="1:5" x14ac:dyDescent="0.3">
      <c r="A2572" s="295">
        <v>2023</v>
      </c>
      <c r="B2572" s="295">
        <v>2</v>
      </c>
      <c r="C2572" s="295" t="s">
        <v>1</v>
      </c>
      <c r="D2572" s="295" t="s">
        <v>426</v>
      </c>
      <c r="E2572" s="296">
        <v>0.99470000000000003</v>
      </c>
    </row>
    <row r="2573" spans="1:5" x14ac:dyDescent="0.3">
      <c r="A2573" s="295">
        <v>2023</v>
      </c>
      <c r="B2573" s="295">
        <v>2</v>
      </c>
      <c r="C2573" s="295" t="s">
        <v>2</v>
      </c>
      <c r="D2573" s="295" t="s">
        <v>1</v>
      </c>
      <c r="E2573" s="296">
        <v>0.9417082587814295</v>
      </c>
    </row>
    <row r="2574" spans="1:5" x14ac:dyDescent="0.3">
      <c r="A2574" s="295">
        <v>2023</v>
      </c>
      <c r="B2574" s="295">
        <v>2</v>
      </c>
      <c r="C2574" s="295" t="s">
        <v>2</v>
      </c>
      <c r="D2574" s="295" t="s">
        <v>259</v>
      </c>
      <c r="E2574" s="296">
        <v>0.82589000000000001</v>
      </c>
    </row>
    <row r="2575" spans="1:5" x14ac:dyDescent="0.3">
      <c r="A2575" s="295">
        <v>2023</v>
      </c>
      <c r="B2575" s="295">
        <v>2</v>
      </c>
      <c r="C2575" s="295" t="s">
        <v>2</v>
      </c>
      <c r="D2575" s="295" t="s">
        <v>85</v>
      </c>
      <c r="E2575" s="296">
        <v>5.2057599999999997</v>
      </c>
    </row>
    <row r="2576" spans="1:5" x14ac:dyDescent="0.3">
      <c r="A2576" s="295">
        <v>2023</v>
      </c>
      <c r="B2576" s="295">
        <v>2</v>
      </c>
      <c r="C2576" s="295" t="s">
        <v>2</v>
      </c>
      <c r="D2576" s="295" t="s">
        <v>101</v>
      </c>
      <c r="E2576" s="296">
        <v>18.314340000000001</v>
      </c>
    </row>
    <row r="2577" spans="1:5" x14ac:dyDescent="0.3">
      <c r="A2577" s="295">
        <v>2023</v>
      </c>
      <c r="B2577" s="295">
        <v>2</v>
      </c>
      <c r="C2577" s="295" t="s">
        <v>2</v>
      </c>
      <c r="D2577" s="295" t="s">
        <v>179</v>
      </c>
      <c r="E2577" s="296">
        <v>827.46963000000005</v>
      </c>
    </row>
    <row r="2578" spans="1:5" x14ac:dyDescent="0.3">
      <c r="A2578" s="295">
        <v>2023</v>
      </c>
      <c r="B2578" s="295">
        <v>2</v>
      </c>
      <c r="C2578" s="295" t="s">
        <v>2</v>
      </c>
      <c r="D2578" s="295" t="s">
        <v>352</v>
      </c>
      <c r="E2578" s="296">
        <v>6.9369100000000001</v>
      </c>
    </row>
    <row r="2579" spans="1:5" x14ac:dyDescent="0.3">
      <c r="A2579" s="295">
        <v>2023</v>
      </c>
      <c r="B2579" s="295">
        <v>2</v>
      </c>
      <c r="C2579" s="295" t="s">
        <v>2</v>
      </c>
      <c r="D2579" s="295" t="s">
        <v>426</v>
      </c>
      <c r="E2579" s="296">
        <v>0.93672</v>
      </c>
    </row>
    <row r="2580" spans="1:5" x14ac:dyDescent="0.3">
      <c r="A2580" s="295">
        <v>2023</v>
      </c>
      <c r="B2580" s="295">
        <v>2</v>
      </c>
      <c r="C2580" s="295" t="s">
        <v>259</v>
      </c>
      <c r="D2580" s="295" t="s">
        <v>1</v>
      </c>
      <c r="E2580" s="296">
        <v>1.1402378536162645</v>
      </c>
    </row>
    <row r="2581" spans="1:5" x14ac:dyDescent="0.3">
      <c r="A2581" s="295">
        <v>2023</v>
      </c>
      <c r="B2581" s="295">
        <v>2</v>
      </c>
      <c r="C2581" s="295" t="s">
        <v>259</v>
      </c>
      <c r="D2581" s="295" t="s">
        <v>2</v>
      </c>
      <c r="E2581" s="296">
        <v>1.2108149995762147</v>
      </c>
    </row>
    <row r="2582" spans="1:5" x14ac:dyDescent="0.3">
      <c r="A2582" s="295">
        <v>2023</v>
      </c>
      <c r="B2582" s="295">
        <v>2</v>
      </c>
      <c r="C2582" s="295" t="s">
        <v>259</v>
      </c>
      <c r="D2582" s="295" t="s">
        <v>85</v>
      </c>
      <c r="E2582" s="296">
        <v>6.3032300000000001</v>
      </c>
    </row>
    <row r="2583" spans="1:5" x14ac:dyDescent="0.3">
      <c r="A2583" s="295">
        <v>2023</v>
      </c>
      <c r="B2583" s="295">
        <v>2</v>
      </c>
      <c r="C2583" s="295" t="s">
        <v>259</v>
      </c>
      <c r="D2583" s="295" t="s">
        <v>101</v>
      </c>
      <c r="E2583" s="296">
        <v>22.175350000000002</v>
      </c>
    </row>
    <row r="2584" spans="1:5" x14ac:dyDescent="0.3">
      <c r="A2584" s="295">
        <v>2023</v>
      </c>
      <c r="B2584" s="295">
        <v>2</v>
      </c>
      <c r="C2584" s="295" t="s">
        <v>259</v>
      </c>
      <c r="D2584" s="295" t="s">
        <v>179</v>
      </c>
      <c r="E2584" s="296">
        <v>1001.9156</v>
      </c>
    </row>
    <row r="2585" spans="1:5" x14ac:dyDescent="0.3">
      <c r="A2585" s="295">
        <v>2023</v>
      </c>
      <c r="B2585" s="295">
        <v>2</v>
      </c>
      <c r="C2585" s="295" t="s">
        <v>259</v>
      </c>
      <c r="D2585" s="295" t="s">
        <v>352</v>
      </c>
      <c r="E2585" s="296">
        <v>8.3993300000000009</v>
      </c>
    </row>
    <row r="2586" spans="1:5" x14ac:dyDescent="0.3">
      <c r="A2586" s="295">
        <v>2023</v>
      </c>
      <c r="B2586" s="295">
        <v>2</v>
      </c>
      <c r="C2586" s="295" t="s">
        <v>259</v>
      </c>
      <c r="D2586" s="295" t="s">
        <v>426</v>
      </c>
      <c r="E2586" s="296">
        <v>1.13419</v>
      </c>
    </row>
    <row r="2587" spans="1:5" x14ac:dyDescent="0.3">
      <c r="A2587" s="295">
        <v>2023</v>
      </c>
      <c r="B2587" s="295">
        <v>2</v>
      </c>
      <c r="C2587" s="295" t="s">
        <v>85</v>
      </c>
      <c r="D2587" s="295" t="s">
        <v>1</v>
      </c>
      <c r="E2587" s="296">
        <v>0.18089725036179452</v>
      </c>
    </row>
    <row r="2588" spans="1:5" x14ac:dyDescent="0.3">
      <c r="A2588" s="295">
        <v>2023</v>
      </c>
      <c r="B2588" s="295">
        <v>2</v>
      </c>
      <c r="C2588" s="295" t="s">
        <v>85</v>
      </c>
      <c r="D2588" s="295" t="s">
        <v>2</v>
      </c>
      <c r="E2588" s="296">
        <v>0.19209491025325795</v>
      </c>
    </row>
    <row r="2589" spans="1:5" x14ac:dyDescent="0.3">
      <c r="A2589" s="295">
        <v>2023</v>
      </c>
      <c r="B2589" s="295">
        <v>2</v>
      </c>
      <c r="C2589" s="295" t="s">
        <v>85</v>
      </c>
      <c r="D2589" s="295" t="s">
        <v>259</v>
      </c>
      <c r="E2589" s="296">
        <v>0.15864881973210559</v>
      </c>
    </row>
    <row r="2590" spans="1:5" x14ac:dyDescent="0.3">
      <c r="A2590" s="295">
        <v>2023</v>
      </c>
      <c r="B2590" s="295">
        <v>2</v>
      </c>
      <c r="C2590" s="295" t="s">
        <v>85</v>
      </c>
      <c r="D2590" s="295" t="s">
        <v>101</v>
      </c>
      <c r="E2590" s="296">
        <v>3.5180899999999999</v>
      </c>
    </row>
    <row r="2591" spans="1:5" x14ac:dyDescent="0.3">
      <c r="A2591" s="295">
        <v>2023</v>
      </c>
      <c r="B2591" s="295">
        <v>2</v>
      </c>
      <c r="C2591" s="295" t="s">
        <v>85</v>
      </c>
      <c r="D2591" s="295" t="s">
        <v>179</v>
      </c>
      <c r="E2591" s="296">
        <v>158.95259999999999</v>
      </c>
    </row>
    <row r="2592" spans="1:5" x14ac:dyDescent="0.3">
      <c r="A2592" s="295">
        <v>2023</v>
      </c>
      <c r="B2592" s="295">
        <v>2</v>
      </c>
      <c r="C2592" s="295" t="s">
        <v>85</v>
      </c>
      <c r="D2592" s="295" t="s">
        <v>352</v>
      </c>
      <c r="E2592" s="296">
        <v>1.3325400000000001</v>
      </c>
    </row>
    <row r="2593" spans="1:5" x14ac:dyDescent="0.3">
      <c r="A2593" s="295">
        <v>2023</v>
      </c>
      <c r="B2593" s="295">
        <v>2</v>
      </c>
      <c r="C2593" s="295" t="s">
        <v>85</v>
      </c>
      <c r="D2593" s="295" t="s">
        <v>426</v>
      </c>
      <c r="E2593" s="296">
        <v>0.17993999999999999</v>
      </c>
    </row>
    <row r="2594" spans="1:5" x14ac:dyDescent="0.3">
      <c r="A2594" s="295">
        <v>2023</v>
      </c>
      <c r="B2594" s="295">
        <v>2</v>
      </c>
      <c r="C2594" s="295" t="s">
        <v>101</v>
      </c>
      <c r="D2594" s="295" t="s">
        <v>1</v>
      </c>
      <c r="E2594" s="296">
        <v>5.1419169066227892E-2</v>
      </c>
    </row>
    <row r="2595" spans="1:5" x14ac:dyDescent="0.3">
      <c r="A2595" s="295">
        <v>2023</v>
      </c>
      <c r="B2595" s="295">
        <v>2</v>
      </c>
      <c r="C2595" s="295" t="s">
        <v>101</v>
      </c>
      <c r="D2595" s="295" t="s">
        <v>2</v>
      </c>
      <c r="E2595" s="296">
        <v>5.4602022240495693E-2</v>
      </c>
    </row>
    <row r="2596" spans="1:5" x14ac:dyDescent="0.3">
      <c r="A2596" s="295">
        <v>2023</v>
      </c>
      <c r="B2596" s="295">
        <v>2</v>
      </c>
      <c r="C2596" s="295" t="s">
        <v>101</v>
      </c>
      <c r="D2596" s="295" t="s">
        <v>259</v>
      </c>
      <c r="E2596" s="296">
        <v>4.509511687526916E-2</v>
      </c>
    </row>
    <row r="2597" spans="1:5" x14ac:dyDescent="0.3">
      <c r="A2597" s="295">
        <v>2023</v>
      </c>
      <c r="B2597" s="295">
        <v>2</v>
      </c>
      <c r="C2597" s="295" t="s">
        <v>101</v>
      </c>
      <c r="D2597" s="295" t="s">
        <v>85</v>
      </c>
      <c r="E2597" s="296">
        <v>0.28424514438232107</v>
      </c>
    </row>
    <row r="2598" spans="1:5" x14ac:dyDescent="0.3">
      <c r="A2598" s="295">
        <v>2023</v>
      </c>
      <c r="B2598" s="295">
        <v>2</v>
      </c>
      <c r="C2598" s="295" t="s">
        <v>101</v>
      </c>
      <c r="D2598" s="295" t="s">
        <v>179</v>
      </c>
      <c r="E2598" s="296">
        <v>45.181510000000003</v>
      </c>
    </row>
    <row r="2599" spans="1:5" x14ac:dyDescent="0.3">
      <c r="A2599" s="295">
        <v>2023</v>
      </c>
      <c r="B2599" s="295">
        <v>2</v>
      </c>
      <c r="C2599" s="295" t="s">
        <v>101</v>
      </c>
      <c r="D2599" s="295" t="s">
        <v>352</v>
      </c>
      <c r="E2599" s="296">
        <v>0.37877</v>
      </c>
    </row>
    <row r="2600" spans="1:5" x14ac:dyDescent="0.3">
      <c r="A2600" s="295">
        <v>2023</v>
      </c>
      <c r="B2600" s="295">
        <v>2</v>
      </c>
      <c r="C2600" s="295" t="s">
        <v>101</v>
      </c>
      <c r="D2600" s="295" t="s">
        <v>426</v>
      </c>
      <c r="E2600" s="296">
        <v>5.1150000000000001E-2</v>
      </c>
    </row>
    <row r="2601" spans="1:5" x14ac:dyDescent="0.3">
      <c r="A2601" s="295">
        <v>2023</v>
      </c>
      <c r="B2601" s="295">
        <v>2</v>
      </c>
      <c r="C2601" s="295" t="s">
        <v>179</v>
      </c>
      <c r="D2601" s="295" t="s">
        <v>1</v>
      </c>
      <c r="E2601" s="296">
        <v>1.1380577905746054E-3</v>
      </c>
    </row>
    <row r="2602" spans="1:5" x14ac:dyDescent="0.3">
      <c r="A2602" s="295">
        <v>2023</v>
      </c>
      <c r="B2602" s="295">
        <v>2</v>
      </c>
      <c r="C2602" s="295" t="s">
        <v>179</v>
      </c>
      <c r="D2602" s="295" t="s">
        <v>2</v>
      </c>
      <c r="E2602" s="296">
        <v>1.2085035676777647E-3</v>
      </c>
    </row>
    <row r="2603" spans="1:5" x14ac:dyDescent="0.3">
      <c r="A2603" s="295">
        <v>2023</v>
      </c>
      <c r="B2603" s="295">
        <v>2</v>
      </c>
      <c r="C2603" s="295" t="s">
        <v>179</v>
      </c>
      <c r="D2603" s="295" t="s">
        <v>259</v>
      </c>
      <c r="E2603" s="296">
        <v>9.9808806250746064E-4</v>
      </c>
    </row>
    <row r="2604" spans="1:5" x14ac:dyDescent="0.3">
      <c r="A2604" s="295">
        <v>2023</v>
      </c>
      <c r="B2604" s="295">
        <v>2</v>
      </c>
      <c r="C2604" s="295" t="s">
        <v>179</v>
      </c>
      <c r="D2604" s="295" t="s">
        <v>85</v>
      </c>
      <c r="E2604" s="296">
        <v>6.2911836610410905E-3</v>
      </c>
    </row>
    <row r="2605" spans="1:5" x14ac:dyDescent="0.3">
      <c r="A2605" s="295">
        <v>2023</v>
      </c>
      <c r="B2605" s="295">
        <v>2</v>
      </c>
      <c r="C2605" s="295" t="s">
        <v>179</v>
      </c>
      <c r="D2605" s="295" t="s">
        <v>101</v>
      </c>
      <c r="E2605" s="296">
        <v>2.2132947747872968E-2</v>
      </c>
    </row>
    <row r="2606" spans="1:5" x14ac:dyDescent="0.3">
      <c r="A2606" s="295">
        <v>2023</v>
      </c>
      <c r="B2606" s="295">
        <v>2</v>
      </c>
      <c r="C2606" s="295" t="s">
        <v>179</v>
      </c>
      <c r="D2606" s="295" t="s">
        <v>352</v>
      </c>
      <c r="E2606" s="296">
        <v>8.3800000000000003E-3</v>
      </c>
    </row>
    <row r="2607" spans="1:5" x14ac:dyDescent="0.3">
      <c r="A2607" s="295">
        <v>2023</v>
      </c>
      <c r="B2607" s="295">
        <v>2</v>
      </c>
      <c r="C2607" s="295" t="s">
        <v>179</v>
      </c>
      <c r="D2607" s="295" t="s">
        <v>426</v>
      </c>
      <c r="E2607" s="296">
        <v>1.1299999999999999E-3</v>
      </c>
    </row>
    <row r="2608" spans="1:5" x14ac:dyDescent="0.3">
      <c r="A2608" s="295">
        <v>2023</v>
      </c>
      <c r="B2608" s="295">
        <v>2</v>
      </c>
      <c r="C2608" s="295" t="s">
        <v>352</v>
      </c>
      <c r="D2608" s="295" t="s">
        <v>1</v>
      </c>
      <c r="E2608" s="296">
        <v>0.13575336328957549</v>
      </c>
    </row>
    <row r="2609" spans="1:5" x14ac:dyDescent="0.3">
      <c r="A2609" s="295">
        <v>2023</v>
      </c>
      <c r="B2609" s="295">
        <v>2</v>
      </c>
      <c r="C2609" s="295" t="s">
        <v>352</v>
      </c>
      <c r="D2609" s="295" t="s">
        <v>2</v>
      </c>
      <c r="E2609" s="296">
        <v>0.14415640393201007</v>
      </c>
    </row>
    <row r="2610" spans="1:5" x14ac:dyDescent="0.3">
      <c r="A2610" s="295">
        <v>2023</v>
      </c>
      <c r="B2610" s="295">
        <v>2</v>
      </c>
      <c r="C2610" s="295" t="s">
        <v>352</v>
      </c>
      <c r="D2610" s="295" t="s">
        <v>259</v>
      </c>
      <c r="E2610" s="296">
        <v>0.11905711526990842</v>
      </c>
    </row>
    <row r="2611" spans="1:5" x14ac:dyDescent="0.3">
      <c r="A2611" s="295">
        <v>2023</v>
      </c>
      <c r="B2611" s="295">
        <v>2</v>
      </c>
      <c r="C2611" s="295" t="s">
        <v>352</v>
      </c>
      <c r="D2611" s="295" t="s">
        <v>85</v>
      </c>
      <c r="E2611" s="296">
        <v>0.75044651567682763</v>
      </c>
    </row>
    <row r="2612" spans="1:5" x14ac:dyDescent="0.3">
      <c r="A2612" s="295">
        <v>2023</v>
      </c>
      <c r="B2612" s="295">
        <v>2</v>
      </c>
      <c r="C2612" s="295" t="s">
        <v>352</v>
      </c>
      <c r="D2612" s="295" t="s">
        <v>101</v>
      </c>
      <c r="E2612" s="296">
        <v>2.6401246138817753</v>
      </c>
    </row>
    <row r="2613" spans="1:5" x14ac:dyDescent="0.3">
      <c r="A2613" s="295">
        <v>2023</v>
      </c>
      <c r="B2613" s="295">
        <v>2</v>
      </c>
      <c r="C2613" s="295" t="s">
        <v>352</v>
      </c>
      <c r="D2613" s="295" t="s">
        <v>179</v>
      </c>
      <c r="E2613" s="296">
        <v>119.33174224343675</v>
      </c>
    </row>
    <row r="2614" spans="1:5" x14ac:dyDescent="0.3">
      <c r="A2614" s="295">
        <v>2023</v>
      </c>
      <c r="B2614" s="295">
        <v>2</v>
      </c>
      <c r="C2614" s="295" t="s">
        <v>352</v>
      </c>
      <c r="D2614" s="295" t="s">
        <v>426</v>
      </c>
      <c r="E2614" s="296">
        <v>0.13503000000000001</v>
      </c>
    </row>
    <row r="2615" spans="1:5" x14ac:dyDescent="0.3">
      <c r="A2615" s="295">
        <v>2023</v>
      </c>
      <c r="B2615" s="295">
        <v>2</v>
      </c>
      <c r="C2615" s="295" t="s">
        <v>426</v>
      </c>
      <c r="D2615" s="295" t="s">
        <v>1</v>
      </c>
      <c r="E2615" s="296">
        <v>1.0053282396702523</v>
      </c>
    </row>
    <row r="2616" spans="1:5" x14ac:dyDescent="0.3">
      <c r="A2616" s="295">
        <v>2023</v>
      </c>
      <c r="B2616" s="295">
        <v>2</v>
      </c>
      <c r="C2616" s="295" t="s">
        <v>426</v>
      </c>
      <c r="D2616" s="295" t="s">
        <v>2</v>
      </c>
      <c r="E2616" s="296">
        <v>1.0675548723204373</v>
      </c>
    </row>
    <row r="2617" spans="1:5" x14ac:dyDescent="0.3">
      <c r="A2617" s="295">
        <v>2023</v>
      </c>
      <c r="B2617" s="295">
        <v>2</v>
      </c>
      <c r="C2617" s="295" t="s">
        <v>426</v>
      </c>
      <c r="D2617" s="295" t="s">
        <v>259</v>
      </c>
      <c r="E2617" s="296">
        <v>0.88168648991791498</v>
      </c>
    </row>
    <row r="2618" spans="1:5" x14ac:dyDescent="0.3">
      <c r="A2618" s="295">
        <v>2023</v>
      </c>
      <c r="B2618" s="295">
        <v>2</v>
      </c>
      <c r="C2618" s="295" t="s">
        <v>426</v>
      </c>
      <c r="D2618" s="295" t="s">
        <v>85</v>
      </c>
      <c r="E2618" s="296">
        <v>5.557408024897188</v>
      </c>
    </row>
    <row r="2619" spans="1:5" x14ac:dyDescent="0.3">
      <c r="A2619" s="295">
        <v>2023</v>
      </c>
      <c r="B2619" s="295">
        <v>2</v>
      </c>
      <c r="C2619" s="295" t="s">
        <v>426</v>
      </c>
      <c r="D2619" s="295" t="s">
        <v>101</v>
      </c>
      <c r="E2619" s="296">
        <v>19.550342130987293</v>
      </c>
    </row>
    <row r="2620" spans="1:5" x14ac:dyDescent="0.3">
      <c r="A2620" s="295">
        <v>2023</v>
      </c>
      <c r="B2620" s="295">
        <v>2</v>
      </c>
      <c r="C2620" s="295" t="s">
        <v>426</v>
      </c>
      <c r="D2620" s="295" t="s">
        <v>179</v>
      </c>
      <c r="E2620" s="296">
        <v>884.95575221238948</v>
      </c>
    </row>
    <row r="2621" spans="1:5" x14ac:dyDescent="0.3">
      <c r="A2621" s="295">
        <v>2023</v>
      </c>
      <c r="B2621" s="295">
        <v>2</v>
      </c>
      <c r="C2621" s="295" t="s">
        <v>426</v>
      </c>
      <c r="D2621" s="295" t="s">
        <v>352</v>
      </c>
      <c r="E2621" s="296">
        <v>7.4057616825890538</v>
      </c>
    </row>
    <row r="2622" spans="1:5" x14ac:dyDescent="0.3">
      <c r="A2622" s="295">
        <v>2023</v>
      </c>
      <c r="B2622" s="295">
        <v>2</v>
      </c>
      <c r="C2622" s="295" t="s">
        <v>1</v>
      </c>
      <c r="D2622" s="295" t="s">
        <v>1</v>
      </c>
      <c r="E2622" s="296">
        <v>1</v>
      </c>
    </row>
    <row r="2623" spans="1:5" x14ac:dyDescent="0.3">
      <c r="A2623" s="295">
        <v>2023</v>
      </c>
      <c r="B2623" s="295">
        <v>2</v>
      </c>
      <c r="C2623" s="295" t="s">
        <v>2</v>
      </c>
      <c r="D2623" s="295" t="s">
        <v>2</v>
      </c>
      <c r="E2623" s="296">
        <v>1</v>
      </c>
    </row>
    <row r="2624" spans="1:5" x14ac:dyDescent="0.3">
      <c r="A2624" s="295">
        <v>2023</v>
      </c>
      <c r="B2624" s="295">
        <v>2</v>
      </c>
      <c r="C2624" s="295" t="s">
        <v>259</v>
      </c>
      <c r="D2624" s="295" t="s">
        <v>259</v>
      </c>
      <c r="E2624" s="296">
        <v>1</v>
      </c>
    </row>
    <row r="2625" spans="1:5" x14ac:dyDescent="0.3">
      <c r="A2625" s="295">
        <v>2023</v>
      </c>
      <c r="B2625" s="295">
        <v>2</v>
      </c>
      <c r="C2625" s="295" t="s">
        <v>85</v>
      </c>
      <c r="D2625" s="295" t="s">
        <v>85</v>
      </c>
      <c r="E2625" s="296">
        <v>1</v>
      </c>
    </row>
    <row r="2626" spans="1:5" x14ac:dyDescent="0.3">
      <c r="A2626" s="295">
        <v>2023</v>
      </c>
      <c r="B2626" s="295">
        <v>2</v>
      </c>
      <c r="C2626" s="295" t="s">
        <v>101</v>
      </c>
      <c r="D2626" s="295" t="s">
        <v>101</v>
      </c>
      <c r="E2626" s="296">
        <v>1</v>
      </c>
    </row>
    <row r="2627" spans="1:5" x14ac:dyDescent="0.3">
      <c r="A2627" s="295">
        <v>2023</v>
      </c>
      <c r="B2627" s="295">
        <v>2</v>
      </c>
      <c r="C2627" s="295" t="s">
        <v>179</v>
      </c>
      <c r="D2627" s="295" t="s">
        <v>179</v>
      </c>
      <c r="E2627" s="296">
        <v>1</v>
      </c>
    </row>
    <row r="2628" spans="1:5" x14ac:dyDescent="0.3">
      <c r="A2628" s="295">
        <v>2023</v>
      </c>
      <c r="B2628" s="295">
        <v>2</v>
      </c>
      <c r="C2628" s="295" t="s">
        <v>352</v>
      </c>
      <c r="D2628" s="295" t="s">
        <v>352</v>
      </c>
      <c r="E2628" s="296">
        <v>1</v>
      </c>
    </row>
    <row r="2629" spans="1:5" x14ac:dyDescent="0.3">
      <c r="A2629" s="295">
        <v>2023</v>
      </c>
      <c r="B2629" s="295">
        <v>2</v>
      </c>
      <c r="C2629" s="295" t="s">
        <v>426</v>
      </c>
      <c r="D2629" s="295" t="s">
        <v>426</v>
      </c>
      <c r="E2629" s="296">
        <v>1</v>
      </c>
    </row>
    <row r="2630" spans="1:5" x14ac:dyDescent="0.3">
      <c r="A2630" s="295">
        <v>2023</v>
      </c>
      <c r="B2630" s="295">
        <v>3</v>
      </c>
      <c r="C2630" s="295" t="s">
        <v>1</v>
      </c>
      <c r="D2630" s="295" t="s">
        <v>2</v>
      </c>
      <c r="E2630" s="296">
        <v>1.0874999999999999</v>
      </c>
    </row>
    <row r="2631" spans="1:5" x14ac:dyDescent="0.3">
      <c r="A2631" s="295">
        <v>2023</v>
      </c>
      <c r="B2631" s="295">
        <v>3</v>
      </c>
      <c r="C2631" s="295" t="s">
        <v>1</v>
      </c>
      <c r="D2631" s="295" t="s">
        <v>259</v>
      </c>
      <c r="E2631" s="296">
        <v>0.87919999999999998</v>
      </c>
    </row>
    <row r="2632" spans="1:5" x14ac:dyDescent="0.3">
      <c r="A2632" s="295">
        <v>2023</v>
      </c>
      <c r="B2632" s="295">
        <v>3</v>
      </c>
      <c r="C2632" s="295" t="s">
        <v>1</v>
      </c>
      <c r="D2632" s="295" t="s">
        <v>85</v>
      </c>
      <c r="E2632" s="296">
        <v>5.5157999999999996</v>
      </c>
    </row>
    <row r="2633" spans="1:5" x14ac:dyDescent="0.3">
      <c r="A2633" s="295">
        <v>2023</v>
      </c>
      <c r="B2633" s="295">
        <v>3</v>
      </c>
      <c r="C2633" s="295" t="s">
        <v>1</v>
      </c>
      <c r="D2633" s="295" t="s">
        <v>101</v>
      </c>
      <c r="E2633" s="296">
        <v>19.639199999999999</v>
      </c>
    </row>
    <row r="2634" spans="1:5" x14ac:dyDescent="0.3">
      <c r="A2634" s="295">
        <v>2023</v>
      </c>
      <c r="B2634" s="295">
        <v>3</v>
      </c>
      <c r="C2634" s="295" t="s">
        <v>1</v>
      </c>
      <c r="D2634" s="295" t="s">
        <v>179</v>
      </c>
      <c r="E2634" s="296">
        <v>863.95399999999995</v>
      </c>
    </row>
    <row r="2635" spans="1:5" x14ac:dyDescent="0.3">
      <c r="A2635" s="295">
        <v>2023</v>
      </c>
      <c r="B2635" s="295">
        <v>3</v>
      </c>
      <c r="C2635" s="295" t="s">
        <v>1</v>
      </c>
      <c r="D2635" s="295" t="s">
        <v>352</v>
      </c>
      <c r="E2635" s="296">
        <v>7.4763000000000002</v>
      </c>
    </row>
    <row r="2636" spans="1:5" x14ac:dyDescent="0.3">
      <c r="A2636" s="295">
        <v>2023</v>
      </c>
      <c r="B2636" s="295">
        <v>3</v>
      </c>
      <c r="C2636" s="295" t="s">
        <v>1</v>
      </c>
      <c r="D2636" s="295" t="s">
        <v>426</v>
      </c>
      <c r="E2636" s="296">
        <v>0.99680000000000002</v>
      </c>
    </row>
    <row r="2637" spans="1:5" x14ac:dyDescent="0.3">
      <c r="A2637" s="295">
        <v>2023</v>
      </c>
      <c r="B2637" s="295">
        <v>3</v>
      </c>
      <c r="C2637" s="295" t="s">
        <v>2</v>
      </c>
      <c r="D2637" s="295" t="s">
        <v>1</v>
      </c>
      <c r="E2637" s="296">
        <v>0.91954022988505757</v>
      </c>
    </row>
    <row r="2638" spans="1:5" x14ac:dyDescent="0.3">
      <c r="A2638" s="295">
        <v>2023</v>
      </c>
      <c r="B2638" s="295">
        <v>3</v>
      </c>
      <c r="C2638" s="295" t="s">
        <v>2</v>
      </c>
      <c r="D2638" s="295" t="s">
        <v>259</v>
      </c>
      <c r="E2638" s="296">
        <v>0.80845999999999996</v>
      </c>
    </row>
    <row r="2639" spans="1:5" x14ac:dyDescent="0.3">
      <c r="A2639" s="295">
        <v>2023</v>
      </c>
      <c r="B2639" s="295">
        <v>3</v>
      </c>
      <c r="C2639" s="295" t="s">
        <v>2</v>
      </c>
      <c r="D2639" s="295" t="s">
        <v>85</v>
      </c>
      <c r="E2639" s="296">
        <v>5.0720000000000001</v>
      </c>
    </row>
    <row r="2640" spans="1:5" x14ac:dyDescent="0.3">
      <c r="A2640" s="295">
        <v>2023</v>
      </c>
      <c r="B2640" s="295">
        <v>3</v>
      </c>
      <c r="C2640" s="295" t="s">
        <v>2</v>
      </c>
      <c r="D2640" s="295" t="s">
        <v>101</v>
      </c>
      <c r="E2640" s="296">
        <v>18.05903</v>
      </c>
    </row>
    <row r="2641" spans="1:5" x14ac:dyDescent="0.3">
      <c r="A2641" s="295">
        <v>2023</v>
      </c>
      <c r="B2641" s="295">
        <v>3</v>
      </c>
      <c r="C2641" s="295" t="s">
        <v>2</v>
      </c>
      <c r="D2641" s="295" t="s">
        <v>179</v>
      </c>
      <c r="E2641" s="296">
        <v>794.44046000000003</v>
      </c>
    </row>
    <row r="2642" spans="1:5" x14ac:dyDescent="0.3">
      <c r="A2642" s="295">
        <v>2023</v>
      </c>
      <c r="B2642" s="295">
        <v>3</v>
      </c>
      <c r="C2642" s="295" t="s">
        <v>2</v>
      </c>
      <c r="D2642" s="295" t="s">
        <v>352</v>
      </c>
      <c r="E2642" s="296">
        <v>6.8747600000000002</v>
      </c>
    </row>
    <row r="2643" spans="1:5" x14ac:dyDescent="0.3">
      <c r="A2643" s="295">
        <v>2023</v>
      </c>
      <c r="B2643" s="295">
        <v>3</v>
      </c>
      <c r="C2643" s="295" t="s">
        <v>2</v>
      </c>
      <c r="D2643" s="295" t="s">
        <v>426</v>
      </c>
      <c r="E2643" s="296">
        <v>0.91659999999999997</v>
      </c>
    </row>
    <row r="2644" spans="1:5" x14ac:dyDescent="0.3">
      <c r="A2644" s="295">
        <v>2023</v>
      </c>
      <c r="B2644" s="295">
        <v>3</v>
      </c>
      <c r="C2644" s="295" t="s">
        <v>259</v>
      </c>
      <c r="D2644" s="295" t="s">
        <v>1</v>
      </c>
      <c r="E2644" s="296">
        <v>1.1373976342129208</v>
      </c>
    </row>
    <row r="2645" spans="1:5" x14ac:dyDescent="0.3">
      <c r="A2645" s="295">
        <v>2023</v>
      </c>
      <c r="B2645" s="295">
        <v>3</v>
      </c>
      <c r="C2645" s="295" t="s">
        <v>259</v>
      </c>
      <c r="D2645" s="295" t="s">
        <v>2</v>
      </c>
      <c r="E2645" s="296">
        <v>1.2369195754892017</v>
      </c>
    </row>
    <row r="2646" spans="1:5" x14ac:dyDescent="0.3">
      <c r="A2646" s="295">
        <v>2023</v>
      </c>
      <c r="B2646" s="295">
        <v>3</v>
      </c>
      <c r="C2646" s="295" t="s">
        <v>259</v>
      </c>
      <c r="D2646" s="295" t="s">
        <v>85</v>
      </c>
      <c r="E2646" s="296">
        <v>6.2736599999999996</v>
      </c>
    </row>
    <row r="2647" spans="1:5" x14ac:dyDescent="0.3">
      <c r="A2647" s="295">
        <v>2023</v>
      </c>
      <c r="B2647" s="295">
        <v>3</v>
      </c>
      <c r="C2647" s="295" t="s">
        <v>259</v>
      </c>
      <c r="D2647" s="295" t="s">
        <v>101</v>
      </c>
      <c r="E2647" s="296">
        <v>22.337579999999999</v>
      </c>
    </row>
    <row r="2648" spans="1:5" x14ac:dyDescent="0.3">
      <c r="A2648" s="295">
        <v>2023</v>
      </c>
      <c r="B2648" s="295">
        <v>3</v>
      </c>
      <c r="C2648" s="295" t="s">
        <v>259</v>
      </c>
      <c r="D2648" s="295" t="s">
        <v>179</v>
      </c>
      <c r="E2648" s="296">
        <v>982.65923999999995</v>
      </c>
    </row>
    <row r="2649" spans="1:5" x14ac:dyDescent="0.3">
      <c r="A2649" s="295">
        <v>2023</v>
      </c>
      <c r="B2649" s="295">
        <v>3</v>
      </c>
      <c r="C2649" s="295" t="s">
        <v>259</v>
      </c>
      <c r="D2649" s="295" t="s">
        <v>352</v>
      </c>
      <c r="E2649" s="296">
        <v>8.5035299999999996</v>
      </c>
    </row>
    <row r="2650" spans="1:5" x14ac:dyDescent="0.3">
      <c r="A2650" s="295">
        <v>2023</v>
      </c>
      <c r="B2650" s="295">
        <v>3</v>
      </c>
      <c r="C2650" s="295" t="s">
        <v>259</v>
      </c>
      <c r="D2650" s="295" t="s">
        <v>426</v>
      </c>
      <c r="E2650" s="296">
        <v>1.1337600000000001</v>
      </c>
    </row>
    <row r="2651" spans="1:5" x14ac:dyDescent="0.3">
      <c r="A2651" s="295">
        <v>2023</v>
      </c>
      <c r="B2651" s="295">
        <v>3</v>
      </c>
      <c r="C2651" s="295" t="s">
        <v>85</v>
      </c>
      <c r="D2651" s="295" t="s">
        <v>1</v>
      </c>
      <c r="E2651" s="296">
        <v>0.18129736393632839</v>
      </c>
    </row>
    <row r="2652" spans="1:5" x14ac:dyDescent="0.3">
      <c r="A2652" s="295">
        <v>2023</v>
      </c>
      <c r="B2652" s="295">
        <v>3</v>
      </c>
      <c r="C2652" s="295" t="s">
        <v>85</v>
      </c>
      <c r="D2652" s="295" t="s">
        <v>2</v>
      </c>
      <c r="E2652" s="296">
        <v>0.19716088328075709</v>
      </c>
    </row>
    <row r="2653" spans="1:5" x14ac:dyDescent="0.3">
      <c r="A2653" s="295">
        <v>2023</v>
      </c>
      <c r="B2653" s="295">
        <v>3</v>
      </c>
      <c r="C2653" s="295" t="s">
        <v>85</v>
      </c>
      <c r="D2653" s="295" t="s">
        <v>259</v>
      </c>
      <c r="E2653" s="296">
        <v>0.15939658827542455</v>
      </c>
    </row>
    <row r="2654" spans="1:5" x14ac:dyDescent="0.3">
      <c r="A2654" s="295">
        <v>2023</v>
      </c>
      <c r="B2654" s="295">
        <v>3</v>
      </c>
      <c r="C2654" s="295" t="s">
        <v>85</v>
      </c>
      <c r="D2654" s="295" t="s">
        <v>101</v>
      </c>
      <c r="E2654" s="296">
        <v>3.56054</v>
      </c>
    </row>
    <row r="2655" spans="1:5" x14ac:dyDescent="0.3">
      <c r="A2655" s="295">
        <v>2023</v>
      </c>
      <c r="B2655" s="295">
        <v>3</v>
      </c>
      <c r="C2655" s="295" t="s">
        <v>85</v>
      </c>
      <c r="D2655" s="295" t="s">
        <v>179</v>
      </c>
      <c r="E2655" s="296">
        <v>156.63257999999999</v>
      </c>
    </row>
    <row r="2656" spans="1:5" x14ac:dyDescent="0.3">
      <c r="A2656" s="295">
        <v>2023</v>
      </c>
      <c r="B2656" s="295">
        <v>3</v>
      </c>
      <c r="C2656" s="295" t="s">
        <v>85</v>
      </c>
      <c r="D2656" s="295" t="s">
        <v>352</v>
      </c>
      <c r="E2656" s="296">
        <v>1.3554299999999999</v>
      </c>
    </row>
    <row r="2657" spans="1:5" x14ac:dyDescent="0.3">
      <c r="A2657" s="295">
        <v>2023</v>
      </c>
      <c r="B2657" s="295">
        <v>3</v>
      </c>
      <c r="C2657" s="295" t="s">
        <v>85</v>
      </c>
      <c r="D2657" s="295" t="s">
        <v>426</v>
      </c>
      <c r="E2657" s="296">
        <v>0.18071999999999999</v>
      </c>
    </row>
    <row r="2658" spans="1:5" x14ac:dyDescent="0.3">
      <c r="A2658" s="295">
        <v>2023</v>
      </c>
      <c r="B2658" s="295">
        <v>3</v>
      </c>
      <c r="C2658" s="295" t="s">
        <v>101</v>
      </c>
      <c r="D2658" s="295" t="s">
        <v>1</v>
      </c>
      <c r="E2658" s="296">
        <v>5.0918571021222866E-2</v>
      </c>
    </row>
    <row r="2659" spans="1:5" x14ac:dyDescent="0.3">
      <c r="A2659" s="295">
        <v>2023</v>
      </c>
      <c r="B2659" s="295">
        <v>3</v>
      </c>
      <c r="C2659" s="295" t="s">
        <v>101</v>
      </c>
      <c r="D2659" s="295" t="s">
        <v>2</v>
      </c>
      <c r="E2659" s="296">
        <v>5.5373959730949003E-2</v>
      </c>
    </row>
    <row r="2660" spans="1:5" x14ac:dyDescent="0.3">
      <c r="A2660" s="295">
        <v>2023</v>
      </c>
      <c r="B2660" s="295">
        <v>3</v>
      </c>
      <c r="C2660" s="295" t="s">
        <v>101</v>
      </c>
      <c r="D2660" s="295" t="s">
        <v>259</v>
      </c>
      <c r="E2660" s="296">
        <v>4.4767606875946275E-2</v>
      </c>
    </row>
    <row r="2661" spans="1:5" x14ac:dyDescent="0.3">
      <c r="A2661" s="295">
        <v>2023</v>
      </c>
      <c r="B2661" s="295">
        <v>3</v>
      </c>
      <c r="C2661" s="295" t="s">
        <v>101</v>
      </c>
      <c r="D2661" s="295" t="s">
        <v>85</v>
      </c>
      <c r="E2661" s="296">
        <v>0.28085627461003104</v>
      </c>
    </row>
    <row r="2662" spans="1:5" x14ac:dyDescent="0.3">
      <c r="A2662" s="295">
        <v>2023</v>
      </c>
      <c r="B2662" s="295">
        <v>3</v>
      </c>
      <c r="C2662" s="295" t="s">
        <v>101</v>
      </c>
      <c r="D2662" s="295" t="s">
        <v>179</v>
      </c>
      <c r="E2662" s="296">
        <v>43.991300000000003</v>
      </c>
    </row>
    <row r="2663" spans="1:5" x14ac:dyDescent="0.3">
      <c r="A2663" s="295">
        <v>2023</v>
      </c>
      <c r="B2663" s="295">
        <v>3</v>
      </c>
      <c r="C2663" s="295" t="s">
        <v>101</v>
      </c>
      <c r="D2663" s="295" t="s">
        <v>352</v>
      </c>
      <c r="E2663" s="296">
        <v>0.38068000000000002</v>
      </c>
    </row>
    <row r="2664" spans="1:5" x14ac:dyDescent="0.3">
      <c r="A2664" s="295">
        <v>2023</v>
      </c>
      <c r="B2664" s="295">
        <v>3</v>
      </c>
      <c r="C2664" s="295" t="s">
        <v>101</v>
      </c>
      <c r="D2664" s="295" t="s">
        <v>426</v>
      </c>
      <c r="E2664" s="296">
        <v>5.076E-2</v>
      </c>
    </row>
    <row r="2665" spans="1:5" x14ac:dyDescent="0.3">
      <c r="A2665" s="295">
        <v>2023</v>
      </c>
      <c r="B2665" s="295">
        <v>3</v>
      </c>
      <c r="C2665" s="295" t="s">
        <v>179</v>
      </c>
      <c r="D2665" s="295" t="s">
        <v>1</v>
      </c>
      <c r="E2665" s="296">
        <v>1.1574690319160511E-3</v>
      </c>
    </row>
    <row r="2666" spans="1:5" x14ac:dyDescent="0.3">
      <c r="A2666" s="295">
        <v>2023</v>
      </c>
      <c r="B2666" s="295">
        <v>3</v>
      </c>
      <c r="C2666" s="295" t="s">
        <v>179</v>
      </c>
      <c r="D2666" s="295" t="s">
        <v>2</v>
      </c>
      <c r="E2666" s="296">
        <v>1.2587475718444652E-3</v>
      </c>
    </row>
    <row r="2667" spans="1:5" x14ac:dyDescent="0.3">
      <c r="A2667" s="295">
        <v>2023</v>
      </c>
      <c r="B2667" s="295">
        <v>3</v>
      </c>
      <c r="C2667" s="295" t="s">
        <v>179</v>
      </c>
      <c r="D2667" s="295" t="s">
        <v>259</v>
      </c>
      <c r="E2667" s="296">
        <v>1.0176467683751694E-3</v>
      </c>
    </row>
    <row r="2668" spans="1:5" x14ac:dyDescent="0.3">
      <c r="A2668" s="295">
        <v>2023</v>
      </c>
      <c r="B2668" s="295">
        <v>3</v>
      </c>
      <c r="C2668" s="295" t="s">
        <v>179</v>
      </c>
      <c r="D2668" s="295" t="s">
        <v>85</v>
      </c>
      <c r="E2668" s="296">
        <v>6.3843677988321464E-3</v>
      </c>
    </row>
    <row r="2669" spans="1:5" x14ac:dyDescent="0.3">
      <c r="A2669" s="295">
        <v>2023</v>
      </c>
      <c r="B2669" s="295">
        <v>3</v>
      </c>
      <c r="C2669" s="295" t="s">
        <v>179</v>
      </c>
      <c r="D2669" s="295" t="s">
        <v>101</v>
      </c>
      <c r="E2669" s="296">
        <v>2.2731767417648489E-2</v>
      </c>
    </row>
    <row r="2670" spans="1:5" x14ac:dyDescent="0.3">
      <c r="A2670" s="295">
        <v>2023</v>
      </c>
      <c r="B2670" s="295">
        <v>3</v>
      </c>
      <c r="C2670" s="295" t="s">
        <v>179</v>
      </c>
      <c r="D2670" s="295" t="s">
        <v>352</v>
      </c>
      <c r="E2670" s="296">
        <v>8.6499999999999997E-3</v>
      </c>
    </row>
    <row r="2671" spans="1:5" x14ac:dyDescent="0.3">
      <c r="A2671" s="295">
        <v>2023</v>
      </c>
      <c r="B2671" s="295">
        <v>3</v>
      </c>
      <c r="C2671" s="295" t="s">
        <v>179</v>
      </c>
      <c r="D2671" s="295" t="s">
        <v>426</v>
      </c>
      <c r="E2671" s="296">
        <v>5.076E-2</v>
      </c>
    </row>
    <row r="2672" spans="1:5" x14ac:dyDescent="0.3">
      <c r="A2672" s="295">
        <v>2023</v>
      </c>
      <c r="B2672" s="295">
        <v>3</v>
      </c>
      <c r="C2672" s="295" t="s">
        <v>352</v>
      </c>
      <c r="D2672" s="295" t="s">
        <v>1</v>
      </c>
      <c r="E2672" s="296">
        <v>0.13375600230060325</v>
      </c>
    </row>
    <row r="2673" spans="1:5" x14ac:dyDescent="0.3">
      <c r="A2673" s="295">
        <v>2023</v>
      </c>
      <c r="B2673" s="295">
        <v>3</v>
      </c>
      <c r="C2673" s="295" t="s">
        <v>352</v>
      </c>
      <c r="D2673" s="295" t="s">
        <v>2</v>
      </c>
      <c r="E2673" s="296">
        <v>0.14545962331775944</v>
      </c>
    </row>
    <row r="2674" spans="1:5" x14ac:dyDescent="0.3">
      <c r="A2674" s="295">
        <v>2023</v>
      </c>
      <c r="B2674" s="295">
        <v>3</v>
      </c>
      <c r="C2674" s="295" t="s">
        <v>352</v>
      </c>
      <c r="D2674" s="295" t="s">
        <v>259</v>
      </c>
      <c r="E2674" s="296">
        <v>0.11759822097411311</v>
      </c>
    </row>
    <row r="2675" spans="1:5" x14ac:dyDescent="0.3">
      <c r="A2675" s="295">
        <v>2023</v>
      </c>
      <c r="B2675" s="295">
        <v>3</v>
      </c>
      <c r="C2675" s="295" t="s">
        <v>352</v>
      </c>
      <c r="D2675" s="295" t="s">
        <v>85</v>
      </c>
      <c r="E2675" s="296">
        <v>0.73777325276849415</v>
      </c>
    </row>
    <row r="2676" spans="1:5" x14ac:dyDescent="0.3">
      <c r="A2676" s="295">
        <v>2023</v>
      </c>
      <c r="B2676" s="295">
        <v>3</v>
      </c>
      <c r="C2676" s="295" t="s">
        <v>352</v>
      </c>
      <c r="D2676" s="295" t="s">
        <v>101</v>
      </c>
      <c r="E2676" s="296">
        <v>2.626878217925817</v>
      </c>
    </row>
    <row r="2677" spans="1:5" x14ac:dyDescent="0.3">
      <c r="A2677" s="295">
        <v>2023</v>
      </c>
      <c r="B2677" s="295">
        <v>3</v>
      </c>
      <c r="C2677" s="295" t="s">
        <v>352</v>
      </c>
      <c r="D2677" s="295" t="s">
        <v>179</v>
      </c>
      <c r="E2677" s="296">
        <v>115.60693641618498</v>
      </c>
    </row>
    <row r="2678" spans="1:5" x14ac:dyDescent="0.3">
      <c r="A2678" s="295">
        <v>2023</v>
      </c>
      <c r="B2678" s="295">
        <v>3</v>
      </c>
      <c r="C2678" s="295" t="s">
        <v>352</v>
      </c>
      <c r="D2678" s="295" t="s">
        <v>426</v>
      </c>
      <c r="E2678" s="296">
        <v>0.13333</v>
      </c>
    </row>
    <row r="2679" spans="1:5" x14ac:dyDescent="0.3">
      <c r="A2679" s="295">
        <v>2023</v>
      </c>
      <c r="B2679" s="295">
        <v>3</v>
      </c>
      <c r="C2679" s="295" t="s">
        <v>426</v>
      </c>
      <c r="D2679" s="295" t="s">
        <v>1</v>
      </c>
      <c r="E2679" s="296">
        <v>1.0032102728731942</v>
      </c>
    </row>
    <row r="2680" spans="1:5" x14ac:dyDescent="0.3">
      <c r="A2680" s="295">
        <v>2023</v>
      </c>
      <c r="B2680" s="295">
        <v>3</v>
      </c>
      <c r="C2680" s="295" t="s">
        <v>426</v>
      </c>
      <c r="D2680" s="295" t="s">
        <v>2</v>
      </c>
      <c r="E2680" s="296">
        <v>1.0909884355225834</v>
      </c>
    </row>
    <row r="2681" spans="1:5" x14ac:dyDescent="0.3">
      <c r="A2681" s="295">
        <v>2023</v>
      </c>
      <c r="B2681" s="295">
        <v>3</v>
      </c>
      <c r="C2681" s="295" t="s">
        <v>426</v>
      </c>
      <c r="D2681" s="295" t="s">
        <v>259</v>
      </c>
      <c r="E2681" s="296">
        <v>0.88202088625458641</v>
      </c>
    </row>
    <row r="2682" spans="1:5" x14ac:dyDescent="0.3">
      <c r="A2682" s="295">
        <v>2023</v>
      </c>
      <c r="B2682" s="295">
        <v>3</v>
      </c>
      <c r="C2682" s="295" t="s">
        <v>426</v>
      </c>
      <c r="D2682" s="295" t="s">
        <v>85</v>
      </c>
      <c r="E2682" s="296">
        <v>5.5334218680832228</v>
      </c>
    </row>
    <row r="2683" spans="1:5" x14ac:dyDescent="0.3">
      <c r="A2683" s="295">
        <v>2023</v>
      </c>
      <c r="B2683" s="295">
        <v>3</v>
      </c>
      <c r="C2683" s="295" t="s">
        <v>426</v>
      </c>
      <c r="D2683" s="295" t="s">
        <v>101</v>
      </c>
      <c r="E2683" s="296">
        <v>19.700551615445232</v>
      </c>
    </row>
    <row r="2684" spans="1:5" x14ac:dyDescent="0.3">
      <c r="A2684" s="295">
        <v>2023</v>
      </c>
      <c r="B2684" s="295">
        <v>3</v>
      </c>
      <c r="C2684" s="295" t="s">
        <v>426</v>
      </c>
      <c r="D2684" s="295" t="s">
        <v>179</v>
      </c>
      <c r="E2684" s="296">
        <v>19.700551615445232</v>
      </c>
    </row>
    <row r="2685" spans="1:5" x14ac:dyDescent="0.3">
      <c r="A2685" s="295">
        <v>2023</v>
      </c>
      <c r="B2685" s="295">
        <v>3</v>
      </c>
      <c r="C2685" s="295" t="s">
        <v>426</v>
      </c>
      <c r="D2685" s="295" t="s">
        <v>352</v>
      </c>
      <c r="E2685" s="296">
        <v>7.5001875046876165</v>
      </c>
    </row>
    <row r="2686" spans="1:5" x14ac:dyDescent="0.3">
      <c r="A2686" s="295">
        <v>2023</v>
      </c>
      <c r="B2686" s="295">
        <v>3</v>
      </c>
      <c r="C2686" s="295" t="s">
        <v>1</v>
      </c>
      <c r="D2686" s="295" t="s">
        <v>1</v>
      </c>
      <c r="E2686" s="296">
        <v>1</v>
      </c>
    </row>
    <row r="2687" spans="1:5" x14ac:dyDescent="0.3">
      <c r="A2687" s="295">
        <v>2023</v>
      </c>
      <c r="B2687" s="295">
        <v>3</v>
      </c>
      <c r="C2687" s="295" t="s">
        <v>2</v>
      </c>
      <c r="D2687" s="295" t="s">
        <v>2</v>
      </c>
      <c r="E2687" s="296">
        <v>1</v>
      </c>
    </row>
    <row r="2688" spans="1:5" x14ac:dyDescent="0.3">
      <c r="A2688" s="295">
        <v>2023</v>
      </c>
      <c r="B2688" s="295">
        <v>3</v>
      </c>
      <c r="C2688" s="295" t="s">
        <v>259</v>
      </c>
      <c r="D2688" s="295" t="s">
        <v>259</v>
      </c>
      <c r="E2688" s="296">
        <v>1</v>
      </c>
    </row>
    <row r="2689" spans="1:5" x14ac:dyDescent="0.3">
      <c r="A2689" s="295">
        <v>2023</v>
      </c>
      <c r="B2689" s="295">
        <v>3</v>
      </c>
      <c r="C2689" s="295" t="s">
        <v>85</v>
      </c>
      <c r="D2689" s="295" t="s">
        <v>85</v>
      </c>
      <c r="E2689" s="296">
        <v>1</v>
      </c>
    </row>
    <row r="2690" spans="1:5" x14ac:dyDescent="0.3">
      <c r="A2690" s="295">
        <v>2023</v>
      </c>
      <c r="B2690" s="295">
        <v>3</v>
      </c>
      <c r="C2690" s="295" t="s">
        <v>101</v>
      </c>
      <c r="D2690" s="295" t="s">
        <v>101</v>
      </c>
      <c r="E2690" s="296">
        <v>1</v>
      </c>
    </row>
    <row r="2691" spans="1:5" x14ac:dyDescent="0.3">
      <c r="A2691" s="295">
        <v>2023</v>
      </c>
      <c r="B2691" s="295">
        <v>3</v>
      </c>
      <c r="C2691" s="295" t="s">
        <v>179</v>
      </c>
      <c r="D2691" s="295" t="s">
        <v>179</v>
      </c>
      <c r="E2691" s="296">
        <v>1</v>
      </c>
    </row>
    <row r="2692" spans="1:5" x14ac:dyDescent="0.3">
      <c r="A2692" s="295">
        <v>2023</v>
      </c>
      <c r="B2692" s="295">
        <v>3</v>
      </c>
      <c r="C2692" s="295" t="s">
        <v>352</v>
      </c>
      <c r="D2692" s="295" t="s">
        <v>352</v>
      </c>
      <c r="E2692" s="296">
        <v>1</v>
      </c>
    </row>
    <row r="2693" spans="1:5" x14ac:dyDescent="0.3">
      <c r="A2693" s="295">
        <v>2023</v>
      </c>
      <c r="B2693" s="295">
        <v>3</v>
      </c>
      <c r="C2693" s="295" t="s">
        <v>426</v>
      </c>
      <c r="D2693" s="295" t="s">
        <v>426</v>
      </c>
      <c r="E2693" s="296">
        <v>1</v>
      </c>
    </row>
    <row r="2694" spans="1:5" x14ac:dyDescent="0.3">
      <c r="A2694" s="295">
        <v>2023</v>
      </c>
      <c r="B2694" s="295">
        <v>4</v>
      </c>
      <c r="C2694" s="295" t="s">
        <v>1</v>
      </c>
      <c r="D2694" s="295" t="s">
        <v>2</v>
      </c>
      <c r="E2694" s="296">
        <v>1.0981000000000001</v>
      </c>
    </row>
    <row r="2695" spans="1:5" x14ac:dyDescent="0.3">
      <c r="A2695" s="295">
        <v>2023</v>
      </c>
      <c r="B2695" s="295">
        <v>4</v>
      </c>
      <c r="C2695" s="295" t="s">
        <v>1</v>
      </c>
      <c r="D2695" s="295" t="s">
        <v>259</v>
      </c>
      <c r="E2695" s="296">
        <v>0.88049999999999995</v>
      </c>
    </row>
    <row r="2696" spans="1:5" x14ac:dyDescent="0.3">
      <c r="A2696" s="295">
        <v>2023</v>
      </c>
      <c r="B2696" s="295">
        <v>4</v>
      </c>
      <c r="C2696" s="295" t="s">
        <v>1</v>
      </c>
      <c r="D2696" s="295" t="s">
        <v>85</v>
      </c>
      <c r="E2696" s="296">
        <v>5.4871999999999996</v>
      </c>
    </row>
    <row r="2697" spans="1:5" x14ac:dyDescent="0.3">
      <c r="A2697" s="295">
        <v>2023</v>
      </c>
      <c r="B2697" s="295">
        <v>4</v>
      </c>
      <c r="C2697" s="295" t="s">
        <v>1</v>
      </c>
      <c r="D2697" s="295" t="s">
        <v>101</v>
      </c>
      <c r="E2697" s="296">
        <v>19.818200000000001</v>
      </c>
    </row>
    <row r="2698" spans="1:5" x14ac:dyDescent="0.3">
      <c r="A2698" s="295">
        <v>2023</v>
      </c>
      <c r="B2698" s="295">
        <v>4</v>
      </c>
      <c r="C2698" s="295" t="s">
        <v>1</v>
      </c>
      <c r="D2698" s="295" t="s">
        <v>179</v>
      </c>
      <c r="E2698" s="296">
        <v>885.46400000000006</v>
      </c>
    </row>
    <row r="2699" spans="1:5" x14ac:dyDescent="0.3">
      <c r="A2699" s="295">
        <v>2023</v>
      </c>
      <c r="B2699" s="295">
        <v>4</v>
      </c>
      <c r="C2699" s="295" t="s">
        <v>1</v>
      </c>
      <c r="D2699" s="295" t="s">
        <v>352</v>
      </c>
      <c r="E2699" s="296">
        <v>7.5979000000000001</v>
      </c>
    </row>
    <row r="2700" spans="1:5" x14ac:dyDescent="0.3">
      <c r="A2700" s="295">
        <v>2023</v>
      </c>
      <c r="B2700" s="295">
        <v>4</v>
      </c>
      <c r="C2700" s="295" t="s">
        <v>1</v>
      </c>
      <c r="D2700" s="295" t="s">
        <v>426</v>
      </c>
      <c r="E2700" s="296">
        <v>0.9839</v>
      </c>
    </row>
    <row r="2701" spans="1:5" x14ac:dyDescent="0.3">
      <c r="A2701" s="295">
        <v>2023</v>
      </c>
      <c r="B2701" s="295">
        <v>4</v>
      </c>
      <c r="C2701" s="295" t="s">
        <v>2</v>
      </c>
      <c r="D2701" s="295" t="s">
        <v>1</v>
      </c>
      <c r="E2701" s="296">
        <v>0.91066387396411974</v>
      </c>
    </row>
    <row r="2702" spans="1:5" x14ac:dyDescent="0.3">
      <c r="A2702" s="295">
        <v>2023</v>
      </c>
      <c r="B2702" s="295">
        <v>4</v>
      </c>
      <c r="C2702" s="295" t="s">
        <v>2</v>
      </c>
      <c r="D2702" s="295" t="s">
        <v>259</v>
      </c>
      <c r="E2702" s="296">
        <v>0.80184</v>
      </c>
    </row>
    <row r="2703" spans="1:5" x14ac:dyDescent="0.3">
      <c r="A2703" s="295">
        <v>2023</v>
      </c>
      <c r="B2703" s="295">
        <v>4</v>
      </c>
      <c r="C2703" s="295" t="s">
        <v>2</v>
      </c>
      <c r="D2703" s="295" t="s">
        <v>85</v>
      </c>
      <c r="E2703" s="296">
        <v>4.9969900000000003</v>
      </c>
    </row>
    <row r="2704" spans="1:5" x14ac:dyDescent="0.3">
      <c r="A2704" s="295">
        <v>2023</v>
      </c>
      <c r="B2704" s="295">
        <v>4</v>
      </c>
      <c r="C2704" s="295" t="s">
        <v>2</v>
      </c>
      <c r="D2704" s="295" t="s">
        <v>101</v>
      </c>
      <c r="E2704" s="296">
        <v>18.047720000000002</v>
      </c>
    </row>
    <row r="2705" spans="1:5" x14ac:dyDescent="0.3">
      <c r="A2705" s="295">
        <v>2023</v>
      </c>
      <c r="B2705" s="295">
        <v>4</v>
      </c>
      <c r="C2705" s="295" t="s">
        <v>2</v>
      </c>
      <c r="D2705" s="295" t="s">
        <v>179</v>
      </c>
      <c r="E2705" s="296">
        <v>806.36008000000004</v>
      </c>
    </row>
    <row r="2706" spans="1:5" x14ac:dyDescent="0.3">
      <c r="A2706" s="295">
        <v>2023</v>
      </c>
      <c r="B2706" s="295">
        <v>4</v>
      </c>
      <c r="C2706" s="295" t="s">
        <v>2</v>
      </c>
      <c r="D2706" s="295" t="s">
        <v>352</v>
      </c>
      <c r="E2706" s="296">
        <v>6.91913</v>
      </c>
    </row>
    <row r="2707" spans="1:5" x14ac:dyDescent="0.3">
      <c r="A2707" s="295">
        <v>2023</v>
      </c>
      <c r="B2707" s="295">
        <v>4</v>
      </c>
      <c r="C2707" s="295" t="s">
        <v>2</v>
      </c>
      <c r="D2707" s="295" t="s">
        <v>426</v>
      </c>
      <c r="E2707" s="296">
        <v>0.89600000000000002</v>
      </c>
    </row>
    <row r="2708" spans="1:5" x14ac:dyDescent="0.3">
      <c r="A2708" s="295">
        <v>2023</v>
      </c>
      <c r="B2708" s="295">
        <v>4</v>
      </c>
      <c r="C2708" s="295" t="s">
        <v>259</v>
      </c>
      <c r="D2708" s="295" t="s">
        <v>1</v>
      </c>
      <c r="E2708" s="296">
        <v>1.1357183418512209</v>
      </c>
    </row>
    <row r="2709" spans="1:5" x14ac:dyDescent="0.3">
      <c r="A2709" s="295">
        <v>2023</v>
      </c>
      <c r="B2709" s="295">
        <v>4</v>
      </c>
      <c r="C2709" s="295" t="s">
        <v>259</v>
      </c>
      <c r="D2709" s="295" t="s">
        <v>2</v>
      </c>
      <c r="E2709" s="296">
        <v>1.2471315973261499</v>
      </c>
    </row>
    <row r="2710" spans="1:5" x14ac:dyDescent="0.3">
      <c r="A2710" s="295">
        <v>2023</v>
      </c>
      <c r="B2710" s="295">
        <v>4</v>
      </c>
      <c r="C2710" s="295" t="s">
        <v>259</v>
      </c>
      <c r="D2710" s="295" t="s">
        <v>85</v>
      </c>
      <c r="E2710" s="296">
        <v>6.2319100000000001</v>
      </c>
    </row>
    <row r="2711" spans="1:5" x14ac:dyDescent="0.3">
      <c r="A2711" s="295">
        <v>2023</v>
      </c>
      <c r="B2711" s="295">
        <v>4</v>
      </c>
      <c r="C2711" s="295" t="s">
        <v>259</v>
      </c>
      <c r="D2711" s="295" t="s">
        <v>101</v>
      </c>
      <c r="E2711" s="296">
        <v>22.50789</v>
      </c>
    </row>
    <row r="2712" spans="1:5" x14ac:dyDescent="0.3">
      <c r="A2712" s="295">
        <v>2023</v>
      </c>
      <c r="B2712" s="295">
        <v>4</v>
      </c>
      <c r="C2712" s="295" t="s">
        <v>259</v>
      </c>
      <c r="D2712" s="295" t="s">
        <v>179</v>
      </c>
      <c r="E2712" s="296">
        <v>1005.63771</v>
      </c>
    </row>
    <row r="2713" spans="1:5" x14ac:dyDescent="0.3">
      <c r="A2713" s="295">
        <v>2023</v>
      </c>
      <c r="B2713" s="295">
        <v>4</v>
      </c>
      <c r="C2713" s="295" t="s">
        <v>259</v>
      </c>
      <c r="D2713" s="295" t="s">
        <v>352</v>
      </c>
      <c r="E2713" s="296">
        <v>8.6290700000000005</v>
      </c>
    </row>
    <row r="2714" spans="1:5" x14ac:dyDescent="0.3">
      <c r="A2714" s="295">
        <v>2023</v>
      </c>
      <c r="B2714" s="295">
        <v>4</v>
      </c>
      <c r="C2714" s="295" t="s">
        <v>259</v>
      </c>
      <c r="D2714" s="295" t="s">
        <v>426</v>
      </c>
      <c r="E2714" s="296">
        <v>1.1174299999999999</v>
      </c>
    </row>
    <row r="2715" spans="1:5" x14ac:dyDescent="0.3">
      <c r="A2715" s="295">
        <v>2023</v>
      </c>
      <c r="B2715" s="295">
        <v>4</v>
      </c>
      <c r="C2715" s="295" t="s">
        <v>85</v>
      </c>
      <c r="D2715" s="295" t="s">
        <v>1</v>
      </c>
      <c r="E2715" s="296">
        <v>0.18224230937454441</v>
      </c>
    </row>
    <row r="2716" spans="1:5" x14ac:dyDescent="0.3">
      <c r="A2716" s="295">
        <v>2023</v>
      </c>
      <c r="B2716" s="295">
        <v>4</v>
      </c>
      <c r="C2716" s="295" t="s">
        <v>85</v>
      </c>
      <c r="D2716" s="295" t="s">
        <v>2</v>
      </c>
      <c r="E2716" s="296">
        <v>0.20012047252445972</v>
      </c>
    </row>
    <row r="2717" spans="1:5" x14ac:dyDescent="0.3">
      <c r="A2717" s="295">
        <v>2023</v>
      </c>
      <c r="B2717" s="295">
        <v>4</v>
      </c>
      <c r="C2717" s="295" t="s">
        <v>85</v>
      </c>
      <c r="D2717" s="295" t="s">
        <v>259</v>
      </c>
      <c r="E2717" s="296">
        <v>0.16046444829915707</v>
      </c>
    </row>
    <row r="2718" spans="1:5" x14ac:dyDescent="0.3">
      <c r="A2718" s="295">
        <v>2023</v>
      </c>
      <c r="B2718" s="295">
        <v>4</v>
      </c>
      <c r="C2718" s="295" t="s">
        <v>85</v>
      </c>
      <c r="D2718" s="295" t="s">
        <v>101</v>
      </c>
      <c r="E2718" s="296">
        <v>3.61171</v>
      </c>
    </row>
    <row r="2719" spans="1:5" x14ac:dyDescent="0.3">
      <c r="A2719" s="295">
        <v>2023</v>
      </c>
      <c r="B2719" s="295">
        <v>4</v>
      </c>
      <c r="C2719" s="295" t="s">
        <v>85</v>
      </c>
      <c r="D2719" s="295" t="s">
        <v>179</v>
      </c>
      <c r="E2719" s="296">
        <v>161.369</v>
      </c>
    </row>
    <row r="2720" spans="1:5" x14ac:dyDescent="0.3">
      <c r="A2720" s="295">
        <v>2023</v>
      </c>
      <c r="B2720" s="295">
        <v>4</v>
      </c>
      <c r="C2720" s="295" t="s">
        <v>85</v>
      </c>
      <c r="D2720" s="295" t="s">
        <v>352</v>
      </c>
      <c r="E2720" s="296">
        <v>1.38466</v>
      </c>
    </row>
    <row r="2721" spans="1:5" x14ac:dyDescent="0.3">
      <c r="A2721" s="295">
        <v>2023</v>
      </c>
      <c r="B2721" s="295">
        <v>4</v>
      </c>
      <c r="C2721" s="295" t="s">
        <v>85</v>
      </c>
      <c r="D2721" s="295" t="s">
        <v>426</v>
      </c>
      <c r="E2721" s="296">
        <v>1.1174299999999999</v>
      </c>
    </row>
    <row r="2722" spans="1:5" x14ac:dyDescent="0.3">
      <c r="A2722" s="295">
        <v>2023</v>
      </c>
      <c r="B2722" s="295">
        <v>4</v>
      </c>
      <c r="C2722" s="295" t="s">
        <v>101</v>
      </c>
      <c r="D2722" s="295" t="s">
        <v>1</v>
      </c>
      <c r="E2722" s="296">
        <v>5.0458669303973115E-2</v>
      </c>
    </row>
    <row r="2723" spans="1:5" x14ac:dyDescent="0.3">
      <c r="A2723" s="295">
        <v>2023</v>
      </c>
      <c r="B2723" s="295">
        <v>4</v>
      </c>
      <c r="C2723" s="295" t="s">
        <v>101</v>
      </c>
      <c r="D2723" s="295" t="s">
        <v>2</v>
      </c>
      <c r="E2723" s="296">
        <v>5.5408661038624261E-2</v>
      </c>
    </row>
    <row r="2724" spans="1:5" x14ac:dyDescent="0.3">
      <c r="A2724" s="295">
        <v>2023</v>
      </c>
      <c r="B2724" s="295">
        <v>4</v>
      </c>
      <c r="C2724" s="295" t="s">
        <v>101</v>
      </c>
      <c r="D2724" s="295" t="s">
        <v>259</v>
      </c>
      <c r="E2724" s="296">
        <v>4.4428864722548402E-2</v>
      </c>
    </row>
    <row r="2725" spans="1:5" x14ac:dyDescent="0.3">
      <c r="A2725" s="295">
        <v>2023</v>
      </c>
      <c r="B2725" s="295">
        <v>4</v>
      </c>
      <c r="C2725" s="295" t="s">
        <v>101</v>
      </c>
      <c r="D2725" s="295" t="s">
        <v>85</v>
      </c>
      <c r="E2725" s="296">
        <v>0.27687715791134948</v>
      </c>
    </row>
    <row r="2726" spans="1:5" x14ac:dyDescent="0.3">
      <c r="A2726" s="295">
        <v>2023</v>
      </c>
      <c r="B2726" s="295">
        <v>4</v>
      </c>
      <c r="C2726" s="295" t="s">
        <v>101</v>
      </c>
      <c r="D2726" s="295" t="s">
        <v>179</v>
      </c>
      <c r="E2726" s="296">
        <v>44.679340000000003</v>
      </c>
    </row>
    <row r="2727" spans="1:5" x14ac:dyDescent="0.3">
      <c r="A2727" s="295">
        <v>2023</v>
      </c>
      <c r="B2727" s="295">
        <v>4</v>
      </c>
      <c r="C2727" s="295" t="s">
        <v>101</v>
      </c>
      <c r="D2727" s="295" t="s">
        <v>352</v>
      </c>
      <c r="E2727" s="296">
        <v>0.38338</v>
      </c>
    </row>
    <row r="2728" spans="1:5" x14ac:dyDescent="0.3">
      <c r="A2728" s="295">
        <v>2023</v>
      </c>
      <c r="B2728" s="295">
        <v>4</v>
      </c>
      <c r="C2728" s="295" t="s">
        <v>101</v>
      </c>
      <c r="D2728" s="295" t="s">
        <v>426</v>
      </c>
      <c r="E2728" s="296">
        <v>4.965E-2</v>
      </c>
    </row>
    <row r="2729" spans="1:5" x14ac:dyDescent="0.3">
      <c r="A2729" s="295">
        <v>2023</v>
      </c>
      <c r="B2729" s="295">
        <v>4</v>
      </c>
      <c r="C2729" s="295" t="s">
        <v>179</v>
      </c>
      <c r="D2729" s="295" t="s">
        <v>1</v>
      </c>
      <c r="E2729" s="296">
        <v>1.1293513909091729E-3</v>
      </c>
    </row>
    <row r="2730" spans="1:5" x14ac:dyDescent="0.3">
      <c r="A2730" s="295">
        <v>2023</v>
      </c>
      <c r="B2730" s="295">
        <v>4</v>
      </c>
      <c r="C2730" s="295" t="s">
        <v>179</v>
      </c>
      <c r="D2730" s="295" t="s">
        <v>2</v>
      </c>
      <c r="E2730" s="296">
        <v>1.2401407569680284E-3</v>
      </c>
    </row>
    <row r="2731" spans="1:5" x14ac:dyDescent="0.3">
      <c r="A2731" s="295">
        <v>2023</v>
      </c>
      <c r="B2731" s="295">
        <v>4</v>
      </c>
      <c r="C2731" s="295" t="s">
        <v>179</v>
      </c>
      <c r="D2731" s="295" t="s">
        <v>259</v>
      </c>
      <c r="E2731" s="296">
        <v>9.9439389559088823E-4</v>
      </c>
    </row>
    <row r="2732" spans="1:5" x14ac:dyDescent="0.3">
      <c r="A2732" s="295">
        <v>2023</v>
      </c>
      <c r="B2732" s="295">
        <v>4</v>
      </c>
      <c r="C2732" s="295" t="s">
        <v>179</v>
      </c>
      <c r="D2732" s="295" t="s">
        <v>85</v>
      </c>
      <c r="E2732" s="296">
        <v>6.196977114563516E-3</v>
      </c>
    </row>
    <row r="2733" spans="1:5" x14ac:dyDescent="0.3">
      <c r="A2733" s="295">
        <v>2023</v>
      </c>
      <c r="B2733" s="295">
        <v>4</v>
      </c>
      <c r="C2733" s="295" t="s">
        <v>179</v>
      </c>
      <c r="D2733" s="295" t="s">
        <v>101</v>
      </c>
      <c r="E2733" s="296">
        <v>2.2381709309045296E-2</v>
      </c>
    </row>
    <row r="2734" spans="1:5" x14ac:dyDescent="0.3">
      <c r="A2734" s="295">
        <v>2023</v>
      </c>
      <c r="B2734" s="295">
        <v>4</v>
      </c>
      <c r="C2734" s="295" t="s">
        <v>179</v>
      </c>
      <c r="D2734" s="295" t="s">
        <v>352</v>
      </c>
      <c r="E2734" s="296">
        <v>8.5800000000000008E-3</v>
      </c>
    </row>
    <row r="2735" spans="1:5" x14ac:dyDescent="0.3">
      <c r="A2735" s="295">
        <v>2023</v>
      </c>
      <c r="B2735" s="295">
        <v>4</v>
      </c>
      <c r="C2735" s="295" t="s">
        <v>179</v>
      </c>
      <c r="D2735" s="295" t="s">
        <v>426</v>
      </c>
      <c r="E2735" s="296">
        <v>1.1100000000000001E-3</v>
      </c>
    </row>
    <row r="2736" spans="1:5" x14ac:dyDescent="0.3">
      <c r="A2736" s="295">
        <v>2023</v>
      </c>
      <c r="B2736" s="295">
        <v>4</v>
      </c>
      <c r="C2736" s="295" t="s">
        <v>352</v>
      </c>
      <c r="D2736" s="295" t="s">
        <v>1</v>
      </c>
      <c r="E2736" s="296">
        <v>0.13161531475802524</v>
      </c>
    </row>
    <row r="2737" spans="1:5" x14ac:dyDescent="0.3">
      <c r="A2737" s="295">
        <v>2023</v>
      </c>
      <c r="B2737" s="295">
        <v>4</v>
      </c>
      <c r="C2737" s="295" t="s">
        <v>352</v>
      </c>
      <c r="D2737" s="295" t="s">
        <v>2</v>
      </c>
      <c r="E2737" s="296">
        <v>0.1445268408022396</v>
      </c>
    </row>
    <row r="2738" spans="1:5" x14ac:dyDescent="0.3">
      <c r="A2738" s="295">
        <v>2023</v>
      </c>
      <c r="B2738" s="295">
        <v>4</v>
      </c>
      <c r="C2738" s="295" t="s">
        <v>352</v>
      </c>
      <c r="D2738" s="295" t="s">
        <v>259</v>
      </c>
      <c r="E2738" s="296">
        <v>0.1158873435955439</v>
      </c>
    </row>
    <row r="2739" spans="1:5" x14ac:dyDescent="0.3">
      <c r="A2739" s="295">
        <v>2023</v>
      </c>
      <c r="B2739" s="295">
        <v>4</v>
      </c>
      <c r="C2739" s="295" t="s">
        <v>352</v>
      </c>
      <c r="D2739" s="295" t="s">
        <v>85</v>
      </c>
      <c r="E2739" s="296">
        <v>0.72219895136712264</v>
      </c>
    </row>
    <row r="2740" spans="1:5" x14ac:dyDescent="0.3">
      <c r="A2740" s="295">
        <v>2023</v>
      </c>
      <c r="B2740" s="295">
        <v>4</v>
      </c>
      <c r="C2740" s="295" t="s">
        <v>352</v>
      </c>
      <c r="D2740" s="295" t="s">
        <v>101</v>
      </c>
      <c r="E2740" s="296">
        <v>2.608378110490897</v>
      </c>
    </row>
    <row r="2741" spans="1:5" x14ac:dyDescent="0.3">
      <c r="A2741" s="295">
        <v>2023</v>
      </c>
      <c r="B2741" s="295">
        <v>4</v>
      </c>
      <c r="C2741" s="295" t="s">
        <v>352</v>
      </c>
      <c r="D2741" s="295" t="s">
        <v>179</v>
      </c>
      <c r="E2741" s="296">
        <v>116.55011655011654</v>
      </c>
    </row>
    <row r="2742" spans="1:5" x14ac:dyDescent="0.3">
      <c r="A2742" s="295">
        <v>2023</v>
      </c>
      <c r="B2742" s="295">
        <v>4</v>
      </c>
      <c r="C2742" s="295" t="s">
        <v>352</v>
      </c>
      <c r="D2742" s="295" t="s">
        <v>426</v>
      </c>
      <c r="E2742" s="296">
        <v>0.1295</v>
      </c>
    </row>
    <row r="2743" spans="1:5" x14ac:dyDescent="0.3">
      <c r="A2743" s="295">
        <v>2023</v>
      </c>
      <c r="B2743" s="295">
        <v>4</v>
      </c>
      <c r="C2743" s="295" t="s">
        <v>426</v>
      </c>
      <c r="D2743" s="295" t="s">
        <v>1</v>
      </c>
      <c r="E2743" s="296">
        <v>1.0163634515702815</v>
      </c>
    </row>
    <row r="2744" spans="1:5" x14ac:dyDescent="0.3">
      <c r="A2744" s="295">
        <v>2023</v>
      </c>
      <c r="B2744" s="295">
        <v>4</v>
      </c>
      <c r="C2744" s="295" t="s">
        <v>426</v>
      </c>
      <c r="D2744" s="295" t="s">
        <v>2</v>
      </c>
      <c r="E2744" s="296">
        <v>1.1160714285714286</v>
      </c>
    </row>
    <row r="2745" spans="1:5" x14ac:dyDescent="0.3">
      <c r="A2745" s="295">
        <v>2023</v>
      </c>
      <c r="B2745" s="295">
        <v>4</v>
      </c>
      <c r="C2745" s="295" t="s">
        <v>426</v>
      </c>
      <c r="D2745" s="295" t="s">
        <v>259</v>
      </c>
      <c r="E2745" s="296">
        <v>0.89491064317227931</v>
      </c>
    </row>
    <row r="2746" spans="1:5" x14ac:dyDescent="0.3">
      <c r="A2746" s="295">
        <v>2023</v>
      </c>
      <c r="B2746" s="295">
        <v>4</v>
      </c>
      <c r="C2746" s="295" t="s">
        <v>426</v>
      </c>
      <c r="D2746" s="295" t="s">
        <v>85</v>
      </c>
      <c r="E2746" s="296">
        <v>0.89491064317227931</v>
      </c>
    </row>
    <row r="2747" spans="1:5" x14ac:dyDescent="0.3">
      <c r="A2747" s="295">
        <v>2023</v>
      </c>
      <c r="B2747" s="295">
        <v>4</v>
      </c>
      <c r="C2747" s="295" t="s">
        <v>426</v>
      </c>
      <c r="D2747" s="295" t="s">
        <v>101</v>
      </c>
      <c r="E2747" s="296">
        <v>20.14098690835851</v>
      </c>
    </row>
    <row r="2748" spans="1:5" x14ac:dyDescent="0.3">
      <c r="A2748" s="295">
        <v>2023</v>
      </c>
      <c r="B2748" s="295">
        <v>4</v>
      </c>
      <c r="C2748" s="295" t="s">
        <v>426</v>
      </c>
      <c r="D2748" s="295" t="s">
        <v>179</v>
      </c>
      <c r="E2748" s="296">
        <v>900.90090090090087</v>
      </c>
    </row>
    <row r="2749" spans="1:5" x14ac:dyDescent="0.3">
      <c r="A2749" s="295">
        <v>2023</v>
      </c>
      <c r="B2749" s="295">
        <v>4</v>
      </c>
      <c r="C2749" s="295" t="s">
        <v>426</v>
      </c>
      <c r="D2749" s="295" t="s">
        <v>352</v>
      </c>
      <c r="E2749" s="296">
        <v>7.7220077220077217</v>
      </c>
    </row>
    <row r="2750" spans="1:5" x14ac:dyDescent="0.3">
      <c r="A2750" s="295">
        <v>2023</v>
      </c>
      <c r="B2750" s="295">
        <v>4</v>
      </c>
      <c r="C2750" s="295" t="s">
        <v>1</v>
      </c>
      <c r="D2750" s="295" t="s">
        <v>1</v>
      </c>
      <c r="E2750" s="296">
        <v>1</v>
      </c>
    </row>
    <row r="2751" spans="1:5" x14ac:dyDescent="0.3">
      <c r="A2751" s="295">
        <v>2023</v>
      </c>
      <c r="B2751" s="295">
        <v>4</v>
      </c>
      <c r="C2751" s="295" t="s">
        <v>2</v>
      </c>
      <c r="D2751" s="295" t="s">
        <v>2</v>
      </c>
      <c r="E2751" s="296">
        <v>1</v>
      </c>
    </row>
    <row r="2752" spans="1:5" x14ac:dyDescent="0.3">
      <c r="A2752" s="295">
        <v>2023</v>
      </c>
      <c r="B2752" s="295">
        <v>4</v>
      </c>
      <c r="C2752" s="295" t="s">
        <v>259</v>
      </c>
      <c r="D2752" s="295" t="s">
        <v>259</v>
      </c>
      <c r="E2752" s="296">
        <v>1</v>
      </c>
    </row>
    <row r="2753" spans="1:5" x14ac:dyDescent="0.3">
      <c r="A2753" s="295">
        <v>2023</v>
      </c>
      <c r="B2753" s="295">
        <v>4</v>
      </c>
      <c r="C2753" s="295" t="s">
        <v>85</v>
      </c>
      <c r="D2753" s="295" t="s">
        <v>85</v>
      </c>
      <c r="E2753" s="296">
        <v>1</v>
      </c>
    </row>
    <row r="2754" spans="1:5" x14ac:dyDescent="0.3">
      <c r="A2754" s="295">
        <v>2023</v>
      </c>
      <c r="B2754" s="295">
        <v>4</v>
      </c>
      <c r="C2754" s="295" t="s">
        <v>101</v>
      </c>
      <c r="D2754" s="295" t="s">
        <v>101</v>
      </c>
      <c r="E2754" s="296">
        <v>1</v>
      </c>
    </row>
    <row r="2755" spans="1:5" x14ac:dyDescent="0.3">
      <c r="A2755" s="295">
        <v>2023</v>
      </c>
      <c r="B2755" s="295">
        <v>4</v>
      </c>
      <c r="C2755" s="295" t="s">
        <v>179</v>
      </c>
      <c r="D2755" s="295" t="s">
        <v>179</v>
      </c>
      <c r="E2755" s="296">
        <v>1</v>
      </c>
    </row>
    <row r="2756" spans="1:5" x14ac:dyDescent="0.3">
      <c r="A2756" s="295">
        <v>2023</v>
      </c>
      <c r="B2756" s="295">
        <v>4</v>
      </c>
      <c r="C2756" s="295" t="s">
        <v>352</v>
      </c>
      <c r="D2756" s="295" t="s">
        <v>352</v>
      </c>
      <c r="E2756" s="296">
        <v>1</v>
      </c>
    </row>
    <row r="2757" spans="1:5" x14ac:dyDescent="0.3">
      <c r="A2757" s="295">
        <v>2023</v>
      </c>
      <c r="B2757" s="295">
        <v>4</v>
      </c>
      <c r="C2757" s="295" t="s">
        <v>426</v>
      </c>
      <c r="D2757" s="295" t="s">
        <v>426</v>
      </c>
      <c r="E2757" s="296">
        <v>1</v>
      </c>
    </row>
    <row r="2758" spans="1:5" x14ac:dyDescent="0.3">
      <c r="A2758" s="295">
        <v>2023</v>
      </c>
      <c r="B2758" s="295">
        <v>5</v>
      </c>
      <c r="C2758" s="295" t="s">
        <v>1</v>
      </c>
      <c r="D2758" s="295" t="s">
        <v>2</v>
      </c>
      <c r="E2758" s="296">
        <v>1.0683</v>
      </c>
    </row>
    <row r="2759" spans="1:5" x14ac:dyDescent="0.3">
      <c r="A2759" s="295">
        <v>2023</v>
      </c>
      <c r="B2759" s="295">
        <v>5</v>
      </c>
      <c r="C2759" s="295" t="s">
        <v>1</v>
      </c>
      <c r="D2759" s="295" t="s">
        <v>259</v>
      </c>
      <c r="E2759" s="296">
        <v>0.86404999999999998</v>
      </c>
    </row>
    <row r="2760" spans="1:5" x14ac:dyDescent="0.3">
      <c r="A2760" s="295">
        <v>2023</v>
      </c>
      <c r="B2760" s="295">
        <v>5</v>
      </c>
      <c r="C2760" s="295" t="s">
        <v>1</v>
      </c>
      <c r="D2760" s="295" t="s">
        <v>85</v>
      </c>
      <c r="E2760" s="296">
        <v>5.4287999999999998</v>
      </c>
    </row>
    <row r="2761" spans="1:5" x14ac:dyDescent="0.3">
      <c r="A2761" s="295">
        <v>2023</v>
      </c>
      <c r="B2761" s="295">
        <v>5</v>
      </c>
      <c r="C2761" s="295" t="s">
        <v>1</v>
      </c>
      <c r="D2761" s="295" t="s">
        <v>101</v>
      </c>
      <c r="E2761" s="296">
        <v>18.926300000000001</v>
      </c>
    </row>
    <row r="2762" spans="1:5" x14ac:dyDescent="0.3">
      <c r="A2762" s="295">
        <v>2023</v>
      </c>
      <c r="B2762" s="295">
        <v>5</v>
      </c>
      <c r="C2762" s="295" t="s">
        <v>1</v>
      </c>
      <c r="D2762" s="295" t="s">
        <v>179</v>
      </c>
      <c r="E2762" s="296">
        <v>863.50699999999995</v>
      </c>
    </row>
    <row r="2763" spans="1:5" x14ac:dyDescent="0.3">
      <c r="A2763" s="295">
        <v>2023</v>
      </c>
      <c r="B2763" s="295">
        <v>5</v>
      </c>
      <c r="C2763" s="295" t="s">
        <v>1</v>
      </c>
      <c r="D2763" s="295" t="s">
        <v>352</v>
      </c>
      <c r="E2763" s="296">
        <v>7.5926</v>
      </c>
    </row>
    <row r="2764" spans="1:5" x14ac:dyDescent="0.3">
      <c r="A2764" s="295">
        <v>2023</v>
      </c>
      <c r="B2764" s="295">
        <v>5</v>
      </c>
      <c r="C2764" s="295" t="s">
        <v>1</v>
      </c>
      <c r="D2764" s="295" t="s">
        <v>426</v>
      </c>
      <c r="E2764" s="296">
        <v>0.97240000000000004</v>
      </c>
    </row>
    <row r="2765" spans="1:5" x14ac:dyDescent="0.3">
      <c r="A2765" s="295">
        <v>2023</v>
      </c>
      <c r="B2765" s="295">
        <v>5</v>
      </c>
      <c r="C2765" s="295" t="s">
        <v>2</v>
      </c>
      <c r="D2765" s="295" t="s">
        <v>1</v>
      </c>
      <c r="E2765" s="296">
        <v>0.93606664794533367</v>
      </c>
    </row>
    <row r="2766" spans="1:5" x14ac:dyDescent="0.3">
      <c r="A2766" s="295">
        <v>2023</v>
      </c>
      <c r="B2766" s="295">
        <v>5</v>
      </c>
      <c r="C2766" s="295" t="s">
        <v>2</v>
      </c>
      <c r="D2766" s="295" t="s">
        <v>259</v>
      </c>
      <c r="E2766" s="296">
        <v>0.80881000000000003</v>
      </c>
    </row>
    <row r="2767" spans="1:5" x14ac:dyDescent="0.3">
      <c r="A2767" s="295">
        <v>2023</v>
      </c>
      <c r="B2767" s="295">
        <v>5</v>
      </c>
      <c r="C2767" s="295" t="s">
        <v>2</v>
      </c>
      <c r="D2767" s="295" t="s">
        <v>85</v>
      </c>
      <c r="E2767" s="296">
        <v>5.0817199999999998</v>
      </c>
    </row>
    <row r="2768" spans="1:5" x14ac:dyDescent="0.3">
      <c r="A2768" s="295">
        <v>2023</v>
      </c>
      <c r="B2768" s="295">
        <v>5</v>
      </c>
      <c r="C2768" s="295" t="s">
        <v>2</v>
      </c>
      <c r="D2768" s="295" t="s">
        <v>101</v>
      </c>
      <c r="E2768" s="296">
        <v>17.716280000000001</v>
      </c>
    </row>
    <row r="2769" spans="1:5" x14ac:dyDescent="0.3">
      <c r="A2769" s="295">
        <v>2023</v>
      </c>
      <c r="B2769" s="295">
        <v>5</v>
      </c>
      <c r="C2769" s="295" t="s">
        <v>2</v>
      </c>
      <c r="D2769" s="295" t="s">
        <v>179</v>
      </c>
      <c r="E2769" s="296">
        <v>808.30010000000004</v>
      </c>
    </row>
    <row r="2770" spans="1:5" x14ac:dyDescent="0.3">
      <c r="A2770" s="295">
        <v>2023</v>
      </c>
      <c r="B2770" s="295">
        <v>5</v>
      </c>
      <c r="C2770" s="295" t="s">
        <v>2</v>
      </c>
      <c r="D2770" s="295" t="s">
        <v>352</v>
      </c>
      <c r="E2770" s="296">
        <v>7.1071799999999996</v>
      </c>
    </row>
    <row r="2771" spans="1:5" x14ac:dyDescent="0.3">
      <c r="A2771" s="295">
        <v>2023</v>
      </c>
      <c r="B2771" s="295">
        <v>5</v>
      </c>
      <c r="C2771" s="295" t="s">
        <v>2</v>
      </c>
      <c r="D2771" s="295" t="s">
        <v>426</v>
      </c>
      <c r="E2771" s="296">
        <v>0.91022999999999998</v>
      </c>
    </row>
    <row r="2772" spans="1:5" x14ac:dyDescent="0.3">
      <c r="A2772" s="295">
        <v>2023</v>
      </c>
      <c r="B2772" s="295">
        <v>5</v>
      </c>
      <c r="C2772" s="295" t="s">
        <v>259</v>
      </c>
      <c r="D2772" s="295" t="s">
        <v>1</v>
      </c>
      <c r="E2772" s="296">
        <v>1.157340431687981</v>
      </c>
    </row>
    <row r="2773" spans="1:5" x14ac:dyDescent="0.3">
      <c r="A2773" s="295">
        <v>2023</v>
      </c>
      <c r="B2773" s="295">
        <v>5</v>
      </c>
      <c r="C2773" s="295" t="s">
        <v>259</v>
      </c>
      <c r="D2773" s="295" t="s">
        <v>2</v>
      </c>
      <c r="E2773" s="296">
        <v>1.2363843177013143</v>
      </c>
    </row>
    <row r="2774" spans="1:5" x14ac:dyDescent="0.3">
      <c r="A2774" s="295">
        <v>2023</v>
      </c>
      <c r="B2774" s="295">
        <v>5</v>
      </c>
      <c r="C2774" s="295" t="s">
        <v>259</v>
      </c>
      <c r="D2774" s="295" t="s">
        <v>85</v>
      </c>
      <c r="E2774" s="296">
        <v>6.2829699999999997</v>
      </c>
    </row>
    <row r="2775" spans="1:5" x14ac:dyDescent="0.3">
      <c r="A2775" s="295">
        <v>2023</v>
      </c>
      <c r="B2775" s="295">
        <v>5</v>
      </c>
      <c r="C2775" s="295" t="s">
        <v>259</v>
      </c>
      <c r="D2775" s="295" t="s">
        <v>101</v>
      </c>
      <c r="E2775" s="296">
        <v>21.904170000000001</v>
      </c>
    </row>
    <row r="2776" spans="1:5" x14ac:dyDescent="0.3">
      <c r="A2776" s="295">
        <v>2023</v>
      </c>
      <c r="B2776" s="295">
        <v>5</v>
      </c>
      <c r="C2776" s="295" t="s">
        <v>259</v>
      </c>
      <c r="D2776" s="295" t="s">
        <v>179</v>
      </c>
      <c r="E2776" s="296">
        <v>999.37156000000004</v>
      </c>
    </row>
    <row r="2777" spans="1:5" x14ac:dyDescent="0.3">
      <c r="A2777" s="295">
        <v>2023</v>
      </c>
      <c r="B2777" s="295">
        <v>5</v>
      </c>
      <c r="C2777" s="295" t="s">
        <v>259</v>
      </c>
      <c r="D2777" s="295" t="s">
        <v>352</v>
      </c>
      <c r="E2777" s="296">
        <v>8.7872199999999996</v>
      </c>
    </row>
    <row r="2778" spans="1:5" x14ac:dyDescent="0.3">
      <c r="A2778" s="295">
        <v>2023</v>
      </c>
      <c r="B2778" s="295">
        <v>5</v>
      </c>
      <c r="C2778" s="295" t="s">
        <v>259</v>
      </c>
      <c r="D2778" s="295" t="s">
        <v>426</v>
      </c>
      <c r="E2778" s="296">
        <v>1.1254</v>
      </c>
    </row>
    <row r="2779" spans="1:5" x14ac:dyDescent="0.3">
      <c r="A2779" s="295">
        <v>2023</v>
      </c>
      <c r="B2779" s="295">
        <v>5</v>
      </c>
      <c r="C2779" s="295" t="s">
        <v>85</v>
      </c>
      <c r="D2779" s="295" t="s">
        <v>1</v>
      </c>
      <c r="E2779" s="296">
        <v>0.18420277040966695</v>
      </c>
    </row>
    <row r="2780" spans="1:5" x14ac:dyDescent="0.3">
      <c r="A2780" s="295">
        <v>2023</v>
      </c>
      <c r="B2780" s="295">
        <v>5</v>
      </c>
      <c r="C2780" s="295" t="s">
        <v>85</v>
      </c>
      <c r="D2780" s="295" t="s">
        <v>2</v>
      </c>
      <c r="E2780" s="296">
        <v>0.19678376612642964</v>
      </c>
    </row>
    <row r="2781" spans="1:5" x14ac:dyDescent="0.3">
      <c r="A2781" s="295">
        <v>2023</v>
      </c>
      <c r="B2781" s="295">
        <v>5</v>
      </c>
      <c r="C2781" s="295" t="s">
        <v>85</v>
      </c>
      <c r="D2781" s="295" t="s">
        <v>259</v>
      </c>
      <c r="E2781" s="296">
        <v>0.15916039707335863</v>
      </c>
    </row>
    <row r="2782" spans="1:5" x14ac:dyDescent="0.3">
      <c r="A2782" s="295">
        <v>2023</v>
      </c>
      <c r="B2782" s="295">
        <v>5</v>
      </c>
      <c r="C2782" s="295" t="s">
        <v>85</v>
      </c>
      <c r="D2782" s="295" t="s">
        <v>101</v>
      </c>
      <c r="E2782" s="296">
        <v>3.4862799999999998</v>
      </c>
    </row>
    <row r="2783" spans="1:5" x14ac:dyDescent="0.3">
      <c r="A2783" s="295">
        <v>2023</v>
      </c>
      <c r="B2783" s="295">
        <v>5</v>
      </c>
      <c r="C2783" s="295" t="s">
        <v>85</v>
      </c>
      <c r="D2783" s="295" t="s">
        <v>179</v>
      </c>
      <c r="E2783" s="296">
        <v>159.06038000000001</v>
      </c>
    </row>
    <row r="2784" spans="1:5" x14ac:dyDescent="0.3">
      <c r="A2784" s="295">
        <v>2023</v>
      </c>
      <c r="B2784" s="295">
        <v>5</v>
      </c>
      <c r="C2784" s="295" t="s">
        <v>85</v>
      </c>
      <c r="D2784" s="295" t="s">
        <v>352</v>
      </c>
      <c r="E2784" s="296">
        <v>1.3985799999999999</v>
      </c>
    </row>
    <row r="2785" spans="1:5" x14ac:dyDescent="0.3">
      <c r="A2785" s="295">
        <v>2023</v>
      </c>
      <c r="B2785" s="295">
        <v>5</v>
      </c>
      <c r="C2785" s="295" t="s">
        <v>85</v>
      </c>
      <c r="D2785" s="295" t="s">
        <v>426</v>
      </c>
      <c r="E2785" s="296">
        <v>0.17912</v>
      </c>
    </row>
    <row r="2786" spans="1:5" x14ac:dyDescent="0.3">
      <c r="A2786" s="295">
        <v>2023</v>
      </c>
      <c r="B2786" s="295">
        <v>5</v>
      </c>
      <c r="C2786" s="295" t="s">
        <v>101</v>
      </c>
      <c r="D2786" s="295" t="s">
        <v>1</v>
      </c>
      <c r="E2786" s="296">
        <v>5.2836529062732805E-2</v>
      </c>
    </row>
    <row r="2787" spans="1:5" x14ac:dyDescent="0.3">
      <c r="A2787" s="295">
        <v>2023</v>
      </c>
      <c r="B2787" s="295">
        <v>5</v>
      </c>
      <c r="C2787" s="295" t="s">
        <v>101</v>
      </c>
      <c r="D2787" s="295" t="s">
        <v>2</v>
      </c>
      <c r="E2787" s="296">
        <v>5.6445258259634638E-2</v>
      </c>
    </row>
    <row r="2788" spans="1:5" x14ac:dyDescent="0.3">
      <c r="A2788" s="295">
        <v>2023</v>
      </c>
      <c r="B2788" s="295">
        <v>5</v>
      </c>
      <c r="C2788" s="295" t="s">
        <v>101</v>
      </c>
      <c r="D2788" s="295" t="s">
        <v>259</v>
      </c>
      <c r="E2788" s="296">
        <v>4.5653407547512639E-2</v>
      </c>
    </row>
    <row r="2789" spans="1:5" x14ac:dyDescent="0.3">
      <c r="A2789" s="295">
        <v>2023</v>
      </c>
      <c r="B2789" s="295">
        <v>5</v>
      </c>
      <c r="C2789" s="295" t="s">
        <v>101</v>
      </c>
      <c r="D2789" s="295" t="s">
        <v>85</v>
      </c>
      <c r="E2789" s="296">
        <v>0.28683869339238388</v>
      </c>
    </row>
    <row r="2790" spans="1:5" x14ac:dyDescent="0.3">
      <c r="A2790" s="295">
        <v>2023</v>
      </c>
      <c r="B2790" s="295">
        <v>5</v>
      </c>
      <c r="C2790" s="295" t="s">
        <v>101</v>
      </c>
      <c r="D2790" s="295" t="s">
        <v>179</v>
      </c>
      <c r="E2790" s="296">
        <v>45.62471</v>
      </c>
    </row>
    <row r="2791" spans="1:5" x14ac:dyDescent="0.3">
      <c r="A2791" s="295">
        <v>2023</v>
      </c>
      <c r="B2791" s="295">
        <v>5</v>
      </c>
      <c r="C2791" s="295" t="s">
        <v>101</v>
      </c>
      <c r="D2791" s="295" t="s">
        <v>352</v>
      </c>
      <c r="E2791" s="296">
        <v>0.40117000000000003</v>
      </c>
    </row>
    <row r="2792" spans="1:5" x14ac:dyDescent="0.3">
      <c r="A2792" s="295">
        <v>2023</v>
      </c>
      <c r="B2792" s="295">
        <v>5</v>
      </c>
      <c r="C2792" s="295" t="s">
        <v>101</v>
      </c>
      <c r="D2792" s="295" t="s">
        <v>426</v>
      </c>
      <c r="E2792" s="296">
        <v>5.1380000000000002E-2</v>
      </c>
    </row>
    <row r="2793" spans="1:5" x14ac:dyDescent="0.3">
      <c r="A2793" s="295">
        <v>2023</v>
      </c>
      <c r="B2793" s="295">
        <v>5</v>
      </c>
      <c r="C2793" s="295" t="s">
        <v>179</v>
      </c>
      <c r="D2793" s="295" t="s">
        <v>1</v>
      </c>
      <c r="E2793" s="296">
        <v>1.1580682032687633E-3</v>
      </c>
    </row>
    <row r="2794" spans="1:5" x14ac:dyDescent="0.3">
      <c r="A2794" s="295">
        <v>2023</v>
      </c>
      <c r="B2794" s="295">
        <v>5</v>
      </c>
      <c r="C2794" s="295" t="s">
        <v>179</v>
      </c>
      <c r="D2794" s="295" t="s">
        <v>2</v>
      </c>
      <c r="E2794" s="296">
        <v>1.2371642660937441E-3</v>
      </c>
    </row>
    <row r="2795" spans="1:5" x14ac:dyDescent="0.3">
      <c r="A2795" s="295">
        <v>2023</v>
      </c>
      <c r="B2795" s="295">
        <v>5</v>
      </c>
      <c r="C2795" s="295" t="s">
        <v>179</v>
      </c>
      <c r="D2795" s="295" t="s">
        <v>259</v>
      </c>
      <c r="E2795" s="296">
        <v>1.0006288351851837E-3</v>
      </c>
    </row>
    <row r="2796" spans="1:5" x14ac:dyDescent="0.3">
      <c r="A2796" s="295">
        <v>2023</v>
      </c>
      <c r="B2796" s="295">
        <v>5</v>
      </c>
      <c r="C2796" s="295" t="s">
        <v>179</v>
      </c>
      <c r="D2796" s="295" t="s">
        <v>85</v>
      </c>
      <c r="E2796" s="296">
        <v>6.2869207278393267E-3</v>
      </c>
    </row>
    <row r="2797" spans="1:5" x14ac:dyDescent="0.3">
      <c r="A2797" s="295">
        <v>2023</v>
      </c>
      <c r="B2797" s="295">
        <v>5</v>
      </c>
      <c r="C2797" s="295" t="s">
        <v>179</v>
      </c>
      <c r="D2797" s="295" t="s">
        <v>101</v>
      </c>
      <c r="E2797" s="296">
        <v>2.1917947533255554E-2</v>
      </c>
    </row>
    <row r="2798" spans="1:5" x14ac:dyDescent="0.3">
      <c r="A2798" s="295">
        <v>2023</v>
      </c>
      <c r="B2798" s="295">
        <v>5</v>
      </c>
      <c r="C2798" s="295" t="s">
        <v>179</v>
      </c>
      <c r="D2798" s="295" t="s">
        <v>352</v>
      </c>
      <c r="E2798" s="296">
        <v>8.7899999999999992E-3</v>
      </c>
    </row>
    <row r="2799" spans="1:5" x14ac:dyDescent="0.3">
      <c r="A2799" s="295">
        <v>2023</v>
      </c>
      <c r="B2799" s="295">
        <v>5</v>
      </c>
      <c r="C2799" s="295" t="s">
        <v>179</v>
      </c>
      <c r="D2799" s="295" t="s">
        <v>426</v>
      </c>
      <c r="E2799" s="296">
        <v>1.1299999999999999E-3</v>
      </c>
    </row>
    <row r="2800" spans="1:5" x14ac:dyDescent="0.3">
      <c r="A2800" s="295">
        <v>2023</v>
      </c>
      <c r="B2800" s="295">
        <v>5</v>
      </c>
      <c r="C2800" s="295" t="s">
        <v>352</v>
      </c>
      <c r="D2800" s="295" t="s">
        <v>1</v>
      </c>
      <c r="E2800" s="296">
        <v>0.13170718857835262</v>
      </c>
    </row>
    <row r="2801" spans="1:5" x14ac:dyDescent="0.3">
      <c r="A2801" s="295">
        <v>2023</v>
      </c>
      <c r="B2801" s="295">
        <v>5</v>
      </c>
      <c r="C2801" s="295" t="s">
        <v>352</v>
      </c>
      <c r="D2801" s="295" t="s">
        <v>2</v>
      </c>
      <c r="E2801" s="296">
        <v>0.14070278225681634</v>
      </c>
    </row>
    <row r="2802" spans="1:5" x14ac:dyDescent="0.3">
      <c r="A2802" s="295">
        <v>2023</v>
      </c>
      <c r="B2802" s="295">
        <v>5</v>
      </c>
      <c r="C2802" s="295" t="s">
        <v>352</v>
      </c>
      <c r="D2802" s="295" t="s">
        <v>259</v>
      </c>
      <c r="E2802" s="296">
        <v>0.11380163464668007</v>
      </c>
    </row>
    <row r="2803" spans="1:5" x14ac:dyDescent="0.3">
      <c r="A2803" s="295">
        <v>2023</v>
      </c>
      <c r="B2803" s="295">
        <v>5</v>
      </c>
      <c r="C2803" s="295" t="s">
        <v>352</v>
      </c>
      <c r="D2803" s="295" t="s">
        <v>85</v>
      </c>
      <c r="E2803" s="296">
        <v>0.71501093966737694</v>
      </c>
    </row>
    <row r="2804" spans="1:5" x14ac:dyDescent="0.3">
      <c r="A2804" s="295">
        <v>2023</v>
      </c>
      <c r="B2804" s="295">
        <v>5</v>
      </c>
      <c r="C2804" s="295" t="s">
        <v>352</v>
      </c>
      <c r="D2804" s="295" t="s">
        <v>101</v>
      </c>
      <c r="E2804" s="296">
        <v>2.4927088266819553</v>
      </c>
    </row>
    <row r="2805" spans="1:5" x14ac:dyDescent="0.3">
      <c r="A2805" s="295">
        <v>2023</v>
      </c>
      <c r="B2805" s="295">
        <v>5</v>
      </c>
      <c r="C2805" s="295" t="s">
        <v>352</v>
      </c>
      <c r="D2805" s="295" t="s">
        <v>179</v>
      </c>
      <c r="E2805" s="296">
        <v>113.76564277588169</v>
      </c>
    </row>
    <row r="2806" spans="1:5" x14ac:dyDescent="0.3">
      <c r="A2806" s="295">
        <v>2023</v>
      </c>
      <c r="B2806" s="295">
        <v>5</v>
      </c>
      <c r="C2806" s="295" t="s">
        <v>352</v>
      </c>
      <c r="D2806" s="295" t="s">
        <v>426</v>
      </c>
      <c r="E2806" s="296">
        <v>0.12806999999999999</v>
      </c>
    </row>
    <row r="2807" spans="1:5" x14ac:dyDescent="0.3">
      <c r="A2807" s="295">
        <v>2023</v>
      </c>
      <c r="B2807" s="295">
        <v>5</v>
      </c>
      <c r="C2807" s="295" t="s">
        <v>426</v>
      </c>
      <c r="D2807" s="295" t="s">
        <v>1</v>
      </c>
      <c r="E2807" s="296">
        <v>1.0283833813245578</v>
      </c>
    </row>
    <row r="2808" spans="1:5" x14ac:dyDescent="0.3">
      <c r="A2808" s="295">
        <v>2023</v>
      </c>
      <c r="B2808" s="295">
        <v>5</v>
      </c>
      <c r="C2808" s="295" t="s">
        <v>426</v>
      </c>
      <c r="D2808" s="295" t="s">
        <v>2</v>
      </c>
      <c r="E2808" s="296">
        <v>1.0986234248486646</v>
      </c>
    </row>
    <row r="2809" spans="1:5" x14ac:dyDescent="0.3">
      <c r="A2809" s="295">
        <v>2023</v>
      </c>
      <c r="B2809" s="295">
        <v>5</v>
      </c>
      <c r="C2809" s="295" t="s">
        <v>426</v>
      </c>
      <c r="D2809" s="295" t="s">
        <v>259</v>
      </c>
      <c r="E2809" s="296">
        <v>0.88857295183934604</v>
      </c>
    </row>
    <row r="2810" spans="1:5" x14ac:dyDescent="0.3">
      <c r="A2810" s="295">
        <v>2023</v>
      </c>
      <c r="B2810" s="295">
        <v>5</v>
      </c>
      <c r="C2810" s="295" t="s">
        <v>426</v>
      </c>
      <c r="D2810" s="295" t="s">
        <v>85</v>
      </c>
      <c r="E2810" s="296">
        <v>5.5828494863778468</v>
      </c>
    </row>
    <row r="2811" spans="1:5" x14ac:dyDescent="0.3">
      <c r="A2811" s="295">
        <v>2023</v>
      </c>
      <c r="B2811" s="295">
        <v>5</v>
      </c>
      <c r="C2811" s="295" t="s">
        <v>426</v>
      </c>
      <c r="D2811" s="295" t="s">
        <v>101</v>
      </c>
      <c r="E2811" s="296">
        <v>19.462826002335539</v>
      </c>
    </row>
    <row r="2812" spans="1:5" x14ac:dyDescent="0.3">
      <c r="A2812" s="295">
        <v>2023</v>
      </c>
      <c r="B2812" s="295">
        <v>5</v>
      </c>
      <c r="C2812" s="295" t="s">
        <v>426</v>
      </c>
      <c r="D2812" s="295" t="s">
        <v>179</v>
      </c>
      <c r="E2812" s="296">
        <v>884.95575221238948</v>
      </c>
    </row>
    <row r="2813" spans="1:5" x14ac:dyDescent="0.3">
      <c r="A2813" s="295">
        <v>2023</v>
      </c>
      <c r="B2813" s="295">
        <v>5</v>
      </c>
      <c r="C2813" s="295" t="s">
        <v>426</v>
      </c>
      <c r="D2813" s="295" t="s">
        <v>352</v>
      </c>
      <c r="E2813" s="296">
        <v>7.8082298742875</v>
      </c>
    </row>
    <row r="2814" spans="1:5" x14ac:dyDescent="0.3">
      <c r="A2814" s="295">
        <v>2023</v>
      </c>
      <c r="B2814" s="295">
        <v>5</v>
      </c>
      <c r="C2814" s="295" t="s">
        <v>1</v>
      </c>
      <c r="D2814" s="295" t="s">
        <v>1</v>
      </c>
      <c r="E2814" s="296">
        <v>1</v>
      </c>
    </row>
    <row r="2815" spans="1:5" x14ac:dyDescent="0.3">
      <c r="A2815" s="295">
        <v>2023</v>
      </c>
      <c r="B2815" s="295">
        <v>5</v>
      </c>
      <c r="C2815" s="295" t="s">
        <v>2</v>
      </c>
      <c r="D2815" s="295" t="s">
        <v>2</v>
      </c>
      <c r="E2815" s="296">
        <v>1</v>
      </c>
    </row>
    <row r="2816" spans="1:5" x14ac:dyDescent="0.3">
      <c r="A2816" s="295">
        <v>2023</v>
      </c>
      <c r="B2816" s="295">
        <v>5</v>
      </c>
      <c r="C2816" s="295" t="s">
        <v>259</v>
      </c>
      <c r="D2816" s="295" t="s">
        <v>259</v>
      </c>
      <c r="E2816" s="296">
        <v>1</v>
      </c>
    </row>
    <row r="2817" spans="1:5" x14ac:dyDescent="0.3">
      <c r="A2817" s="295">
        <v>2023</v>
      </c>
      <c r="B2817" s="295">
        <v>5</v>
      </c>
      <c r="C2817" s="295" t="s">
        <v>85</v>
      </c>
      <c r="D2817" s="295" t="s">
        <v>85</v>
      </c>
      <c r="E2817" s="296">
        <v>1</v>
      </c>
    </row>
    <row r="2818" spans="1:5" x14ac:dyDescent="0.3">
      <c r="A2818" s="295">
        <v>2023</v>
      </c>
      <c r="B2818" s="295">
        <v>5</v>
      </c>
      <c r="C2818" s="295" t="s">
        <v>101</v>
      </c>
      <c r="D2818" s="295" t="s">
        <v>101</v>
      </c>
      <c r="E2818" s="296">
        <v>1</v>
      </c>
    </row>
    <row r="2819" spans="1:5" x14ac:dyDescent="0.3">
      <c r="A2819" s="295">
        <v>2023</v>
      </c>
      <c r="B2819" s="295">
        <v>5</v>
      </c>
      <c r="C2819" s="295" t="s">
        <v>179</v>
      </c>
      <c r="D2819" s="295" t="s">
        <v>179</v>
      </c>
      <c r="E2819" s="296">
        <v>1</v>
      </c>
    </row>
    <row r="2820" spans="1:5" x14ac:dyDescent="0.3">
      <c r="A2820" s="295">
        <v>2023</v>
      </c>
      <c r="B2820" s="295">
        <v>5</v>
      </c>
      <c r="C2820" s="295" t="s">
        <v>352</v>
      </c>
      <c r="D2820" s="295" t="s">
        <v>352</v>
      </c>
      <c r="E2820" s="296">
        <v>1</v>
      </c>
    </row>
    <row r="2821" spans="1:5" x14ac:dyDescent="0.3">
      <c r="A2821" s="295">
        <v>2023</v>
      </c>
      <c r="B2821" s="295">
        <v>5</v>
      </c>
      <c r="C2821" s="295" t="s">
        <v>426</v>
      </c>
      <c r="D2821" s="295" t="s">
        <v>426</v>
      </c>
      <c r="E2821" s="296">
        <v>1</v>
      </c>
    </row>
    <row r="2822" spans="1:5" x14ac:dyDescent="0.3">
      <c r="A2822" s="295">
        <v>2023</v>
      </c>
      <c r="B2822" s="295">
        <v>6</v>
      </c>
      <c r="C2822" s="295" t="s">
        <v>1</v>
      </c>
      <c r="D2822" s="295" t="s">
        <v>2</v>
      </c>
      <c r="E2822" s="296">
        <v>1.0894999999999999</v>
      </c>
    </row>
    <row r="2823" spans="1:5" x14ac:dyDescent="0.3">
      <c r="A2823" s="295">
        <v>2023</v>
      </c>
      <c r="B2823" s="295">
        <v>6</v>
      </c>
      <c r="C2823" s="295" t="s">
        <v>1</v>
      </c>
      <c r="D2823" s="295" t="s">
        <v>259</v>
      </c>
      <c r="E2823" s="296">
        <v>0.85828000000000004</v>
      </c>
    </row>
    <row r="2824" spans="1:5" x14ac:dyDescent="0.3">
      <c r="A2824" s="295">
        <v>2023</v>
      </c>
      <c r="B2824" s="295">
        <v>6</v>
      </c>
      <c r="C2824" s="295" t="s">
        <v>1</v>
      </c>
      <c r="D2824" s="295" t="s">
        <v>85</v>
      </c>
      <c r="E2824" s="296">
        <v>5.2788000000000004</v>
      </c>
    </row>
    <row r="2825" spans="1:5" x14ac:dyDescent="0.3">
      <c r="A2825" s="295">
        <v>2023</v>
      </c>
      <c r="B2825" s="295">
        <v>6</v>
      </c>
      <c r="C2825" s="295" t="s">
        <v>1</v>
      </c>
      <c r="D2825" s="295" t="s">
        <v>101</v>
      </c>
      <c r="E2825" s="296">
        <v>18.561399999999999</v>
      </c>
    </row>
    <row r="2826" spans="1:5" x14ac:dyDescent="0.3">
      <c r="A2826" s="295">
        <v>2023</v>
      </c>
      <c r="B2826" s="295">
        <v>6</v>
      </c>
      <c r="C2826" s="295" t="s">
        <v>1</v>
      </c>
      <c r="D2826" s="295" t="s">
        <v>179</v>
      </c>
      <c r="E2826" s="296">
        <v>870.29100000000005</v>
      </c>
    </row>
    <row r="2827" spans="1:5" x14ac:dyDescent="0.3">
      <c r="A2827" s="295">
        <v>2023</v>
      </c>
      <c r="B2827" s="295">
        <v>6</v>
      </c>
      <c r="C2827" s="295" t="s">
        <v>1</v>
      </c>
      <c r="D2827" s="295" t="s">
        <v>352</v>
      </c>
      <c r="E2827" s="296">
        <v>7.8982999999999999</v>
      </c>
    </row>
    <row r="2828" spans="1:5" x14ac:dyDescent="0.3">
      <c r="A2828" s="295">
        <v>2023</v>
      </c>
      <c r="B2828" s="295">
        <v>6</v>
      </c>
      <c r="C2828" s="295" t="s">
        <v>1</v>
      </c>
      <c r="D2828" s="295" t="s">
        <v>426</v>
      </c>
      <c r="E2828" s="296">
        <v>0.9788</v>
      </c>
    </row>
    <row r="2829" spans="1:5" x14ac:dyDescent="0.3">
      <c r="A2829" s="295">
        <v>2023</v>
      </c>
      <c r="B2829" s="295">
        <v>6</v>
      </c>
      <c r="C2829" s="295" t="s">
        <v>2</v>
      </c>
      <c r="D2829" s="295" t="s">
        <v>1</v>
      </c>
      <c r="E2829" s="296">
        <v>0.9178522257916476</v>
      </c>
    </row>
    <row r="2830" spans="1:5" x14ac:dyDescent="0.3">
      <c r="A2830" s="295">
        <v>2023</v>
      </c>
      <c r="B2830" s="295">
        <v>6</v>
      </c>
      <c r="C2830" s="295" t="s">
        <v>2</v>
      </c>
      <c r="D2830" s="295" t="s">
        <v>259</v>
      </c>
      <c r="E2830" s="296">
        <v>0.78988000000000003</v>
      </c>
    </row>
    <row r="2831" spans="1:5" x14ac:dyDescent="0.3">
      <c r="A2831" s="295">
        <v>2023</v>
      </c>
      <c r="B2831" s="295">
        <v>6</v>
      </c>
      <c r="C2831" s="295" t="s">
        <v>2</v>
      </c>
      <c r="D2831" s="295" t="s">
        <v>85</v>
      </c>
      <c r="E2831" s="296">
        <v>4.8580899999999998</v>
      </c>
    </row>
    <row r="2832" spans="1:5" x14ac:dyDescent="0.3">
      <c r="A2832" s="295">
        <v>2023</v>
      </c>
      <c r="B2832" s="295">
        <v>6</v>
      </c>
      <c r="C2832" s="295" t="s">
        <v>2</v>
      </c>
      <c r="D2832" s="295" t="s">
        <v>101</v>
      </c>
      <c r="E2832" s="296">
        <v>17.082090000000001</v>
      </c>
    </row>
    <row r="2833" spans="1:5" x14ac:dyDescent="0.3">
      <c r="A2833" s="295">
        <v>2023</v>
      </c>
      <c r="B2833" s="295">
        <v>6</v>
      </c>
      <c r="C2833" s="295" t="s">
        <v>2</v>
      </c>
      <c r="D2833" s="295" t="s">
        <v>179</v>
      </c>
      <c r="E2833" s="296">
        <v>800.93043</v>
      </c>
    </row>
    <row r="2834" spans="1:5" x14ac:dyDescent="0.3">
      <c r="A2834" s="295">
        <v>2023</v>
      </c>
      <c r="B2834" s="295">
        <v>6</v>
      </c>
      <c r="C2834" s="295" t="s">
        <v>2</v>
      </c>
      <c r="D2834" s="295" t="s">
        <v>352</v>
      </c>
      <c r="E2834" s="296">
        <v>7.2688199999999998</v>
      </c>
    </row>
    <row r="2835" spans="1:5" x14ac:dyDescent="0.3">
      <c r="A2835" s="295">
        <v>2023</v>
      </c>
      <c r="B2835" s="295">
        <v>6</v>
      </c>
      <c r="C2835" s="295" t="s">
        <v>2</v>
      </c>
      <c r="D2835" s="295" t="s">
        <v>426</v>
      </c>
      <c r="E2835" s="296">
        <v>0.90078999999999998</v>
      </c>
    </row>
    <row r="2836" spans="1:5" x14ac:dyDescent="0.3">
      <c r="A2836" s="295">
        <v>2023</v>
      </c>
      <c r="B2836" s="295">
        <v>6</v>
      </c>
      <c r="C2836" s="295" t="s">
        <v>259</v>
      </c>
      <c r="D2836" s="295" t="s">
        <v>1</v>
      </c>
      <c r="E2836" s="296">
        <v>1.1651209395535256</v>
      </c>
    </row>
    <row r="2837" spans="1:5" x14ac:dyDescent="0.3">
      <c r="A2837" s="295">
        <v>2023</v>
      </c>
      <c r="B2837" s="295">
        <v>6</v>
      </c>
      <c r="C2837" s="295" t="s">
        <v>259</v>
      </c>
      <c r="D2837" s="295" t="s">
        <v>2</v>
      </c>
      <c r="E2837" s="296">
        <v>1.2660150908998835</v>
      </c>
    </row>
    <row r="2838" spans="1:5" x14ac:dyDescent="0.3">
      <c r="A2838" s="295">
        <v>2023</v>
      </c>
      <c r="B2838" s="295">
        <v>6</v>
      </c>
      <c r="C2838" s="295" t="s">
        <v>259</v>
      </c>
      <c r="D2838" s="295" t="s">
        <v>85</v>
      </c>
      <c r="E2838" s="296">
        <v>6.1504399999999997</v>
      </c>
    </row>
    <row r="2839" spans="1:5" x14ac:dyDescent="0.3">
      <c r="A2839" s="295">
        <v>2023</v>
      </c>
      <c r="B2839" s="295">
        <v>6</v>
      </c>
      <c r="C2839" s="295" t="s">
        <v>259</v>
      </c>
      <c r="D2839" s="295" t="s">
        <v>101</v>
      </c>
      <c r="E2839" s="296">
        <v>21.626280000000001</v>
      </c>
    </row>
    <row r="2840" spans="1:5" x14ac:dyDescent="0.3">
      <c r="A2840" s="295">
        <v>2023</v>
      </c>
      <c r="B2840" s="295">
        <v>6</v>
      </c>
      <c r="C2840" s="295" t="s">
        <v>259</v>
      </c>
      <c r="D2840" s="295" t="s">
        <v>179</v>
      </c>
      <c r="E2840" s="296">
        <v>1013.99427</v>
      </c>
    </row>
    <row r="2841" spans="1:5" x14ac:dyDescent="0.3">
      <c r="A2841" s="295">
        <v>2023</v>
      </c>
      <c r="B2841" s="295">
        <v>6</v>
      </c>
      <c r="C2841" s="295" t="s">
        <v>259</v>
      </c>
      <c r="D2841" s="295" t="s">
        <v>352</v>
      </c>
      <c r="E2841" s="296">
        <v>9.2024699999999999</v>
      </c>
    </row>
    <row r="2842" spans="1:5" x14ac:dyDescent="0.3">
      <c r="A2842" s="295">
        <v>2023</v>
      </c>
      <c r="B2842" s="295">
        <v>6</v>
      </c>
      <c r="C2842" s="295" t="s">
        <v>259</v>
      </c>
      <c r="D2842" s="295" t="s">
        <v>426</v>
      </c>
      <c r="E2842" s="296">
        <v>1.14042</v>
      </c>
    </row>
    <row r="2843" spans="1:5" x14ac:dyDescent="0.3">
      <c r="A2843" s="295">
        <v>2023</v>
      </c>
      <c r="B2843" s="295">
        <v>6</v>
      </c>
      <c r="C2843" s="295" t="s">
        <v>85</v>
      </c>
      <c r="D2843" s="295" t="s">
        <v>1</v>
      </c>
      <c r="E2843" s="296">
        <v>0.18943699325604302</v>
      </c>
    </row>
    <row r="2844" spans="1:5" x14ac:dyDescent="0.3">
      <c r="A2844" s="295">
        <v>2023</v>
      </c>
      <c r="B2844" s="295">
        <v>6</v>
      </c>
      <c r="C2844" s="295" t="s">
        <v>85</v>
      </c>
      <c r="D2844" s="295" t="s">
        <v>2</v>
      </c>
      <c r="E2844" s="296">
        <v>0.20584221370950312</v>
      </c>
    </row>
    <row r="2845" spans="1:5" x14ac:dyDescent="0.3">
      <c r="A2845" s="295">
        <v>2023</v>
      </c>
      <c r="B2845" s="295">
        <v>6</v>
      </c>
      <c r="C2845" s="295" t="s">
        <v>85</v>
      </c>
      <c r="D2845" s="295" t="s">
        <v>259</v>
      </c>
      <c r="E2845" s="296">
        <v>0.16258999356143627</v>
      </c>
    </row>
    <row r="2846" spans="1:5" x14ac:dyDescent="0.3">
      <c r="A2846" s="295">
        <v>2023</v>
      </c>
      <c r="B2846" s="295">
        <v>6</v>
      </c>
      <c r="C2846" s="295" t="s">
        <v>85</v>
      </c>
      <c r="D2846" s="295" t="s">
        <v>101</v>
      </c>
      <c r="E2846" s="296">
        <v>3.5162200000000001</v>
      </c>
    </row>
    <row r="2847" spans="1:5" x14ac:dyDescent="0.3">
      <c r="A2847" s="295">
        <v>2023</v>
      </c>
      <c r="B2847" s="295">
        <v>6</v>
      </c>
      <c r="C2847" s="295" t="s">
        <v>85</v>
      </c>
      <c r="D2847" s="295" t="s">
        <v>179</v>
      </c>
      <c r="E2847" s="296">
        <v>164.86530999999999</v>
      </c>
    </row>
    <row r="2848" spans="1:5" x14ac:dyDescent="0.3">
      <c r="A2848" s="295">
        <v>2023</v>
      </c>
      <c r="B2848" s="295">
        <v>6</v>
      </c>
      <c r="C2848" s="295" t="s">
        <v>85</v>
      </c>
      <c r="D2848" s="295" t="s">
        <v>352</v>
      </c>
      <c r="E2848" s="296">
        <v>1.4962299999999999</v>
      </c>
    </row>
    <row r="2849" spans="1:5" x14ac:dyDescent="0.3">
      <c r="A2849" s="295">
        <v>2023</v>
      </c>
      <c r="B2849" s="295">
        <v>6</v>
      </c>
      <c r="C2849" s="295" t="s">
        <v>85</v>
      </c>
      <c r="D2849" s="295" t="s">
        <v>426</v>
      </c>
      <c r="E2849" s="296">
        <v>0.18542</v>
      </c>
    </row>
    <row r="2850" spans="1:5" x14ac:dyDescent="0.3">
      <c r="A2850" s="295">
        <v>2023</v>
      </c>
      <c r="B2850" s="295">
        <v>6</v>
      </c>
      <c r="C2850" s="295" t="s">
        <v>101</v>
      </c>
      <c r="D2850" s="295" t="s">
        <v>1</v>
      </c>
      <c r="E2850" s="296">
        <v>5.3875246479252646E-2</v>
      </c>
    </row>
    <row r="2851" spans="1:5" x14ac:dyDescent="0.3">
      <c r="A2851" s="295">
        <v>2023</v>
      </c>
      <c r="B2851" s="295">
        <v>6</v>
      </c>
      <c r="C2851" s="295" t="s">
        <v>101</v>
      </c>
      <c r="D2851" s="295" t="s">
        <v>2</v>
      </c>
      <c r="E2851" s="296">
        <v>5.8540845997181838E-2</v>
      </c>
    </row>
    <row r="2852" spans="1:5" x14ac:dyDescent="0.3">
      <c r="A2852" s="295">
        <v>2023</v>
      </c>
      <c r="B2852" s="295">
        <v>6</v>
      </c>
      <c r="C2852" s="295" t="s">
        <v>101</v>
      </c>
      <c r="D2852" s="295" t="s">
        <v>259</v>
      </c>
      <c r="E2852" s="296">
        <v>4.6240037583902542E-2</v>
      </c>
    </row>
    <row r="2853" spans="1:5" x14ac:dyDescent="0.3">
      <c r="A2853" s="295">
        <v>2023</v>
      </c>
      <c r="B2853" s="295">
        <v>6</v>
      </c>
      <c r="C2853" s="295" t="s">
        <v>101</v>
      </c>
      <c r="D2853" s="295" t="s">
        <v>85</v>
      </c>
      <c r="E2853" s="296">
        <v>0.28439631194862663</v>
      </c>
    </row>
    <row r="2854" spans="1:5" x14ac:dyDescent="0.3">
      <c r="A2854" s="295">
        <v>2023</v>
      </c>
      <c r="B2854" s="295">
        <v>6</v>
      </c>
      <c r="C2854" s="295" t="s">
        <v>101</v>
      </c>
      <c r="D2854" s="295" t="s">
        <v>179</v>
      </c>
      <c r="E2854" s="296">
        <v>46.887140000000002</v>
      </c>
    </row>
    <row r="2855" spans="1:5" x14ac:dyDescent="0.3">
      <c r="A2855" s="295">
        <v>2023</v>
      </c>
      <c r="B2855" s="295">
        <v>6</v>
      </c>
      <c r="C2855" s="295" t="s">
        <v>101</v>
      </c>
      <c r="D2855" s="295" t="s">
        <v>352</v>
      </c>
      <c r="E2855" s="296">
        <v>0.42552000000000001</v>
      </c>
    </row>
    <row r="2856" spans="1:5" x14ac:dyDescent="0.3">
      <c r="A2856" s="295">
        <v>2023</v>
      </c>
      <c r="B2856" s="295">
        <v>6</v>
      </c>
      <c r="C2856" s="295" t="s">
        <v>101</v>
      </c>
      <c r="D2856" s="295" t="s">
        <v>426</v>
      </c>
      <c r="E2856" s="296">
        <v>5.2729999999999999E-2</v>
      </c>
    </row>
    <row r="2857" spans="1:5" x14ac:dyDescent="0.3">
      <c r="A2857" s="295">
        <v>2023</v>
      </c>
      <c r="B2857" s="295">
        <v>6</v>
      </c>
      <c r="C2857" s="295" t="s">
        <v>179</v>
      </c>
      <c r="D2857" s="295" t="s">
        <v>1</v>
      </c>
      <c r="E2857" s="296">
        <v>1.1490409529686047E-3</v>
      </c>
    </row>
    <row r="2858" spans="1:5" x14ac:dyDescent="0.3">
      <c r="A2858" s="295">
        <v>2023</v>
      </c>
      <c r="B2858" s="295">
        <v>6</v>
      </c>
      <c r="C2858" s="295" t="s">
        <v>179</v>
      </c>
      <c r="D2858" s="295" t="s">
        <v>2</v>
      </c>
      <c r="E2858" s="296">
        <v>1.24854789198108E-3</v>
      </c>
    </row>
    <row r="2859" spans="1:5" x14ac:dyDescent="0.3">
      <c r="A2859" s="295">
        <v>2023</v>
      </c>
      <c r="B2859" s="295">
        <v>6</v>
      </c>
      <c r="C2859" s="295" t="s">
        <v>179</v>
      </c>
      <c r="D2859" s="295" t="s">
        <v>259</v>
      </c>
      <c r="E2859" s="296">
        <v>9.8619886678452326E-4</v>
      </c>
    </row>
    <row r="2860" spans="1:5" x14ac:dyDescent="0.3">
      <c r="A2860" s="295">
        <v>2023</v>
      </c>
      <c r="B2860" s="295">
        <v>6</v>
      </c>
      <c r="C2860" s="295" t="s">
        <v>179</v>
      </c>
      <c r="D2860" s="295" t="s">
        <v>85</v>
      </c>
      <c r="E2860" s="296">
        <v>6.0655573934868413E-3</v>
      </c>
    </row>
    <row r="2861" spans="1:5" x14ac:dyDescent="0.3">
      <c r="A2861" s="295">
        <v>2023</v>
      </c>
      <c r="B2861" s="295">
        <v>6</v>
      </c>
      <c r="C2861" s="295" t="s">
        <v>179</v>
      </c>
      <c r="D2861" s="295" t="s">
        <v>101</v>
      </c>
      <c r="E2861" s="296">
        <v>2.1327809714987947E-2</v>
      </c>
    </row>
    <row r="2862" spans="1:5" x14ac:dyDescent="0.3">
      <c r="A2862" s="295">
        <v>2023</v>
      </c>
      <c r="B2862" s="295">
        <v>6</v>
      </c>
      <c r="C2862" s="295" t="s">
        <v>179</v>
      </c>
      <c r="D2862" s="295" t="s">
        <v>352</v>
      </c>
      <c r="E2862" s="296">
        <v>9.0799999999999995E-3</v>
      </c>
    </row>
    <row r="2863" spans="1:5" x14ac:dyDescent="0.3">
      <c r="A2863" s="295">
        <v>2023</v>
      </c>
      <c r="B2863" s="295">
        <v>6</v>
      </c>
      <c r="C2863" s="295" t="s">
        <v>179</v>
      </c>
      <c r="D2863" s="295" t="s">
        <v>426</v>
      </c>
      <c r="E2863" s="296">
        <v>1.1199999999999999E-3</v>
      </c>
    </row>
    <row r="2864" spans="1:5" x14ac:dyDescent="0.3">
      <c r="A2864" s="295">
        <v>2023</v>
      </c>
      <c r="B2864" s="295">
        <v>6</v>
      </c>
      <c r="C2864" s="295" t="s">
        <v>352</v>
      </c>
      <c r="D2864" s="295" t="s">
        <v>1</v>
      </c>
      <c r="E2864" s="296">
        <v>0.1266095235683628</v>
      </c>
    </row>
    <row r="2865" spans="1:5" x14ac:dyDescent="0.3">
      <c r="A2865" s="295">
        <v>2023</v>
      </c>
      <c r="B2865" s="295">
        <v>6</v>
      </c>
      <c r="C2865" s="295" t="s">
        <v>352</v>
      </c>
      <c r="D2865" s="295" t="s">
        <v>2</v>
      </c>
      <c r="E2865" s="296">
        <v>0.13757391158399851</v>
      </c>
    </row>
    <row r="2866" spans="1:5" x14ac:dyDescent="0.3">
      <c r="A2866" s="295">
        <v>2023</v>
      </c>
      <c r="B2866" s="295">
        <v>6</v>
      </c>
      <c r="C2866" s="295" t="s">
        <v>352</v>
      </c>
      <c r="D2866" s="295" t="s">
        <v>259</v>
      </c>
      <c r="E2866" s="296">
        <v>0.10866647758699567</v>
      </c>
    </row>
    <row r="2867" spans="1:5" x14ac:dyDescent="0.3">
      <c r="A2867" s="295">
        <v>2023</v>
      </c>
      <c r="B2867" s="295">
        <v>6</v>
      </c>
      <c r="C2867" s="295" t="s">
        <v>352</v>
      </c>
      <c r="D2867" s="295" t="s">
        <v>85</v>
      </c>
      <c r="E2867" s="296">
        <v>0.66834644406274435</v>
      </c>
    </row>
    <row r="2868" spans="1:5" x14ac:dyDescent="0.3">
      <c r="A2868" s="295">
        <v>2023</v>
      </c>
      <c r="B2868" s="295">
        <v>6</v>
      </c>
      <c r="C2868" s="295" t="s">
        <v>352</v>
      </c>
      <c r="D2868" s="295" t="s">
        <v>101</v>
      </c>
      <c r="E2868" s="296">
        <v>2.3500658018424514</v>
      </c>
    </row>
    <row r="2869" spans="1:5" x14ac:dyDescent="0.3">
      <c r="A2869" s="295">
        <v>2023</v>
      </c>
      <c r="B2869" s="295">
        <v>6</v>
      </c>
      <c r="C2869" s="295" t="s">
        <v>352</v>
      </c>
      <c r="D2869" s="295" t="s">
        <v>179</v>
      </c>
      <c r="E2869" s="296">
        <v>110.13215859030838</v>
      </c>
    </row>
    <row r="2870" spans="1:5" x14ac:dyDescent="0.3">
      <c r="A2870" s="295">
        <v>2023</v>
      </c>
      <c r="B2870" s="295">
        <v>6</v>
      </c>
      <c r="C2870" s="295" t="s">
        <v>352</v>
      </c>
      <c r="D2870" s="295" t="s">
        <v>426</v>
      </c>
      <c r="E2870" s="296">
        <v>0.12393</v>
      </c>
    </row>
    <row r="2871" spans="1:5" x14ac:dyDescent="0.3">
      <c r="A2871" s="295">
        <v>2023</v>
      </c>
      <c r="B2871" s="295">
        <v>6</v>
      </c>
      <c r="C2871" s="295" t="s">
        <v>426</v>
      </c>
      <c r="D2871" s="295" t="s">
        <v>1</v>
      </c>
      <c r="E2871" s="296">
        <v>1.021659174499387</v>
      </c>
    </row>
    <row r="2872" spans="1:5" x14ac:dyDescent="0.3">
      <c r="A2872" s="295">
        <v>2023</v>
      </c>
      <c r="B2872" s="295">
        <v>6</v>
      </c>
      <c r="C2872" s="295" t="s">
        <v>426</v>
      </c>
      <c r="D2872" s="295" t="s">
        <v>2</v>
      </c>
      <c r="E2872" s="296">
        <v>1.110136657822578</v>
      </c>
    </row>
    <row r="2873" spans="1:5" x14ac:dyDescent="0.3">
      <c r="A2873" s="295">
        <v>2023</v>
      </c>
      <c r="B2873" s="295">
        <v>6</v>
      </c>
      <c r="C2873" s="295" t="s">
        <v>426</v>
      </c>
      <c r="D2873" s="295" t="s">
        <v>259</v>
      </c>
      <c r="E2873" s="296">
        <v>0.87686992511530837</v>
      </c>
    </row>
    <row r="2874" spans="1:5" x14ac:dyDescent="0.3">
      <c r="A2874" s="295">
        <v>2023</v>
      </c>
      <c r="B2874" s="295">
        <v>6</v>
      </c>
      <c r="C2874" s="295" t="s">
        <v>426</v>
      </c>
      <c r="D2874" s="295" t="s">
        <v>85</v>
      </c>
      <c r="E2874" s="296">
        <v>5.3931614712544489</v>
      </c>
    </row>
    <row r="2875" spans="1:5" x14ac:dyDescent="0.3">
      <c r="A2875" s="295">
        <v>2023</v>
      </c>
      <c r="B2875" s="295">
        <v>6</v>
      </c>
      <c r="C2875" s="295" t="s">
        <v>426</v>
      </c>
      <c r="D2875" s="295" t="s">
        <v>101</v>
      </c>
      <c r="E2875" s="296">
        <v>18.964536317087049</v>
      </c>
    </row>
    <row r="2876" spans="1:5" x14ac:dyDescent="0.3">
      <c r="A2876" s="295">
        <v>2023</v>
      </c>
      <c r="B2876" s="295">
        <v>6</v>
      </c>
      <c r="C2876" s="295" t="s">
        <v>426</v>
      </c>
      <c r="D2876" s="295" t="s">
        <v>179</v>
      </c>
      <c r="E2876" s="296">
        <v>892.85714285714289</v>
      </c>
    </row>
    <row r="2877" spans="1:5" x14ac:dyDescent="0.3">
      <c r="A2877" s="295">
        <v>2023</v>
      </c>
      <c r="B2877" s="295">
        <v>6</v>
      </c>
      <c r="C2877" s="295" t="s">
        <v>426</v>
      </c>
      <c r="D2877" s="295" t="s">
        <v>352</v>
      </c>
      <c r="E2877" s="296">
        <v>8.069071249899137</v>
      </c>
    </row>
    <row r="2878" spans="1:5" x14ac:dyDescent="0.3">
      <c r="A2878" s="295">
        <v>2023</v>
      </c>
      <c r="B2878" s="295">
        <v>6</v>
      </c>
      <c r="C2878" s="295" t="s">
        <v>1</v>
      </c>
      <c r="D2878" s="295" t="s">
        <v>1</v>
      </c>
      <c r="E2878" s="296">
        <v>1</v>
      </c>
    </row>
    <row r="2879" spans="1:5" x14ac:dyDescent="0.3">
      <c r="A2879" s="295">
        <v>2023</v>
      </c>
      <c r="B2879" s="295">
        <v>6</v>
      </c>
      <c r="C2879" s="295" t="s">
        <v>2</v>
      </c>
      <c r="D2879" s="295" t="s">
        <v>2</v>
      </c>
      <c r="E2879" s="296">
        <v>1</v>
      </c>
    </row>
    <row r="2880" spans="1:5" x14ac:dyDescent="0.3">
      <c r="A2880" s="295">
        <v>2023</v>
      </c>
      <c r="B2880" s="295">
        <v>6</v>
      </c>
      <c r="C2880" s="295" t="s">
        <v>259</v>
      </c>
      <c r="D2880" s="295" t="s">
        <v>259</v>
      </c>
      <c r="E2880" s="296">
        <v>1</v>
      </c>
    </row>
    <row r="2881" spans="1:5" x14ac:dyDescent="0.3">
      <c r="A2881" s="295">
        <v>2023</v>
      </c>
      <c r="B2881" s="295">
        <v>6</v>
      </c>
      <c r="C2881" s="295" t="s">
        <v>85</v>
      </c>
      <c r="D2881" s="295" t="s">
        <v>85</v>
      </c>
      <c r="E2881" s="296">
        <v>1</v>
      </c>
    </row>
    <row r="2882" spans="1:5" x14ac:dyDescent="0.3">
      <c r="A2882" s="295">
        <v>2023</v>
      </c>
      <c r="B2882" s="295">
        <v>6</v>
      </c>
      <c r="C2882" s="295" t="s">
        <v>101</v>
      </c>
      <c r="D2882" s="295" t="s">
        <v>101</v>
      </c>
      <c r="E2882" s="296">
        <v>1</v>
      </c>
    </row>
    <row r="2883" spans="1:5" x14ac:dyDescent="0.3">
      <c r="A2883" s="295">
        <v>2023</v>
      </c>
      <c r="B2883" s="295">
        <v>6</v>
      </c>
      <c r="C2883" s="295" t="s">
        <v>179</v>
      </c>
      <c r="D2883" s="295" t="s">
        <v>179</v>
      </c>
      <c r="E2883" s="296">
        <v>1</v>
      </c>
    </row>
    <row r="2884" spans="1:5" x14ac:dyDescent="0.3">
      <c r="A2884" s="295">
        <v>2023</v>
      </c>
      <c r="B2884" s="295">
        <v>6</v>
      </c>
      <c r="C2884" s="295" t="s">
        <v>352</v>
      </c>
      <c r="D2884" s="295" t="s">
        <v>352</v>
      </c>
      <c r="E2884" s="296">
        <v>1</v>
      </c>
    </row>
    <row r="2885" spans="1:5" x14ac:dyDescent="0.3">
      <c r="A2885" s="295">
        <v>2023</v>
      </c>
      <c r="B2885" s="295">
        <v>6</v>
      </c>
      <c r="C2885" s="295" t="s">
        <v>426</v>
      </c>
      <c r="D2885" s="295" t="s">
        <v>426</v>
      </c>
      <c r="E2885" s="296">
        <v>1</v>
      </c>
    </row>
    <row r="2886" spans="1:5" x14ac:dyDescent="0.3">
      <c r="A2886" s="295">
        <v>2023</v>
      </c>
      <c r="B2886" s="295">
        <v>7</v>
      </c>
      <c r="C2886" s="295" t="s">
        <v>1</v>
      </c>
      <c r="D2886" s="295" t="s">
        <v>2</v>
      </c>
      <c r="E2886" s="296">
        <v>1.1023000000000001</v>
      </c>
    </row>
    <row r="2887" spans="1:5" x14ac:dyDescent="0.3">
      <c r="A2887" s="295">
        <v>2023</v>
      </c>
      <c r="B2887" s="295">
        <v>7</v>
      </c>
      <c r="C2887" s="295" t="s">
        <v>1</v>
      </c>
      <c r="D2887" s="295" t="s">
        <v>259</v>
      </c>
      <c r="E2887" s="296">
        <v>0.85765000000000002</v>
      </c>
    </row>
    <row r="2888" spans="1:5" x14ac:dyDescent="0.3">
      <c r="A2888" s="295">
        <v>2023</v>
      </c>
      <c r="B2888" s="295">
        <v>7</v>
      </c>
      <c r="C2888" s="295" t="s">
        <v>1</v>
      </c>
      <c r="D2888" s="295" t="s">
        <v>85</v>
      </c>
      <c r="E2888" s="296">
        <v>5.2031000000000001</v>
      </c>
    </row>
    <row r="2889" spans="1:5" x14ac:dyDescent="0.3">
      <c r="A2889" s="295">
        <v>2023</v>
      </c>
      <c r="B2889" s="295">
        <v>7</v>
      </c>
      <c r="C2889" s="295" t="s">
        <v>1</v>
      </c>
      <c r="D2889" s="295" t="s">
        <v>101</v>
      </c>
      <c r="E2889" s="296">
        <v>18.408799999999999</v>
      </c>
    </row>
    <row r="2890" spans="1:5" x14ac:dyDescent="0.3">
      <c r="A2890" s="295">
        <v>2023</v>
      </c>
      <c r="B2890" s="295">
        <v>7</v>
      </c>
      <c r="C2890" s="295" t="s">
        <v>1</v>
      </c>
      <c r="D2890" s="295" t="s">
        <v>179</v>
      </c>
      <c r="E2890" s="296">
        <v>924.22299999999996</v>
      </c>
    </row>
    <row r="2891" spans="1:5" x14ac:dyDescent="0.3">
      <c r="A2891" s="295">
        <v>2023</v>
      </c>
      <c r="B2891" s="295">
        <v>7</v>
      </c>
      <c r="C2891" s="295" t="s">
        <v>1</v>
      </c>
      <c r="D2891" s="295" t="s">
        <v>352</v>
      </c>
      <c r="E2891" s="296">
        <v>7.8807999999999998</v>
      </c>
    </row>
    <row r="2892" spans="1:5" x14ac:dyDescent="0.3">
      <c r="A2892" s="295">
        <v>2023</v>
      </c>
      <c r="B2892" s="295">
        <v>7</v>
      </c>
      <c r="C2892" s="295" t="s">
        <v>1</v>
      </c>
      <c r="D2892" s="295" t="s">
        <v>426</v>
      </c>
      <c r="E2892" s="296">
        <v>0.96189999999999998</v>
      </c>
    </row>
    <row r="2893" spans="1:5" x14ac:dyDescent="0.3">
      <c r="A2893" s="295">
        <v>2023</v>
      </c>
      <c r="B2893" s="295">
        <v>7</v>
      </c>
      <c r="C2893" s="295" t="s">
        <v>2</v>
      </c>
      <c r="D2893" s="295" t="s">
        <v>1</v>
      </c>
      <c r="E2893" s="296">
        <v>0.9071940488070398</v>
      </c>
    </row>
    <row r="2894" spans="1:5" x14ac:dyDescent="0.3">
      <c r="A2894" s="295">
        <v>2023</v>
      </c>
      <c r="B2894" s="295">
        <v>7</v>
      </c>
      <c r="C2894" s="295" t="s">
        <v>2</v>
      </c>
      <c r="D2894" s="295" t="s">
        <v>259</v>
      </c>
      <c r="E2894" s="296">
        <v>0.78988000000000003</v>
      </c>
    </row>
    <row r="2895" spans="1:5" x14ac:dyDescent="0.3">
      <c r="A2895" s="295">
        <v>2023</v>
      </c>
      <c r="B2895" s="295">
        <v>7</v>
      </c>
      <c r="C2895" s="295" t="s">
        <v>2</v>
      </c>
      <c r="D2895" s="295" t="s">
        <v>85</v>
      </c>
      <c r="E2895" s="296">
        <v>4.8580899999999998</v>
      </c>
    </row>
    <row r="2896" spans="1:5" x14ac:dyDescent="0.3">
      <c r="A2896" s="295">
        <v>2023</v>
      </c>
      <c r="B2896" s="295">
        <v>7</v>
      </c>
      <c r="C2896" s="295" t="s">
        <v>2</v>
      </c>
      <c r="D2896" s="295" t="s">
        <v>101</v>
      </c>
      <c r="E2896" s="296">
        <v>17.082090000000001</v>
      </c>
    </row>
    <row r="2897" spans="1:5" x14ac:dyDescent="0.3">
      <c r="A2897" s="295">
        <v>2023</v>
      </c>
      <c r="B2897" s="295">
        <v>7</v>
      </c>
      <c r="C2897" s="295" t="s">
        <v>2</v>
      </c>
      <c r="D2897" s="295" t="s">
        <v>179</v>
      </c>
      <c r="E2897" s="296">
        <v>800.93043</v>
      </c>
    </row>
    <row r="2898" spans="1:5" x14ac:dyDescent="0.3">
      <c r="A2898" s="295">
        <v>2023</v>
      </c>
      <c r="B2898" s="295">
        <v>7</v>
      </c>
      <c r="C2898" s="295" t="s">
        <v>2</v>
      </c>
      <c r="D2898" s="295" t="s">
        <v>352</v>
      </c>
      <c r="E2898" s="296">
        <v>7.2688199999999998</v>
      </c>
    </row>
    <row r="2899" spans="1:5" x14ac:dyDescent="0.3">
      <c r="A2899" s="295">
        <v>2023</v>
      </c>
      <c r="B2899" s="295">
        <v>7</v>
      </c>
      <c r="C2899" s="295" t="s">
        <v>2</v>
      </c>
      <c r="D2899" s="295" t="s">
        <v>426</v>
      </c>
      <c r="E2899" s="296">
        <v>0.87263000000000002</v>
      </c>
    </row>
    <row r="2900" spans="1:5" x14ac:dyDescent="0.3">
      <c r="A2900" s="295">
        <v>2023</v>
      </c>
      <c r="B2900" s="295">
        <v>7</v>
      </c>
      <c r="C2900" s="295" t="s">
        <v>259</v>
      </c>
      <c r="D2900" s="295" t="s">
        <v>1</v>
      </c>
      <c r="E2900" s="296">
        <v>1.1659767970617385</v>
      </c>
    </row>
    <row r="2901" spans="1:5" x14ac:dyDescent="0.3">
      <c r="A2901" s="295">
        <v>2023</v>
      </c>
      <c r="B2901" s="295">
        <v>7</v>
      </c>
      <c r="C2901" s="295" t="s">
        <v>259</v>
      </c>
      <c r="D2901" s="295" t="s">
        <v>2</v>
      </c>
      <c r="E2901" s="296">
        <v>1.2660150908998835</v>
      </c>
    </row>
    <row r="2902" spans="1:5" x14ac:dyDescent="0.3">
      <c r="A2902" s="295">
        <v>2023</v>
      </c>
      <c r="B2902" s="295">
        <v>7</v>
      </c>
      <c r="C2902" s="295" t="s">
        <v>259</v>
      </c>
      <c r="D2902" s="295" t="s">
        <v>85</v>
      </c>
      <c r="E2902" s="296">
        <v>6.1504399999999997</v>
      </c>
    </row>
    <row r="2903" spans="1:5" x14ac:dyDescent="0.3">
      <c r="A2903" s="295">
        <v>2023</v>
      </c>
      <c r="B2903" s="295">
        <v>7</v>
      </c>
      <c r="C2903" s="295" t="s">
        <v>259</v>
      </c>
      <c r="D2903" s="295" t="s">
        <v>101</v>
      </c>
      <c r="E2903" s="296">
        <v>21.626280000000001</v>
      </c>
    </row>
    <row r="2904" spans="1:5" x14ac:dyDescent="0.3">
      <c r="A2904" s="295">
        <v>2023</v>
      </c>
      <c r="B2904" s="295">
        <v>7</v>
      </c>
      <c r="C2904" s="295" t="s">
        <v>259</v>
      </c>
      <c r="D2904" s="295" t="s">
        <v>179</v>
      </c>
      <c r="E2904" s="296">
        <v>1013.99427</v>
      </c>
    </row>
    <row r="2905" spans="1:5" x14ac:dyDescent="0.3">
      <c r="A2905" s="295">
        <v>2023</v>
      </c>
      <c r="B2905" s="295">
        <v>7</v>
      </c>
      <c r="C2905" s="295" t="s">
        <v>259</v>
      </c>
      <c r="D2905" s="295" t="s">
        <v>352</v>
      </c>
      <c r="E2905" s="296">
        <v>9.2024699999999999</v>
      </c>
    </row>
    <row r="2906" spans="1:5" x14ac:dyDescent="0.3">
      <c r="A2906" s="295">
        <v>2023</v>
      </c>
      <c r="B2906" s="295">
        <v>7</v>
      </c>
      <c r="C2906" s="295" t="s">
        <v>259</v>
      </c>
      <c r="D2906" s="295" t="s">
        <v>426</v>
      </c>
      <c r="E2906" s="296">
        <v>1.12155</v>
      </c>
    </row>
    <row r="2907" spans="1:5" x14ac:dyDescent="0.3">
      <c r="A2907" s="295">
        <v>2023</v>
      </c>
      <c r="B2907" s="295">
        <v>7</v>
      </c>
      <c r="C2907" s="295" t="s">
        <v>85</v>
      </c>
      <c r="D2907" s="295" t="s">
        <v>1</v>
      </c>
      <c r="E2907" s="296">
        <v>0.19219311564259767</v>
      </c>
    </row>
    <row r="2908" spans="1:5" x14ac:dyDescent="0.3">
      <c r="A2908" s="295">
        <v>2023</v>
      </c>
      <c r="B2908" s="295">
        <v>7</v>
      </c>
      <c r="C2908" s="295" t="s">
        <v>85</v>
      </c>
      <c r="D2908" s="295" t="s">
        <v>2</v>
      </c>
      <c r="E2908" s="296">
        <v>0.20584221370950312</v>
      </c>
    </row>
    <row r="2909" spans="1:5" x14ac:dyDescent="0.3">
      <c r="A2909" s="295">
        <v>2023</v>
      </c>
      <c r="B2909" s="295">
        <v>7</v>
      </c>
      <c r="C2909" s="295" t="s">
        <v>85</v>
      </c>
      <c r="D2909" s="295" t="s">
        <v>259</v>
      </c>
      <c r="E2909" s="296">
        <v>0.16258999356143627</v>
      </c>
    </row>
    <row r="2910" spans="1:5" x14ac:dyDescent="0.3">
      <c r="A2910" s="295">
        <v>2023</v>
      </c>
      <c r="B2910" s="295">
        <v>7</v>
      </c>
      <c r="C2910" s="295" t="s">
        <v>85</v>
      </c>
      <c r="D2910" s="295" t="s">
        <v>101</v>
      </c>
      <c r="E2910" s="296">
        <v>3.5162200000000001</v>
      </c>
    </row>
    <row r="2911" spans="1:5" x14ac:dyDescent="0.3">
      <c r="A2911" s="295">
        <v>2023</v>
      </c>
      <c r="B2911" s="295">
        <v>7</v>
      </c>
      <c r="C2911" s="295" t="s">
        <v>85</v>
      </c>
      <c r="D2911" s="295" t="s">
        <v>179</v>
      </c>
      <c r="E2911" s="296">
        <v>164.86530999999999</v>
      </c>
    </row>
    <row r="2912" spans="1:5" x14ac:dyDescent="0.3">
      <c r="A2912" s="295">
        <v>2023</v>
      </c>
      <c r="B2912" s="295">
        <v>7</v>
      </c>
      <c r="C2912" s="295" t="s">
        <v>85</v>
      </c>
      <c r="D2912" s="295" t="s">
        <v>352</v>
      </c>
      <c r="E2912" s="296">
        <v>1.4962299999999999</v>
      </c>
    </row>
    <row r="2913" spans="1:5" x14ac:dyDescent="0.3">
      <c r="A2913" s="295">
        <v>2023</v>
      </c>
      <c r="B2913" s="295">
        <v>7</v>
      </c>
      <c r="C2913" s="295" t="s">
        <v>85</v>
      </c>
      <c r="D2913" s="295" t="s">
        <v>426</v>
      </c>
      <c r="E2913" s="296">
        <v>0.18487000000000001</v>
      </c>
    </row>
    <row r="2914" spans="1:5" x14ac:dyDescent="0.3">
      <c r="A2914" s="295">
        <v>2023</v>
      </c>
      <c r="B2914" s="295">
        <v>7</v>
      </c>
      <c r="C2914" s="295" t="s">
        <v>101</v>
      </c>
      <c r="D2914" s="295" t="s">
        <v>1</v>
      </c>
      <c r="E2914" s="296">
        <v>5.4321846073616967E-2</v>
      </c>
    </row>
    <row r="2915" spans="1:5" x14ac:dyDescent="0.3">
      <c r="A2915" s="295">
        <v>2023</v>
      </c>
      <c r="B2915" s="295">
        <v>7</v>
      </c>
      <c r="C2915" s="295" t="s">
        <v>101</v>
      </c>
      <c r="D2915" s="295" t="s">
        <v>2</v>
      </c>
      <c r="E2915" s="296">
        <v>5.8540845997181838E-2</v>
      </c>
    </row>
    <row r="2916" spans="1:5" x14ac:dyDescent="0.3">
      <c r="A2916" s="295">
        <v>2023</v>
      </c>
      <c r="B2916" s="295">
        <v>7</v>
      </c>
      <c r="C2916" s="295" t="s">
        <v>101</v>
      </c>
      <c r="D2916" s="295" t="s">
        <v>259</v>
      </c>
      <c r="E2916" s="296">
        <v>4.6240037583902542E-2</v>
      </c>
    </row>
    <row r="2917" spans="1:5" x14ac:dyDescent="0.3">
      <c r="A2917" s="295">
        <v>2023</v>
      </c>
      <c r="B2917" s="295">
        <v>7</v>
      </c>
      <c r="C2917" s="295" t="s">
        <v>101</v>
      </c>
      <c r="D2917" s="295" t="s">
        <v>85</v>
      </c>
      <c r="E2917" s="296">
        <v>0.28439631194862663</v>
      </c>
    </row>
    <row r="2918" spans="1:5" x14ac:dyDescent="0.3">
      <c r="A2918" s="295">
        <v>2023</v>
      </c>
      <c r="B2918" s="295">
        <v>7</v>
      </c>
      <c r="C2918" s="295" t="s">
        <v>101</v>
      </c>
      <c r="D2918" s="295" t="s">
        <v>179</v>
      </c>
      <c r="E2918" s="296">
        <v>46.887140000000002</v>
      </c>
    </row>
    <row r="2919" spans="1:5" x14ac:dyDescent="0.3">
      <c r="A2919" s="295">
        <v>2023</v>
      </c>
      <c r="B2919" s="295">
        <v>7</v>
      </c>
      <c r="C2919" s="295" t="s">
        <v>101</v>
      </c>
      <c r="D2919" s="295" t="s">
        <v>352</v>
      </c>
      <c r="E2919" s="296">
        <v>0.42552000000000001</v>
      </c>
    </row>
    <row r="2920" spans="1:5" x14ac:dyDescent="0.3">
      <c r="A2920" s="295">
        <v>2023</v>
      </c>
      <c r="B2920" s="295">
        <v>7</v>
      </c>
      <c r="C2920" s="295" t="s">
        <v>101</v>
      </c>
      <c r="D2920" s="295" t="s">
        <v>426</v>
      </c>
      <c r="E2920" s="296">
        <v>5.2249999999999998E-2</v>
      </c>
    </row>
    <row r="2921" spans="1:5" x14ac:dyDescent="0.3">
      <c r="A2921" s="295">
        <v>2023</v>
      </c>
      <c r="B2921" s="295">
        <v>7</v>
      </c>
      <c r="C2921" s="295" t="s">
        <v>179</v>
      </c>
      <c r="D2921" s="295" t="s">
        <v>1</v>
      </c>
      <c r="E2921" s="296">
        <v>1.0819899526412998E-3</v>
      </c>
    </row>
    <row r="2922" spans="1:5" x14ac:dyDescent="0.3">
      <c r="A2922" s="295">
        <v>2023</v>
      </c>
      <c r="B2922" s="295">
        <v>7</v>
      </c>
      <c r="C2922" s="295" t="s">
        <v>179</v>
      </c>
      <c r="D2922" s="295" t="s">
        <v>2</v>
      </c>
      <c r="E2922" s="296">
        <v>1.24854789198108E-3</v>
      </c>
    </row>
    <row r="2923" spans="1:5" x14ac:dyDescent="0.3">
      <c r="A2923" s="295">
        <v>2023</v>
      </c>
      <c r="B2923" s="295">
        <v>7</v>
      </c>
      <c r="C2923" s="295" t="s">
        <v>179</v>
      </c>
      <c r="D2923" s="295" t="s">
        <v>259</v>
      </c>
      <c r="E2923" s="296">
        <v>9.8619886678452326E-4</v>
      </c>
    </row>
    <row r="2924" spans="1:5" x14ac:dyDescent="0.3">
      <c r="A2924" s="295">
        <v>2023</v>
      </c>
      <c r="B2924" s="295">
        <v>7</v>
      </c>
      <c r="C2924" s="295" t="s">
        <v>179</v>
      </c>
      <c r="D2924" s="295" t="s">
        <v>85</v>
      </c>
      <c r="E2924" s="296">
        <v>6.0655573934868413E-3</v>
      </c>
    </row>
    <row r="2925" spans="1:5" x14ac:dyDescent="0.3">
      <c r="A2925" s="295">
        <v>2023</v>
      </c>
      <c r="B2925" s="295">
        <v>7</v>
      </c>
      <c r="C2925" s="295" t="s">
        <v>179</v>
      </c>
      <c r="D2925" s="295" t="s">
        <v>101</v>
      </c>
      <c r="E2925" s="296">
        <v>2.1327809714987947E-2</v>
      </c>
    </row>
    <row r="2926" spans="1:5" x14ac:dyDescent="0.3">
      <c r="A2926" s="295">
        <v>2023</v>
      </c>
      <c r="B2926" s="295">
        <v>7</v>
      </c>
      <c r="C2926" s="295" t="s">
        <v>179</v>
      </c>
      <c r="D2926" s="295" t="s">
        <v>352</v>
      </c>
      <c r="E2926" s="296">
        <v>9.0799999999999995E-3</v>
      </c>
    </row>
    <row r="2927" spans="1:5" x14ac:dyDescent="0.3">
      <c r="A2927" s="295">
        <v>2023</v>
      </c>
      <c r="B2927" s="295">
        <v>7</v>
      </c>
      <c r="C2927" s="295" t="s">
        <v>179</v>
      </c>
      <c r="D2927" s="295" t="s">
        <v>426</v>
      </c>
      <c r="E2927" s="296">
        <v>1.0399999999999999E-3</v>
      </c>
    </row>
    <row r="2928" spans="1:5" x14ac:dyDescent="0.3">
      <c r="A2928" s="295">
        <v>2023</v>
      </c>
      <c r="B2928" s="295">
        <v>7</v>
      </c>
      <c r="C2928" s="295" t="s">
        <v>352</v>
      </c>
      <c r="D2928" s="295" t="s">
        <v>1</v>
      </c>
      <c r="E2928" s="296">
        <v>0.12689067099786824</v>
      </c>
    </row>
    <row r="2929" spans="1:5" x14ac:dyDescent="0.3">
      <c r="A2929" s="295">
        <v>2023</v>
      </c>
      <c r="B2929" s="295">
        <v>7</v>
      </c>
      <c r="C2929" s="295" t="s">
        <v>352</v>
      </c>
      <c r="D2929" s="295" t="s">
        <v>2</v>
      </c>
      <c r="E2929" s="296">
        <v>0.13757391158399851</v>
      </c>
    </row>
    <row r="2930" spans="1:5" x14ac:dyDescent="0.3">
      <c r="A2930" s="295">
        <v>2023</v>
      </c>
      <c r="B2930" s="295">
        <v>7</v>
      </c>
      <c r="C2930" s="295" t="s">
        <v>352</v>
      </c>
      <c r="D2930" s="295" t="s">
        <v>259</v>
      </c>
      <c r="E2930" s="296">
        <v>0.10866647758699567</v>
      </c>
    </row>
    <row r="2931" spans="1:5" x14ac:dyDescent="0.3">
      <c r="A2931" s="295">
        <v>2023</v>
      </c>
      <c r="B2931" s="295">
        <v>7</v>
      </c>
      <c r="C2931" s="295" t="s">
        <v>352</v>
      </c>
      <c r="D2931" s="295" t="s">
        <v>85</v>
      </c>
      <c r="E2931" s="296">
        <v>0.66834644406274435</v>
      </c>
    </row>
    <row r="2932" spans="1:5" x14ac:dyDescent="0.3">
      <c r="A2932" s="295">
        <v>2023</v>
      </c>
      <c r="B2932" s="295">
        <v>7</v>
      </c>
      <c r="C2932" s="295" t="s">
        <v>352</v>
      </c>
      <c r="D2932" s="295" t="s">
        <v>101</v>
      </c>
      <c r="E2932" s="296">
        <v>2.3500658018424514</v>
      </c>
    </row>
    <row r="2933" spans="1:5" x14ac:dyDescent="0.3">
      <c r="A2933" s="295">
        <v>2023</v>
      </c>
      <c r="B2933" s="295">
        <v>7</v>
      </c>
      <c r="C2933" s="295" t="s">
        <v>352</v>
      </c>
      <c r="D2933" s="295" t="s">
        <v>179</v>
      </c>
      <c r="E2933" s="296">
        <v>110.13215859030838</v>
      </c>
    </row>
    <row r="2934" spans="1:5" x14ac:dyDescent="0.3">
      <c r="A2934" s="295">
        <v>2023</v>
      </c>
      <c r="B2934" s="295">
        <v>7</v>
      </c>
      <c r="C2934" s="295" t="s">
        <v>352</v>
      </c>
      <c r="D2934" s="295" t="s">
        <v>426</v>
      </c>
      <c r="E2934" s="296">
        <v>0.12206</v>
      </c>
    </row>
    <row r="2935" spans="1:5" x14ac:dyDescent="0.3">
      <c r="A2935" s="295">
        <v>2023</v>
      </c>
      <c r="B2935" s="295">
        <v>7</v>
      </c>
      <c r="C2935" s="295" t="s">
        <v>426</v>
      </c>
      <c r="D2935" s="295" t="s">
        <v>1</v>
      </c>
      <c r="E2935" s="296">
        <v>1.0396091069757771</v>
      </c>
    </row>
    <row r="2936" spans="1:5" x14ac:dyDescent="0.3">
      <c r="A2936" s="295">
        <v>2023</v>
      </c>
      <c r="B2936" s="295">
        <v>7</v>
      </c>
      <c r="C2936" s="295" t="s">
        <v>426</v>
      </c>
      <c r="D2936" s="295" t="s">
        <v>2</v>
      </c>
      <c r="E2936" s="296">
        <v>1.1459610602431729</v>
      </c>
    </row>
    <row r="2937" spans="1:5" x14ac:dyDescent="0.3">
      <c r="A2937" s="295">
        <v>2023</v>
      </c>
      <c r="B2937" s="295">
        <v>7</v>
      </c>
      <c r="C2937" s="295" t="s">
        <v>426</v>
      </c>
      <c r="D2937" s="295" t="s">
        <v>259</v>
      </c>
      <c r="E2937" s="296">
        <v>0.89162320003566486</v>
      </c>
    </row>
    <row r="2938" spans="1:5" x14ac:dyDescent="0.3">
      <c r="A2938" s="295">
        <v>2023</v>
      </c>
      <c r="B2938" s="295">
        <v>7</v>
      </c>
      <c r="C2938" s="295" t="s">
        <v>426</v>
      </c>
      <c r="D2938" s="295" t="s">
        <v>85</v>
      </c>
      <c r="E2938" s="296">
        <v>5.409206469410937</v>
      </c>
    </row>
    <row r="2939" spans="1:5" x14ac:dyDescent="0.3">
      <c r="A2939" s="295">
        <v>2023</v>
      </c>
      <c r="B2939" s="295">
        <v>7</v>
      </c>
      <c r="C2939" s="295" t="s">
        <v>426</v>
      </c>
      <c r="D2939" s="295" t="s">
        <v>101</v>
      </c>
      <c r="E2939" s="296">
        <v>19.138755980861244</v>
      </c>
    </row>
    <row r="2940" spans="1:5" x14ac:dyDescent="0.3">
      <c r="A2940" s="295">
        <v>2023</v>
      </c>
      <c r="B2940" s="295">
        <v>7</v>
      </c>
      <c r="C2940" s="295" t="s">
        <v>426</v>
      </c>
      <c r="D2940" s="295" t="s">
        <v>179</v>
      </c>
      <c r="E2940" s="296">
        <v>961.53846153846166</v>
      </c>
    </row>
    <row r="2941" spans="1:5" x14ac:dyDescent="0.3">
      <c r="A2941" s="295">
        <v>2023</v>
      </c>
      <c r="B2941" s="295">
        <v>7</v>
      </c>
      <c r="C2941" s="295" t="s">
        <v>426</v>
      </c>
      <c r="D2941" s="295" t="s">
        <v>352</v>
      </c>
      <c r="E2941" s="296">
        <v>8.1926921186301822</v>
      </c>
    </row>
    <row r="2942" spans="1:5" x14ac:dyDescent="0.3">
      <c r="A2942" s="295">
        <v>2023</v>
      </c>
      <c r="B2942" s="295">
        <v>7</v>
      </c>
      <c r="C2942" s="295" t="s">
        <v>1</v>
      </c>
      <c r="D2942" s="295" t="s">
        <v>1</v>
      </c>
      <c r="E2942" s="296">
        <v>1</v>
      </c>
    </row>
    <row r="2943" spans="1:5" x14ac:dyDescent="0.3">
      <c r="A2943" s="295">
        <v>2023</v>
      </c>
      <c r="B2943" s="295">
        <v>7</v>
      </c>
      <c r="C2943" s="295" t="s">
        <v>2</v>
      </c>
      <c r="D2943" s="295" t="s">
        <v>2</v>
      </c>
      <c r="E2943" s="296">
        <v>1</v>
      </c>
    </row>
    <row r="2944" spans="1:5" x14ac:dyDescent="0.3">
      <c r="A2944" s="295">
        <v>2023</v>
      </c>
      <c r="B2944" s="295">
        <v>7</v>
      </c>
      <c r="C2944" s="295" t="s">
        <v>259</v>
      </c>
      <c r="D2944" s="295" t="s">
        <v>259</v>
      </c>
      <c r="E2944" s="296">
        <v>1</v>
      </c>
    </row>
    <row r="2945" spans="1:5" x14ac:dyDescent="0.3">
      <c r="A2945" s="295">
        <v>2023</v>
      </c>
      <c r="B2945" s="295">
        <v>7</v>
      </c>
      <c r="C2945" s="295" t="s">
        <v>85</v>
      </c>
      <c r="D2945" s="295" t="s">
        <v>85</v>
      </c>
      <c r="E2945" s="296">
        <v>1</v>
      </c>
    </row>
    <row r="2946" spans="1:5" x14ac:dyDescent="0.3">
      <c r="A2946" s="295">
        <v>2023</v>
      </c>
      <c r="B2946" s="295">
        <v>7</v>
      </c>
      <c r="C2946" s="295" t="s">
        <v>101</v>
      </c>
      <c r="D2946" s="295" t="s">
        <v>101</v>
      </c>
      <c r="E2946" s="296">
        <v>1</v>
      </c>
    </row>
    <row r="2947" spans="1:5" x14ac:dyDescent="0.3">
      <c r="A2947" s="295">
        <v>2023</v>
      </c>
      <c r="B2947" s="295">
        <v>7</v>
      </c>
      <c r="C2947" s="295" t="s">
        <v>179</v>
      </c>
      <c r="D2947" s="295" t="s">
        <v>179</v>
      </c>
      <c r="E2947" s="296">
        <v>1</v>
      </c>
    </row>
    <row r="2948" spans="1:5" x14ac:dyDescent="0.3">
      <c r="A2948" s="295">
        <v>2023</v>
      </c>
      <c r="B2948" s="295">
        <v>7</v>
      </c>
      <c r="C2948" s="295" t="s">
        <v>352</v>
      </c>
      <c r="D2948" s="295" t="s">
        <v>352</v>
      </c>
      <c r="E2948" s="296">
        <v>1</v>
      </c>
    </row>
    <row r="2949" spans="1:5" x14ac:dyDescent="0.3">
      <c r="A2949" s="295">
        <v>2023</v>
      </c>
      <c r="B2949" s="295">
        <v>7</v>
      </c>
      <c r="C2949" s="295" t="s">
        <v>426</v>
      </c>
      <c r="D2949" s="295" t="s">
        <v>426</v>
      </c>
      <c r="E2949" s="296">
        <v>1</v>
      </c>
    </row>
    <row r="2950" spans="1:5" x14ac:dyDescent="0.3">
      <c r="A2950" s="295">
        <v>2023</v>
      </c>
      <c r="B2950" s="295">
        <v>8</v>
      </c>
      <c r="C2950" s="295" t="s">
        <v>1</v>
      </c>
      <c r="D2950" s="295" t="s">
        <v>2</v>
      </c>
      <c r="E2950" s="296">
        <v>1.0868</v>
      </c>
    </row>
    <row r="2951" spans="1:5" x14ac:dyDescent="0.3">
      <c r="A2951" s="295">
        <v>2023</v>
      </c>
      <c r="B2951" s="295">
        <v>8</v>
      </c>
      <c r="C2951" s="295" t="s">
        <v>1</v>
      </c>
      <c r="D2951" s="295" t="s">
        <v>259</v>
      </c>
      <c r="E2951" s="296">
        <v>0.85718000000000005</v>
      </c>
    </row>
    <row r="2952" spans="1:5" x14ac:dyDescent="0.3">
      <c r="A2952" s="295">
        <v>2023</v>
      </c>
      <c r="B2952" s="295">
        <v>8</v>
      </c>
      <c r="C2952" s="295" t="s">
        <v>1</v>
      </c>
      <c r="D2952" s="295" t="s">
        <v>85</v>
      </c>
      <c r="E2952" s="296">
        <v>5.3082000000000003</v>
      </c>
    </row>
    <row r="2953" spans="1:5" x14ac:dyDescent="0.3">
      <c r="A2953" s="295">
        <v>2023</v>
      </c>
      <c r="B2953" s="295">
        <v>8</v>
      </c>
      <c r="C2953" s="295" t="s">
        <v>1</v>
      </c>
      <c r="D2953" s="295" t="s">
        <v>101</v>
      </c>
      <c r="E2953" s="296">
        <v>18.186599999999999</v>
      </c>
    </row>
    <row r="2954" spans="1:5" x14ac:dyDescent="0.3">
      <c r="A2954" s="295">
        <v>2023</v>
      </c>
      <c r="B2954" s="295">
        <v>8</v>
      </c>
      <c r="C2954" s="295" t="s">
        <v>1</v>
      </c>
      <c r="D2954" s="295" t="s">
        <v>179</v>
      </c>
      <c r="E2954" s="296">
        <v>925.73599999999999</v>
      </c>
    </row>
    <row r="2955" spans="1:5" x14ac:dyDescent="0.3">
      <c r="A2955" s="295">
        <v>2023</v>
      </c>
      <c r="B2955" s="295">
        <v>8</v>
      </c>
      <c r="C2955" s="295" t="s">
        <v>1</v>
      </c>
      <c r="D2955" s="295" t="s">
        <v>352</v>
      </c>
      <c r="E2955" s="296">
        <v>7.9196</v>
      </c>
    </row>
    <row r="2956" spans="1:5" x14ac:dyDescent="0.3">
      <c r="A2956" s="295">
        <v>2023</v>
      </c>
      <c r="B2956" s="295">
        <v>8</v>
      </c>
      <c r="C2956" s="295" t="s">
        <v>1</v>
      </c>
      <c r="D2956" s="295" t="s">
        <v>426</v>
      </c>
      <c r="E2956" s="296">
        <v>0.95840000000000003</v>
      </c>
    </row>
    <row r="2957" spans="1:5" x14ac:dyDescent="0.3">
      <c r="A2957" s="295">
        <v>2023</v>
      </c>
      <c r="B2957" s="295">
        <v>8</v>
      </c>
      <c r="C2957" s="295" t="s">
        <v>2</v>
      </c>
      <c r="D2957" s="295" t="s">
        <v>1</v>
      </c>
      <c r="E2957" s="296">
        <v>0.92013249907986749</v>
      </c>
    </row>
    <row r="2958" spans="1:5" x14ac:dyDescent="0.3">
      <c r="A2958" s="295">
        <v>2023</v>
      </c>
      <c r="B2958" s="295">
        <v>8</v>
      </c>
      <c r="C2958" s="295" t="s">
        <v>2</v>
      </c>
      <c r="D2958" s="295" t="s">
        <v>259</v>
      </c>
      <c r="E2958" s="296">
        <v>0.78871999999999998</v>
      </c>
    </row>
    <row r="2959" spans="1:5" x14ac:dyDescent="0.3">
      <c r="A2959" s="295">
        <v>2023</v>
      </c>
      <c r="B2959" s="295">
        <v>8</v>
      </c>
      <c r="C2959" s="295" t="s">
        <v>2</v>
      </c>
      <c r="D2959" s="295" t="s">
        <v>85</v>
      </c>
      <c r="E2959" s="296">
        <v>4.8842499999999998</v>
      </c>
    </row>
    <row r="2960" spans="1:5" x14ac:dyDescent="0.3">
      <c r="A2960" s="295">
        <v>2023</v>
      </c>
      <c r="B2960" s="295">
        <v>8</v>
      </c>
      <c r="C2960" s="295" t="s">
        <v>2</v>
      </c>
      <c r="D2960" s="295" t="s">
        <v>101</v>
      </c>
      <c r="E2960" s="296">
        <v>16.734079999999999</v>
      </c>
    </row>
    <row r="2961" spans="1:5" x14ac:dyDescent="0.3">
      <c r="A2961" s="295">
        <v>2023</v>
      </c>
      <c r="B2961" s="295">
        <v>8</v>
      </c>
      <c r="C2961" s="295" t="s">
        <v>2</v>
      </c>
      <c r="D2961" s="295" t="s">
        <v>179</v>
      </c>
      <c r="E2961" s="296">
        <v>851.79978000000006</v>
      </c>
    </row>
    <row r="2962" spans="1:5" x14ac:dyDescent="0.3">
      <c r="A2962" s="295">
        <v>2023</v>
      </c>
      <c r="B2962" s="295">
        <v>8</v>
      </c>
      <c r="C2962" s="295" t="s">
        <v>2</v>
      </c>
      <c r="D2962" s="295" t="s">
        <v>352</v>
      </c>
      <c r="E2962" s="296">
        <v>7.2870799999999996</v>
      </c>
    </row>
    <row r="2963" spans="1:5" x14ac:dyDescent="0.3">
      <c r="A2963" s="295">
        <v>2023</v>
      </c>
      <c r="B2963" s="295">
        <v>8</v>
      </c>
      <c r="C2963" s="295" t="s">
        <v>2</v>
      </c>
      <c r="D2963" s="295" t="s">
        <v>426</v>
      </c>
      <c r="E2963" s="296">
        <v>0.88185000000000002</v>
      </c>
    </row>
    <row r="2964" spans="1:5" x14ac:dyDescent="0.3">
      <c r="A2964" s="295">
        <v>2023</v>
      </c>
      <c r="B2964" s="295">
        <v>8</v>
      </c>
      <c r="C2964" s="295" t="s">
        <v>259</v>
      </c>
      <c r="D2964" s="295" t="s">
        <v>1</v>
      </c>
      <c r="E2964" s="296">
        <v>1.1666161133017567</v>
      </c>
    </row>
    <row r="2965" spans="1:5" x14ac:dyDescent="0.3">
      <c r="A2965" s="295">
        <v>2023</v>
      </c>
      <c r="B2965" s="295">
        <v>8</v>
      </c>
      <c r="C2965" s="295" t="s">
        <v>259</v>
      </c>
      <c r="D2965" s="295" t="s">
        <v>2</v>
      </c>
      <c r="E2965" s="296">
        <v>1.2678770666396186</v>
      </c>
    </row>
    <row r="2966" spans="1:5" x14ac:dyDescent="0.3">
      <c r="A2966" s="295">
        <v>2023</v>
      </c>
      <c r="B2966" s="295">
        <v>8</v>
      </c>
      <c r="C2966" s="295" t="s">
        <v>259</v>
      </c>
      <c r="D2966" s="295" t="s">
        <v>85</v>
      </c>
      <c r="E2966" s="296">
        <v>6.1926300000000003</v>
      </c>
    </row>
    <row r="2967" spans="1:5" x14ac:dyDescent="0.3">
      <c r="A2967" s="295">
        <v>2023</v>
      </c>
      <c r="B2967" s="295">
        <v>8</v>
      </c>
      <c r="C2967" s="295" t="s">
        <v>259</v>
      </c>
      <c r="D2967" s="295" t="s">
        <v>101</v>
      </c>
      <c r="E2967" s="296">
        <v>21.21678</v>
      </c>
    </row>
    <row r="2968" spans="1:5" x14ac:dyDescent="0.3">
      <c r="A2968" s="295">
        <v>2023</v>
      </c>
      <c r="B2968" s="295">
        <v>8</v>
      </c>
      <c r="C2968" s="295" t="s">
        <v>259</v>
      </c>
      <c r="D2968" s="295" t="s">
        <v>179</v>
      </c>
      <c r="E2968" s="296">
        <v>1079.9785300000001</v>
      </c>
    </row>
    <row r="2969" spans="1:5" x14ac:dyDescent="0.3">
      <c r="A2969" s="295">
        <v>2023</v>
      </c>
      <c r="B2969" s="295">
        <v>8</v>
      </c>
      <c r="C2969" s="295" t="s">
        <v>259</v>
      </c>
      <c r="D2969" s="295" t="s">
        <v>352</v>
      </c>
      <c r="E2969" s="296">
        <v>9.2391299999999994</v>
      </c>
    </row>
    <row r="2970" spans="1:5" x14ac:dyDescent="0.3">
      <c r="A2970" s="295">
        <v>2023</v>
      </c>
      <c r="B2970" s="295">
        <v>8</v>
      </c>
      <c r="C2970" s="295" t="s">
        <v>259</v>
      </c>
      <c r="D2970" s="295" t="s">
        <v>426</v>
      </c>
      <c r="E2970" s="296">
        <v>1.11808</v>
      </c>
    </row>
    <row r="2971" spans="1:5" x14ac:dyDescent="0.3">
      <c r="A2971" s="295">
        <v>2023</v>
      </c>
      <c r="B2971" s="295">
        <v>8</v>
      </c>
      <c r="C2971" s="295" t="s">
        <v>85</v>
      </c>
      <c r="D2971" s="295" t="s">
        <v>1</v>
      </c>
      <c r="E2971" s="296">
        <v>0.18838777740100221</v>
      </c>
    </row>
    <row r="2972" spans="1:5" x14ac:dyDescent="0.3">
      <c r="A2972" s="295">
        <v>2023</v>
      </c>
      <c r="B2972" s="295">
        <v>8</v>
      </c>
      <c r="C2972" s="295" t="s">
        <v>85</v>
      </c>
      <c r="D2972" s="295" t="s">
        <v>2</v>
      </c>
      <c r="E2972" s="296">
        <v>0.2047397246250704</v>
      </c>
    </row>
    <row r="2973" spans="1:5" x14ac:dyDescent="0.3">
      <c r="A2973" s="295">
        <v>2023</v>
      </c>
      <c r="B2973" s="295">
        <v>8</v>
      </c>
      <c r="C2973" s="295" t="s">
        <v>85</v>
      </c>
      <c r="D2973" s="295" t="s">
        <v>259</v>
      </c>
      <c r="E2973" s="296">
        <v>0.16148227812738691</v>
      </c>
    </row>
    <row r="2974" spans="1:5" x14ac:dyDescent="0.3">
      <c r="A2974" s="295">
        <v>2023</v>
      </c>
      <c r="B2974" s="295">
        <v>8</v>
      </c>
      <c r="C2974" s="295" t="s">
        <v>85</v>
      </c>
      <c r="D2974" s="295" t="s">
        <v>101</v>
      </c>
      <c r="E2974" s="296">
        <v>3.4261300000000001</v>
      </c>
    </row>
    <row r="2975" spans="1:5" x14ac:dyDescent="0.3">
      <c r="A2975" s="295">
        <v>2023</v>
      </c>
      <c r="B2975" s="295">
        <v>8</v>
      </c>
      <c r="C2975" s="295" t="s">
        <v>85</v>
      </c>
      <c r="D2975" s="295" t="s">
        <v>179</v>
      </c>
      <c r="E2975" s="296">
        <v>174.39734999999999</v>
      </c>
    </row>
    <row r="2976" spans="1:5" x14ac:dyDescent="0.3">
      <c r="A2976" s="295">
        <v>2023</v>
      </c>
      <c r="B2976" s="295">
        <v>8</v>
      </c>
      <c r="C2976" s="295" t="s">
        <v>85</v>
      </c>
      <c r="D2976" s="295" t="s">
        <v>352</v>
      </c>
      <c r="E2976" s="296">
        <v>1.49196</v>
      </c>
    </row>
    <row r="2977" spans="1:5" x14ac:dyDescent="0.3">
      <c r="A2977" s="295">
        <v>2023</v>
      </c>
      <c r="B2977" s="295">
        <v>8</v>
      </c>
      <c r="C2977" s="295" t="s">
        <v>85</v>
      </c>
      <c r="D2977" s="295" t="s">
        <v>426</v>
      </c>
      <c r="E2977" s="296">
        <v>0.18054999999999999</v>
      </c>
    </row>
    <row r="2978" spans="1:5" x14ac:dyDescent="0.3">
      <c r="A2978" s="295">
        <v>2023</v>
      </c>
      <c r="B2978" s="295">
        <v>8</v>
      </c>
      <c r="C2978" s="295" t="s">
        <v>101</v>
      </c>
      <c r="D2978" s="295" t="s">
        <v>1</v>
      </c>
      <c r="E2978" s="296">
        <v>5.4985538803294737E-2</v>
      </c>
    </row>
    <row r="2979" spans="1:5" x14ac:dyDescent="0.3">
      <c r="A2979" s="295">
        <v>2023</v>
      </c>
      <c r="B2979" s="295">
        <v>8</v>
      </c>
      <c r="C2979" s="295" t="s">
        <v>101</v>
      </c>
      <c r="D2979" s="295" t="s">
        <v>2</v>
      </c>
      <c r="E2979" s="296">
        <v>5.9758289669943017E-2</v>
      </c>
    </row>
    <row r="2980" spans="1:5" x14ac:dyDescent="0.3">
      <c r="A2980" s="295">
        <v>2023</v>
      </c>
      <c r="B2980" s="295">
        <v>8</v>
      </c>
      <c r="C2980" s="295" t="s">
        <v>101</v>
      </c>
      <c r="D2980" s="295" t="s">
        <v>259</v>
      </c>
      <c r="E2980" s="296">
        <v>4.7132505498006766E-2</v>
      </c>
    </row>
    <row r="2981" spans="1:5" x14ac:dyDescent="0.3">
      <c r="A2981" s="295">
        <v>2023</v>
      </c>
      <c r="B2981" s="295">
        <v>8</v>
      </c>
      <c r="C2981" s="295" t="s">
        <v>101</v>
      </c>
      <c r="D2981" s="295" t="s">
        <v>85</v>
      </c>
      <c r="E2981" s="296">
        <v>0.29187450563755607</v>
      </c>
    </row>
    <row r="2982" spans="1:5" x14ac:dyDescent="0.3">
      <c r="A2982" s="295">
        <v>2023</v>
      </c>
      <c r="B2982" s="295">
        <v>8</v>
      </c>
      <c r="C2982" s="295" t="s">
        <v>101</v>
      </c>
      <c r="D2982" s="295" t="s">
        <v>179</v>
      </c>
      <c r="E2982" s="296">
        <v>50.902090000000001</v>
      </c>
    </row>
    <row r="2983" spans="1:5" x14ac:dyDescent="0.3">
      <c r="A2983" s="295">
        <v>2023</v>
      </c>
      <c r="B2983" s="295">
        <v>8</v>
      </c>
      <c r="C2983" s="295" t="s">
        <v>101</v>
      </c>
      <c r="D2983" s="295" t="s">
        <v>352</v>
      </c>
      <c r="E2983" s="296">
        <v>0.43546000000000001</v>
      </c>
    </row>
    <row r="2984" spans="1:5" x14ac:dyDescent="0.3">
      <c r="A2984" s="295">
        <v>2023</v>
      </c>
      <c r="B2984" s="295">
        <v>8</v>
      </c>
      <c r="C2984" s="295" t="s">
        <v>101</v>
      </c>
      <c r="D2984" s="295" t="s">
        <v>426</v>
      </c>
      <c r="E2984" s="296">
        <v>5.2699999999999997E-2</v>
      </c>
    </row>
    <row r="2985" spans="1:5" x14ac:dyDescent="0.3">
      <c r="A2985" s="295">
        <v>2023</v>
      </c>
      <c r="B2985" s="295">
        <v>8</v>
      </c>
      <c r="C2985" s="295" t="s">
        <v>179</v>
      </c>
      <c r="D2985" s="295" t="s">
        <v>1</v>
      </c>
      <c r="E2985" s="296">
        <v>1.0802215750494741E-3</v>
      </c>
    </row>
    <row r="2986" spans="1:5" x14ac:dyDescent="0.3">
      <c r="A2986" s="295">
        <v>2023</v>
      </c>
      <c r="B2986" s="295">
        <v>8</v>
      </c>
      <c r="C2986" s="295" t="s">
        <v>179</v>
      </c>
      <c r="D2986" s="295" t="s">
        <v>2</v>
      </c>
      <c r="E2986" s="296">
        <v>1.1739848066173485E-3</v>
      </c>
    </row>
    <row r="2987" spans="1:5" x14ac:dyDescent="0.3">
      <c r="A2987" s="295">
        <v>2023</v>
      </c>
      <c r="B2987" s="295">
        <v>8</v>
      </c>
      <c r="C2987" s="295" t="s">
        <v>179</v>
      </c>
      <c r="D2987" s="295" t="s">
        <v>259</v>
      </c>
      <c r="E2987" s="296">
        <v>9.2594433335633065E-4</v>
      </c>
    </row>
    <row r="2988" spans="1:5" x14ac:dyDescent="0.3">
      <c r="A2988" s="295">
        <v>2023</v>
      </c>
      <c r="B2988" s="295">
        <v>8</v>
      </c>
      <c r="C2988" s="295" t="s">
        <v>179</v>
      </c>
      <c r="D2988" s="295" t="s">
        <v>85</v>
      </c>
      <c r="E2988" s="296">
        <v>5.7340320824829051E-3</v>
      </c>
    </row>
    <row r="2989" spans="1:5" x14ac:dyDescent="0.3">
      <c r="A2989" s="295">
        <v>2023</v>
      </c>
      <c r="B2989" s="295">
        <v>8</v>
      </c>
      <c r="C2989" s="295" t="s">
        <v>179</v>
      </c>
      <c r="D2989" s="295" t="s">
        <v>101</v>
      </c>
      <c r="E2989" s="296">
        <v>1.9645558757999917E-2</v>
      </c>
    </row>
    <row r="2990" spans="1:5" x14ac:dyDescent="0.3">
      <c r="A2990" s="295">
        <v>2023</v>
      </c>
      <c r="B2990" s="295">
        <v>8</v>
      </c>
      <c r="C2990" s="295" t="s">
        <v>179</v>
      </c>
      <c r="D2990" s="295" t="s">
        <v>352</v>
      </c>
      <c r="E2990" s="296">
        <v>8.5500000000000003E-3</v>
      </c>
    </row>
    <row r="2991" spans="1:5" x14ac:dyDescent="0.3">
      <c r="A2991" s="295">
        <v>2023</v>
      </c>
      <c r="B2991" s="295">
        <v>8</v>
      </c>
      <c r="C2991" s="295" t="s">
        <v>179</v>
      </c>
      <c r="D2991" s="295" t="s">
        <v>426</v>
      </c>
      <c r="E2991" s="296">
        <v>1.0399999999999999E-3</v>
      </c>
    </row>
    <row r="2992" spans="1:5" x14ac:dyDescent="0.3">
      <c r="A2992" s="295">
        <v>2023</v>
      </c>
      <c r="B2992" s="295">
        <v>8</v>
      </c>
      <c r="C2992" s="295" t="s">
        <v>352</v>
      </c>
      <c r="D2992" s="295" t="s">
        <v>1</v>
      </c>
      <c r="E2992" s="296">
        <v>0.12626900348502448</v>
      </c>
    </row>
    <row r="2993" spans="1:5" x14ac:dyDescent="0.3">
      <c r="A2993" s="295">
        <v>2023</v>
      </c>
      <c r="B2993" s="295">
        <v>8</v>
      </c>
      <c r="C2993" s="295" t="s">
        <v>352</v>
      </c>
      <c r="D2993" s="295" t="s">
        <v>2</v>
      </c>
      <c r="E2993" s="296">
        <v>0.13722917821678918</v>
      </c>
    </row>
    <row r="2994" spans="1:5" x14ac:dyDescent="0.3">
      <c r="A2994" s="295">
        <v>2023</v>
      </c>
      <c r="B2994" s="295">
        <v>8</v>
      </c>
      <c r="C2994" s="295" t="s">
        <v>352</v>
      </c>
      <c r="D2994" s="295" t="s">
        <v>259</v>
      </c>
      <c r="E2994" s="296">
        <v>0.10823529921107292</v>
      </c>
    </row>
    <row r="2995" spans="1:5" x14ac:dyDescent="0.3">
      <c r="A2995" s="295">
        <v>2023</v>
      </c>
      <c r="B2995" s="295">
        <v>8</v>
      </c>
      <c r="C2995" s="295" t="s">
        <v>352</v>
      </c>
      <c r="D2995" s="295" t="s">
        <v>85</v>
      </c>
      <c r="E2995" s="296">
        <v>0.67025925628032923</v>
      </c>
    </row>
    <row r="2996" spans="1:5" x14ac:dyDescent="0.3">
      <c r="A2996" s="295">
        <v>2023</v>
      </c>
      <c r="B2996" s="295">
        <v>8</v>
      </c>
      <c r="C2996" s="295" t="s">
        <v>352</v>
      </c>
      <c r="D2996" s="295" t="s">
        <v>101</v>
      </c>
      <c r="E2996" s="296">
        <v>2.2964221742525144</v>
      </c>
    </row>
    <row r="2997" spans="1:5" x14ac:dyDescent="0.3">
      <c r="A2997" s="295">
        <v>2023</v>
      </c>
      <c r="B2997" s="295">
        <v>8</v>
      </c>
      <c r="C2997" s="295" t="s">
        <v>352</v>
      </c>
      <c r="D2997" s="295" t="s">
        <v>179</v>
      </c>
      <c r="E2997" s="296">
        <v>116.95906432748538</v>
      </c>
    </row>
    <row r="2998" spans="1:5" x14ac:dyDescent="0.3">
      <c r="A2998" s="295">
        <v>2023</v>
      </c>
      <c r="B2998" s="295">
        <v>8</v>
      </c>
      <c r="C2998" s="295" t="s">
        <v>352</v>
      </c>
      <c r="D2998" s="295" t="s">
        <v>426</v>
      </c>
      <c r="E2998" s="296">
        <v>0.12102</v>
      </c>
    </row>
    <row r="2999" spans="1:5" x14ac:dyDescent="0.3">
      <c r="A2999" s="295">
        <v>2023</v>
      </c>
      <c r="B2999" s="295">
        <v>8</v>
      </c>
      <c r="C2999" s="295" t="s">
        <v>426</v>
      </c>
      <c r="D2999" s="295" t="s">
        <v>1</v>
      </c>
      <c r="E2999" s="296">
        <v>1.0434056761268782</v>
      </c>
    </row>
    <row r="3000" spans="1:5" x14ac:dyDescent="0.3">
      <c r="A3000" s="295">
        <v>2023</v>
      </c>
      <c r="B3000" s="295">
        <v>8</v>
      </c>
      <c r="C3000" s="295" t="s">
        <v>426</v>
      </c>
      <c r="D3000" s="295" t="s">
        <v>2</v>
      </c>
      <c r="E3000" s="296">
        <v>1.1339797017633384</v>
      </c>
    </row>
    <row r="3001" spans="1:5" x14ac:dyDescent="0.3">
      <c r="A3001" s="295">
        <v>2023</v>
      </c>
      <c r="B3001" s="295">
        <v>8</v>
      </c>
      <c r="C3001" s="295" t="s">
        <v>426</v>
      </c>
      <c r="D3001" s="295" t="s">
        <v>259</v>
      </c>
      <c r="E3001" s="296">
        <v>0.89439038351459643</v>
      </c>
    </row>
    <row r="3002" spans="1:5" x14ac:dyDescent="0.3">
      <c r="A3002" s="295">
        <v>2023</v>
      </c>
      <c r="B3002" s="295">
        <v>8</v>
      </c>
      <c r="C3002" s="295" t="s">
        <v>426</v>
      </c>
      <c r="D3002" s="295" t="s">
        <v>85</v>
      </c>
      <c r="E3002" s="296">
        <v>5.5386319579063974</v>
      </c>
    </row>
    <row r="3003" spans="1:5" x14ac:dyDescent="0.3">
      <c r="A3003" s="295">
        <v>2023</v>
      </c>
      <c r="B3003" s="295">
        <v>8</v>
      </c>
      <c r="C3003" s="295" t="s">
        <v>426</v>
      </c>
      <c r="D3003" s="295" t="s">
        <v>101</v>
      </c>
      <c r="E3003" s="296">
        <v>18.975332068311197</v>
      </c>
    </row>
    <row r="3004" spans="1:5" x14ac:dyDescent="0.3">
      <c r="A3004" s="295">
        <v>2023</v>
      </c>
      <c r="B3004" s="295">
        <v>8</v>
      </c>
      <c r="C3004" s="295" t="s">
        <v>426</v>
      </c>
      <c r="D3004" s="295" t="s">
        <v>179</v>
      </c>
      <c r="E3004" s="296">
        <v>961.53846153846166</v>
      </c>
    </row>
    <row r="3005" spans="1:5" x14ac:dyDescent="0.3">
      <c r="A3005" s="295">
        <v>2023</v>
      </c>
      <c r="B3005" s="295">
        <v>8</v>
      </c>
      <c r="C3005" s="295" t="s">
        <v>426</v>
      </c>
      <c r="D3005" s="295" t="s">
        <v>352</v>
      </c>
      <c r="E3005" s="296">
        <v>8.2630970087588835</v>
      </c>
    </row>
    <row r="3006" spans="1:5" x14ac:dyDescent="0.3">
      <c r="A3006" s="295">
        <v>2023</v>
      </c>
      <c r="B3006" s="295">
        <v>8</v>
      </c>
      <c r="C3006" s="295" t="s">
        <v>1</v>
      </c>
      <c r="D3006" s="295" t="s">
        <v>1</v>
      </c>
      <c r="E3006" s="296">
        <v>1</v>
      </c>
    </row>
    <row r="3007" spans="1:5" x14ac:dyDescent="0.3">
      <c r="A3007" s="295">
        <v>2023</v>
      </c>
      <c r="B3007" s="295">
        <v>8</v>
      </c>
      <c r="C3007" s="295" t="s">
        <v>2</v>
      </c>
      <c r="D3007" s="295" t="s">
        <v>2</v>
      </c>
      <c r="E3007" s="296">
        <v>1</v>
      </c>
    </row>
    <row r="3008" spans="1:5" x14ac:dyDescent="0.3">
      <c r="A3008" s="295">
        <v>2023</v>
      </c>
      <c r="B3008" s="295">
        <v>8</v>
      </c>
      <c r="C3008" s="295" t="s">
        <v>259</v>
      </c>
      <c r="D3008" s="295" t="s">
        <v>259</v>
      </c>
      <c r="E3008" s="296">
        <v>1</v>
      </c>
    </row>
    <row r="3009" spans="1:5" x14ac:dyDescent="0.3">
      <c r="A3009" s="295">
        <v>2023</v>
      </c>
      <c r="B3009" s="295">
        <v>8</v>
      </c>
      <c r="C3009" s="295" t="s">
        <v>85</v>
      </c>
      <c r="D3009" s="295" t="s">
        <v>85</v>
      </c>
      <c r="E3009" s="296">
        <v>1</v>
      </c>
    </row>
    <row r="3010" spans="1:5" x14ac:dyDescent="0.3">
      <c r="A3010" s="295">
        <v>2023</v>
      </c>
      <c r="B3010" s="295">
        <v>8</v>
      </c>
      <c r="C3010" s="295" t="s">
        <v>101</v>
      </c>
      <c r="D3010" s="295" t="s">
        <v>101</v>
      </c>
      <c r="E3010" s="296">
        <v>1</v>
      </c>
    </row>
    <row r="3011" spans="1:5" x14ac:dyDescent="0.3">
      <c r="A3011" s="295">
        <v>2023</v>
      </c>
      <c r="B3011" s="295">
        <v>8</v>
      </c>
      <c r="C3011" s="295" t="s">
        <v>179</v>
      </c>
      <c r="D3011" s="295" t="s">
        <v>179</v>
      </c>
      <c r="E3011" s="296">
        <v>1</v>
      </c>
    </row>
    <row r="3012" spans="1:5" x14ac:dyDescent="0.3">
      <c r="A3012" s="295">
        <v>2023</v>
      </c>
      <c r="B3012" s="295">
        <v>8</v>
      </c>
      <c r="C3012" s="295" t="s">
        <v>352</v>
      </c>
      <c r="D3012" s="295" t="s">
        <v>352</v>
      </c>
      <c r="E3012" s="296">
        <v>1</v>
      </c>
    </row>
    <row r="3013" spans="1:5" x14ac:dyDescent="0.3">
      <c r="A3013" s="295">
        <v>2023</v>
      </c>
      <c r="B3013" s="295">
        <v>8</v>
      </c>
      <c r="C3013" s="295" t="s">
        <v>426</v>
      </c>
      <c r="D3013" s="295" t="s">
        <v>426</v>
      </c>
      <c r="E3013" s="296">
        <v>1</v>
      </c>
    </row>
    <row r="3014" spans="1:5" x14ac:dyDescent="0.3">
      <c r="A3014" s="295">
        <v>2023</v>
      </c>
      <c r="B3014" s="295">
        <v>9</v>
      </c>
      <c r="C3014" s="295" t="s">
        <v>1</v>
      </c>
      <c r="D3014" s="295" t="s">
        <v>2</v>
      </c>
      <c r="E3014" s="296">
        <v>1.0593999999999999</v>
      </c>
    </row>
    <row r="3015" spans="1:5" x14ac:dyDescent="0.3">
      <c r="A3015" s="295">
        <v>2023</v>
      </c>
      <c r="B3015" s="295">
        <v>9</v>
      </c>
      <c r="C3015" s="295" t="s">
        <v>1</v>
      </c>
      <c r="D3015" s="295" t="s">
        <v>259</v>
      </c>
      <c r="E3015" s="296">
        <v>0.86458000000000002</v>
      </c>
    </row>
    <row r="3016" spans="1:5" x14ac:dyDescent="0.3">
      <c r="A3016" s="295">
        <v>2023</v>
      </c>
      <c r="B3016" s="295">
        <v>9</v>
      </c>
      <c r="C3016" s="295" t="s">
        <v>1</v>
      </c>
      <c r="D3016" s="295" t="s">
        <v>85</v>
      </c>
      <c r="E3016" s="296">
        <v>5.3064999999999998</v>
      </c>
    </row>
    <row r="3017" spans="1:5" x14ac:dyDescent="0.3">
      <c r="A3017" s="295">
        <v>2023</v>
      </c>
      <c r="B3017" s="295">
        <v>9</v>
      </c>
      <c r="C3017" s="295" t="s">
        <v>1</v>
      </c>
      <c r="D3017" s="295" t="s">
        <v>101</v>
      </c>
      <c r="E3017" s="296">
        <v>18.503</v>
      </c>
    </row>
    <row r="3018" spans="1:5" x14ac:dyDescent="0.3">
      <c r="A3018" s="295">
        <v>2023</v>
      </c>
      <c r="B3018" s="295">
        <v>9</v>
      </c>
      <c r="C3018" s="295" t="s">
        <v>1</v>
      </c>
      <c r="D3018" s="295" t="s">
        <v>179</v>
      </c>
      <c r="E3018" s="296">
        <v>943.60799999999995</v>
      </c>
    </row>
    <row r="3019" spans="1:5" x14ac:dyDescent="0.3">
      <c r="A3019" s="295">
        <v>2023</v>
      </c>
      <c r="B3019" s="295">
        <v>9</v>
      </c>
      <c r="C3019" s="295" t="s">
        <v>1</v>
      </c>
      <c r="D3019" s="295" t="s">
        <v>352</v>
      </c>
      <c r="E3019" s="296">
        <v>7.7351999999999999</v>
      </c>
    </row>
    <row r="3020" spans="1:5" x14ac:dyDescent="0.3">
      <c r="A3020" s="295">
        <v>2023</v>
      </c>
      <c r="B3020" s="295">
        <v>9</v>
      </c>
      <c r="C3020" s="295" t="s">
        <v>1</v>
      </c>
      <c r="D3020" s="295" t="s">
        <v>426</v>
      </c>
      <c r="E3020" s="296">
        <v>0.96689999999999998</v>
      </c>
    </row>
    <row r="3021" spans="1:5" x14ac:dyDescent="0.3">
      <c r="A3021" s="295">
        <v>2023</v>
      </c>
      <c r="B3021" s="295">
        <v>9</v>
      </c>
      <c r="C3021" s="295" t="s">
        <v>2</v>
      </c>
      <c r="D3021" s="295" t="s">
        <v>1</v>
      </c>
      <c r="E3021" s="296">
        <v>0.94393052671323396</v>
      </c>
    </row>
    <row r="3022" spans="1:5" x14ac:dyDescent="0.3">
      <c r="A3022" s="295">
        <v>2023</v>
      </c>
      <c r="B3022" s="295">
        <v>9</v>
      </c>
      <c r="C3022" s="295" t="s">
        <v>2</v>
      </c>
      <c r="D3022" s="295" t="s">
        <v>259</v>
      </c>
      <c r="E3022" s="296">
        <v>0.81610000000000005</v>
      </c>
    </row>
    <row r="3023" spans="1:5" x14ac:dyDescent="0.3">
      <c r="A3023" s="295">
        <v>2023</v>
      </c>
      <c r="B3023" s="295">
        <v>9</v>
      </c>
      <c r="C3023" s="295" t="s">
        <v>2</v>
      </c>
      <c r="D3023" s="295" t="s">
        <v>85</v>
      </c>
      <c r="E3023" s="296">
        <v>5.0089699999999997</v>
      </c>
    </row>
    <row r="3024" spans="1:5" x14ac:dyDescent="0.3">
      <c r="A3024" s="295">
        <v>2023</v>
      </c>
      <c r="B3024" s="295">
        <v>9</v>
      </c>
      <c r="C3024" s="295" t="s">
        <v>2</v>
      </c>
      <c r="D3024" s="295" t="s">
        <v>101</v>
      </c>
      <c r="E3024" s="296">
        <v>17.46555</v>
      </c>
    </row>
    <row r="3025" spans="1:5" x14ac:dyDescent="0.3">
      <c r="A3025" s="295">
        <v>2023</v>
      </c>
      <c r="B3025" s="295">
        <v>9</v>
      </c>
      <c r="C3025" s="295" t="s">
        <v>2</v>
      </c>
      <c r="D3025" s="295" t="s">
        <v>179</v>
      </c>
      <c r="E3025" s="296">
        <v>890.70039999999995</v>
      </c>
    </row>
    <row r="3026" spans="1:5" x14ac:dyDescent="0.3">
      <c r="A3026" s="295">
        <v>2023</v>
      </c>
      <c r="B3026" s="295">
        <v>9</v>
      </c>
      <c r="C3026" s="295" t="s">
        <v>2</v>
      </c>
      <c r="D3026" s="295" t="s">
        <v>352</v>
      </c>
      <c r="E3026" s="296">
        <v>7.3014900000000003</v>
      </c>
    </row>
    <row r="3027" spans="1:5" x14ac:dyDescent="0.3">
      <c r="A3027" s="295">
        <v>2023</v>
      </c>
      <c r="B3027" s="295">
        <v>9</v>
      </c>
      <c r="C3027" s="295" t="s">
        <v>2</v>
      </c>
      <c r="D3027" s="295" t="s">
        <v>426</v>
      </c>
      <c r="E3027" s="296">
        <v>0.91269</v>
      </c>
    </row>
    <row r="3028" spans="1:5" x14ac:dyDescent="0.3">
      <c r="A3028" s="295">
        <v>2023</v>
      </c>
      <c r="B3028" s="295">
        <v>9</v>
      </c>
      <c r="C3028" s="295" t="s">
        <v>259</v>
      </c>
      <c r="D3028" s="295" t="s">
        <v>1</v>
      </c>
      <c r="E3028" s="296">
        <v>1.1566309653242037</v>
      </c>
    </row>
    <row r="3029" spans="1:5" x14ac:dyDescent="0.3">
      <c r="A3029" s="295">
        <v>2023</v>
      </c>
      <c r="B3029" s="295">
        <v>9</v>
      </c>
      <c r="C3029" s="295" t="s">
        <v>259</v>
      </c>
      <c r="D3029" s="295" t="s">
        <v>2</v>
      </c>
      <c r="E3029" s="296">
        <v>1.2253400318588408</v>
      </c>
    </row>
    <row r="3030" spans="1:5" x14ac:dyDescent="0.3">
      <c r="A3030" s="295">
        <v>2023</v>
      </c>
      <c r="B3030" s="295">
        <v>9</v>
      </c>
      <c r="C3030" s="295" t="s">
        <v>259</v>
      </c>
      <c r="D3030" s="295" t="s">
        <v>85</v>
      </c>
      <c r="E3030" s="296">
        <v>6.1376600000000003</v>
      </c>
    </row>
    <row r="3031" spans="1:5" x14ac:dyDescent="0.3">
      <c r="A3031" s="295">
        <v>2023</v>
      </c>
      <c r="B3031" s="295">
        <v>9</v>
      </c>
      <c r="C3031" s="295" t="s">
        <v>259</v>
      </c>
      <c r="D3031" s="295" t="s">
        <v>101</v>
      </c>
      <c r="E3031" s="296">
        <v>21.401140000000002</v>
      </c>
    </row>
    <row r="3032" spans="1:5" x14ac:dyDescent="0.3">
      <c r="A3032" s="295">
        <v>2023</v>
      </c>
      <c r="B3032" s="295">
        <v>9</v>
      </c>
      <c r="C3032" s="295" t="s">
        <v>259</v>
      </c>
      <c r="D3032" s="295" t="s">
        <v>179</v>
      </c>
      <c r="E3032" s="296">
        <v>1091.4062300000001</v>
      </c>
    </row>
    <row r="3033" spans="1:5" x14ac:dyDescent="0.3">
      <c r="A3033" s="295">
        <v>2023</v>
      </c>
      <c r="B3033" s="295">
        <v>9</v>
      </c>
      <c r="C3033" s="295" t="s">
        <v>259</v>
      </c>
      <c r="D3033" s="295" t="s">
        <v>352</v>
      </c>
      <c r="E3033" s="296">
        <v>8.9467700000000008</v>
      </c>
    </row>
    <row r="3034" spans="1:5" x14ac:dyDescent="0.3">
      <c r="A3034" s="295">
        <v>2023</v>
      </c>
      <c r="B3034" s="295">
        <v>9</v>
      </c>
      <c r="C3034" s="295" t="s">
        <v>259</v>
      </c>
      <c r="D3034" s="295" t="s">
        <v>426</v>
      </c>
      <c r="E3034" s="296">
        <v>1.11835</v>
      </c>
    </row>
    <row r="3035" spans="1:5" x14ac:dyDescent="0.3">
      <c r="A3035" s="295">
        <v>2023</v>
      </c>
      <c r="B3035" s="295">
        <v>9</v>
      </c>
      <c r="C3035" s="295" t="s">
        <v>85</v>
      </c>
      <c r="D3035" s="295" t="s">
        <v>1</v>
      </c>
      <c r="E3035" s="296">
        <v>0.1884481296523132</v>
      </c>
    </row>
    <row r="3036" spans="1:5" x14ac:dyDescent="0.3">
      <c r="A3036" s="295">
        <v>2023</v>
      </c>
      <c r="B3036" s="295">
        <v>9</v>
      </c>
      <c r="C3036" s="295" t="s">
        <v>85</v>
      </c>
      <c r="D3036" s="295" t="s">
        <v>2</v>
      </c>
      <c r="E3036" s="296">
        <v>0.19964184253449313</v>
      </c>
    </row>
    <row r="3037" spans="1:5" x14ac:dyDescent="0.3">
      <c r="A3037" s="295">
        <v>2023</v>
      </c>
      <c r="B3037" s="295">
        <v>9</v>
      </c>
      <c r="C3037" s="295" t="s">
        <v>85</v>
      </c>
      <c r="D3037" s="295" t="s">
        <v>259</v>
      </c>
      <c r="E3037" s="296">
        <v>0.1629285427996989</v>
      </c>
    </row>
    <row r="3038" spans="1:5" x14ac:dyDescent="0.3">
      <c r="A3038" s="295">
        <v>2023</v>
      </c>
      <c r="B3038" s="295">
        <v>9</v>
      </c>
      <c r="C3038" s="295" t="s">
        <v>85</v>
      </c>
      <c r="D3038" s="295" t="s">
        <v>101</v>
      </c>
      <c r="E3038" s="296">
        <v>3.4868600000000001</v>
      </c>
    </row>
    <row r="3039" spans="1:5" x14ac:dyDescent="0.3">
      <c r="A3039" s="295">
        <v>2023</v>
      </c>
      <c r="B3039" s="295">
        <v>9</v>
      </c>
      <c r="C3039" s="295" t="s">
        <v>85</v>
      </c>
      <c r="D3039" s="295" t="s">
        <v>179</v>
      </c>
      <c r="E3039" s="296">
        <v>177.82115999999999</v>
      </c>
    </row>
    <row r="3040" spans="1:5" x14ac:dyDescent="0.3">
      <c r="A3040" s="295">
        <v>2023</v>
      </c>
      <c r="B3040" s="295">
        <v>9</v>
      </c>
      <c r="C3040" s="295" t="s">
        <v>85</v>
      </c>
      <c r="D3040" s="295" t="s">
        <v>352</v>
      </c>
      <c r="E3040" s="296">
        <v>1.4576800000000001</v>
      </c>
    </row>
    <row r="3041" spans="1:5" x14ac:dyDescent="0.3">
      <c r="A3041" s="295">
        <v>2023</v>
      </c>
      <c r="B3041" s="295">
        <v>9</v>
      </c>
      <c r="C3041" s="295" t="s">
        <v>85</v>
      </c>
      <c r="D3041" s="295" t="s">
        <v>426</v>
      </c>
      <c r="E3041" s="296">
        <v>0.18221000000000001</v>
      </c>
    </row>
    <row r="3042" spans="1:5" x14ac:dyDescent="0.3">
      <c r="A3042" s="295">
        <v>2023</v>
      </c>
      <c r="B3042" s="295">
        <v>9</v>
      </c>
      <c r="C3042" s="295" t="s">
        <v>101</v>
      </c>
      <c r="D3042" s="295" t="s">
        <v>1</v>
      </c>
      <c r="E3042" s="296">
        <v>5.4045289952980601E-2</v>
      </c>
    </row>
    <row r="3043" spans="1:5" x14ac:dyDescent="0.3">
      <c r="A3043" s="295">
        <v>2023</v>
      </c>
      <c r="B3043" s="295">
        <v>9</v>
      </c>
      <c r="C3043" s="295" t="s">
        <v>101</v>
      </c>
      <c r="D3043" s="295" t="s">
        <v>2</v>
      </c>
      <c r="E3043" s="296">
        <v>5.7255568819762334E-2</v>
      </c>
    </row>
    <row r="3044" spans="1:5" x14ac:dyDescent="0.3">
      <c r="A3044" s="295">
        <v>2023</v>
      </c>
      <c r="B3044" s="295">
        <v>9</v>
      </c>
      <c r="C3044" s="295" t="s">
        <v>101</v>
      </c>
      <c r="D3044" s="295" t="s">
        <v>259</v>
      </c>
      <c r="E3044" s="296">
        <v>4.6726482794841769E-2</v>
      </c>
    </row>
    <row r="3045" spans="1:5" x14ac:dyDescent="0.3">
      <c r="A3045" s="295">
        <v>2023</v>
      </c>
      <c r="B3045" s="295">
        <v>9</v>
      </c>
      <c r="C3045" s="295" t="s">
        <v>101</v>
      </c>
      <c r="D3045" s="295" t="s">
        <v>85</v>
      </c>
      <c r="E3045" s="296">
        <v>0.28679098099722961</v>
      </c>
    </row>
    <row r="3046" spans="1:5" x14ac:dyDescent="0.3">
      <c r="A3046" s="295">
        <v>2023</v>
      </c>
      <c r="B3046" s="295">
        <v>9</v>
      </c>
      <c r="C3046" s="295" t="s">
        <v>101</v>
      </c>
      <c r="D3046" s="295" t="s">
        <v>179</v>
      </c>
      <c r="E3046" s="296">
        <v>50.997570000000003</v>
      </c>
    </row>
    <row r="3047" spans="1:5" x14ac:dyDescent="0.3">
      <c r="A3047" s="295">
        <v>2023</v>
      </c>
      <c r="B3047" s="295">
        <v>9</v>
      </c>
      <c r="C3047" s="295" t="s">
        <v>101</v>
      </c>
      <c r="D3047" s="295" t="s">
        <v>352</v>
      </c>
      <c r="E3047" s="296">
        <v>0.41804999999999998</v>
      </c>
    </row>
    <row r="3048" spans="1:5" x14ac:dyDescent="0.3">
      <c r="A3048" s="295">
        <v>2023</v>
      </c>
      <c r="B3048" s="295">
        <v>9</v>
      </c>
      <c r="C3048" s="295" t="s">
        <v>101</v>
      </c>
      <c r="D3048" s="295" t="s">
        <v>426</v>
      </c>
      <c r="E3048" s="296">
        <v>5.2260000000000001E-2</v>
      </c>
    </row>
    <row r="3049" spans="1:5" x14ac:dyDescent="0.3">
      <c r="A3049" s="295">
        <v>2023</v>
      </c>
      <c r="B3049" s="295">
        <v>9</v>
      </c>
      <c r="C3049" s="295" t="s">
        <v>179</v>
      </c>
      <c r="D3049" s="295" t="s">
        <v>1</v>
      </c>
      <c r="E3049" s="296">
        <v>1.0597621046027589E-3</v>
      </c>
    </row>
    <row r="3050" spans="1:5" x14ac:dyDescent="0.3">
      <c r="A3050" s="295">
        <v>2023</v>
      </c>
      <c r="B3050" s="295">
        <v>9</v>
      </c>
      <c r="C3050" s="295" t="s">
        <v>179</v>
      </c>
      <c r="D3050" s="295" t="s">
        <v>2</v>
      </c>
      <c r="E3050" s="296">
        <v>1.1227119691424861E-3</v>
      </c>
    </row>
    <row r="3051" spans="1:5" x14ac:dyDescent="0.3">
      <c r="A3051" s="295">
        <v>2023</v>
      </c>
      <c r="B3051" s="295">
        <v>9</v>
      </c>
      <c r="C3051" s="295" t="s">
        <v>179</v>
      </c>
      <c r="D3051" s="295" t="s">
        <v>259</v>
      </c>
      <c r="E3051" s="296">
        <v>9.1624912201573188E-4</v>
      </c>
    </row>
    <row r="3052" spans="1:5" x14ac:dyDescent="0.3">
      <c r="A3052" s="295">
        <v>2023</v>
      </c>
      <c r="B3052" s="295">
        <v>9</v>
      </c>
      <c r="C3052" s="295" t="s">
        <v>179</v>
      </c>
      <c r="D3052" s="295" t="s">
        <v>85</v>
      </c>
      <c r="E3052" s="296">
        <v>5.6236276942519103E-3</v>
      </c>
    </row>
    <row r="3053" spans="1:5" x14ac:dyDescent="0.3">
      <c r="A3053" s="295">
        <v>2023</v>
      </c>
      <c r="B3053" s="295">
        <v>9</v>
      </c>
      <c r="C3053" s="295" t="s">
        <v>179</v>
      </c>
      <c r="D3053" s="295" t="s">
        <v>101</v>
      </c>
      <c r="E3053" s="296">
        <v>1.9608777437826939E-2</v>
      </c>
    </row>
    <row r="3054" spans="1:5" x14ac:dyDescent="0.3">
      <c r="A3054" s="295">
        <v>2023</v>
      </c>
      <c r="B3054" s="295">
        <v>9</v>
      </c>
      <c r="C3054" s="295" t="s">
        <v>179</v>
      </c>
      <c r="D3054" s="295" t="s">
        <v>352</v>
      </c>
      <c r="E3054" s="296">
        <v>8.2000000000000007E-3</v>
      </c>
    </row>
    <row r="3055" spans="1:5" x14ac:dyDescent="0.3">
      <c r="A3055" s="295">
        <v>2023</v>
      </c>
      <c r="B3055" s="295">
        <v>9</v>
      </c>
      <c r="C3055" s="295" t="s">
        <v>179</v>
      </c>
      <c r="D3055" s="295" t="s">
        <v>426</v>
      </c>
      <c r="E3055" s="296">
        <v>1.0200000000000001E-3</v>
      </c>
    </row>
    <row r="3056" spans="1:5" x14ac:dyDescent="0.3">
      <c r="A3056" s="295">
        <v>2023</v>
      </c>
      <c r="B3056" s="295">
        <v>9</v>
      </c>
      <c r="C3056" s="295" t="s">
        <v>352</v>
      </c>
      <c r="D3056" s="295" t="s">
        <v>1</v>
      </c>
      <c r="E3056" s="296">
        <v>0.12927913951804737</v>
      </c>
    </row>
    <row r="3057" spans="1:5" x14ac:dyDescent="0.3">
      <c r="A3057" s="295">
        <v>2023</v>
      </c>
      <c r="B3057" s="295">
        <v>9</v>
      </c>
      <c r="C3057" s="295" t="s">
        <v>352</v>
      </c>
      <c r="D3057" s="295" t="s">
        <v>2</v>
      </c>
      <c r="E3057" s="296">
        <v>0.13695834685797009</v>
      </c>
    </row>
    <row r="3058" spans="1:5" x14ac:dyDescent="0.3">
      <c r="A3058" s="295">
        <v>2023</v>
      </c>
      <c r="B3058" s="295">
        <v>9</v>
      </c>
      <c r="C3058" s="295" t="s">
        <v>352</v>
      </c>
      <c r="D3058" s="295" t="s">
        <v>259</v>
      </c>
      <c r="E3058" s="296">
        <v>0.11177218146884293</v>
      </c>
    </row>
    <row r="3059" spans="1:5" x14ac:dyDescent="0.3">
      <c r="A3059" s="295">
        <v>2023</v>
      </c>
      <c r="B3059" s="295">
        <v>9</v>
      </c>
      <c r="C3059" s="295" t="s">
        <v>352</v>
      </c>
      <c r="D3059" s="295" t="s">
        <v>85</v>
      </c>
      <c r="E3059" s="296">
        <v>0.68602162340156958</v>
      </c>
    </row>
    <row r="3060" spans="1:5" x14ac:dyDescent="0.3">
      <c r="A3060" s="295">
        <v>2023</v>
      </c>
      <c r="B3060" s="295">
        <v>9</v>
      </c>
      <c r="C3060" s="295" t="s">
        <v>352</v>
      </c>
      <c r="D3060" s="295" t="s">
        <v>101</v>
      </c>
      <c r="E3060" s="296">
        <v>2.3920583662241359</v>
      </c>
    </row>
    <row r="3061" spans="1:5" x14ac:dyDescent="0.3">
      <c r="A3061" s="295">
        <v>2023</v>
      </c>
      <c r="B3061" s="295">
        <v>9</v>
      </c>
      <c r="C3061" s="295" t="s">
        <v>352</v>
      </c>
      <c r="D3061" s="295" t="s">
        <v>179</v>
      </c>
      <c r="E3061" s="296">
        <v>121.95121951219511</v>
      </c>
    </row>
    <row r="3062" spans="1:5" x14ac:dyDescent="0.3">
      <c r="A3062" s="295">
        <v>2023</v>
      </c>
      <c r="B3062" s="295">
        <v>9</v>
      </c>
      <c r="C3062" s="295" t="s">
        <v>352</v>
      </c>
      <c r="D3062" s="295" t="s">
        <v>426</v>
      </c>
      <c r="E3062" s="296">
        <v>0.125</v>
      </c>
    </row>
    <row r="3063" spans="1:5" x14ac:dyDescent="0.3">
      <c r="A3063" s="295">
        <v>2023</v>
      </c>
      <c r="B3063" s="295">
        <v>9</v>
      </c>
      <c r="C3063" s="295" t="s">
        <v>426</v>
      </c>
      <c r="D3063" s="295" t="s">
        <v>1</v>
      </c>
      <c r="E3063" s="296">
        <v>1.034233116144379</v>
      </c>
    </row>
    <row r="3064" spans="1:5" x14ac:dyDescent="0.3">
      <c r="A3064" s="295">
        <v>2023</v>
      </c>
      <c r="B3064" s="295">
        <v>9</v>
      </c>
      <c r="C3064" s="295" t="s">
        <v>426</v>
      </c>
      <c r="D3064" s="295" t="s">
        <v>2</v>
      </c>
      <c r="E3064" s="296">
        <v>1.0956622730609518</v>
      </c>
    </row>
    <row r="3065" spans="1:5" x14ac:dyDescent="0.3">
      <c r="A3065" s="295">
        <v>2023</v>
      </c>
      <c r="B3065" s="295">
        <v>9</v>
      </c>
      <c r="C3065" s="295" t="s">
        <v>426</v>
      </c>
      <c r="D3065" s="295" t="s">
        <v>259</v>
      </c>
      <c r="E3065" s="296">
        <v>0.89417445343586532</v>
      </c>
    </row>
    <row r="3066" spans="1:5" x14ac:dyDescent="0.3">
      <c r="A3066" s="295">
        <v>2023</v>
      </c>
      <c r="B3066" s="295">
        <v>9</v>
      </c>
      <c r="C3066" s="295" t="s">
        <v>426</v>
      </c>
      <c r="D3066" s="295" t="s">
        <v>85</v>
      </c>
      <c r="E3066" s="296">
        <v>5.4881729872125566</v>
      </c>
    </row>
    <row r="3067" spans="1:5" x14ac:dyDescent="0.3">
      <c r="A3067" s="295">
        <v>2023</v>
      </c>
      <c r="B3067" s="295">
        <v>9</v>
      </c>
      <c r="C3067" s="295" t="s">
        <v>426</v>
      </c>
      <c r="D3067" s="295" t="s">
        <v>101</v>
      </c>
      <c r="E3067" s="296">
        <v>19.135093761959432</v>
      </c>
    </row>
    <row r="3068" spans="1:5" x14ac:dyDescent="0.3">
      <c r="A3068" s="295">
        <v>2023</v>
      </c>
      <c r="B3068" s="295">
        <v>9</v>
      </c>
      <c r="C3068" s="295" t="s">
        <v>426</v>
      </c>
      <c r="D3068" s="295" t="s">
        <v>179</v>
      </c>
      <c r="E3068" s="296">
        <v>980.39215686274508</v>
      </c>
    </row>
    <row r="3069" spans="1:5" x14ac:dyDescent="0.3">
      <c r="A3069" s="295">
        <v>2023</v>
      </c>
      <c r="B3069" s="295">
        <v>9</v>
      </c>
      <c r="C3069" s="295" t="s">
        <v>426</v>
      </c>
      <c r="D3069" s="295" t="s">
        <v>352</v>
      </c>
      <c r="E3069" s="296">
        <v>8</v>
      </c>
    </row>
    <row r="3070" spans="1:5" x14ac:dyDescent="0.3">
      <c r="A3070" s="295">
        <v>2023</v>
      </c>
      <c r="B3070" s="295">
        <v>9</v>
      </c>
      <c r="C3070" s="295" t="s">
        <v>1</v>
      </c>
      <c r="D3070" s="295" t="s">
        <v>1</v>
      </c>
      <c r="E3070" s="296">
        <v>1</v>
      </c>
    </row>
    <row r="3071" spans="1:5" x14ac:dyDescent="0.3">
      <c r="A3071" s="295">
        <v>2023</v>
      </c>
      <c r="B3071" s="295">
        <v>9</v>
      </c>
      <c r="C3071" s="295" t="s">
        <v>2</v>
      </c>
      <c r="D3071" s="295" t="s">
        <v>2</v>
      </c>
      <c r="E3071" s="296">
        <v>1</v>
      </c>
    </row>
    <row r="3072" spans="1:5" x14ac:dyDescent="0.3">
      <c r="A3072" s="295">
        <v>2023</v>
      </c>
      <c r="B3072" s="295">
        <v>9</v>
      </c>
      <c r="C3072" s="295" t="s">
        <v>259</v>
      </c>
      <c r="D3072" s="295" t="s">
        <v>259</v>
      </c>
      <c r="E3072" s="296">
        <v>1</v>
      </c>
    </row>
    <row r="3073" spans="1:5" x14ac:dyDescent="0.3">
      <c r="A3073" s="295">
        <v>2023</v>
      </c>
      <c r="B3073" s="295">
        <v>9</v>
      </c>
      <c r="C3073" s="295" t="s">
        <v>85</v>
      </c>
      <c r="D3073" s="295" t="s">
        <v>85</v>
      </c>
      <c r="E3073" s="296">
        <v>1</v>
      </c>
    </row>
    <row r="3074" spans="1:5" x14ac:dyDescent="0.3">
      <c r="A3074" s="295">
        <v>2023</v>
      </c>
      <c r="B3074" s="295">
        <v>9</v>
      </c>
      <c r="C3074" s="295" t="s">
        <v>101</v>
      </c>
      <c r="D3074" s="295" t="s">
        <v>101</v>
      </c>
      <c r="E3074" s="296">
        <v>1</v>
      </c>
    </row>
    <row r="3075" spans="1:5" x14ac:dyDescent="0.3">
      <c r="A3075" s="295">
        <v>2023</v>
      </c>
      <c r="B3075" s="295">
        <v>9</v>
      </c>
      <c r="C3075" s="295" t="s">
        <v>179</v>
      </c>
      <c r="D3075" s="295" t="s">
        <v>179</v>
      </c>
      <c r="E3075" s="296">
        <v>1</v>
      </c>
    </row>
    <row r="3076" spans="1:5" x14ac:dyDescent="0.3">
      <c r="A3076" s="295">
        <v>2023</v>
      </c>
      <c r="B3076" s="295">
        <v>9</v>
      </c>
      <c r="C3076" s="295" t="s">
        <v>352</v>
      </c>
      <c r="D3076" s="295" t="s">
        <v>352</v>
      </c>
      <c r="E3076" s="296">
        <v>1</v>
      </c>
    </row>
    <row r="3077" spans="1:5" x14ac:dyDescent="0.3">
      <c r="A3077" s="295">
        <v>2023</v>
      </c>
      <c r="B3077" s="295">
        <v>9</v>
      </c>
      <c r="C3077" s="295" t="s">
        <v>426</v>
      </c>
      <c r="D3077" s="295" t="s">
        <v>426</v>
      </c>
      <c r="E3077" s="296">
        <v>1</v>
      </c>
    </row>
    <row r="3078" spans="1:5" x14ac:dyDescent="0.3">
      <c r="A3078" s="295">
        <v>2023</v>
      </c>
      <c r="B3078" s="295">
        <v>10</v>
      </c>
      <c r="C3078" s="295" t="s">
        <v>1</v>
      </c>
      <c r="D3078" s="295" t="s">
        <v>2</v>
      </c>
      <c r="E3078" s="296">
        <v>1.0619000000000001</v>
      </c>
    </row>
    <row r="3079" spans="1:5" x14ac:dyDescent="0.3">
      <c r="A3079" s="295">
        <v>2023</v>
      </c>
      <c r="B3079" s="295">
        <v>10</v>
      </c>
      <c r="C3079" s="295" t="s">
        <v>1</v>
      </c>
      <c r="D3079" s="295" t="s">
        <v>259</v>
      </c>
      <c r="E3079" s="296">
        <v>0.87365999999999999</v>
      </c>
    </row>
    <row r="3080" spans="1:5" x14ac:dyDescent="0.3">
      <c r="A3080" s="295">
        <v>2023</v>
      </c>
      <c r="B3080" s="295">
        <v>10</v>
      </c>
      <c r="C3080" s="295" t="s">
        <v>1</v>
      </c>
      <c r="D3080" s="295" t="s">
        <v>85</v>
      </c>
      <c r="E3080" s="296">
        <v>5.3742999999999999</v>
      </c>
    </row>
    <row r="3081" spans="1:5" x14ac:dyDescent="0.3">
      <c r="A3081" s="295">
        <v>2023</v>
      </c>
      <c r="B3081" s="295">
        <v>10</v>
      </c>
      <c r="C3081" s="295" t="s">
        <v>1</v>
      </c>
      <c r="D3081" s="295" t="s">
        <v>101</v>
      </c>
      <c r="E3081" s="296">
        <v>19.155100000000001</v>
      </c>
    </row>
    <row r="3082" spans="1:5" x14ac:dyDescent="0.3">
      <c r="A3082" s="295">
        <v>2023</v>
      </c>
      <c r="B3082" s="295">
        <v>10</v>
      </c>
      <c r="C3082" s="295" t="s">
        <v>1</v>
      </c>
      <c r="D3082" s="295" t="s">
        <v>179</v>
      </c>
      <c r="E3082" s="296">
        <v>949.923</v>
      </c>
    </row>
    <row r="3083" spans="1:5" x14ac:dyDescent="0.3">
      <c r="A3083" s="295">
        <v>2023</v>
      </c>
      <c r="B3083" s="295">
        <v>10</v>
      </c>
      <c r="C3083" s="295" t="s">
        <v>1</v>
      </c>
      <c r="D3083" s="295" t="s">
        <v>352</v>
      </c>
      <c r="E3083" s="296">
        <v>7.7686000000000002</v>
      </c>
    </row>
    <row r="3084" spans="1:5" x14ac:dyDescent="0.3">
      <c r="A3084" s="295">
        <v>2023</v>
      </c>
      <c r="B3084" s="295">
        <v>10</v>
      </c>
      <c r="C3084" s="295" t="s">
        <v>1</v>
      </c>
      <c r="D3084" s="295" t="s">
        <v>426</v>
      </c>
      <c r="E3084" s="296">
        <v>0.9607</v>
      </c>
    </row>
    <row r="3085" spans="1:5" x14ac:dyDescent="0.3">
      <c r="A3085" s="295">
        <v>2023</v>
      </c>
      <c r="B3085" s="295">
        <v>10</v>
      </c>
      <c r="C3085" s="295" t="s">
        <v>2</v>
      </c>
      <c r="D3085" s="295" t="s">
        <v>1</v>
      </c>
      <c r="E3085" s="296">
        <v>0.9417082587814295</v>
      </c>
    </row>
    <row r="3086" spans="1:5" x14ac:dyDescent="0.3">
      <c r="A3086" s="295">
        <v>2023</v>
      </c>
      <c r="B3086" s="295">
        <v>10</v>
      </c>
      <c r="C3086" s="295" t="s">
        <v>2</v>
      </c>
      <c r="D3086" s="295" t="s">
        <v>259</v>
      </c>
      <c r="E3086" s="296">
        <v>0.82272999999999996</v>
      </c>
    </row>
    <row r="3087" spans="1:5" x14ac:dyDescent="0.3">
      <c r="A3087" s="295">
        <v>2023</v>
      </c>
      <c r="B3087" s="295">
        <v>10</v>
      </c>
      <c r="C3087" s="295" t="s">
        <v>2</v>
      </c>
      <c r="D3087" s="295" t="s">
        <v>85</v>
      </c>
      <c r="E3087" s="296">
        <v>5.0610200000000001</v>
      </c>
    </row>
    <row r="3088" spans="1:5" x14ac:dyDescent="0.3">
      <c r="A3088" s="295">
        <v>2023</v>
      </c>
      <c r="B3088" s="295">
        <v>10</v>
      </c>
      <c r="C3088" s="295" t="s">
        <v>2</v>
      </c>
      <c r="D3088" s="295" t="s">
        <v>101</v>
      </c>
      <c r="E3088" s="296">
        <v>18.038519999999998</v>
      </c>
    </row>
    <row r="3089" spans="1:5" x14ac:dyDescent="0.3">
      <c r="A3089" s="295">
        <v>2023</v>
      </c>
      <c r="B3089" s="295">
        <v>10</v>
      </c>
      <c r="C3089" s="295" t="s">
        <v>2</v>
      </c>
      <c r="D3089" s="295" t="s">
        <v>179</v>
      </c>
      <c r="E3089" s="296">
        <v>894.55033000000003</v>
      </c>
    </row>
    <row r="3090" spans="1:5" x14ac:dyDescent="0.3">
      <c r="A3090" s="295">
        <v>2023</v>
      </c>
      <c r="B3090" s="295">
        <v>10</v>
      </c>
      <c r="C3090" s="295" t="s">
        <v>2</v>
      </c>
      <c r="D3090" s="295" t="s">
        <v>352</v>
      </c>
      <c r="E3090" s="296">
        <v>7.3020500000000004</v>
      </c>
    </row>
    <row r="3091" spans="1:5" x14ac:dyDescent="0.3">
      <c r="A3091" s="295">
        <v>2023</v>
      </c>
      <c r="B3091" s="295">
        <v>10</v>
      </c>
      <c r="C3091" s="295" t="s">
        <v>2</v>
      </c>
      <c r="D3091" s="295" t="s">
        <v>426</v>
      </c>
      <c r="E3091" s="296">
        <v>0.90258000000000005</v>
      </c>
    </row>
    <row r="3092" spans="1:5" x14ac:dyDescent="0.3">
      <c r="A3092" s="295">
        <v>2023</v>
      </c>
      <c r="B3092" s="295">
        <v>10</v>
      </c>
      <c r="C3092" s="295" t="s">
        <v>259</v>
      </c>
      <c r="D3092" s="295" t="s">
        <v>1</v>
      </c>
      <c r="E3092" s="296">
        <v>1.1446100313623149</v>
      </c>
    </row>
    <row r="3093" spans="1:5" x14ac:dyDescent="0.3">
      <c r="A3093" s="295">
        <v>2023</v>
      </c>
      <c r="B3093" s="295">
        <v>10</v>
      </c>
      <c r="C3093" s="295" t="s">
        <v>259</v>
      </c>
      <c r="D3093" s="295" t="s">
        <v>2</v>
      </c>
      <c r="E3093" s="296">
        <v>1.2154655840919866</v>
      </c>
    </row>
    <row r="3094" spans="1:5" x14ac:dyDescent="0.3">
      <c r="A3094" s="295">
        <v>2023</v>
      </c>
      <c r="B3094" s="295">
        <v>10</v>
      </c>
      <c r="C3094" s="295" t="s">
        <v>259</v>
      </c>
      <c r="D3094" s="295" t="s">
        <v>85</v>
      </c>
      <c r="E3094" s="296">
        <v>6.0751099999999996</v>
      </c>
    </row>
    <row r="3095" spans="1:5" x14ac:dyDescent="0.3">
      <c r="A3095" s="295">
        <v>2023</v>
      </c>
      <c r="B3095" s="295">
        <v>10</v>
      </c>
      <c r="C3095" s="295" t="s">
        <v>259</v>
      </c>
      <c r="D3095" s="295" t="s">
        <v>101</v>
      </c>
      <c r="E3095" s="296">
        <v>21.911999999999999</v>
      </c>
    </row>
    <row r="3096" spans="1:5" x14ac:dyDescent="0.3">
      <c r="A3096" s="295">
        <v>2023</v>
      </c>
      <c r="B3096" s="295">
        <v>10</v>
      </c>
      <c r="C3096" s="295" t="s">
        <v>259</v>
      </c>
      <c r="D3096" s="295" t="s">
        <v>179</v>
      </c>
      <c r="E3096" s="296">
        <v>1122.23</v>
      </c>
    </row>
    <row r="3097" spans="1:5" x14ac:dyDescent="0.3">
      <c r="A3097" s="295">
        <v>2023</v>
      </c>
      <c r="B3097" s="295">
        <v>10</v>
      </c>
      <c r="C3097" s="295" t="s">
        <v>259</v>
      </c>
      <c r="D3097" s="295" t="s">
        <v>352</v>
      </c>
      <c r="E3097" s="296">
        <v>8.8609299999999998</v>
      </c>
    </row>
    <row r="3098" spans="1:5" x14ac:dyDescent="0.3">
      <c r="A3098" s="295">
        <v>2023</v>
      </c>
      <c r="B3098" s="295">
        <v>10</v>
      </c>
      <c r="C3098" s="295" t="s">
        <v>259</v>
      </c>
      <c r="D3098" s="295" t="s">
        <v>426</v>
      </c>
      <c r="E3098" s="296">
        <v>1.09535</v>
      </c>
    </row>
    <row r="3099" spans="1:5" x14ac:dyDescent="0.3">
      <c r="A3099" s="295">
        <v>2023</v>
      </c>
      <c r="B3099" s="295">
        <v>10</v>
      </c>
      <c r="C3099" s="295" t="s">
        <v>85</v>
      </c>
      <c r="D3099" s="295" t="s">
        <v>1</v>
      </c>
      <c r="E3099" s="296">
        <v>0.18607074409690566</v>
      </c>
    </row>
    <row r="3100" spans="1:5" x14ac:dyDescent="0.3">
      <c r="A3100" s="295">
        <v>2023</v>
      </c>
      <c r="B3100" s="295">
        <v>10</v>
      </c>
      <c r="C3100" s="295" t="s">
        <v>85</v>
      </c>
      <c r="D3100" s="295" t="s">
        <v>2</v>
      </c>
      <c r="E3100" s="296">
        <v>0.1975886283792595</v>
      </c>
    </row>
    <row r="3101" spans="1:5" x14ac:dyDescent="0.3">
      <c r="A3101" s="295">
        <v>2023</v>
      </c>
      <c r="B3101" s="295">
        <v>10</v>
      </c>
      <c r="C3101" s="295" t="s">
        <v>85</v>
      </c>
      <c r="D3101" s="295" t="s">
        <v>259</v>
      </c>
      <c r="E3101" s="296">
        <v>0.16460607297645641</v>
      </c>
    </row>
    <row r="3102" spans="1:5" x14ac:dyDescent="0.3">
      <c r="A3102" s="295">
        <v>2023</v>
      </c>
      <c r="B3102" s="295">
        <v>10</v>
      </c>
      <c r="C3102" s="295" t="s">
        <v>85</v>
      </c>
      <c r="D3102" s="295" t="s">
        <v>101</v>
      </c>
      <c r="E3102" s="296">
        <v>3.5994000000000002</v>
      </c>
    </row>
    <row r="3103" spans="1:5" x14ac:dyDescent="0.3">
      <c r="A3103" s="295">
        <v>2023</v>
      </c>
      <c r="B3103" s="295">
        <v>10</v>
      </c>
      <c r="C3103" s="295" t="s">
        <v>85</v>
      </c>
      <c r="D3103" s="295" t="s">
        <v>179</v>
      </c>
      <c r="E3103" s="296">
        <v>184.34399999999999</v>
      </c>
    </row>
    <row r="3104" spans="1:5" x14ac:dyDescent="0.3">
      <c r="A3104" s="295">
        <v>2023</v>
      </c>
      <c r="B3104" s="295">
        <v>10</v>
      </c>
      <c r="C3104" s="295" t="s">
        <v>85</v>
      </c>
      <c r="D3104" s="295" t="s">
        <v>352</v>
      </c>
      <c r="E3104" s="296">
        <v>1.4555499999999999</v>
      </c>
    </row>
    <row r="3105" spans="1:5" x14ac:dyDescent="0.3">
      <c r="A3105" s="295">
        <v>2023</v>
      </c>
      <c r="B3105" s="295">
        <v>10</v>
      </c>
      <c r="C3105" s="295" t="s">
        <v>85</v>
      </c>
      <c r="D3105" s="295" t="s">
        <v>426</v>
      </c>
      <c r="E3105" s="296">
        <v>0.17990999999999999</v>
      </c>
    </row>
    <row r="3106" spans="1:5" x14ac:dyDescent="0.3">
      <c r="A3106" s="295">
        <v>2023</v>
      </c>
      <c r="B3106" s="295">
        <v>10</v>
      </c>
      <c r="C3106" s="295" t="s">
        <v>101</v>
      </c>
      <c r="D3106" s="295" t="s">
        <v>1</v>
      </c>
      <c r="E3106" s="296">
        <v>5.2205417878267407E-2</v>
      </c>
    </row>
    <row r="3107" spans="1:5" x14ac:dyDescent="0.3">
      <c r="A3107" s="295">
        <v>2023</v>
      </c>
      <c r="B3107" s="295">
        <v>10</v>
      </c>
      <c r="C3107" s="295" t="s">
        <v>101</v>
      </c>
      <c r="D3107" s="295" t="s">
        <v>2</v>
      </c>
      <c r="E3107" s="296">
        <v>5.5436920545587999E-2</v>
      </c>
    </row>
    <row r="3108" spans="1:5" x14ac:dyDescent="0.3">
      <c r="A3108" s="295">
        <v>2023</v>
      </c>
      <c r="B3108" s="295">
        <v>10</v>
      </c>
      <c r="C3108" s="295" t="s">
        <v>101</v>
      </c>
      <c r="D3108" s="295" t="s">
        <v>259</v>
      </c>
      <c r="E3108" s="296">
        <v>4.5637093829864916E-2</v>
      </c>
    </row>
    <row r="3109" spans="1:5" x14ac:dyDescent="0.3">
      <c r="A3109" s="295">
        <v>2023</v>
      </c>
      <c r="B3109" s="295">
        <v>10</v>
      </c>
      <c r="C3109" s="295" t="s">
        <v>101</v>
      </c>
      <c r="D3109" s="295" t="s">
        <v>85</v>
      </c>
      <c r="E3109" s="296">
        <v>0.27782408179140966</v>
      </c>
    </row>
    <row r="3110" spans="1:5" x14ac:dyDescent="0.3">
      <c r="A3110" s="295">
        <v>2023</v>
      </c>
      <c r="B3110" s="295">
        <v>10</v>
      </c>
      <c r="C3110" s="295" t="s">
        <v>101</v>
      </c>
      <c r="D3110" s="295" t="s">
        <v>179</v>
      </c>
      <c r="E3110" s="296">
        <v>51.197600000000001</v>
      </c>
    </row>
    <row r="3111" spans="1:5" x14ac:dyDescent="0.3">
      <c r="A3111" s="295">
        <v>2023</v>
      </c>
      <c r="B3111" s="295">
        <v>10</v>
      </c>
      <c r="C3111" s="295" t="s">
        <v>101</v>
      </c>
      <c r="D3111" s="295" t="s">
        <v>352</v>
      </c>
      <c r="E3111" s="296">
        <v>0.40425</v>
      </c>
    </row>
    <row r="3112" spans="1:5" x14ac:dyDescent="0.3">
      <c r="A3112" s="295">
        <v>2023</v>
      </c>
      <c r="B3112" s="295">
        <v>10</v>
      </c>
      <c r="C3112" s="295" t="s">
        <v>101</v>
      </c>
      <c r="D3112" s="295" t="s">
        <v>426</v>
      </c>
      <c r="E3112" s="296">
        <v>4.9970000000000001E-2</v>
      </c>
    </row>
    <row r="3113" spans="1:5" x14ac:dyDescent="0.3">
      <c r="A3113" s="295">
        <v>2023</v>
      </c>
      <c r="B3113" s="295">
        <v>10</v>
      </c>
      <c r="C3113" s="295" t="s">
        <v>179</v>
      </c>
      <c r="D3113" s="295" t="s">
        <v>1</v>
      </c>
      <c r="E3113" s="296">
        <v>1.0527169044227795E-3</v>
      </c>
    </row>
    <row r="3114" spans="1:5" x14ac:dyDescent="0.3">
      <c r="A3114" s="295">
        <v>2023</v>
      </c>
      <c r="B3114" s="295">
        <v>10</v>
      </c>
      <c r="C3114" s="295" t="s">
        <v>179</v>
      </c>
      <c r="D3114" s="295" t="s">
        <v>2</v>
      </c>
      <c r="E3114" s="296">
        <v>1.1178800861881073E-3</v>
      </c>
    </row>
    <row r="3115" spans="1:5" x14ac:dyDescent="0.3">
      <c r="A3115" s="295">
        <v>2023</v>
      </c>
      <c r="B3115" s="295">
        <v>10</v>
      </c>
      <c r="C3115" s="295" t="s">
        <v>179</v>
      </c>
      <c r="D3115" s="295" t="s">
        <v>259</v>
      </c>
      <c r="E3115" s="296">
        <v>8.9108293308858249E-4</v>
      </c>
    </row>
    <row r="3116" spans="1:5" x14ac:dyDescent="0.3">
      <c r="A3116" s="295">
        <v>2023</v>
      </c>
      <c r="B3116" s="295">
        <v>10</v>
      </c>
      <c r="C3116" s="295" t="s">
        <v>179</v>
      </c>
      <c r="D3116" s="295" t="s">
        <v>85</v>
      </c>
      <c r="E3116" s="296">
        <v>5.4246408887731632E-3</v>
      </c>
    </row>
    <row r="3117" spans="1:5" x14ac:dyDescent="0.3">
      <c r="A3117" s="295">
        <v>2023</v>
      </c>
      <c r="B3117" s="295">
        <v>10</v>
      </c>
      <c r="C3117" s="295" t="s">
        <v>179</v>
      </c>
      <c r="D3117" s="295" t="s">
        <v>101</v>
      </c>
      <c r="E3117" s="296">
        <v>1.9532165570261106E-2</v>
      </c>
    </row>
    <row r="3118" spans="1:5" x14ac:dyDescent="0.3">
      <c r="A3118" s="295">
        <v>2023</v>
      </c>
      <c r="B3118" s="295">
        <v>10</v>
      </c>
      <c r="C3118" s="295" t="s">
        <v>179</v>
      </c>
      <c r="D3118" s="295" t="s">
        <v>352</v>
      </c>
      <c r="E3118" s="296">
        <v>7.8899999999999994E-3</v>
      </c>
    </row>
    <row r="3119" spans="1:5" x14ac:dyDescent="0.3">
      <c r="A3119" s="295">
        <v>2023</v>
      </c>
      <c r="B3119" s="295">
        <v>10</v>
      </c>
      <c r="C3119" s="295" t="s">
        <v>179</v>
      </c>
      <c r="D3119" s="295" t="s">
        <v>426</v>
      </c>
      <c r="E3119" s="296">
        <v>9.7000000000000005E-4</v>
      </c>
    </row>
    <row r="3120" spans="1:5" x14ac:dyDescent="0.3">
      <c r="A3120" s="295">
        <v>2023</v>
      </c>
      <c r="B3120" s="295">
        <v>10</v>
      </c>
      <c r="C3120" s="295" t="s">
        <v>352</v>
      </c>
      <c r="D3120" s="295" t="s">
        <v>1</v>
      </c>
      <c r="E3120" s="296">
        <v>0.12872332209149653</v>
      </c>
    </row>
    <row r="3121" spans="1:5" x14ac:dyDescent="0.3">
      <c r="A3121" s="295">
        <v>2023</v>
      </c>
      <c r="B3121" s="295">
        <v>10</v>
      </c>
      <c r="C3121" s="295" t="s">
        <v>352</v>
      </c>
      <c r="D3121" s="295" t="s">
        <v>2</v>
      </c>
      <c r="E3121" s="296">
        <v>0.13694784341383584</v>
      </c>
    </row>
    <row r="3122" spans="1:5" x14ac:dyDescent="0.3">
      <c r="A3122" s="295">
        <v>2023</v>
      </c>
      <c r="B3122" s="295">
        <v>10</v>
      </c>
      <c r="C3122" s="295" t="s">
        <v>352</v>
      </c>
      <c r="D3122" s="295" t="s">
        <v>259</v>
      </c>
      <c r="E3122" s="296">
        <v>0.1128549712050541</v>
      </c>
    </row>
    <row r="3123" spans="1:5" x14ac:dyDescent="0.3">
      <c r="A3123" s="295">
        <v>2023</v>
      </c>
      <c r="B3123" s="295">
        <v>10</v>
      </c>
      <c r="C3123" s="295" t="s">
        <v>352</v>
      </c>
      <c r="D3123" s="295" t="s">
        <v>85</v>
      </c>
      <c r="E3123" s="296">
        <v>0.68702552299817943</v>
      </c>
    </row>
    <row r="3124" spans="1:5" x14ac:dyDescent="0.3">
      <c r="A3124" s="295">
        <v>2023</v>
      </c>
      <c r="B3124" s="295">
        <v>10</v>
      </c>
      <c r="C3124" s="295" t="s">
        <v>352</v>
      </c>
      <c r="D3124" s="295" t="s">
        <v>101</v>
      </c>
      <c r="E3124" s="296">
        <v>2.4737167594310452</v>
      </c>
    </row>
    <row r="3125" spans="1:5" x14ac:dyDescent="0.3">
      <c r="A3125" s="295">
        <v>2023</v>
      </c>
      <c r="B3125" s="295">
        <v>10</v>
      </c>
      <c r="C3125" s="295" t="s">
        <v>352</v>
      </c>
      <c r="D3125" s="295" t="s">
        <v>179</v>
      </c>
      <c r="E3125" s="296">
        <v>126.7427122940431</v>
      </c>
    </row>
    <row r="3126" spans="1:5" x14ac:dyDescent="0.3">
      <c r="A3126" s="295">
        <v>2023</v>
      </c>
      <c r="B3126" s="295">
        <v>10</v>
      </c>
      <c r="C3126" s="295" t="s">
        <v>352</v>
      </c>
      <c r="D3126" s="295" t="s">
        <v>426</v>
      </c>
      <c r="E3126" s="296">
        <v>0.12354999999999999</v>
      </c>
    </row>
    <row r="3127" spans="1:5" x14ac:dyDescent="0.3">
      <c r="A3127" s="295">
        <v>2023</v>
      </c>
      <c r="B3127" s="295">
        <v>10</v>
      </c>
      <c r="C3127" s="295" t="s">
        <v>426</v>
      </c>
      <c r="D3127" s="295" t="s">
        <v>1</v>
      </c>
      <c r="E3127" s="296">
        <v>1.0409076714895389</v>
      </c>
    </row>
    <row r="3128" spans="1:5" x14ac:dyDescent="0.3">
      <c r="A3128" s="295">
        <v>2023</v>
      </c>
      <c r="B3128" s="295">
        <v>10</v>
      </c>
      <c r="C3128" s="295" t="s">
        <v>426</v>
      </c>
      <c r="D3128" s="295" t="s">
        <v>2</v>
      </c>
      <c r="E3128" s="296">
        <v>1.1079350306898004</v>
      </c>
    </row>
    <row r="3129" spans="1:5" x14ac:dyDescent="0.3">
      <c r="A3129" s="295">
        <v>2023</v>
      </c>
      <c r="B3129" s="295">
        <v>10</v>
      </c>
      <c r="C3129" s="295" t="s">
        <v>426</v>
      </c>
      <c r="D3129" s="295" t="s">
        <v>259</v>
      </c>
      <c r="E3129" s="296">
        <v>0.91295019856666815</v>
      </c>
    </row>
    <row r="3130" spans="1:5" x14ac:dyDescent="0.3">
      <c r="A3130" s="295">
        <v>2023</v>
      </c>
      <c r="B3130" s="295">
        <v>10</v>
      </c>
      <c r="C3130" s="295" t="s">
        <v>426</v>
      </c>
      <c r="D3130" s="295" t="s">
        <v>85</v>
      </c>
      <c r="E3130" s="296">
        <v>5.5583347229170146</v>
      </c>
    </row>
    <row r="3131" spans="1:5" x14ac:dyDescent="0.3">
      <c r="A3131" s="295">
        <v>2023</v>
      </c>
      <c r="B3131" s="295">
        <v>10</v>
      </c>
      <c r="C3131" s="295" t="s">
        <v>426</v>
      </c>
      <c r="D3131" s="295" t="s">
        <v>101</v>
      </c>
      <c r="E3131" s="296">
        <v>20.012007204322593</v>
      </c>
    </row>
    <row r="3132" spans="1:5" x14ac:dyDescent="0.3">
      <c r="A3132" s="295">
        <v>2023</v>
      </c>
      <c r="B3132" s="295">
        <v>10</v>
      </c>
      <c r="C3132" s="295" t="s">
        <v>426</v>
      </c>
      <c r="D3132" s="295" t="s">
        <v>179</v>
      </c>
      <c r="E3132" s="296">
        <v>1030.9278350515463</v>
      </c>
    </row>
    <row r="3133" spans="1:5" x14ac:dyDescent="0.3">
      <c r="A3133" s="295">
        <v>2023</v>
      </c>
      <c r="B3133" s="295">
        <v>10</v>
      </c>
      <c r="C3133" s="295" t="s">
        <v>426</v>
      </c>
      <c r="D3133" s="295" t="s">
        <v>352</v>
      </c>
      <c r="E3133" s="296">
        <v>8.0938891137191433</v>
      </c>
    </row>
    <row r="3134" spans="1:5" x14ac:dyDescent="0.3">
      <c r="A3134" s="295">
        <v>2023</v>
      </c>
      <c r="B3134" s="295">
        <v>10</v>
      </c>
      <c r="C3134" s="295" t="s">
        <v>1</v>
      </c>
      <c r="D3134" s="295" t="s">
        <v>1</v>
      </c>
      <c r="E3134" s="296">
        <v>1</v>
      </c>
    </row>
    <row r="3135" spans="1:5" x14ac:dyDescent="0.3">
      <c r="A3135" s="295">
        <v>2023</v>
      </c>
      <c r="B3135" s="295">
        <v>10</v>
      </c>
      <c r="C3135" s="295" t="s">
        <v>2</v>
      </c>
      <c r="D3135" s="295" t="s">
        <v>2</v>
      </c>
      <c r="E3135" s="296">
        <v>1</v>
      </c>
    </row>
    <row r="3136" spans="1:5" x14ac:dyDescent="0.3">
      <c r="A3136" s="295">
        <v>2023</v>
      </c>
      <c r="B3136" s="295">
        <v>10</v>
      </c>
      <c r="C3136" s="295" t="s">
        <v>259</v>
      </c>
      <c r="D3136" s="295" t="s">
        <v>259</v>
      </c>
      <c r="E3136" s="296">
        <v>1</v>
      </c>
    </row>
    <row r="3137" spans="1:5" x14ac:dyDescent="0.3">
      <c r="A3137" s="295">
        <v>2023</v>
      </c>
      <c r="B3137" s="295">
        <v>10</v>
      </c>
      <c r="C3137" s="295" t="s">
        <v>85</v>
      </c>
      <c r="D3137" s="295" t="s">
        <v>85</v>
      </c>
      <c r="E3137" s="296">
        <v>1</v>
      </c>
    </row>
    <row r="3138" spans="1:5" x14ac:dyDescent="0.3">
      <c r="A3138" s="295">
        <v>2023</v>
      </c>
      <c r="B3138" s="295">
        <v>10</v>
      </c>
      <c r="C3138" s="295" t="s">
        <v>101</v>
      </c>
      <c r="D3138" s="295" t="s">
        <v>101</v>
      </c>
      <c r="E3138" s="296">
        <v>1</v>
      </c>
    </row>
    <row r="3139" spans="1:5" x14ac:dyDescent="0.3">
      <c r="A3139" s="295">
        <v>2023</v>
      </c>
      <c r="B3139" s="295">
        <v>10</v>
      </c>
      <c r="C3139" s="295" t="s">
        <v>179</v>
      </c>
      <c r="D3139" s="295" t="s">
        <v>179</v>
      </c>
      <c r="E3139" s="296">
        <v>1</v>
      </c>
    </row>
    <row r="3140" spans="1:5" x14ac:dyDescent="0.3">
      <c r="A3140" s="295">
        <v>2023</v>
      </c>
      <c r="B3140" s="295">
        <v>10</v>
      </c>
      <c r="C3140" s="295" t="s">
        <v>352</v>
      </c>
      <c r="D3140" s="295" t="s">
        <v>352</v>
      </c>
      <c r="E3140" s="296">
        <v>1</v>
      </c>
    </row>
    <row r="3141" spans="1:5" x14ac:dyDescent="0.3">
      <c r="A3141" s="295">
        <v>2023</v>
      </c>
      <c r="B3141" s="295">
        <v>10</v>
      </c>
      <c r="C3141" s="295" t="s">
        <v>426</v>
      </c>
      <c r="D3141" s="295" t="s">
        <v>426</v>
      </c>
      <c r="E3141" s="296">
        <v>1</v>
      </c>
    </row>
    <row r="3142" spans="1:5" x14ac:dyDescent="0.3">
      <c r="A3142" s="295">
        <v>2023</v>
      </c>
      <c r="B3142" s="295">
        <v>11</v>
      </c>
      <c r="C3142" s="295" t="s">
        <v>1</v>
      </c>
      <c r="D3142" s="295" t="s">
        <v>2</v>
      </c>
      <c r="E3142" s="296">
        <v>1.0931</v>
      </c>
    </row>
    <row r="3143" spans="1:5" x14ac:dyDescent="0.3">
      <c r="A3143" s="295">
        <v>2023</v>
      </c>
      <c r="B3143" s="295">
        <v>11</v>
      </c>
      <c r="C3143" s="295" t="s">
        <v>1</v>
      </c>
      <c r="D3143" s="295" t="s">
        <v>259</v>
      </c>
      <c r="E3143" s="296">
        <v>0.86368</v>
      </c>
    </row>
    <row r="3144" spans="1:5" x14ac:dyDescent="0.3">
      <c r="A3144" s="295">
        <v>2023</v>
      </c>
      <c r="B3144" s="295">
        <v>11</v>
      </c>
      <c r="C3144" s="295" t="s">
        <v>1</v>
      </c>
      <c r="D3144" s="295" t="s">
        <v>85</v>
      </c>
      <c r="E3144" s="296">
        <v>5.3983999999999996</v>
      </c>
    </row>
    <row r="3145" spans="1:5" x14ac:dyDescent="0.3">
      <c r="A3145" s="295">
        <v>2023</v>
      </c>
      <c r="B3145" s="295">
        <v>11</v>
      </c>
      <c r="C3145" s="295" t="s">
        <v>1</v>
      </c>
      <c r="D3145" s="295" t="s">
        <v>101</v>
      </c>
      <c r="E3145" s="296">
        <v>19.023499999999999</v>
      </c>
    </row>
    <row r="3146" spans="1:5" x14ac:dyDescent="0.3">
      <c r="A3146" s="295">
        <v>2023</v>
      </c>
      <c r="B3146" s="295">
        <v>11</v>
      </c>
      <c r="C3146" s="295" t="s">
        <v>1</v>
      </c>
      <c r="D3146" s="295" t="s">
        <v>179</v>
      </c>
      <c r="E3146" s="296">
        <v>950.94200000000001</v>
      </c>
    </row>
    <row r="3147" spans="1:5" x14ac:dyDescent="0.3">
      <c r="A3147" s="295">
        <v>2023</v>
      </c>
      <c r="B3147" s="295">
        <v>11</v>
      </c>
      <c r="C3147" s="295" t="s">
        <v>1</v>
      </c>
      <c r="D3147" s="295" t="s">
        <v>352</v>
      </c>
      <c r="E3147" s="296">
        <v>7.8007999999999997</v>
      </c>
    </row>
    <row r="3148" spans="1:5" x14ac:dyDescent="0.3">
      <c r="A3148" s="295">
        <v>2023</v>
      </c>
      <c r="B3148" s="295">
        <v>11</v>
      </c>
      <c r="C3148" s="295" t="s">
        <v>1</v>
      </c>
      <c r="D3148" s="295" t="s">
        <v>426</v>
      </c>
      <c r="E3148" s="296">
        <v>0.95620000000000005</v>
      </c>
    </row>
    <row r="3149" spans="1:5" x14ac:dyDescent="0.3">
      <c r="A3149" s="295">
        <v>2023</v>
      </c>
      <c r="B3149" s="295">
        <v>11</v>
      </c>
      <c r="C3149" s="295" t="s">
        <v>2</v>
      </c>
      <c r="D3149" s="295" t="s">
        <v>1</v>
      </c>
      <c r="E3149" s="296">
        <v>0.91482938431982441</v>
      </c>
    </row>
    <row r="3150" spans="1:5" x14ac:dyDescent="0.3">
      <c r="A3150" s="295">
        <v>2023</v>
      </c>
      <c r="B3150" s="295">
        <v>11</v>
      </c>
      <c r="C3150" s="295" t="s">
        <v>2</v>
      </c>
      <c r="D3150" s="295" t="s">
        <v>259</v>
      </c>
      <c r="E3150" s="296">
        <v>0.79012000000000004</v>
      </c>
    </row>
    <row r="3151" spans="1:5" x14ac:dyDescent="0.3">
      <c r="A3151" s="295">
        <v>2023</v>
      </c>
      <c r="B3151" s="295">
        <v>11</v>
      </c>
      <c r="C3151" s="295" t="s">
        <v>2</v>
      </c>
      <c r="D3151" s="295" t="s">
        <v>85</v>
      </c>
      <c r="E3151" s="296">
        <v>4.9386099999999997</v>
      </c>
    </row>
    <row r="3152" spans="1:5" x14ac:dyDescent="0.3">
      <c r="A3152" s="295">
        <v>2023</v>
      </c>
      <c r="B3152" s="295">
        <v>11</v>
      </c>
      <c r="C3152" s="295" t="s">
        <v>2</v>
      </c>
      <c r="D3152" s="295" t="s">
        <v>101</v>
      </c>
      <c r="E3152" s="296">
        <v>17.40326</v>
      </c>
    </row>
    <row r="3153" spans="1:5" x14ac:dyDescent="0.3">
      <c r="A3153" s="295">
        <v>2023</v>
      </c>
      <c r="B3153" s="295">
        <v>11</v>
      </c>
      <c r="C3153" s="295" t="s">
        <v>2</v>
      </c>
      <c r="D3153" s="295" t="s">
        <v>179</v>
      </c>
      <c r="E3153" s="296">
        <v>869.01747</v>
      </c>
    </row>
    <row r="3154" spans="1:5" x14ac:dyDescent="0.3">
      <c r="A3154" s="295">
        <v>2023</v>
      </c>
      <c r="B3154" s="295">
        <v>11</v>
      </c>
      <c r="C3154" s="295" t="s">
        <v>2</v>
      </c>
      <c r="D3154" s="295" t="s">
        <v>352</v>
      </c>
      <c r="E3154" s="296">
        <v>7.1364000000000001</v>
      </c>
    </row>
    <row r="3155" spans="1:5" x14ac:dyDescent="0.3">
      <c r="A3155" s="295">
        <v>2023</v>
      </c>
      <c r="B3155" s="295">
        <v>11</v>
      </c>
      <c r="C3155" s="295" t="s">
        <v>2</v>
      </c>
      <c r="D3155" s="295" t="s">
        <v>426</v>
      </c>
      <c r="E3155" s="296">
        <v>0.87475999999999998</v>
      </c>
    </row>
    <row r="3156" spans="1:5" x14ac:dyDescent="0.3">
      <c r="A3156" s="295">
        <v>2023</v>
      </c>
      <c r="B3156" s="295">
        <v>11</v>
      </c>
      <c r="C3156" s="295" t="s">
        <v>259</v>
      </c>
      <c r="D3156" s="295" t="s">
        <v>1</v>
      </c>
      <c r="E3156" s="296">
        <v>1.1578362356428307</v>
      </c>
    </row>
    <row r="3157" spans="1:5" x14ac:dyDescent="0.3">
      <c r="A3157" s="295">
        <v>2023</v>
      </c>
      <c r="B3157" s="295">
        <v>11</v>
      </c>
      <c r="C3157" s="295" t="s">
        <v>259</v>
      </c>
      <c r="D3157" s="295" t="s">
        <v>2</v>
      </c>
      <c r="E3157" s="296">
        <v>1.2656305371335999</v>
      </c>
    </row>
    <row r="3158" spans="1:5" x14ac:dyDescent="0.3">
      <c r="A3158" s="295">
        <v>2023</v>
      </c>
      <c r="B3158" s="295">
        <v>11</v>
      </c>
      <c r="C3158" s="295" t="s">
        <v>259</v>
      </c>
      <c r="D3158" s="295" t="s">
        <v>85</v>
      </c>
      <c r="E3158" s="296">
        <v>6.2504600000000003</v>
      </c>
    </row>
    <row r="3159" spans="1:5" x14ac:dyDescent="0.3">
      <c r="A3159" s="295">
        <v>2023</v>
      </c>
      <c r="B3159" s="295">
        <v>11</v>
      </c>
      <c r="C3159" s="295" t="s">
        <v>259</v>
      </c>
      <c r="D3159" s="295" t="s">
        <v>101</v>
      </c>
      <c r="E3159" s="296">
        <v>22.0261</v>
      </c>
    </row>
    <row r="3160" spans="1:5" x14ac:dyDescent="0.3">
      <c r="A3160" s="295">
        <v>2023</v>
      </c>
      <c r="B3160" s="295">
        <v>11</v>
      </c>
      <c r="C3160" s="295" t="s">
        <v>259</v>
      </c>
      <c r="D3160" s="295" t="s">
        <v>179</v>
      </c>
      <c r="E3160" s="296">
        <v>1099.85527</v>
      </c>
    </row>
    <row r="3161" spans="1:5" x14ac:dyDescent="0.3">
      <c r="A3161" s="295">
        <v>2023</v>
      </c>
      <c r="B3161" s="295">
        <v>11</v>
      </c>
      <c r="C3161" s="295" t="s">
        <v>259</v>
      </c>
      <c r="D3161" s="295" t="s">
        <v>352</v>
      </c>
      <c r="E3161" s="296">
        <v>9.0320499999999999</v>
      </c>
    </row>
    <row r="3162" spans="1:5" x14ac:dyDescent="0.3">
      <c r="A3162" s="295">
        <v>2023</v>
      </c>
      <c r="B3162" s="295">
        <v>11</v>
      </c>
      <c r="C3162" s="295" t="s">
        <v>259</v>
      </c>
      <c r="D3162" s="295" t="s">
        <v>426</v>
      </c>
      <c r="E3162" s="296">
        <v>1.1071200000000001</v>
      </c>
    </row>
    <row r="3163" spans="1:5" x14ac:dyDescent="0.3">
      <c r="A3163" s="295">
        <v>2023</v>
      </c>
      <c r="B3163" s="295">
        <v>11</v>
      </c>
      <c r="C3163" s="295" t="s">
        <v>85</v>
      </c>
      <c r="D3163" s="295" t="s">
        <v>1</v>
      </c>
      <c r="E3163" s="296">
        <v>0.18524007113218732</v>
      </c>
    </row>
    <row r="3164" spans="1:5" x14ac:dyDescent="0.3">
      <c r="A3164" s="295">
        <v>2023</v>
      </c>
      <c r="B3164" s="295">
        <v>11</v>
      </c>
      <c r="C3164" s="295" t="s">
        <v>85</v>
      </c>
      <c r="D3164" s="295" t="s">
        <v>2</v>
      </c>
      <c r="E3164" s="296">
        <v>0.20248612463830917</v>
      </c>
    </row>
    <row r="3165" spans="1:5" x14ac:dyDescent="0.3">
      <c r="A3165" s="295">
        <v>2023</v>
      </c>
      <c r="B3165" s="295">
        <v>11</v>
      </c>
      <c r="C3165" s="295" t="s">
        <v>85</v>
      </c>
      <c r="D3165" s="295" t="s">
        <v>259</v>
      </c>
      <c r="E3165" s="296">
        <v>0.15998822486664979</v>
      </c>
    </row>
    <row r="3166" spans="1:5" x14ac:dyDescent="0.3">
      <c r="A3166" s="295">
        <v>2023</v>
      </c>
      <c r="B3166" s="295">
        <v>11</v>
      </c>
      <c r="C3166" s="295" t="s">
        <v>85</v>
      </c>
      <c r="D3166" s="295" t="s">
        <v>101</v>
      </c>
      <c r="E3166" s="296">
        <v>3.5239099999999999</v>
      </c>
    </row>
    <row r="3167" spans="1:5" x14ac:dyDescent="0.3">
      <c r="A3167" s="295">
        <v>2023</v>
      </c>
      <c r="B3167" s="295">
        <v>11</v>
      </c>
      <c r="C3167" s="295" t="s">
        <v>85</v>
      </c>
      <c r="D3167" s="295" t="s">
        <v>179</v>
      </c>
      <c r="E3167" s="296">
        <v>175.96379999999999</v>
      </c>
    </row>
    <row r="3168" spans="1:5" x14ac:dyDescent="0.3">
      <c r="A3168" s="295">
        <v>2023</v>
      </c>
      <c r="B3168" s="295">
        <v>11</v>
      </c>
      <c r="C3168" s="295" t="s">
        <v>85</v>
      </c>
      <c r="D3168" s="295" t="s">
        <v>352</v>
      </c>
      <c r="E3168" s="296">
        <v>1.44502</v>
      </c>
    </row>
    <row r="3169" spans="1:5" x14ac:dyDescent="0.3">
      <c r="A3169" s="295">
        <v>2023</v>
      </c>
      <c r="B3169" s="295">
        <v>11</v>
      </c>
      <c r="C3169" s="295" t="s">
        <v>85</v>
      </c>
      <c r="D3169" s="295" t="s">
        <v>426</v>
      </c>
      <c r="E3169" s="296">
        <v>0.17713000000000001</v>
      </c>
    </row>
    <row r="3170" spans="1:5" x14ac:dyDescent="0.3">
      <c r="A3170" s="295">
        <v>2023</v>
      </c>
      <c r="B3170" s="295">
        <v>11</v>
      </c>
      <c r="C3170" s="295" t="s">
        <v>101</v>
      </c>
      <c r="D3170" s="295" t="s">
        <v>1</v>
      </c>
      <c r="E3170" s="296">
        <v>5.2566562409651227E-2</v>
      </c>
    </row>
    <row r="3171" spans="1:5" x14ac:dyDescent="0.3">
      <c r="A3171" s="295">
        <v>2023</v>
      </c>
      <c r="B3171" s="295">
        <v>11</v>
      </c>
      <c r="C3171" s="295" t="s">
        <v>101</v>
      </c>
      <c r="D3171" s="295" t="s">
        <v>2</v>
      </c>
      <c r="E3171" s="296">
        <v>5.7460498780113611E-2</v>
      </c>
    </row>
    <row r="3172" spans="1:5" x14ac:dyDescent="0.3">
      <c r="A3172" s="295">
        <v>2023</v>
      </c>
      <c r="B3172" s="295">
        <v>11</v>
      </c>
      <c r="C3172" s="295" t="s">
        <v>101</v>
      </c>
      <c r="D3172" s="295" t="s">
        <v>259</v>
      </c>
      <c r="E3172" s="296">
        <v>4.5400683734297037E-2</v>
      </c>
    </row>
    <row r="3173" spans="1:5" x14ac:dyDescent="0.3">
      <c r="A3173" s="295">
        <v>2023</v>
      </c>
      <c r="B3173" s="295">
        <v>11</v>
      </c>
      <c r="C3173" s="295" t="s">
        <v>101</v>
      </c>
      <c r="D3173" s="295" t="s">
        <v>85</v>
      </c>
      <c r="E3173" s="296">
        <v>0.28377569234174538</v>
      </c>
    </row>
    <row r="3174" spans="1:5" x14ac:dyDescent="0.3">
      <c r="A3174" s="295">
        <v>2023</v>
      </c>
      <c r="B3174" s="295">
        <v>11</v>
      </c>
      <c r="C3174" s="295" t="s">
        <v>101</v>
      </c>
      <c r="D3174" s="295" t="s">
        <v>179</v>
      </c>
      <c r="E3174" s="296">
        <v>49.987749999999998</v>
      </c>
    </row>
    <row r="3175" spans="1:5" x14ac:dyDescent="0.3">
      <c r="A3175" s="295">
        <v>2023</v>
      </c>
      <c r="B3175" s="295">
        <v>11</v>
      </c>
      <c r="C3175" s="295" t="s">
        <v>101</v>
      </c>
      <c r="D3175" s="295" t="s">
        <v>352</v>
      </c>
      <c r="E3175" s="296">
        <v>0.41005999999999998</v>
      </c>
    </row>
    <row r="3176" spans="1:5" x14ac:dyDescent="0.3">
      <c r="A3176" s="295">
        <v>2023</v>
      </c>
      <c r="B3176" s="295">
        <v>11</v>
      </c>
      <c r="C3176" s="295" t="s">
        <v>101</v>
      </c>
      <c r="D3176" s="295" t="s">
        <v>426</v>
      </c>
      <c r="E3176" s="296">
        <v>5.0259999999999999E-2</v>
      </c>
    </row>
    <row r="3177" spans="1:5" x14ac:dyDescent="0.3">
      <c r="A3177" s="295">
        <v>2023</v>
      </c>
      <c r="B3177" s="295">
        <v>11</v>
      </c>
      <c r="C3177" s="295" t="s">
        <v>179</v>
      </c>
      <c r="D3177" s="295" t="s">
        <v>1</v>
      </c>
      <c r="E3177" s="296">
        <v>1.051588845586797E-3</v>
      </c>
    </row>
    <row r="3178" spans="1:5" x14ac:dyDescent="0.3">
      <c r="A3178" s="295">
        <v>2023</v>
      </c>
      <c r="B3178" s="295">
        <v>11</v>
      </c>
      <c r="C3178" s="295" t="s">
        <v>179</v>
      </c>
      <c r="D3178" s="295" t="s">
        <v>2</v>
      </c>
      <c r="E3178" s="296">
        <v>1.1507248525164863E-3</v>
      </c>
    </row>
    <row r="3179" spans="1:5" x14ac:dyDescent="0.3">
      <c r="A3179" s="295">
        <v>2023</v>
      </c>
      <c r="B3179" s="295">
        <v>11</v>
      </c>
      <c r="C3179" s="295" t="s">
        <v>179</v>
      </c>
      <c r="D3179" s="295" t="s">
        <v>259</v>
      </c>
      <c r="E3179" s="296">
        <v>9.0921053640084847E-4</v>
      </c>
    </row>
    <row r="3180" spans="1:5" x14ac:dyDescent="0.3">
      <c r="A3180" s="295">
        <v>2023</v>
      </c>
      <c r="B3180" s="295">
        <v>11</v>
      </c>
      <c r="C3180" s="295" t="s">
        <v>179</v>
      </c>
      <c r="D3180" s="295" t="s">
        <v>85</v>
      </c>
      <c r="E3180" s="296">
        <v>5.682987068931224E-3</v>
      </c>
    </row>
    <row r="3181" spans="1:5" x14ac:dyDescent="0.3">
      <c r="A3181" s="295">
        <v>2023</v>
      </c>
      <c r="B3181" s="295">
        <v>11</v>
      </c>
      <c r="C3181" s="295" t="s">
        <v>179</v>
      </c>
      <c r="D3181" s="295" t="s">
        <v>101</v>
      </c>
      <c r="E3181" s="296">
        <v>2.0004901200794196E-2</v>
      </c>
    </row>
    <row r="3182" spans="1:5" x14ac:dyDescent="0.3">
      <c r="A3182" s="295">
        <v>2023</v>
      </c>
      <c r="B3182" s="295">
        <v>11</v>
      </c>
      <c r="C3182" s="295" t="s">
        <v>179</v>
      </c>
      <c r="D3182" s="295" t="s">
        <v>352</v>
      </c>
      <c r="E3182" s="296">
        <v>8.2000000000000007E-3</v>
      </c>
    </row>
    <row r="3183" spans="1:5" x14ac:dyDescent="0.3">
      <c r="A3183" s="295">
        <v>2023</v>
      </c>
      <c r="B3183" s="295">
        <v>11</v>
      </c>
      <c r="C3183" s="295" t="s">
        <v>179</v>
      </c>
      <c r="D3183" s="295" t="s">
        <v>426</v>
      </c>
      <c r="E3183" s="296">
        <v>1.01E-3</v>
      </c>
    </row>
    <row r="3184" spans="1:5" x14ac:dyDescent="0.3">
      <c r="A3184" s="295">
        <v>2023</v>
      </c>
      <c r="B3184" s="295">
        <v>11</v>
      </c>
      <c r="C3184" s="295" t="s">
        <v>352</v>
      </c>
      <c r="D3184" s="295" t="s">
        <v>1</v>
      </c>
      <c r="E3184" s="296">
        <v>0.12819198030971182</v>
      </c>
    </row>
    <row r="3185" spans="1:5" x14ac:dyDescent="0.3">
      <c r="A3185" s="295">
        <v>2023</v>
      </c>
      <c r="B3185" s="295">
        <v>11</v>
      </c>
      <c r="C3185" s="295" t="s">
        <v>352</v>
      </c>
      <c r="D3185" s="295" t="s">
        <v>2</v>
      </c>
      <c r="E3185" s="296">
        <v>0.14012667451376043</v>
      </c>
    </row>
    <row r="3186" spans="1:5" x14ac:dyDescent="0.3">
      <c r="A3186" s="295">
        <v>2023</v>
      </c>
      <c r="B3186" s="295">
        <v>11</v>
      </c>
      <c r="C3186" s="295" t="s">
        <v>352</v>
      </c>
      <c r="D3186" s="295" t="s">
        <v>259</v>
      </c>
      <c r="E3186" s="296">
        <v>0.11071683615569002</v>
      </c>
    </row>
    <row r="3187" spans="1:5" x14ac:dyDescent="0.3">
      <c r="A3187" s="295">
        <v>2023</v>
      </c>
      <c r="B3187" s="295">
        <v>11</v>
      </c>
      <c r="C3187" s="295" t="s">
        <v>352</v>
      </c>
      <c r="D3187" s="295" t="s">
        <v>85</v>
      </c>
      <c r="E3187" s="296">
        <v>0.69203194419454406</v>
      </c>
    </row>
    <row r="3188" spans="1:5" x14ac:dyDescent="0.3">
      <c r="A3188" s="295">
        <v>2023</v>
      </c>
      <c r="B3188" s="295">
        <v>11</v>
      </c>
      <c r="C3188" s="295" t="s">
        <v>352</v>
      </c>
      <c r="D3188" s="295" t="s">
        <v>101</v>
      </c>
      <c r="E3188" s="296">
        <v>2.4386675120714041</v>
      </c>
    </row>
    <row r="3189" spans="1:5" x14ac:dyDescent="0.3">
      <c r="A3189" s="295">
        <v>2023</v>
      </c>
      <c r="B3189" s="295">
        <v>11</v>
      </c>
      <c r="C3189" s="295" t="s">
        <v>352</v>
      </c>
      <c r="D3189" s="295" t="s">
        <v>179</v>
      </c>
      <c r="E3189" s="296">
        <v>121.95121951219511</v>
      </c>
    </row>
    <row r="3190" spans="1:5" x14ac:dyDescent="0.3">
      <c r="A3190" s="295">
        <v>2023</v>
      </c>
      <c r="B3190" s="295">
        <v>11</v>
      </c>
      <c r="C3190" s="295" t="s">
        <v>352</v>
      </c>
      <c r="D3190" s="295" t="s">
        <v>426</v>
      </c>
      <c r="E3190" s="296">
        <v>0.12257999999999999</v>
      </c>
    </row>
    <row r="3191" spans="1:5" x14ac:dyDescent="0.3">
      <c r="A3191" s="295">
        <v>2023</v>
      </c>
      <c r="B3191" s="295">
        <v>11</v>
      </c>
      <c r="C3191" s="295" t="s">
        <v>426</v>
      </c>
      <c r="D3191" s="295" t="s">
        <v>1</v>
      </c>
      <c r="E3191" s="296">
        <v>1.0458063166701526</v>
      </c>
    </row>
    <row r="3192" spans="1:5" x14ac:dyDescent="0.3">
      <c r="A3192" s="295">
        <v>2023</v>
      </c>
      <c r="B3192" s="295">
        <v>11</v>
      </c>
      <c r="C3192" s="295" t="s">
        <v>426</v>
      </c>
      <c r="D3192" s="295" t="s">
        <v>2</v>
      </c>
      <c r="E3192" s="296">
        <v>1.1431706982486625</v>
      </c>
    </row>
    <row r="3193" spans="1:5" x14ac:dyDescent="0.3">
      <c r="A3193" s="295">
        <v>2023</v>
      </c>
      <c r="B3193" s="295">
        <v>11</v>
      </c>
      <c r="C3193" s="295" t="s">
        <v>426</v>
      </c>
      <c r="D3193" s="295" t="s">
        <v>259</v>
      </c>
      <c r="E3193" s="296">
        <v>0.90324445407905185</v>
      </c>
    </row>
    <row r="3194" spans="1:5" x14ac:dyDescent="0.3">
      <c r="A3194" s="295">
        <v>2023</v>
      </c>
      <c r="B3194" s="295">
        <v>11</v>
      </c>
      <c r="C3194" s="295" t="s">
        <v>426</v>
      </c>
      <c r="D3194" s="295" t="s">
        <v>85</v>
      </c>
      <c r="E3194" s="296">
        <v>5.6455710495116582</v>
      </c>
    </row>
    <row r="3195" spans="1:5" x14ac:dyDescent="0.3">
      <c r="A3195" s="295">
        <v>2023</v>
      </c>
      <c r="B3195" s="295">
        <v>11</v>
      </c>
      <c r="C3195" s="295" t="s">
        <v>426</v>
      </c>
      <c r="D3195" s="295" t="s">
        <v>101</v>
      </c>
      <c r="E3195" s="296">
        <v>19.896538002387587</v>
      </c>
    </row>
    <row r="3196" spans="1:5" x14ac:dyDescent="0.3">
      <c r="A3196" s="295">
        <v>2023</v>
      </c>
      <c r="B3196" s="295">
        <v>11</v>
      </c>
      <c r="C3196" s="295" t="s">
        <v>426</v>
      </c>
      <c r="D3196" s="295" t="s">
        <v>179</v>
      </c>
      <c r="E3196" s="296">
        <v>990.09900990099004</v>
      </c>
    </row>
    <row r="3197" spans="1:5" x14ac:dyDescent="0.3">
      <c r="A3197" s="295">
        <v>2023</v>
      </c>
      <c r="B3197" s="295">
        <v>11</v>
      </c>
      <c r="C3197" s="295" t="s">
        <v>426</v>
      </c>
      <c r="D3197" s="295" t="s">
        <v>352</v>
      </c>
      <c r="E3197" s="296">
        <v>8.1579376733561766</v>
      </c>
    </row>
    <row r="3198" spans="1:5" x14ac:dyDescent="0.3">
      <c r="A3198" s="295">
        <v>2023</v>
      </c>
      <c r="B3198" s="295">
        <v>11</v>
      </c>
      <c r="C3198" s="295" t="s">
        <v>1</v>
      </c>
      <c r="D3198" s="295" t="s">
        <v>1</v>
      </c>
      <c r="E3198" s="296">
        <v>1</v>
      </c>
    </row>
    <row r="3199" spans="1:5" x14ac:dyDescent="0.3">
      <c r="A3199" s="295">
        <v>2023</v>
      </c>
      <c r="B3199" s="295">
        <v>11</v>
      </c>
      <c r="C3199" s="295" t="s">
        <v>2</v>
      </c>
      <c r="D3199" s="295" t="s">
        <v>2</v>
      </c>
      <c r="E3199" s="296">
        <v>1</v>
      </c>
    </row>
    <row r="3200" spans="1:5" x14ac:dyDescent="0.3">
      <c r="A3200" s="295">
        <v>2023</v>
      </c>
      <c r="B3200" s="295">
        <v>11</v>
      </c>
      <c r="C3200" s="295" t="s">
        <v>259</v>
      </c>
      <c r="D3200" s="295" t="s">
        <v>259</v>
      </c>
      <c r="E3200" s="296">
        <v>1</v>
      </c>
    </row>
    <row r="3201" spans="1:5" x14ac:dyDescent="0.3">
      <c r="A3201" s="295">
        <v>2023</v>
      </c>
      <c r="B3201" s="295">
        <v>11</v>
      </c>
      <c r="C3201" s="295" t="s">
        <v>85</v>
      </c>
      <c r="D3201" s="295" t="s">
        <v>85</v>
      </c>
      <c r="E3201" s="296">
        <v>1</v>
      </c>
    </row>
    <row r="3202" spans="1:5" x14ac:dyDescent="0.3">
      <c r="A3202" s="295">
        <v>2023</v>
      </c>
      <c r="B3202" s="295">
        <v>11</v>
      </c>
      <c r="C3202" s="295" t="s">
        <v>101</v>
      </c>
      <c r="D3202" s="295" t="s">
        <v>101</v>
      </c>
      <c r="E3202" s="296">
        <v>1</v>
      </c>
    </row>
    <row r="3203" spans="1:5" x14ac:dyDescent="0.3">
      <c r="A3203" s="295">
        <v>2023</v>
      </c>
      <c r="B3203" s="295">
        <v>11</v>
      </c>
      <c r="C3203" s="295" t="s">
        <v>179</v>
      </c>
      <c r="D3203" s="295" t="s">
        <v>179</v>
      </c>
      <c r="E3203" s="296">
        <v>1</v>
      </c>
    </row>
    <row r="3204" spans="1:5" x14ac:dyDescent="0.3">
      <c r="A3204" s="295">
        <v>2023</v>
      </c>
      <c r="B3204" s="295">
        <v>11</v>
      </c>
      <c r="C3204" s="295" t="s">
        <v>352</v>
      </c>
      <c r="D3204" s="295" t="s">
        <v>352</v>
      </c>
      <c r="E3204" s="296">
        <v>1</v>
      </c>
    </row>
    <row r="3205" spans="1:5" x14ac:dyDescent="0.3">
      <c r="A3205" s="295">
        <v>2023</v>
      </c>
      <c r="B3205" s="295">
        <v>11</v>
      </c>
      <c r="C3205" s="295" t="s">
        <v>426</v>
      </c>
      <c r="D3205" s="295" t="s">
        <v>426</v>
      </c>
      <c r="E3205" s="296">
        <v>1</v>
      </c>
    </row>
    <row r="3206" spans="1:5" x14ac:dyDescent="0.3">
      <c r="A3206" s="295">
        <v>2023</v>
      </c>
      <c r="B3206" s="295">
        <v>12</v>
      </c>
      <c r="C3206" s="295" t="s">
        <v>1</v>
      </c>
      <c r="D3206" s="295" t="s">
        <v>2</v>
      </c>
      <c r="E3206" s="296">
        <v>1.105</v>
      </c>
    </row>
    <row r="3207" spans="1:5" x14ac:dyDescent="0.3">
      <c r="A3207" s="295">
        <v>2023</v>
      </c>
      <c r="B3207" s="295">
        <v>12</v>
      </c>
      <c r="C3207" s="295" t="s">
        <v>1</v>
      </c>
      <c r="D3207" s="295" t="s">
        <v>259</v>
      </c>
      <c r="E3207" s="296">
        <v>0.86904999999999999</v>
      </c>
    </row>
    <row r="3208" spans="1:5" x14ac:dyDescent="0.3">
      <c r="A3208" s="295">
        <v>2023</v>
      </c>
      <c r="B3208" s="295">
        <v>12</v>
      </c>
      <c r="C3208" s="295" t="s">
        <v>1</v>
      </c>
      <c r="D3208" s="295" t="s">
        <v>85</v>
      </c>
      <c r="E3208" s="296">
        <v>5.3617999999999997</v>
      </c>
    </row>
    <row r="3209" spans="1:5" x14ac:dyDescent="0.3">
      <c r="A3209" s="295">
        <v>2023</v>
      </c>
      <c r="B3209" s="295">
        <v>12</v>
      </c>
      <c r="C3209" s="295" t="s">
        <v>1</v>
      </c>
      <c r="D3209" s="295" t="s">
        <v>101</v>
      </c>
      <c r="E3209" s="296">
        <v>18.723099999999999</v>
      </c>
    </row>
    <row r="3210" spans="1:5" x14ac:dyDescent="0.3">
      <c r="A3210" s="295">
        <v>2023</v>
      </c>
      <c r="B3210" s="295">
        <v>12</v>
      </c>
      <c r="C3210" s="295" t="s">
        <v>1</v>
      </c>
      <c r="D3210" s="295" t="s">
        <v>179</v>
      </c>
      <c r="E3210" s="296">
        <v>973.04100000000005</v>
      </c>
    </row>
    <row r="3211" spans="1:5" x14ac:dyDescent="0.3">
      <c r="A3211" s="295">
        <v>2023</v>
      </c>
      <c r="B3211" s="295">
        <v>12</v>
      </c>
      <c r="C3211" s="295" t="s">
        <v>1</v>
      </c>
      <c r="D3211" s="295" t="s">
        <v>352</v>
      </c>
      <c r="E3211" s="296">
        <v>7.8509000000000002</v>
      </c>
    </row>
    <row r="3212" spans="1:5" x14ac:dyDescent="0.3">
      <c r="A3212" s="295">
        <v>2023</v>
      </c>
      <c r="B3212" s="295">
        <v>12</v>
      </c>
      <c r="C3212" s="295" t="s">
        <v>1</v>
      </c>
      <c r="D3212" s="295" t="s">
        <v>426</v>
      </c>
      <c r="E3212" s="296">
        <v>0.92600000000000005</v>
      </c>
    </row>
    <row r="3213" spans="1:5" x14ac:dyDescent="0.3">
      <c r="A3213" s="295">
        <v>2023</v>
      </c>
      <c r="B3213" s="295">
        <v>12</v>
      </c>
      <c r="C3213" s="295" t="s">
        <v>2</v>
      </c>
      <c r="D3213" s="295" t="s">
        <v>1</v>
      </c>
      <c r="E3213" s="296">
        <v>0.90497737556561086</v>
      </c>
    </row>
    <row r="3214" spans="1:5" x14ac:dyDescent="0.3">
      <c r="A3214" s="295">
        <v>2023</v>
      </c>
      <c r="B3214" s="295">
        <v>12</v>
      </c>
      <c r="C3214" s="295" t="s">
        <v>2</v>
      </c>
      <c r="D3214" s="295" t="s">
        <v>259</v>
      </c>
      <c r="E3214" s="296">
        <v>0.78647</v>
      </c>
    </row>
    <row r="3215" spans="1:5" x14ac:dyDescent="0.3">
      <c r="A3215" s="295">
        <v>2023</v>
      </c>
      <c r="B3215" s="295">
        <v>12</v>
      </c>
      <c r="C3215" s="295" t="s">
        <v>2</v>
      </c>
      <c r="D3215" s="295" t="s">
        <v>85</v>
      </c>
      <c r="E3215" s="296">
        <v>4.8523100000000001</v>
      </c>
    </row>
    <row r="3216" spans="1:5" x14ac:dyDescent="0.3">
      <c r="A3216" s="295">
        <v>2023</v>
      </c>
      <c r="B3216" s="295">
        <v>12</v>
      </c>
      <c r="C3216" s="295" t="s">
        <v>2</v>
      </c>
      <c r="D3216" s="295" t="s">
        <v>101</v>
      </c>
      <c r="E3216" s="296">
        <v>16.94398</v>
      </c>
    </row>
    <row r="3217" spans="1:5" x14ac:dyDescent="0.3">
      <c r="A3217" s="295">
        <v>2023</v>
      </c>
      <c r="B3217" s="295">
        <v>12</v>
      </c>
      <c r="C3217" s="295" t="s">
        <v>2</v>
      </c>
      <c r="D3217" s="295" t="s">
        <v>179</v>
      </c>
      <c r="E3217" s="296">
        <v>880.58009000000004</v>
      </c>
    </row>
    <row r="3218" spans="1:5" x14ac:dyDescent="0.3">
      <c r="A3218" s="295">
        <v>2023</v>
      </c>
      <c r="B3218" s="295">
        <v>12</v>
      </c>
      <c r="C3218" s="295" t="s">
        <v>2</v>
      </c>
      <c r="D3218" s="295" t="s">
        <v>352</v>
      </c>
      <c r="E3218" s="296">
        <v>7.1048900000000001</v>
      </c>
    </row>
    <row r="3219" spans="1:5" x14ac:dyDescent="0.3">
      <c r="A3219" s="295">
        <v>2023</v>
      </c>
      <c r="B3219" s="295">
        <v>12</v>
      </c>
      <c r="C3219" s="295" t="s">
        <v>2</v>
      </c>
      <c r="D3219" s="295" t="s">
        <v>426</v>
      </c>
      <c r="E3219" s="296">
        <v>0.83801000000000003</v>
      </c>
    </row>
    <row r="3220" spans="1:5" x14ac:dyDescent="0.3">
      <c r="A3220" s="295">
        <v>2023</v>
      </c>
      <c r="B3220" s="295">
        <v>12</v>
      </c>
      <c r="C3220" s="295" t="s">
        <v>259</v>
      </c>
      <c r="D3220" s="295" t="s">
        <v>1</v>
      </c>
      <c r="E3220" s="296">
        <v>1.1506817789540302</v>
      </c>
    </row>
    <row r="3221" spans="1:5" x14ac:dyDescent="0.3">
      <c r="A3221" s="295">
        <v>2023</v>
      </c>
      <c r="B3221" s="295">
        <v>12</v>
      </c>
      <c r="C3221" s="295" t="s">
        <v>259</v>
      </c>
      <c r="D3221" s="295" t="s">
        <v>2</v>
      </c>
      <c r="E3221" s="296">
        <v>1.2715043167571554</v>
      </c>
    </row>
    <row r="3222" spans="1:5" x14ac:dyDescent="0.3">
      <c r="A3222" s="295">
        <v>2023</v>
      </c>
      <c r="B3222" s="295">
        <v>12</v>
      </c>
      <c r="C3222" s="295" t="s">
        <v>259</v>
      </c>
      <c r="D3222" s="295" t="s">
        <v>85</v>
      </c>
      <c r="E3222" s="296">
        <v>6.1697300000000004</v>
      </c>
    </row>
    <row r="3223" spans="1:5" x14ac:dyDescent="0.3">
      <c r="A3223" s="295">
        <v>2023</v>
      </c>
      <c r="B3223" s="295">
        <v>12</v>
      </c>
      <c r="C3223" s="295" t="s">
        <v>259</v>
      </c>
      <c r="D3223" s="295" t="s">
        <v>101</v>
      </c>
      <c r="E3223" s="296">
        <v>21.544329999999999</v>
      </c>
    </row>
    <row r="3224" spans="1:5" x14ac:dyDescent="0.3">
      <c r="A3224" s="295">
        <v>2023</v>
      </c>
      <c r="B3224" s="295">
        <v>12</v>
      </c>
      <c r="C3224" s="295" t="s">
        <v>259</v>
      </c>
      <c r="D3224" s="295" t="s">
        <v>179</v>
      </c>
      <c r="E3224" s="296">
        <v>1119.6605500000001</v>
      </c>
    </row>
    <row r="3225" spans="1:5" x14ac:dyDescent="0.3">
      <c r="A3225" s="295">
        <v>2023</v>
      </c>
      <c r="B3225" s="295">
        <v>12</v>
      </c>
      <c r="C3225" s="295" t="s">
        <v>259</v>
      </c>
      <c r="D3225" s="295" t="s">
        <v>352</v>
      </c>
      <c r="E3225" s="296">
        <v>9.0338899999999995</v>
      </c>
    </row>
    <row r="3226" spans="1:5" x14ac:dyDescent="0.3">
      <c r="A3226" s="295">
        <v>2023</v>
      </c>
      <c r="B3226" s="295">
        <v>12</v>
      </c>
      <c r="C3226" s="295" t="s">
        <v>259</v>
      </c>
      <c r="D3226" s="295" t="s">
        <v>426</v>
      </c>
      <c r="E3226" s="296">
        <v>1.0655300000000001</v>
      </c>
    </row>
    <row r="3227" spans="1:5" x14ac:dyDescent="0.3">
      <c r="A3227" s="295">
        <v>2023</v>
      </c>
      <c r="B3227" s="295">
        <v>12</v>
      </c>
      <c r="C3227" s="295" t="s">
        <v>85</v>
      </c>
      <c r="D3227" s="295" t="s">
        <v>1</v>
      </c>
      <c r="E3227" s="296">
        <v>0.18650453206012907</v>
      </c>
    </row>
    <row r="3228" spans="1:5" x14ac:dyDescent="0.3">
      <c r="A3228" s="295">
        <v>2023</v>
      </c>
      <c r="B3228" s="295">
        <v>12</v>
      </c>
      <c r="C3228" s="295" t="s">
        <v>85</v>
      </c>
      <c r="D3228" s="295" t="s">
        <v>2</v>
      </c>
      <c r="E3228" s="296">
        <v>0.20608740991404093</v>
      </c>
    </row>
    <row r="3229" spans="1:5" x14ac:dyDescent="0.3">
      <c r="A3229" s="295">
        <v>2023</v>
      </c>
      <c r="B3229" s="295">
        <v>12</v>
      </c>
      <c r="C3229" s="295" t="s">
        <v>85</v>
      </c>
      <c r="D3229" s="295" t="s">
        <v>259</v>
      </c>
      <c r="E3229" s="296">
        <v>0.16208164700886424</v>
      </c>
    </row>
    <row r="3230" spans="1:5" x14ac:dyDescent="0.3">
      <c r="A3230" s="295">
        <v>2023</v>
      </c>
      <c r="B3230" s="295">
        <v>12</v>
      </c>
      <c r="C3230" s="295" t="s">
        <v>85</v>
      </c>
      <c r="D3230" s="295" t="s">
        <v>101</v>
      </c>
      <c r="E3230" s="296">
        <v>3.49194</v>
      </c>
    </row>
    <row r="3231" spans="1:5" x14ac:dyDescent="0.3">
      <c r="A3231" s="295">
        <v>2023</v>
      </c>
      <c r="B3231" s="295">
        <v>12</v>
      </c>
      <c r="C3231" s="295" t="s">
        <v>85</v>
      </c>
      <c r="D3231" s="295" t="s">
        <v>179</v>
      </c>
      <c r="E3231" s="296">
        <v>181.47656000000001</v>
      </c>
    </row>
    <row r="3232" spans="1:5" x14ac:dyDescent="0.3">
      <c r="A3232" s="295">
        <v>2023</v>
      </c>
      <c r="B3232" s="295">
        <v>12</v>
      </c>
      <c r="C3232" s="295" t="s">
        <v>85</v>
      </c>
      <c r="D3232" s="295" t="s">
        <v>352</v>
      </c>
      <c r="E3232" s="296">
        <v>1.4642299999999999</v>
      </c>
    </row>
    <row r="3233" spans="1:5" x14ac:dyDescent="0.3">
      <c r="A3233" s="295">
        <v>2023</v>
      </c>
      <c r="B3233" s="295">
        <v>12</v>
      </c>
      <c r="C3233" s="295" t="s">
        <v>85</v>
      </c>
      <c r="D3233" s="295" t="s">
        <v>426</v>
      </c>
      <c r="E3233" s="296">
        <v>181.47656000000001</v>
      </c>
    </row>
    <row r="3234" spans="1:5" x14ac:dyDescent="0.3">
      <c r="A3234" s="295">
        <v>2023</v>
      </c>
      <c r="B3234" s="295">
        <v>12</v>
      </c>
      <c r="C3234" s="295" t="s">
        <v>101</v>
      </c>
      <c r="D3234" s="295" t="s">
        <v>1</v>
      </c>
      <c r="E3234" s="296">
        <v>5.3409958820921755E-2</v>
      </c>
    </row>
    <row r="3235" spans="1:5" x14ac:dyDescent="0.3">
      <c r="A3235" s="295">
        <v>2023</v>
      </c>
      <c r="B3235" s="295">
        <v>12</v>
      </c>
      <c r="C3235" s="295" t="s">
        <v>101</v>
      </c>
      <c r="D3235" s="295" t="s">
        <v>2</v>
      </c>
      <c r="E3235" s="296">
        <v>5.9018011116632574E-2</v>
      </c>
    </row>
    <row r="3236" spans="1:5" x14ac:dyDescent="0.3">
      <c r="A3236" s="295">
        <v>2023</v>
      </c>
      <c r="B3236" s="295">
        <v>12</v>
      </c>
      <c r="C3236" s="295" t="s">
        <v>101</v>
      </c>
      <c r="D3236" s="295" t="s">
        <v>259</v>
      </c>
      <c r="E3236" s="296">
        <v>4.641592474678953E-2</v>
      </c>
    </row>
    <row r="3237" spans="1:5" x14ac:dyDescent="0.3">
      <c r="A3237" s="295">
        <v>2023</v>
      </c>
      <c r="B3237" s="295">
        <v>12</v>
      </c>
      <c r="C3237" s="295" t="s">
        <v>101</v>
      </c>
      <c r="D3237" s="295" t="s">
        <v>85</v>
      </c>
      <c r="E3237" s="296">
        <v>0.28637376358127575</v>
      </c>
    </row>
    <row r="3238" spans="1:5" x14ac:dyDescent="0.3">
      <c r="A3238" s="295">
        <v>2023</v>
      </c>
      <c r="B3238" s="295">
        <v>12</v>
      </c>
      <c r="C3238" s="295" t="s">
        <v>101</v>
      </c>
      <c r="D3238" s="295" t="s">
        <v>179</v>
      </c>
      <c r="E3238" s="296">
        <v>51.970080000000003</v>
      </c>
    </row>
    <row r="3239" spans="1:5" x14ac:dyDescent="0.3">
      <c r="A3239" s="295">
        <v>2023</v>
      </c>
      <c r="B3239" s="295">
        <v>12</v>
      </c>
      <c r="C3239" s="295" t="s">
        <v>101</v>
      </c>
      <c r="D3239" s="295" t="s">
        <v>352</v>
      </c>
      <c r="E3239" s="296">
        <v>0.41932000000000003</v>
      </c>
    </row>
    <row r="3240" spans="1:5" x14ac:dyDescent="0.3">
      <c r="A3240" s="295">
        <v>2023</v>
      </c>
      <c r="B3240" s="295">
        <v>12</v>
      </c>
      <c r="C3240" s="295" t="s">
        <v>101</v>
      </c>
      <c r="D3240" s="295" t="s">
        <v>426</v>
      </c>
      <c r="E3240" s="296">
        <v>4.9459999999999997E-2</v>
      </c>
    </row>
    <row r="3241" spans="1:5" x14ac:dyDescent="0.3">
      <c r="A3241" s="295">
        <v>2023</v>
      </c>
      <c r="B3241" s="295">
        <v>12</v>
      </c>
      <c r="C3241" s="295" t="s">
        <v>179</v>
      </c>
      <c r="D3241" s="295" t="s">
        <v>1</v>
      </c>
      <c r="E3241" s="296">
        <v>1.0277059240052578E-3</v>
      </c>
    </row>
    <row r="3242" spans="1:5" x14ac:dyDescent="0.3">
      <c r="A3242" s="295">
        <v>2023</v>
      </c>
      <c r="B3242" s="295">
        <v>12</v>
      </c>
      <c r="C3242" s="295" t="s">
        <v>179</v>
      </c>
      <c r="D3242" s="295" t="s">
        <v>2</v>
      </c>
      <c r="E3242" s="296">
        <v>1.1356150466677029E-3</v>
      </c>
    </row>
    <row r="3243" spans="1:5" x14ac:dyDescent="0.3">
      <c r="A3243" s="295">
        <v>2023</v>
      </c>
      <c r="B3243" s="295">
        <v>12</v>
      </c>
      <c r="C3243" s="295" t="s">
        <v>179</v>
      </c>
      <c r="D3243" s="295" t="s">
        <v>259</v>
      </c>
      <c r="E3243" s="296">
        <v>8.9312783235954854E-4</v>
      </c>
    </row>
    <row r="3244" spans="1:5" x14ac:dyDescent="0.3">
      <c r="A3244" s="295">
        <v>2023</v>
      </c>
      <c r="B3244" s="295">
        <v>12</v>
      </c>
      <c r="C3244" s="295" t="s">
        <v>179</v>
      </c>
      <c r="D3244" s="295" t="s">
        <v>85</v>
      </c>
      <c r="E3244" s="296">
        <v>5.5103535134234417E-3</v>
      </c>
    </row>
    <row r="3245" spans="1:5" x14ac:dyDescent="0.3">
      <c r="A3245" s="295">
        <v>2023</v>
      </c>
      <c r="B3245" s="295">
        <v>12</v>
      </c>
      <c r="C3245" s="295" t="s">
        <v>179</v>
      </c>
      <c r="D3245" s="295" t="s">
        <v>101</v>
      </c>
      <c r="E3245" s="296">
        <v>1.9241840689873866E-2</v>
      </c>
    </row>
    <row r="3246" spans="1:5" x14ac:dyDescent="0.3">
      <c r="A3246" s="295">
        <v>2023</v>
      </c>
      <c r="B3246" s="295">
        <v>12</v>
      </c>
      <c r="C3246" s="295" t="s">
        <v>179</v>
      </c>
      <c r="D3246" s="295" t="s">
        <v>352</v>
      </c>
      <c r="E3246" s="296">
        <v>8.0700000000000008E-3</v>
      </c>
    </row>
    <row r="3247" spans="1:5" x14ac:dyDescent="0.3">
      <c r="A3247" s="295">
        <v>2023</v>
      </c>
      <c r="B3247" s="295">
        <v>12</v>
      </c>
      <c r="C3247" s="295" t="s">
        <v>179</v>
      </c>
      <c r="D3247" s="295" t="s">
        <v>426</v>
      </c>
      <c r="E3247" s="296">
        <v>9.5E-4</v>
      </c>
    </row>
    <row r="3248" spans="1:5" x14ac:dyDescent="0.3">
      <c r="A3248" s="295">
        <v>2023</v>
      </c>
      <c r="B3248" s="295">
        <v>12</v>
      </c>
      <c r="C3248" s="295" t="s">
        <v>352</v>
      </c>
      <c r="D3248" s="295" t="s">
        <v>1</v>
      </c>
      <c r="E3248" s="296">
        <v>0.12737393165114827</v>
      </c>
    </row>
    <row r="3249" spans="1:5" x14ac:dyDescent="0.3">
      <c r="A3249" s="295">
        <v>2023</v>
      </c>
      <c r="B3249" s="295">
        <v>12</v>
      </c>
      <c r="C3249" s="295" t="s">
        <v>352</v>
      </c>
      <c r="D3249" s="295" t="s">
        <v>2</v>
      </c>
      <c r="E3249" s="296">
        <v>0.1407481326241504</v>
      </c>
    </row>
    <row r="3250" spans="1:5" x14ac:dyDescent="0.3">
      <c r="A3250" s="295">
        <v>2023</v>
      </c>
      <c r="B3250" s="295">
        <v>12</v>
      </c>
      <c r="C3250" s="295" t="s">
        <v>352</v>
      </c>
      <c r="D3250" s="295" t="s">
        <v>259</v>
      </c>
      <c r="E3250" s="296">
        <v>0.11069428562889298</v>
      </c>
    </row>
    <row r="3251" spans="1:5" x14ac:dyDescent="0.3">
      <c r="A3251" s="295">
        <v>2023</v>
      </c>
      <c r="B3251" s="295">
        <v>12</v>
      </c>
      <c r="C3251" s="295" t="s">
        <v>352</v>
      </c>
      <c r="D3251" s="295" t="s">
        <v>85</v>
      </c>
      <c r="E3251" s="296">
        <v>0.68295281479002623</v>
      </c>
    </row>
    <row r="3252" spans="1:5" x14ac:dyDescent="0.3">
      <c r="A3252" s="295">
        <v>2023</v>
      </c>
      <c r="B3252" s="295">
        <v>12</v>
      </c>
      <c r="C3252" s="295" t="s">
        <v>352</v>
      </c>
      <c r="D3252" s="295" t="s">
        <v>101</v>
      </c>
      <c r="E3252" s="296">
        <v>2.3848135075837069</v>
      </c>
    </row>
    <row r="3253" spans="1:5" x14ac:dyDescent="0.3">
      <c r="A3253" s="295">
        <v>2023</v>
      </c>
      <c r="B3253" s="295">
        <v>12</v>
      </c>
      <c r="C3253" s="295" t="s">
        <v>352</v>
      </c>
      <c r="D3253" s="295" t="s">
        <v>179</v>
      </c>
      <c r="E3253" s="296">
        <v>123.91573729863691</v>
      </c>
    </row>
    <row r="3254" spans="1:5" x14ac:dyDescent="0.3">
      <c r="A3254" s="295">
        <v>2023</v>
      </c>
      <c r="B3254" s="295">
        <v>12</v>
      </c>
      <c r="C3254" s="295" t="s">
        <v>352</v>
      </c>
      <c r="D3254" s="295" t="s">
        <v>426</v>
      </c>
      <c r="E3254" s="296">
        <v>0.11795</v>
      </c>
    </row>
    <row r="3255" spans="1:5" x14ac:dyDescent="0.3">
      <c r="A3255" s="295">
        <v>2023</v>
      </c>
      <c r="B3255" s="295">
        <v>12</v>
      </c>
      <c r="C3255" s="295" t="s">
        <v>426</v>
      </c>
      <c r="D3255" s="295" t="s">
        <v>1</v>
      </c>
      <c r="E3255" s="296">
        <v>1.079913606911447</v>
      </c>
    </row>
    <row r="3256" spans="1:5" x14ac:dyDescent="0.3">
      <c r="A3256" s="295">
        <v>2023</v>
      </c>
      <c r="B3256" s="295">
        <v>12</v>
      </c>
      <c r="C3256" s="295" t="s">
        <v>426</v>
      </c>
      <c r="D3256" s="295" t="s">
        <v>2</v>
      </c>
      <c r="E3256" s="296">
        <v>1.1933031825395879</v>
      </c>
    </row>
    <row r="3257" spans="1:5" x14ac:dyDescent="0.3">
      <c r="A3257" s="295">
        <v>2023</v>
      </c>
      <c r="B3257" s="295">
        <v>12</v>
      </c>
      <c r="C3257" s="295" t="s">
        <v>426</v>
      </c>
      <c r="D3257" s="295" t="s">
        <v>259</v>
      </c>
      <c r="E3257" s="296">
        <v>0.93850008915750838</v>
      </c>
    </row>
    <row r="3258" spans="1:5" x14ac:dyDescent="0.3">
      <c r="A3258" s="295">
        <v>2023</v>
      </c>
      <c r="B3258" s="295">
        <v>12</v>
      </c>
      <c r="C3258" s="295" t="s">
        <v>426</v>
      </c>
      <c r="D3258" s="295" t="s">
        <v>85</v>
      </c>
      <c r="E3258" s="296">
        <v>5.5103535134234417E-3</v>
      </c>
    </row>
    <row r="3259" spans="1:5" x14ac:dyDescent="0.3">
      <c r="A3259" s="295">
        <v>2023</v>
      </c>
      <c r="B3259" s="295">
        <v>12</v>
      </c>
      <c r="C3259" s="295" t="s">
        <v>426</v>
      </c>
      <c r="D3259" s="295" t="s">
        <v>101</v>
      </c>
      <c r="E3259" s="296">
        <v>20.218358269308535</v>
      </c>
    </row>
    <row r="3260" spans="1:5" x14ac:dyDescent="0.3">
      <c r="A3260" s="295">
        <v>2023</v>
      </c>
      <c r="B3260" s="295">
        <v>12</v>
      </c>
      <c r="C3260" s="295" t="s">
        <v>426</v>
      </c>
      <c r="D3260" s="295" t="s">
        <v>179</v>
      </c>
      <c r="E3260" s="296">
        <v>1052.6315789473683</v>
      </c>
    </row>
    <row r="3261" spans="1:5" x14ac:dyDescent="0.3">
      <c r="A3261" s="295">
        <v>2023</v>
      </c>
      <c r="B3261" s="295">
        <v>12</v>
      </c>
      <c r="C3261" s="295" t="s">
        <v>426</v>
      </c>
      <c r="D3261" s="295" t="s">
        <v>352</v>
      </c>
      <c r="E3261" s="296">
        <v>8.4781687155574392</v>
      </c>
    </row>
    <row r="3262" spans="1:5" x14ac:dyDescent="0.3">
      <c r="A3262" s="295">
        <v>2023</v>
      </c>
      <c r="B3262" s="295">
        <v>12</v>
      </c>
      <c r="C3262" s="295" t="s">
        <v>1</v>
      </c>
      <c r="D3262" s="295" t="s">
        <v>1</v>
      </c>
      <c r="E3262" s="296">
        <v>1</v>
      </c>
    </row>
    <row r="3263" spans="1:5" x14ac:dyDescent="0.3">
      <c r="A3263" s="295">
        <v>2023</v>
      </c>
      <c r="B3263" s="295">
        <v>12</v>
      </c>
      <c r="C3263" s="295" t="s">
        <v>2</v>
      </c>
      <c r="D3263" s="295" t="s">
        <v>2</v>
      </c>
      <c r="E3263" s="296">
        <v>1</v>
      </c>
    </row>
    <row r="3264" spans="1:5" x14ac:dyDescent="0.3">
      <c r="A3264" s="295">
        <v>2023</v>
      </c>
      <c r="B3264" s="295">
        <v>12</v>
      </c>
      <c r="C3264" s="295" t="s">
        <v>259</v>
      </c>
      <c r="D3264" s="295" t="s">
        <v>259</v>
      </c>
      <c r="E3264" s="296">
        <v>1</v>
      </c>
    </row>
    <row r="3265" spans="1:5" x14ac:dyDescent="0.3">
      <c r="A3265" s="295">
        <v>2023</v>
      </c>
      <c r="B3265" s="295">
        <v>12</v>
      </c>
      <c r="C3265" s="295" t="s">
        <v>85</v>
      </c>
      <c r="D3265" s="295" t="s">
        <v>85</v>
      </c>
      <c r="E3265" s="296">
        <v>1</v>
      </c>
    </row>
    <row r="3266" spans="1:5" x14ac:dyDescent="0.3">
      <c r="A3266" s="295">
        <v>2023</v>
      </c>
      <c r="B3266" s="295">
        <v>12</v>
      </c>
      <c r="C3266" s="295" t="s">
        <v>101</v>
      </c>
      <c r="D3266" s="295" t="s">
        <v>101</v>
      </c>
      <c r="E3266" s="296">
        <v>1</v>
      </c>
    </row>
    <row r="3267" spans="1:5" x14ac:dyDescent="0.3">
      <c r="A3267" s="295">
        <v>2023</v>
      </c>
      <c r="B3267" s="295">
        <v>12</v>
      </c>
      <c r="C3267" s="295" t="s">
        <v>179</v>
      </c>
      <c r="D3267" s="295" t="s">
        <v>179</v>
      </c>
      <c r="E3267" s="296">
        <v>1</v>
      </c>
    </row>
    <row r="3268" spans="1:5" x14ac:dyDescent="0.3">
      <c r="A3268" s="295">
        <v>2023</v>
      </c>
      <c r="B3268" s="295">
        <v>12</v>
      </c>
      <c r="C3268" s="295" t="s">
        <v>352</v>
      </c>
      <c r="D3268" s="295" t="s">
        <v>352</v>
      </c>
      <c r="E3268" s="296">
        <v>1</v>
      </c>
    </row>
    <row r="3269" spans="1:5" x14ac:dyDescent="0.3">
      <c r="A3269" s="295">
        <v>2023</v>
      </c>
      <c r="B3269" s="295">
        <v>12</v>
      </c>
      <c r="C3269" s="295" t="s">
        <v>426</v>
      </c>
      <c r="D3269" s="295" t="s">
        <v>426</v>
      </c>
      <c r="E3269" s="296">
        <v>1</v>
      </c>
    </row>
    <row r="3270" spans="1:5" x14ac:dyDescent="0.3">
      <c r="A3270" s="295">
        <v>2024</v>
      </c>
      <c r="B3270" s="295">
        <v>1</v>
      </c>
      <c r="C3270" s="295" t="s">
        <v>1</v>
      </c>
      <c r="D3270" s="295" t="s">
        <v>2</v>
      </c>
      <c r="E3270" s="296">
        <v>1.0813999999999999</v>
      </c>
    </row>
    <row r="3271" spans="1:5" x14ac:dyDescent="0.3">
      <c r="A3271" s="295">
        <v>2024</v>
      </c>
      <c r="B3271" s="295">
        <v>1</v>
      </c>
      <c r="C3271" s="295" t="s">
        <v>1</v>
      </c>
      <c r="D3271" s="295" t="s">
        <v>259</v>
      </c>
      <c r="E3271" s="296">
        <v>0.85353000000000001</v>
      </c>
    </row>
    <row r="3272" spans="1:5" x14ac:dyDescent="0.3">
      <c r="A3272" s="295">
        <v>2024</v>
      </c>
      <c r="B3272" s="295">
        <v>1</v>
      </c>
      <c r="C3272" s="295" t="s">
        <v>1</v>
      </c>
      <c r="D3272" s="295" t="s">
        <v>85</v>
      </c>
      <c r="E3272" s="296">
        <v>5.3578000000000001</v>
      </c>
    </row>
    <row r="3273" spans="1:5" x14ac:dyDescent="0.3">
      <c r="A3273" s="295">
        <v>2024</v>
      </c>
      <c r="B3273" s="295">
        <v>1</v>
      </c>
      <c r="C3273" s="295" t="s">
        <v>1</v>
      </c>
      <c r="D3273" s="295" t="s">
        <v>101</v>
      </c>
      <c r="E3273" s="296">
        <v>18.619499999999999</v>
      </c>
    </row>
    <row r="3274" spans="1:5" x14ac:dyDescent="0.3">
      <c r="A3274" s="295">
        <v>2024</v>
      </c>
      <c r="B3274" s="295">
        <v>1</v>
      </c>
      <c r="C3274" s="295" t="s">
        <v>1</v>
      </c>
      <c r="D3274" s="295" t="s">
        <v>179</v>
      </c>
      <c r="E3274" s="296">
        <v>1006.7569999999999</v>
      </c>
    </row>
    <row r="3275" spans="1:5" x14ac:dyDescent="0.3">
      <c r="A3275" s="295">
        <v>2024</v>
      </c>
      <c r="B3275" s="295">
        <v>1</v>
      </c>
      <c r="C3275" s="295" t="s">
        <v>1</v>
      </c>
      <c r="D3275" s="295" t="s">
        <v>352</v>
      </c>
      <c r="E3275" s="296">
        <v>7.7667999999999999</v>
      </c>
    </row>
    <row r="3276" spans="1:5" x14ac:dyDescent="0.3">
      <c r="A3276" s="295">
        <v>2024</v>
      </c>
      <c r="B3276" s="295">
        <v>1</v>
      </c>
      <c r="C3276" s="295" t="s">
        <v>1</v>
      </c>
      <c r="D3276" s="295" t="s">
        <v>426</v>
      </c>
      <c r="E3276" s="296">
        <v>0.93359999999999999</v>
      </c>
    </row>
    <row r="3277" spans="1:5" x14ac:dyDescent="0.3">
      <c r="A3277" s="295">
        <v>2024</v>
      </c>
      <c r="B3277" s="295">
        <v>1</v>
      </c>
      <c r="C3277" s="295" t="s">
        <v>2</v>
      </c>
      <c r="D3277" s="295" t="s">
        <v>1</v>
      </c>
      <c r="E3277" s="296">
        <v>0.92472720547438514</v>
      </c>
    </row>
    <row r="3278" spans="1:5" x14ac:dyDescent="0.3">
      <c r="A3278" s="295">
        <v>2024</v>
      </c>
      <c r="B3278" s="295">
        <v>1</v>
      </c>
      <c r="C3278" s="295" t="s">
        <v>2</v>
      </c>
      <c r="D3278" s="295" t="s">
        <v>259</v>
      </c>
      <c r="E3278" s="296">
        <v>0.78927999999999998</v>
      </c>
    </row>
    <row r="3279" spans="1:5" x14ac:dyDescent="0.3">
      <c r="A3279" s="295">
        <v>2024</v>
      </c>
      <c r="B3279" s="295">
        <v>1</v>
      </c>
      <c r="C3279" s="295" t="s">
        <v>2</v>
      </c>
      <c r="D3279" s="295" t="s">
        <v>85</v>
      </c>
      <c r="E3279" s="296">
        <v>4.9545000000000003</v>
      </c>
    </row>
    <row r="3280" spans="1:5" x14ac:dyDescent="0.3">
      <c r="A3280" s="295">
        <v>2024</v>
      </c>
      <c r="B3280" s="295">
        <v>1</v>
      </c>
      <c r="C3280" s="295" t="s">
        <v>2</v>
      </c>
      <c r="D3280" s="295" t="s">
        <v>101</v>
      </c>
      <c r="E3280" s="296">
        <v>17.217960000000001</v>
      </c>
    </row>
    <row r="3281" spans="1:5" x14ac:dyDescent="0.3">
      <c r="A3281" s="295">
        <v>2024</v>
      </c>
      <c r="B3281" s="295">
        <v>1</v>
      </c>
      <c r="C3281" s="295" t="s">
        <v>2</v>
      </c>
      <c r="D3281" s="295" t="s">
        <v>179</v>
      </c>
      <c r="E3281" s="296">
        <v>930.97559000000001</v>
      </c>
    </row>
    <row r="3282" spans="1:5" x14ac:dyDescent="0.3">
      <c r="A3282" s="295">
        <v>2024</v>
      </c>
      <c r="B3282" s="295">
        <v>1</v>
      </c>
      <c r="C3282" s="295" t="s">
        <v>2</v>
      </c>
      <c r="D3282" s="295" t="s">
        <v>352</v>
      </c>
      <c r="E3282" s="296">
        <v>7.1821700000000002</v>
      </c>
    </row>
    <row r="3283" spans="1:5" x14ac:dyDescent="0.3">
      <c r="A3283" s="295">
        <v>2024</v>
      </c>
      <c r="B3283" s="295">
        <v>1</v>
      </c>
      <c r="C3283" s="295" t="s">
        <v>2</v>
      </c>
      <c r="D3283" s="295" t="s">
        <v>426</v>
      </c>
      <c r="E3283" s="296">
        <v>0.86333000000000004</v>
      </c>
    </row>
    <row r="3284" spans="1:5" x14ac:dyDescent="0.3">
      <c r="A3284" s="295">
        <v>2024</v>
      </c>
      <c r="B3284" s="295">
        <v>1</v>
      </c>
      <c r="C3284" s="295" t="s">
        <v>259</v>
      </c>
      <c r="D3284" s="295" t="s">
        <v>1</v>
      </c>
      <c r="E3284" s="296">
        <v>1.1716049816643821</v>
      </c>
    </row>
    <row r="3285" spans="1:5" x14ac:dyDescent="0.3">
      <c r="A3285" s="295">
        <v>2024</v>
      </c>
      <c r="B3285" s="295">
        <v>1</v>
      </c>
      <c r="C3285" s="295" t="s">
        <v>259</v>
      </c>
      <c r="D3285" s="295" t="s">
        <v>2</v>
      </c>
      <c r="E3285" s="296">
        <v>1.2669774984796269</v>
      </c>
    </row>
    <row r="3286" spans="1:5" x14ac:dyDescent="0.3">
      <c r="A3286" s="295">
        <v>2024</v>
      </c>
      <c r="B3286" s="295">
        <v>1</v>
      </c>
      <c r="C3286" s="295" t="s">
        <v>259</v>
      </c>
      <c r="D3286" s="295" t="s">
        <v>85</v>
      </c>
      <c r="E3286" s="296">
        <v>6.2772300000000003</v>
      </c>
    </row>
    <row r="3287" spans="1:5" x14ac:dyDescent="0.3">
      <c r="A3287" s="295">
        <v>2024</v>
      </c>
      <c r="B3287" s="295">
        <v>1</v>
      </c>
      <c r="C3287" s="295" t="s">
        <v>259</v>
      </c>
      <c r="D3287" s="295" t="s">
        <v>101</v>
      </c>
      <c r="E3287" s="296">
        <v>21.814699999999998</v>
      </c>
    </row>
    <row r="3288" spans="1:5" x14ac:dyDescent="0.3">
      <c r="A3288" s="295">
        <v>2024</v>
      </c>
      <c r="B3288" s="295">
        <v>1</v>
      </c>
      <c r="C3288" s="295" t="s">
        <v>259</v>
      </c>
      <c r="D3288" s="295" t="s">
        <v>179</v>
      </c>
      <c r="E3288" s="296">
        <v>1179.52152</v>
      </c>
    </row>
    <row r="3289" spans="1:5" x14ac:dyDescent="0.3">
      <c r="A3289" s="295">
        <v>2024</v>
      </c>
      <c r="B3289" s="295">
        <v>1</v>
      </c>
      <c r="C3289" s="295" t="s">
        <v>259</v>
      </c>
      <c r="D3289" s="295" t="s">
        <v>352</v>
      </c>
      <c r="E3289" s="296">
        <v>9.0996199999999998</v>
      </c>
    </row>
    <row r="3290" spans="1:5" x14ac:dyDescent="0.3">
      <c r="A3290" s="295">
        <v>2024</v>
      </c>
      <c r="B3290" s="295">
        <v>1</v>
      </c>
      <c r="C3290" s="295" t="s">
        <v>259</v>
      </c>
      <c r="D3290" s="295" t="s">
        <v>426</v>
      </c>
      <c r="E3290" s="296">
        <v>1.0938099999999999</v>
      </c>
    </row>
    <row r="3291" spans="1:5" x14ac:dyDescent="0.3">
      <c r="A3291" s="295">
        <v>2024</v>
      </c>
      <c r="B3291" s="295">
        <v>1</v>
      </c>
      <c r="C3291" s="295" t="s">
        <v>85</v>
      </c>
      <c r="D3291" s="295" t="s">
        <v>1</v>
      </c>
      <c r="E3291" s="296">
        <v>0.18664377169733845</v>
      </c>
    </row>
    <row r="3292" spans="1:5" x14ac:dyDescent="0.3">
      <c r="A3292" s="295">
        <v>2024</v>
      </c>
      <c r="B3292" s="295">
        <v>1</v>
      </c>
      <c r="C3292" s="295" t="s">
        <v>85</v>
      </c>
      <c r="D3292" s="295" t="s">
        <v>2</v>
      </c>
      <c r="E3292" s="296">
        <v>0.20183671409829446</v>
      </c>
    </row>
    <row r="3293" spans="1:5" x14ac:dyDescent="0.3">
      <c r="A3293" s="295">
        <v>2024</v>
      </c>
      <c r="B3293" s="295">
        <v>1</v>
      </c>
      <c r="C3293" s="295" t="s">
        <v>85</v>
      </c>
      <c r="D3293" s="295" t="s">
        <v>259</v>
      </c>
      <c r="E3293" s="296">
        <v>0.1593059358984775</v>
      </c>
    </row>
    <row r="3294" spans="1:5" x14ac:dyDescent="0.3">
      <c r="A3294" s="295">
        <v>2024</v>
      </c>
      <c r="B3294" s="295">
        <v>1</v>
      </c>
      <c r="C3294" s="295" t="s">
        <v>85</v>
      </c>
      <c r="D3294" s="295" t="s">
        <v>101</v>
      </c>
      <c r="E3294" s="296">
        <v>3.4752100000000001</v>
      </c>
    </row>
    <row r="3295" spans="1:5" x14ac:dyDescent="0.3">
      <c r="A3295" s="295">
        <v>2024</v>
      </c>
      <c r="B3295" s="295">
        <v>1</v>
      </c>
      <c r="C3295" s="295" t="s">
        <v>85</v>
      </c>
      <c r="D3295" s="295" t="s">
        <v>179</v>
      </c>
      <c r="E3295" s="296">
        <v>187.90492</v>
      </c>
    </row>
    <row r="3296" spans="1:5" x14ac:dyDescent="0.3">
      <c r="A3296" s="295">
        <v>2024</v>
      </c>
      <c r="B3296" s="295">
        <v>1</v>
      </c>
      <c r="C3296" s="295" t="s">
        <v>85</v>
      </c>
      <c r="D3296" s="295" t="s">
        <v>352</v>
      </c>
      <c r="E3296" s="296">
        <v>1.4496199999999999</v>
      </c>
    </row>
    <row r="3297" spans="1:5" x14ac:dyDescent="0.3">
      <c r="A3297" s="295">
        <v>2024</v>
      </c>
      <c r="B3297" s="295">
        <v>1</v>
      </c>
      <c r="C3297" s="295" t="s">
        <v>85</v>
      </c>
      <c r="D3297" s="295" t="s">
        <v>426</v>
      </c>
      <c r="E3297" s="296">
        <v>0.17424999999999999</v>
      </c>
    </row>
    <row r="3298" spans="1:5" x14ac:dyDescent="0.3">
      <c r="A3298" s="295">
        <v>2024</v>
      </c>
      <c r="B3298" s="295">
        <v>1</v>
      </c>
      <c r="C3298" s="295" t="s">
        <v>101</v>
      </c>
      <c r="D3298" s="295" t="s">
        <v>1</v>
      </c>
      <c r="E3298" s="296">
        <v>5.3707134992883807E-2</v>
      </c>
    </row>
    <row r="3299" spans="1:5" x14ac:dyDescent="0.3">
      <c r="A3299" s="295">
        <v>2024</v>
      </c>
      <c r="B3299" s="295">
        <v>1</v>
      </c>
      <c r="C3299" s="295" t="s">
        <v>101</v>
      </c>
      <c r="D3299" s="295" t="s">
        <v>2</v>
      </c>
      <c r="E3299" s="296">
        <v>5.8078889717481041E-2</v>
      </c>
    </row>
    <row r="3300" spans="1:5" x14ac:dyDescent="0.3">
      <c r="A3300" s="295">
        <v>2024</v>
      </c>
      <c r="B3300" s="295">
        <v>1</v>
      </c>
      <c r="C3300" s="295" t="s">
        <v>101</v>
      </c>
      <c r="D3300" s="295" t="s">
        <v>259</v>
      </c>
      <c r="E3300" s="296">
        <v>4.5840648736860924E-2</v>
      </c>
    </row>
    <row r="3301" spans="1:5" x14ac:dyDescent="0.3">
      <c r="A3301" s="295">
        <v>2024</v>
      </c>
      <c r="B3301" s="295">
        <v>1</v>
      </c>
      <c r="C3301" s="295" t="s">
        <v>101</v>
      </c>
      <c r="D3301" s="295" t="s">
        <v>85</v>
      </c>
      <c r="E3301" s="296">
        <v>0.28775239481930587</v>
      </c>
    </row>
    <row r="3302" spans="1:5" x14ac:dyDescent="0.3">
      <c r="A3302" s="295">
        <v>2024</v>
      </c>
      <c r="B3302" s="295">
        <v>1</v>
      </c>
      <c r="C3302" s="295" t="s">
        <v>101</v>
      </c>
      <c r="D3302" s="295" t="s">
        <v>179</v>
      </c>
      <c r="E3302" s="296">
        <v>54.070030000000003</v>
      </c>
    </row>
    <row r="3303" spans="1:5" x14ac:dyDescent="0.3">
      <c r="A3303" s="295">
        <v>2024</v>
      </c>
      <c r="B3303" s="295">
        <v>1</v>
      </c>
      <c r="C3303" s="295" t="s">
        <v>101</v>
      </c>
      <c r="D3303" s="295" t="s">
        <v>352</v>
      </c>
      <c r="E3303" s="296">
        <v>0.41713</v>
      </c>
    </row>
    <row r="3304" spans="1:5" x14ac:dyDescent="0.3">
      <c r="A3304" s="295">
        <v>2024</v>
      </c>
      <c r="B3304" s="295">
        <v>1</v>
      </c>
      <c r="C3304" s="295" t="s">
        <v>101</v>
      </c>
      <c r="D3304" s="295" t="s">
        <v>426</v>
      </c>
      <c r="E3304" s="296">
        <v>5.0139999999999997E-2</v>
      </c>
    </row>
    <row r="3305" spans="1:5" x14ac:dyDescent="0.3">
      <c r="A3305" s="295">
        <v>2024</v>
      </c>
      <c r="B3305" s="295">
        <v>1</v>
      </c>
      <c r="C3305" s="295" t="s">
        <v>179</v>
      </c>
      <c r="D3305" s="295" t="s">
        <v>1</v>
      </c>
      <c r="E3305" s="296">
        <v>9.9328835061489513E-4</v>
      </c>
    </row>
    <row r="3306" spans="1:5" x14ac:dyDescent="0.3">
      <c r="A3306" s="295">
        <v>2024</v>
      </c>
      <c r="B3306" s="295">
        <v>1</v>
      </c>
      <c r="C3306" s="295" t="s">
        <v>179</v>
      </c>
      <c r="D3306" s="295" t="s">
        <v>2</v>
      </c>
      <c r="E3306" s="296">
        <v>1.0741420191264092E-3</v>
      </c>
    </row>
    <row r="3307" spans="1:5" x14ac:dyDescent="0.3">
      <c r="A3307" s="295">
        <v>2024</v>
      </c>
      <c r="B3307" s="295">
        <v>1</v>
      </c>
      <c r="C3307" s="295" t="s">
        <v>179</v>
      </c>
      <c r="D3307" s="295" t="s">
        <v>259</v>
      </c>
      <c r="E3307" s="296">
        <v>8.4780140340296633E-4</v>
      </c>
    </row>
    <row r="3308" spans="1:5" x14ac:dyDescent="0.3">
      <c r="A3308" s="295">
        <v>2024</v>
      </c>
      <c r="B3308" s="295">
        <v>1</v>
      </c>
      <c r="C3308" s="295" t="s">
        <v>179</v>
      </c>
      <c r="D3308" s="295" t="s">
        <v>85</v>
      </c>
      <c r="E3308" s="296">
        <v>5.3218404286593454E-3</v>
      </c>
    </row>
    <row r="3309" spans="1:5" x14ac:dyDescent="0.3">
      <c r="A3309" s="295">
        <v>2024</v>
      </c>
      <c r="B3309" s="295">
        <v>1</v>
      </c>
      <c r="C3309" s="295" t="s">
        <v>179</v>
      </c>
      <c r="D3309" s="295" t="s">
        <v>101</v>
      </c>
      <c r="E3309" s="296">
        <v>1.8494533848048538E-2</v>
      </c>
    </row>
    <row r="3310" spans="1:5" x14ac:dyDescent="0.3">
      <c r="A3310" s="295">
        <v>2024</v>
      </c>
      <c r="B3310" s="295">
        <v>1</v>
      </c>
      <c r="C3310" s="295" t="s">
        <v>179</v>
      </c>
      <c r="D3310" s="295" t="s">
        <v>352</v>
      </c>
      <c r="E3310" s="296">
        <v>7.7099999999999998E-3</v>
      </c>
    </row>
    <row r="3311" spans="1:5" x14ac:dyDescent="0.3">
      <c r="A3311" s="295">
        <v>2024</v>
      </c>
      <c r="B3311" s="295">
        <v>1</v>
      </c>
      <c r="C3311" s="295" t="s">
        <v>179</v>
      </c>
      <c r="D3311" s="295" t="s">
        <v>426</v>
      </c>
      <c r="E3311" s="296">
        <v>9.3000000000000005E-4</v>
      </c>
    </row>
    <row r="3312" spans="1:5" x14ac:dyDescent="0.3">
      <c r="A3312" s="295">
        <v>2024</v>
      </c>
      <c r="B3312" s="295">
        <v>1</v>
      </c>
      <c r="C3312" s="295" t="s">
        <v>352</v>
      </c>
      <c r="D3312" s="295" t="s">
        <v>1</v>
      </c>
      <c r="E3312" s="296">
        <v>0.12875315445228408</v>
      </c>
    </row>
    <row r="3313" spans="1:5" x14ac:dyDescent="0.3">
      <c r="A3313" s="295">
        <v>2024</v>
      </c>
      <c r="B3313" s="295">
        <v>1</v>
      </c>
      <c r="C3313" s="295" t="s">
        <v>352</v>
      </c>
      <c r="D3313" s="295" t="s">
        <v>2</v>
      </c>
      <c r="E3313" s="296">
        <v>0.13923368564096922</v>
      </c>
    </row>
    <row r="3314" spans="1:5" x14ac:dyDescent="0.3">
      <c r="A3314" s="295">
        <v>2024</v>
      </c>
      <c r="B3314" s="295">
        <v>1</v>
      </c>
      <c r="C3314" s="295" t="s">
        <v>352</v>
      </c>
      <c r="D3314" s="295" t="s">
        <v>259</v>
      </c>
      <c r="E3314" s="296">
        <v>0.10989469889951449</v>
      </c>
    </row>
    <row r="3315" spans="1:5" x14ac:dyDescent="0.3">
      <c r="A3315" s="295">
        <v>2024</v>
      </c>
      <c r="B3315" s="295">
        <v>1</v>
      </c>
      <c r="C3315" s="295" t="s">
        <v>352</v>
      </c>
      <c r="D3315" s="295" t="s">
        <v>85</v>
      </c>
      <c r="E3315" s="296">
        <v>0.68983595700942324</v>
      </c>
    </row>
    <row r="3316" spans="1:5" x14ac:dyDescent="0.3">
      <c r="A3316" s="295">
        <v>2024</v>
      </c>
      <c r="B3316" s="295">
        <v>1</v>
      </c>
      <c r="C3316" s="295" t="s">
        <v>352</v>
      </c>
      <c r="D3316" s="295" t="s">
        <v>101</v>
      </c>
      <c r="E3316" s="296">
        <v>2.3973341644091768</v>
      </c>
    </row>
    <row r="3317" spans="1:5" x14ac:dyDescent="0.3">
      <c r="A3317" s="295">
        <v>2024</v>
      </c>
      <c r="B3317" s="295">
        <v>1</v>
      </c>
      <c r="C3317" s="295" t="s">
        <v>352</v>
      </c>
      <c r="D3317" s="295" t="s">
        <v>179</v>
      </c>
      <c r="E3317" s="296">
        <v>129.70168612191958</v>
      </c>
    </row>
    <row r="3318" spans="1:5" x14ac:dyDescent="0.3">
      <c r="A3318" s="295">
        <v>2024</v>
      </c>
      <c r="B3318" s="295">
        <v>1</v>
      </c>
      <c r="C3318" s="295" t="s">
        <v>352</v>
      </c>
      <c r="D3318" s="295" t="s">
        <v>426</v>
      </c>
      <c r="E3318" s="296">
        <v>0.1202</v>
      </c>
    </row>
    <row r="3319" spans="1:5" x14ac:dyDescent="0.3">
      <c r="A3319" s="295">
        <v>2024</v>
      </c>
      <c r="B3319" s="295">
        <v>1</v>
      </c>
      <c r="C3319" s="295" t="s">
        <v>426</v>
      </c>
      <c r="D3319" s="295" t="s">
        <v>1</v>
      </c>
      <c r="E3319" s="296">
        <v>1.0711225364181662</v>
      </c>
    </row>
    <row r="3320" spans="1:5" x14ac:dyDescent="0.3">
      <c r="A3320" s="295">
        <v>2024</v>
      </c>
      <c r="B3320" s="295">
        <v>1</v>
      </c>
      <c r="C3320" s="295" t="s">
        <v>426</v>
      </c>
      <c r="D3320" s="295" t="s">
        <v>2</v>
      </c>
      <c r="E3320" s="296">
        <v>1.1583056305236699</v>
      </c>
    </row>
    <row r="3321" spans="1:5" x14ac:dyDescent="0.3">
      <c r="A3321" s="295">
        <v>2024</v>
      </c>
      <c r="B3321" s="295">
        <v>1</v>
      </c>
      <c r="C3321" s="295" t="s">
        <v>426</v>
      </c>
      <c r="D3321" s="295" t="s">
        <v>259</v>
      </c>
      <c r="E3321" s="296">
        <v>0.9142355619348882</v>
      </c>
    </row>
    <row r="3322" spans="1:5" x14ac:dyDescent="0.3">
      <c r="A3322" s="295">
        <v>2024</v>
      </c>
      <c r="B3322" s="295">
        <v>1</v>
      </c>
      <c r="C3322" s="295" t="s">
        <v>426</v>
      </c>
      <c r="D3322" s="295" t="s">
        <v>85</v>
      </c>
      <c r="E3322" s="296">
        <v>5.7388809182209473</v>
      </c>
    </row>
    <row r="3323" spans="1:5" x14ac:dyDescent="0.3">
      <c r="A3323" s="295">
        <v>2024</v>
      </c>
      <c r="B3323" s="295">
        <v>1</v>
      </c>
      <c r="C3323" s="295" t="s">
        <v>426</v>
      </c>
      <c r="D3323" s="295" t="s">
        <v>101</v>
      </c>
      <c r="E3323" s="296">
        <v>19.944156362185879</v>
      </c>
    </row>
    <row r="3324" spans="1:5" x14ac:dyDescent="0.3">
      <c r="A3324" s="295">
        <v>2024</v>
      </c>
      <c r="B3324" s="295">
        <v>1</v>
      </c>
      <c r="C3324" s="295" t="s">
        <v>426</v>
      </c>
      <c r="D3324" s="295" t="s">
        <v>179</v>
      </c>
      <c r="E3324" s="296">
        <v>1075.2688172043011</v>
      </c>
    </row>
    <row r="3325" spans="1:5" x14ac:dyDescent="0.3">
      <c r="A3325" s="295">
        <v>2024</v>
      </c>
      <c r="B3325" s="295">
        <v>1</v>
      </c>
      <c r="C3325" s="295" t="s">
        <v>426</v>
      </c>
      <c r="D3325" s="295" t="s">
        <v>352</v>
      </c>
      <c r="E3325" s="296">
        <v>8.3194675540765388</v>
      </c>
    </row>
    <row r="3326" spans="1:5" x14ac:dyDescent="0.3">
      <c r="A3326" s="295">
        <v>2024</v>
      </c>
      <c r="B3326" s="295">
        <v>1</v>
      </c>
      <c r="C3326" s="295" t="s">
        <v>1</v>
      </c>
      <c r="D3326" s="295" t="s">
        <v>1</v>
      </c>
      <c r="E3326" s="296">
        <v>1</v>
      </c>
    </row>
    <row r="3327" spans="1:5" x14ac:dyDescent="0.3">
      <c r="A3327" s="295">
        <v>2024</v>
      </c>
      <c r="B3327" s="295">
        <v>1</v>
      </c>
      <c r="C3327" s="295" t="s">
        <v>2</v>
      </c>
      <c r="D3327" s="295" t="s">
        <v>2</v>
      </c>
      <c r="E3327" s="296">
        <v>1</v>
      </c>
    </row>
    <row r="3328" spans="1:5" x14ac:dyDescent="0.3">
      <c r="A3328" s="295">
        <v>2024</v>
      </c>
      <c r="B3328" s="295">
        <v>1</v>
      </c>
      <c r="C3328" s="295" t="s">
        <v>259</v>
      </c>
      <c r="D3328" s="295" t="s">
        <v>259</v>
      </c>
      <c r="E3328" s="296">
        <v>1</v>
      </c>
    </row>
    <row r="3329" spans="1:5" x14ac:dyDescent="0.3">
      <c r="A3329" s="295">
        <v>2024</v>
      </c>
      <c r="B3329" s="295">
        <v>1</v>
      </c>
      <c r="C3329" s="295" t="s">
        <v>85</v>
      </c>
      <c r="D3329" s="295" t="s">
        <v>85</v>
      </c>
      <c r="E3329" s="296">
        <v>1</v>
      </c>
    </row>
    <row r="3330" spans="1:5" x14ac:dyDescent="0.3">
      <c r="A3330" s="295">
        <v>2024</v>
      </c>
      <c r="B3330" s="295">
        <v>1</v>
      </c>
      <c r="C3330" s="295" t="s">
        <v>101</v>
      </c>
      <c r="D3330" s="295" t="s">
        <v>101</v>
      </c>
      <c r="E3330" s="296">
        <v>1</v>
      </c>
    </row>
    <row r="3331" spans="1:5" x14ac:dyDescent="0.3">
      <c r="A3331" s="295">
        <v>2024</v>
      </c>
      <c r="B3331" s="295">
        <v>1</v>
      </c>
      <c r="C3331" s="295" t="s">
        <v>179</v>
      </c>
      <c r="D3331" s="295" t="s">
        <v>179</v>
      </c>
      <c r="E3331" s="296">
        <v>1</v>
      </c>
    </row>
    <row r="3332" spans="1:5" x14ac:dyDescent="0.3">
      <c r="A3332" s="295">
        <v>2024</v>
      </c>
      <c r="B3332" s="295">
        <v>1</v>
      </c>
      <c r="C3332" s="295" t="s">
        <v>352</v>
      </c>
      <c r="D3332" s="295" t="s">
        <v>352</v>
      </c>
      <c r="E3332" s="296">
        <v>1</v>
      </c>
    </row>
    <row r="3333" spans="1:5" x14ac:dyDescent="0.3">
      <c r="A3333" s="295">
        <v>2024</v>
      </c>
      <c r="B3333" s="295">
        <v>1</v>
      </c>
      <c r="C3333" s="295" t="s">
        <v>426</v>
      </c>
      <c r="D3333" s="295" t="s">
        <v>426</v>
      </c>
      <c r="E3333" s="296">
        <v>1</v>
      </c>
    </row>
    <row r="3334" spans="1:5" x14ac:dyDescent="0.3">
      <c r="A3334" s="295">
        <v>2024</v>
      </c>
      <c r="B3334" s="295">
        <v>2</v>
      </c>
      <c r="C3334" s="295" t="s">
        <v>1</v>
      </c>
      <c r="D3334" s="295" t="s">
        <v>2</v>
      </c>
      <c r="E3334" s="296">
        <v>1.0826</v>
      </c>
    </row>
    <row r="3335" spans="1:5" x14ac:dyDescent="0.3">
      <c r="A3335" s="295">
        <v>2024</v>
      </c>
      <c r="B3335" s="295">
        <v>2</v>
      </c>
      <c r="C3335" s="295" t="s">
        <v>1</v>
      </c>
      <c r="D3335" s="295" t="s">
        <v>259</v>
      </c>
      <c r="E3335" s="296">
        <v>0.85655000000000003</v>
      </c>
    </row>
    <row r="3336" spans="1:5" x14ac:dyDescent="0.3">
      <c r="A3336" s="295">
        <v>2024</v>
      </c>
      <c r="B3336" s="295">
        <v>2</v>
      </c>
      <c r="C3336" s="295" t="s">
        <v>1</v>
      </c>
      <c r="D3336" s="295" t="s">
        <v>85</v>
      </c>
      <c r="E3336" s="296">
        <v>5.4054000000000002</v>
      </c>
    </row>
    <row r="3337" spans="1:5" x14ac:dyDescent="0.3">
      <c r="A3337" s="295">
        <v>2024</v>
      </c>
      <c r="B3337" s="295">
        <v>2</v>
      </c>
      <c r="C3337" s="295" t="s">
        <v>1</v>
      </c>
      <c r="D3337" s="295" t="s">
        <v>101</v>
      </c>
      <c r="E3337" s="296">
        <v>18.4969</v>
      </c>
    </row>
    <row r="3338" spans="1:5" x14ac:dyDescent="0.3">
      <c r="A3338" s="295">
        <v>2024</v>
      </c>
      <c r="B3338" s="295">
        <v>2</v>
      </c>
      <c r="C3338" s="295" t="s">
        <v>1</v>
      </c>
      <c r="D3338" s="295" t="s">
        <v>179</v>
      </c>
      <c r="E3338" s="296">
        <v>1045.1199999999999</v>
      </c>
    </row>
    <row r="3339" spans="1:5" x14ac:dyDescent="0.3">
      <c r="A3339" s="295">
        <v>2024</v>
      </c>
      <c r="B3339" s="295">
        <v>2</v>
      </c>
      <c r="C3339" s="295" t="s">
        <v>1</v>
      </c>
      <c r="D3339" s="295" t="s">
        <v>352</v>
      </c>
      <c r="E3339" s="296">
        <v>7.7888000000000002</v>
      </c>
    </row>
    <row r="3340" spans="1:5" x14ac:dyDescent="0.3">
      <c r="A3340" s="295">
        <v>2024</v>
      </c>
      <c r="B3340" s="295">
        <v>2</v>
      </c>
      <c r="C3340" s="295" t="s">
        <v>1</v>
      </c>
      <c r="D3340" s="295" t="s">
        <v>426</v>
      </c>
      <c r="E3340" s="296">
        <v>0.95340000000000003</v>
      </c>
    </row>
    <row r="3341" spans="1:5" x14ac:dyDescent="0.3">
      <c r="A3341" s="295">
        <v>2024</v>
      </c>
      <c r="B3341" s="295">
        <v>2</v>
      </c>
      <c r="C3341" s="295" t="s">
        <v>2</v>
      </c>
      <c r="D3341" s="295" t="s">
        <v>1</v>
      </c>
      <c r="E3341" s="296">
        <v>0.92370219841123224</v>
      </c>
    </row>
    <row r="3342" spans="1:5" x14ac:dyDescent="0.3">
      <c r="A3342" s="295">
        <v>2024</v>
      </c>
      <c r="B3342" s="295">
        <v>2</v>
      </c>
      <c r="C3342" s="295" t="s">
        <v>2</v>
      </c>
      <c r="D3342" s="295" t="s">
        <v>259</v>
      </c>
      <c r="E3342" s="296">
        <v>0.79120000000000001</v>
      </c>
    </row>
    <row r="3343" spans="1:5" x14ac:dyDescent="0.3">
      <c r="A3343" s="295">
        <v>2024</v>
      </c>
      <c r="B3343" s="295">
        <v>2</v>
      </c>
      <c r="C3343" s="295" t="s">
        <v>2</v>
      </c>
      <c r="D3343" s="295" t="s">
        <v>85</v>
      </c>
      <c r="E3343" s="296">
        <v>4.9929800000000002</v>
      </c>
    </row>
    <row r="3344" spans="1:5" x14ac:dyDescent="0.3">
      <c r="A3344" s="295">
        <v>2024</v>
      </c>
      <c r="B3344" s="295">
        <v>2</v>
      </c>
      <c r="C3344" s="295" t="s">
        <v>2</v>
      </c>
      <c r="D3344" s="295" t="s">
        <v>101</v>
      </c>
      <c r="E3344" s="296">
        <v>17.085629999999998</v>
      </c>
    </row>
    <row r="3345" spans="1:5" x14ac:dyDescent="0.3">
      <c r="A3345" s="295">
        <v>2024</v>
      </c>
      <c r="B3345" s="295">
        <v>2</v>
      </c>
      <c r="C3345" s="295" t="s">
        <v>2</v>
      </c>
      <c r="D3345" s="295" t="s">
        <v>179</v>
      </c>
      <c r="E3345" s="296">
        <v>965.37963999999999</v>
      </c>
    </row>
    <row r="3346" spans="1:5" x14ac:dyDescent="0.3">
      <c r="A3346" s="295">
        <v>2024</v>
      </c>
      <c r="B3346" s="295">
        <v>2</v>
      </c>
      <c r="C3346" s="295" t="s">
        <v>2</v>
      </c>
      <c r="D3346" s="295" t="s">
        <v>352</v>
      </c>
      <c r="E3346" s="296">
        <v>7.1945300000000003</v>
      </c>
    </row>
    <row r="3347" spans="1:5" x14ac:dyDescent="0.3">
      <c r="A3347" s="295">
        <v>2024</v>
      </c>
      <c r="B3347" s="295">
        <v>2</v>
      </c>
      <c r="C3347" s="295" t="s">
        <v>2</v>
      </c>
      <c r="D3347" s="295" t="s">
        <v>426</v>
      </c>
      <c r="E3347" s="296">
        <v>0.88066</v>
      </c>
    </row>
    <row r="3348" spans="1:5" x14ac:dyDescent="0.3">
      <c r="A3348" s="295">
        <v>2024</v>
      </c>
      <c r="B3348" s="295">
        <v>2</v>
      </c>
      <c r="C3348" s="295" t="s">
        <v>259</v>
      </c>
      <c r="D3348" s="295" t="s">
        <v>1</v>
      </c>
      <c r="E3348" s="296">
        <v>1.1674741696339968</v>
      </c>
    </row>
    <row r="3349" spans="1:5" x14ac:dyDescent="0.3">
      <c r="A3349" s="295">
        <v>2024</v>
      </c>
      <c r="B3349" s="295">
        <v>2</v>
      </c>
      <c r="C3349" s="295" t="s">
        <v>259</v>
      </c>
      <c r="D3349" s="295" t="s">
        <v>2</v>
      </c>
      <c r="E3349" s="296">
        <v>1.2639029322548028</v>
      </c>
    </row>
    <row r="3350" spans="1:5" x14ac:dyDescent="0.3">
      <c r="A3350" s="295">
        <v>2024</v>
      </c>
      <c r="B3350" s="295">
        <v>2</v>
      </c>
      <c r="C3350" s="295" t="s">
        <v>259</v>
      </c>
      <c r="D3350" s="295" t="s">
        <v>85</v>
      </c>
      <c r="E3350" s="296">
        <v>6.3106600000000004</v>
      </c>
    </row>
    <row r="3351" spans="1:5" x14ac:dyDescent="0.3">
      <c r="A3351" s="295">
        <v>2024</v>
      </c>
      <c r="B3351" s="295">
        <v>2</v>
      </c>
      <c r="C3351" s="295" t="s">
        <v>259</v>
      </c>
      <c r="D3351" s="295" t="s">
        <v>101</v>
      </c>
      <c r="E3351" s="296">
        <v>21.594650000000001</v>
      </c>
    </row>
    <row r="3352" spans="1:5" x14ac:dyDescent="0.3">
      <c r="A3352" s="295">
        <v>2024</v>
      </c>
      <c r="B3352" s="295">
        <v>2</v>
      </c>
      <c r="C3352" s="295" t="s">
        <v>259</v>
      </c>
      <c r="D3352" s="295" t="s">
        <v>179</v>
      </c>
      <c r="E3352" s="296">
        <v>1220.1505999999999</v>
      </c>
    </row>
    <row r="3353" spans="1:5" x14ac:dyDescent="0.3">
      <c r="A3353" s="295">
        <v>2024</v>
      </c>
      <c r="B3353" s="295">
        <v>2</v>
      </c>
      <c r="C3353" s="295" t="s">
        <v>259</v>
      </c>
      <c r="D3353" s="295" t="s">
        <v>352</v>
      </c>
      <c r="E3353" s="296">
        <v>9.0932200000000005</v>
      </c>
    </row>
    <row r="3354" spans="1:5" x14ac:dyDescent="0.3">
      <c r="A3354" s="295">
        <v>2024</v>
      </c>
      <c r="B3354" s="295">
        <v>2</v>
      </c>
      <c r="C3354" s="295" t="s">
        <v>259</v>
      </c>
      <c r="D3354" s="295" t="s">
        <v>426</v>
      </c>
      <c r="E3354" s="296">
        <v>1.11307</v>
      </c>
    </row>
    <row r="3355" spans="1:5" x14ac:dyDescent="0.3">
      <c r="A3355" s="295">
        <v>2024</v>
      </c>
      <c r="B3355" s="295">
        <v>2</v>
      </c>
      <c r="C3355" s="295" t="s">
        <v>85</v>
      </c>
      <c r="D3355" s="295" t="s">
        <v>1</v>
      </c>
      <c r="E3355" s="296">
        <v>0.185000185000185</v>
      </c>
    </row>
    <row r="3356" spans="1:5" x14ac:dyDescent="0.3">
      <c r="A3356" s="295">
        <v>2024</v>
      </c>
      <c r="B3356" s="295">
        <v>2</v>
      </c>
      <c r="C3356" s="295" t="s">
        <v>85</v>
      </c>
      <c r="D3356" s="295" t="s">
        <v>2</v>
      </c>
      <c r="E3356" s="296">
        <v>0.20028119479749568</v>
      </c>
    </row>
    <row r="3357" spans="1:5" x14ac:dyDescent="0.3">
      <c r="A3357" s="295">
        <v>2024</v>
      </c>
      <c r="B3357" s="295">
        <v>2</v>
      </c>
      <c r="C3357" s="295" t="s">
        <v>85</v>
      </c>
      <c r="D3357" s="295" t="s">
        <v>259</v>
      </c>
      <c r="E3357" s="296">
        <v>0.15846203091277297</v>
      </c>
    </row>
    <row r="3358" spans="1:5" x14ac:dyDescent="0.3">
      <c r="A3358" s="295">
        <v>2024</v>
      </c>
      <c r="B3358" s="295">
        <v>2</v>
      </c>
      <c r="C3358" s="295" t="s">
        <v>85</v>
      </c>
      <c r="D3358" s="295" t="s">
        <v>101</v>
      </c>
      <c r="E3358" s="296">
        <v>3.4219300000000001</v>
      </c>
    </row>
    <row r="3359" spans="1:5" x14ac:dyDescent="0.3">
      <c r="A3359" s="295">
        <v>2024</v>
      </c>
      <c r="B3359" s="295">
        <v>2</v>
      </c>
      <c r="C3359" s="295" t="s">
        <v>85</v>
      </c>
      <c r="D3359" s="295" t="s">
        <v>179</v>
      </c>
      <c r="E3359" s="296">
        <v>193.34738999999999</v>
      </c>
    </row>
    <row r="3360" spans="1:5" x14ac:dyDescent="0.3">
      <c r="A3360" s="295">
        <v>2024</v>
      </c>
      <c r="B3360" s="295">
        <v>2</v>
      </c>
      <c r="C3360" s="295" t="s">
        <v>85</v>
      </c>
      <c r="D3360" s="295" t="s">
        <v>352</v>
      </c>
      <c r="E3360" s="296">
        <v>1.44093</v>
      </c>
    </row>
    <row r="3361" spans="1:5" x14ac:dyDescent="0.3">
      <c r="A3361" s="295">
        <v>2024</v>
      </c>
      <c r="B3361" s="295">
        <v>2</v>
      </c>
      <c r="C3361" s="295" t="s">
        <v>85</v>
      </c>
      <c r="D3361" s="295" t="s">
        <v>426</v>
      </c>
      <c r="E3361" s="296">
        <v>0.17638000000000001</v>
      </c>
    </row>
    <row r="3362" spans="1:5" x14ac:dyDescent="0.3">
      <c r="A3362" s="295">
        <v>2024</v>
      </c>
      <c r="B3362" s="295">
        <v>2</v>
      </c>
      <c r="C3362" s="295" t="s">
        <v>101</v>
      </c>
      <c r="D3362" s="295" t="s">
        <v>1</v>
      </c>
      <c r="E3362" s="296">
        <v>5.4063113278441252E-2</v>
      </c>
    </row>
    <row r="3363" spans="1:5" x14ac:dyDescent="0.3">
      <c r="A3363" s="295">
        <v>2024</v>
      </c>
      <c r="B3363" s="295">
        <v>2</v>
      </c>
      <c r="C3363" s="295" t="s">
        <v>101</v>
      </c>
      <c r="D3363" s="295" t="s">
        <v>2</v>
      </c>
      <c r="E3363" s="296">
        <v>5.8528716822265264E-2</v>
      </c>
    </row>
    <row r="3364" spans="1:5" x14ac:dyDescent="0.3">
      <c r="A3364" s="295">
        <v>2024</v>
      </c>
      <c r="B3364" s="295">
        <v>2</v>
      </c>
      <c r="C3364" s="295" t="s">
        <v>101</v>
      </c>
      <c r="D3364" s="295" t="s">
        <v>259</v>
      </c>
      <c r="E3364" s="296">
        <v>4.6307766043904387E-2</v>
      </c>
    </row>
    <row r="3365" spans="1:5" x14ac:dyDescent="0.3">
      <c r="A3365" s="295">
        <v>2024</v>
      </c>
      <c r="B3365" s="295">
        <v>2</v>
      </c>
      <c r="C3365" s="295" t="s">
        <v>101</v>
      </c>
      <c r="D3365" s="295" t="s">
        <v>85</v>
      </c>
      <c r="E3365" s="296">
        <v>0.29223274584810327</v>
      </c>
    </row>
    <row r="3366" spans="1:5" x14ac:dyDescent="0.3">
      <c r="A3366" s="295">
        <v>2024</v>
      </c>
      <c r="B3366" s="295">
        <v>2</v>
      </c>
      <c r="C3366" s="295" t="s">
        <v>101</v>
      </c>
      <c r="D3366" s="295" t="s">
        <v>179</v>
      </c>
      <c r="E3366" s="296">
        <v>56.50244</v>
      </c>
    </row>
    <row r="3367" spans="1:5" x14ac:dyDescent="0.3">
      <c r="A3367" s="295">
        <v>2024</v>
      </c>
      <c r="B3367" s="295">
        <v>2</v>
      </c>
      <c r="C3367" s="295" t="s">
        <v>101</v>
      </c>
      <c r="D3367" s="295" t="s">
        <v>352</v>
      </c>
      <c r="E3367" s="296">
        <v>0.42109000000000002</v>
      </c>
    </row>
    <row r="3368" spans="1:5" x14ac:dyDescent="0.3">
      <c r="A3368" s="295">
        <v>2024</v>
      </c>
      <c r="B3368" s="295">
        <v>2</v>
      </c>
      <c r="C3368" s="295" t="s">
        <v>101</v>
      </c>
      <c r="D3368" s="295" t="s">
        <v>426</v>
      </c>
      <c r="E3368" s="296">
        <v>5.1540000000000002E-2</v>
      </c>
    </row>
    <row r="3369" spans="1:5" x14ac:dyDescent="0.3">
      <c r="A3369" s="295">
        <v>2024</v>
      </c>
      <c r="B3369" s="295">
        <v>2</v>
      </c>
      <c r="C3369" s="295" t="s">
        <v>179</v>
      </c>
      <c r="D3369" s="295" t="s">
        <v>1</v>
      </c>
      <c r="E3369" s="296">
        <v>9.5682792406613605E-4</v>
      </c>
    </row>
    <row r="3370" spans="1:5" x14ac:dyDescent="0.3">
      <c r="A3370" s="295">
        <v>2024</v>
      </c>
      <c r="B3370" s="295">
        <v>2</v>
      </c>
      <c r="C3370" s="295" t="s">
        <v>179</v>
      </c>
      <c r="D3370" s="295" t="s">
        <v>2</v>
      </c>
      <c r="E3370" s="296">
        <v>1.0358619123146207E-3</v>
      </c>
    </row>
    <row r="3371" spans="1:5" x14ac:dyDescent="0.3">
      <c r="A3371" s="295">
        <v>2024</v>
      </c>
      <c r="B3371" s="295">
        <v>2</v>
      </c>
      <c r="C3371" s="295" t="s">
        <v>179</v>
      </c>
      <c r="D3371" s="295" t="s">
        <v>259</v>
      </c>
      <c r="E3371" s="296">
        <v>8.1957096115840128E-4</v>
      </c>
    </row>
    <row r="3372" spans="1:5" x14ac:dyDescent="0.3">
      <c r="A3372" s="295">
        <v>2024</v>
      </c>
      <c r="B3372" s="295">
        <v>2</v>
      </c>
      <c r="C3372" s="295" t="s">
        <v>179</v>
      </c>
      <c r="D3372" s="295" t="s">
        <v>85</v>
      </c>
      <c r="E3372" s="296">
        <v>5.1720377502897765E-3</v>
      </c>
    </row>
    <row r="3373" spans="1:5" x14ac:dyDescent="0.3">
      <c r="A3373" s="295">
        <v>2024</v>
      </c>
      <c r="B3373" s="295">
        <v>2</v>
      </c>
      <c r="C3373" s="295" t="s">
        <v>179</v>
      </c>
      <c r="D3373" s="295" t="s">
        <v>101</v>
      </c>
      <c r="E3373" s="296">
        <v>1.7698350726092538E-2</v>
      </c>
    </row>
    <row r="3374" spans="1:5" x14ac:dyDescent="0.3">
      <c r="A3374" s="295">
        <v>2024</v>
      </c>
      <c r="B3374" s="295">
        <v>2</v>
      </c>
      <c r="C3374" s="295" t="s">
        <v>179</v>
      </c>
      <c r="D3374" s="295" t="s">
        <v>352</v>
      </c>
      <c r="E3374" s="296">
        <v>7.45E-3</v>
      </c>
    </row>
    <row r="3375" spans="1:5" x14ac:dyDescent="0.3">
      <c r="A3375" s="295">
        <v>2024</v>
      </c>
      <c r="B3375" s="295">
        <v>2</v>
      </c>
      <c r="C3375" s="295" t="s">
        <v>179</v>
      </c>
      <c r="D3375" s="295" t="s">
        <v>426</v>
      </c>
      <c r="E3375" s="296">
        <v>9.1E-4</v>
      </c>
    </row>
    <row r="3376" spans="1:5" x14ac:dyDescent="0.3">
      <c r="A3376" s="295">
        <v>2024</v>
      </c>
      <c r="B3376" s="295">
        <v>2</v>
      </c>
      <c r="C3376" s="295" t="s">
        <v>352</v>
      </c>
      <c r="D3376" s="295" t="s">
        <v>1</v>
      </c>
      <c r="E3376" s="296">
        <v>0.12838948233360722</v>
      </c>
    </row>
    <row r="3377" spans="1:5" x14ac:dyDescent="0.3">
      <c r="A3377" s="295">
        <v>2024</v>
      </c>
      <c r="B3377" s="295">
        <v>2</v>
      </c>
      <c r="C3377" s="295" t="s">
        <v>352</v>
      </c>
      <c r="D3377" s="295" t="s">
        <v>2</v>
      </c>
      <c r="E3377" s="296">
        <v>0.13899448608873685</v>
      </c>
    </row>
    <row r="3378" spans="1:5" x14ac:dyDescent="0.3">
      <c r="A3378" s="295">
        <v>2024</v>
      </c>
      <c r="B3378" s="295">
        <v>2</v>
      </c>
      <c r="C3378" s="295" t="s">
        <v>352</v>
      </c>
      <c r="D3378" s="295" t="s">
        <v>259</v>
      </c>
      <c r="E3378" s="296">
        <v>0.10997204510613401</v>
      </c>
    </row>
    <row r="3379" spans="1:5" x14ac:dyDescent="0.3">
      <c r="A3379" s="295">
        <v>2024</v>
      </c>
      <c r="B3379" s="295">
        <v>2</v>
      </c>
      <c r="C3379" s="295" t="s">
        <v>352</v>
      </c>
      <c r="D3379" s="295" t="s">
        <v>85</v>
      </c>
      <c r="E3379" s="296">
        <v>0.69399623854038706</v>
      </c>
    </row>
    <row r="3380" spans="1:5" x14ac:dyDescent="0.3">
      <c r="A3380" s="295">
        <v>2024</v>
      </c>
      <c r="B3380" s="295">
        <v>2</v>
      </c>
      <c r="C3380" s="295" t="s">
        <v>352</v>
      </c>
      <c r="D3380" s="295" t="s">
        <v>101</v>
      </c>
      <c r="E3380" s="296">
        <v>2.3747892374551758</v>
      </c>
    </row>
    <row r="3381" spans="1:5" x14ac:dyDescent="0.3">
      <c r="A3381" s="295">
        <v>2024</v>
      </c>
      <c r="B3381" s="295">
        <v>2</v>
      </c>
      <c r="C3381" s="295" t="s">
        <v>352</v>
      </c>
      <c r="D3381" s="295" t="s">
        <v>179</v>
      </c>
      <c r="E3381" s="296">
        <v>134.2281879194631</v>
      </c>
    </row>
    <row r="3382" spans="1:5" x14ac:dyDescent="0.3">
      <c r="A3382" s="295">
        <v>2024</v>
      </c>
      <c r="B3382" s="295">
        <v>2</v>
      </c>
      <c r="C3382" s="295" t="s">
        <v>352</v>
      </c>
      <c r="D3382" s="295" t="s">
        <v>426</v>
      </c>
      <c r="E3382" s="296">
        <v>0.12241</v>
      </c>
    </row>
    <row r="3383" spans="1:5" x14ac:dyDescent="0.3">
      <c r="A3383" s="295">
        <v>2024</v>
      </c>
      <c r="B3383" s="295">
        <v>2</v>
      </c>
      <c r="C3383" s="295" t="s">
        <v>426</v>
      </c>
      <c r="D3383" s="295" t="s">
        <v>1</v>
      </c>
      <c r="E3383" s="296">
        <v>1.0488777008600796</v>
      </c>
    </row>
    <row r="3384" spans="1:5" x14ac:dyDescent="0.3">
      <c r="A3384" s="295">
        <v>2024</v>
      </c>
      <c r="B3384" s="295">
        <v>2</v>
      </c>
      <c r="C3384" s="295" t="s">
        <v>426</v>
      </c>
      <c r="D3384" s="295" t="s">
        <v>2</v>
      </c>
      <c r="E3384" s="296">
        <v>1.135512002361865</v>
      </c>
    </row>
    <row r="3385" spans="1:5" x14ac:dyDescent="0.3">
      <c r="A3385" s="295">
        <v>2024</v>
      </c>
      <c r="B3385" s="295">
        <v>2</v>
      </c>
      <c r="C3385" s="295" t="s">
        <v>426</v>
      </c>
      <c r="D3385" s="295" t="s">
        <v>259</v>
      </c>
      <c r="E3385" s="296">
        <v>0.89841609242904763</v>
      </c>
    </row>
    <row r="3386" spans="1:5" x14ac:dyDescent="0.3">
      <c r="A3386" s="295">
        <v>2024</v>
      </c>
      <c r="B3386" s="295">
        <v>2</v>
      </c>
      <c r="C3386" s="295" t="s">
        <v>426</v>
      </c>
      <c r="D3386" s="295" t="s">
        <v>85</v>
      </c>
      <c r="E3386" s="296">
        <v>5.6695770495521032</v>
      </c>
    </row>
    <row r="3387" spans="1:5" x14ac:dyDescent="0.3">
      <c r="A3387" s="295">
        <v>2024</v>
      </c>
      <c r="B3387" s="295">
        <v>2</v>
      </c>
      <c r="C3387" s="295" t="s">
        <v>426</v>
      </c>
      <c r="D3387" s="295" t="s">
        <v>101</v>
      </c>
      <c r="E3387" s="296">
        <v>19.402405898331391</v>
      </c>
    </row>
    <row r="3388" spans="1:5" x14ac:dyDescent="0.3">
      <c r="A3388" s="295">
        <v>2024</v>
      </c>
      <c r="B3388" s="295">
        <v>2</v>
      </c>
      <c r="C3388" s="295" t="s">
        <v>426</v>
      </c>
      <c r="D3388" s="295" t="s">
        <v>179</v>
      </c>
      <c r="E3388" s="296">
        <v>1098.901098901099</v>
      </c>
    </row>
    <row r="3389" spans="1:5" x14ac:dyDescent="0.3">
      <c r="A3389" s="295">
        <v>2024</v>
      </c>
      <c r="B3389" s="295">
        <v>2</v>
      </c>
      <c r="C3389" s="295" t="s">
        <v>426</v>
      </c>
      <c r="D3389" s="295" t="s">
        <v>352</v>
      </c>
      <c r="E3389" s="296">
        <v>8.1692672167306597</v>
      </c>
    </row>
    <row r="3390" spans="1:5" x14ac:dyDescent="0.3">
      <c r="A3390" s="295">
        <v>2024</v>
      </c>
      <c r="B3390" s="295">
        <v>2</v>
      </c>
      <c r="C3390" s="295" t="s">
        <v>1</v>
      </c>
      <c r="D3390" s="295" t="s">
        <v>1</v>
      </c>
      <c r="E3390" s="296">
        <v>1</v>
      </c>
    </row>
    <row r="3391" spans="1:5" x14ac:dyDescent="0.3">
      <c r="A3391" s="295">
        <v>2024</v>
      </c>
      <c r="B3391" s="295">
        <v>2</v>
      </c>
      <c r="C3391" s="295" t="s">
        <v>2</v>
      </c>
      <c r="D3391" s="295" t="s">
        <v>2</v>
      </c>
      <c r="E3391" s="296">
        <v>1</v>
      </c>
    </row>
    <row r="3392" spans="1:5" x14ac:dyDescent="0.3">
      <c r="A3392" s="295">
        <v>2024</v>
      </c>
      <c r="B3392" s="295">
        <v>2</v>
      </c>
      <c r="C3392" s="295" t="s">
        <v>259</v>
      </c>
      <c r="D3392" s="295" t="s">
        <v>259</v>
      </c>
      <c r="E3392" s="296">
        <v>1</v>
      </c>
    </row>
    <row r="3393" spans="1:5" x14ac:dyDescent="0.3">
      <c r="A3393" s="295">
        <v>2024</v>
      </c>
      <c r="B3393" s="295">
        <v>2</v>
      </c>
      <c r="C3393" s="295" t="s">
        <v>85</v>
      </c>
      <c r="D3393" s="295" t="s">
        <v>85</v>
      </c>
      <c r="E3393" s="296">
        <v>1</v>
      </c>
    </row>
    <row r="3394" spans="1:5" x14ac:dyDescent="0.3">
      <c r="A3394" s="295">
        <v>2024</v>
      </c>
      <c r="B3394" s="295">
        <v>2</v>
      </c>
      <c r="C3394" s="295" t="s">
        <v>101</v>
      </c>
      <c r="D3394" s="295" t="s">
        <v>101</v>
      </c>
      <c r="E3394" s="296">
        <v>1</v>
      </c>
    </row>
    <row r="3395" spans="1:5" x14ac:dyDescent="0.3">
      <c r="A3395" s="295">
        <v>2024</v>
      </c>
      <c r="B3395" s="295">
        <v>2</v>
      </c>
      <c r="C3395" s="295" t="s">
        <v>179</v>
      </c>
      <c r="D3395" s="295" t="s">
        <v>179</v>
      </c>
      <c r="E3395" s="296">
        <v>1</v>
      </c>
    </row>
    <row r="3396" spans="1:5" x14ac:dyDescent="0.3">
      <c r="A3396" s="295">
        <v>2024</v>
      </c>
      <c r="B3396" s="295">
        <v>2</v>
      </c>
      <c r="C3396" s="295" t="s">
        <v>352</v>
      </c>
      <c r="D3396" s="295" t="s">
        <v>352</v>
      </c>
      <c r="E3396" s="296">
        <v>1</v>
      </c>
    </row>
    <row r="3397" spans="1:5" x14ac:dyDescent="0.3">
      <c r="A3397" s="295">
        <v>2024</v>
      </c>
      <c r="B3397" s="295">
        <v>2</v>
      </c>
      <c r="C3397" s="295" t="s">
        <v>426</v>
      </c>
      <c r="D3397" s="295" t="s">
        <v>426</v>
      </c>
      <c r="E3397" s="296">
        <v>1</v>
      </c>
    </row>
    <row r="3398" spans="1:5" x14ac:dyDescent="0.3">
      <c r="A3398" s="295">
        <v>2024</v>
      </c>
      <c r="B3398" s="295">
        <v>3</v>
      </c>
      <c r="C3398" s="295" t="s">
        <v>1</v>
      </c>
      <c r="D3398" s="295" t="s">
        <v>2</v>
      </c>
      <c r="E3398" s="296">
        <v>1.0810999999999999</v>
      </c>
    </row>
    <row r="3399" spans="1:5" x14ac:dyDescent="0.3">
      <c r="A3399" s="295">
        <v>2024</v>
      </c>
      <c r="B3399" s="295">
        <v>3</v>
      </c>
      <c r="C3399" s="295" t="s">
        <v>1</v>
      </c>
      <c r="D3399" s="295" t="s">
        <v>259</v>
      </c>
      <c r="E3399" s="296">
        <v>0.85509999999999997</v>
      </c>
    </row>
    <row r="3400" spans="1:5" x14ac:dyDescent="0.3">
      <c r="A3400" s="295">
        <v>2024</v>
      </c>
      <c r="B3400" s="295">
        <v>3</v>
      </c>
      <c r="C3400" s="295" t="s">
        <v>1</v>
      </c>
      <c r="D3400" s="295" t="s">
        <v>85</v>
      </c>
      <c r="E3400" s="296">
        <v>5.4032</v>
      </c>
    </row>
    <row r="3401" spans="1:5" x14ac:dyDescent="0.3">
      <c r="A3401" s="295">
        <v>2024</v>
      </c>
      <c r="B3401" s="295">
        <v>3</v>
      </c>
      <c r="C3401" s="295" t="s">
        <v>1</v>
      </c>
      <c r="D3401" s="295" t="s">
        <v>101</v>
      </c>
      <c r="E3401" s="296">
        <v>17.917899999999999</v>
      </c>
    </row>
    <row r="3402" spans="1:5" x14ac:dyDescent="0.3">
      <c r="A3402" s="295">
        <v>2024</v>
      </c>
      <c r="B3402" s="295">
        <v>3</v>
      </c>
      <c r="C3402" s="295" t="s">
        <v>1</v>
      </c>
      <c r="D3402" s="295" t="s">
        <v>179</v>
      </c>
      <c r="E3402" s="296">
        <v>1058.364</v>
      </c>
    </row>
    <row r="3403" spans="1:5" x14ac:dyDescent="0.3">
      <c r="A3403" s="295">
        <v>2024</v>
      </c>
      <c r="B3403" s="295">
        <v>3</v>
      </c>
      <c r="C3403" s="295" t="s">
        <v>1</v>
      </c>
      <c r="D3403" s="295" t="s">
        <v>352</v>
      </c>
      <c r="E3403" s="296">
        <v>7.8144</v>
      </c>
    </row>
    <row r="3404" spans="1:5" x14ac:dyDescent="0.3">
      <c r="A3404" s="295">
        <v>2024</v>
      </c>
      <c r="B3404" s="295">
        <v>3</v>
      </c>
      <c r="C3404" s="295" t="s">
        <v>1</v>
      </c>
      <c r="D3404" s="295" t="s">
        <v>426</v>
      </c>
      <c r="E3404" s="296">
        <v>0.97660000000000002</v>
      </c>
    </row>
    <row r="3405" spans="1:5" x14ac:dyDescent="0.3">
      <c r="A3405" s="295">
        <v>2024</v>
      </c>
      <c r="B3405" s="295">
        <v>3</v>
      </c>
      <c r="C3405" s="295" t="s">
        <v>2</v>
      </c>
      <c r="D3405" s="295" t="s">
        <v>1</v>
      </c>
      <c r="E3405" s="296">
        <v>0.92498381278327635</v>
      </c>
    </row>
    <row r="3406" spans="1:5" x14ac:dyDescent="0.3">
      <c r="A3406" s="295">
        <v>2024</v>
      </c>
      <c r="B3406" s="295">
        <v>3</v>
      </c>
      <c r="C3406" s="295" t="s">
        <v>2</v>
      </c>
      <c r="D3406" s="295" t="s">
        <v>259</v>
      </c>
      <c r="E3406" s="296">
        <v>0.79095000000000004</v>
      </c>
    </row>
    <row r="3407" spans="1:5" x14ac:dyDescent="0.3">
      <c r="A3407" s="295">
        <v>2024</v>
      </c>
      <c r="B3407" s="295">
        <v>3</v>
      </c>
      <c r="C3407" s="295" t="s">
        <v>2</v>
      </c>
      <c r="D3407" s="295" t="s">
        <v>85</v>
      </c>
      <c r="E3407" s="296">
        <v>4.9978699999999998</v>
      </c>
    </row>
    <row r="3408" spans="1:5" x14ac:dyDescent="0.3">
      <c r="A3408" s="295">
        <v>2024</v>
      </c>
      <c r="B3408" s="295">
        <v>3</v>
      </c>
      <c r="C3408" s="295" t="s">
        <v>2</v>
      </c>
      <c r="D3408" s="295" t="s">
        <v>101</v>
      </c>
      <c r="E3408" s="296">
        <v>16.57377</v>
      </c>
    </row>
    <row r="3409" spans="1:5" x14ac:dyDescent="0.3">
      <c r="A3409" s="295">
        <v>2024</v>
      </c>
      <c r="B3409" s="295">
        <v>3</v>
      </c>
      <c r="C3409" s="295" t="s">
        <v>2</v>
      </c>
      <c r="D3409" s="295" t="s">
        <v>179</v>
      </c>
      <c r="E3409" s="296">
        <v>978.96956999999998</v>
      </c>
    </row>
    <row r="3410" spans="1:5" x14ac:dyDescent="0.3">
      <c r="A3410" s="295">
        <v>2024</v>
      </c>
      <c r="B3410" s="295">
        <v>3</v>
      </c>
      <c r="C3410" s="295" t="s">
        <v>2</v>
      </c>
      <c r="D3410" s="295" t="s">
        <v>352</v>
      </c>
      <c r="E3410" s="296">
        <v>7.2281899999999997</v>
      </c>
    </row>
    <row r="3411" spans="1:5" x14ac:dyDescent="0.3">
      <c r="A3411" s="295">
        <v>2024</v>
      </c>
      <c r="B3411" s="295">
        <v>3</v>
      </c>
      <c r="C3411" s="295" t="s">
        <v>2</v>
      </c>
      <c r="D3411" s="295" t="s">
        <v>426</v>
      </c>
      <c r="E3411" s="296">
        <v>0.90334000000000003</v>
      </c>
    </row>
    <row r="3412" spans="1:5" x14ac:dyDescent="0.3">
      <c r="A3412" s="295">
        <v>2024</v>
      </c>
      <c r="B3412" s="295">
        <v>3</v>
      </c>
      <c r="C3412" s="295" t="s">
        <v>259</v>
      </c>
      <c r="D3412" s="295" t="s">
        <v>1</v>
      </c>
      <c r="E3412" s="296">
        <v>1.1694538650450239</v>
      </c>
    </row>
    <row r="3413" spans="1:5" x14ac:dyDescent="0.3">
      <c r="A3413" s="295">
        <v>2024</v>
      </c>
      <c r="B3413" s="295">
        <v>3</v>
      </c>
      <c r="C3413" s="295" t="s">
        <v>259</v>
      </c>
      <c r="D3413" s="295" t="s">
        <v>2</v>
      </c>
      <c r="E3413" s="296">
        <v>1.2643024211391365</v>
      </c>
    </row>
    <row r="3414" spans="1:5" x14ac:dyDescent="0.3">
      <c r="A3414" s="295">
        <v>2024</v>
      </c>
      <c r="B3414" s="295">
        <v>3</v>
      </c>
      <c r="C3414" s="295" t="s">
        <v>259</v>
      </c>
      <c r="D3414" s="295" t="s">
        <v>85</v>
      </c>
      <c r="E3414" s="296">
        <v>6.3187899999999999</v>
      </c>
    </row>
    <row r="3415" spans="1:5" x14ac:dyDescent="0.3">
      <c r="A3415" s="295">
        <v>2024</v>
      </c>
      <c r="B3415" s="295">
        <v>3</v>
      </c>
      <c r="C3415" s="295" t="s">
        <v>259</v>
      </c>
      <c r="D3415" s="295" t="s">
        <v>101</v>
      </c>
      <c r="E3415" s="296">
        <v>20.954160000000002</v>
      </c>
    </row>
    <row r="3416" spans="1:5" x14ac:dyDescent="0.3">
      <c r="A3416" s="295">
        <v>2024</v>
      </c>
      <c r="B3416" s="295">
        <v>3</v>
      </c>
      <c r="C3416" s="295" t="s">
        <v>259</v>
      </c>
      <c r="D3416" s="295" t="s">
        <v>179</v>
      </c>
      <c r="E3416" s="296">
        <v>1237.70787</v>
      </c>
    </row>
    <row r="3417" spans="1:5" x14ac:dyDescent="0.3">
      <c r="A3417" s="295">
        <v>2024</v>
      </c>
      <c r="B3417" s="295">
        <v>3</v>
      </c>
      <c r="C3417" s="295" t="s">
        <v>259</v>
      </c>
      <c r="D3417" s="295" t="s">
        <v>352</v>
      </c>
      <c r="E3417" s="296">
        <v>9.1385799999999993</v>
      </c>
    </row>
    <row r="3418" spans="1:5" x14ac:dyDescent="0.3">
      <c r="A3418" s="295">
        <v>2024</v>
      </c>
      <c r="B3418" s="295">
        <v>3</v>
      </c>
      <c r="C3418" s="295" t="s">
        <v>259</v>
      </c>
      <c r="D3418" s="295" t="s">
        <v>426</v>
      </c>
      <c r="E3418" s="296">
        <v>1.14209</v>
      </c>
    </row>
    <row r="3419" spans="1:5" x14ac:dyDescent="0.3">
      <c r="A3419" s="295">
        <v>2024</v>
      </c>
      <c r="B3419" s="295">
        <v>3</v>
      </c>
      <c r="C3419" s="295" t="s">
        <v>85</v>
      </c>
      <c r="D3419" s="295" t="s">
        <v>1</v>
      </c>
      <c r="E3419" s="296">
        <v>0.18507551080840984</v>
      </c>
    </row>
    <row r="3420" spans="1:5" x14ac:dyDescent="0.3">
      <c r="A3420" s="295">
        <v>2024</v>
      </c>
      <c r="B3420" s="295">
        <v>3</v>
      </c>
      <c r="C3420" s="295" t="s">
        <v>85</v>
      </c>
      <c r="D3420" s="295" t="s">
        <v>2</v>
      </c>
      <c r="E3420" s="296">
        <v>0.20008523631066835</v>
      </c>
    </row>
    <row r="3421" spans="1:5" x14ac:dyDescent="0.3">
      <c r="A3421" s="295">
        <v>2024</v>
      </c>
      <c r="B3421" s="295">
        <v>3</v>
      </c>
      <c r="C3421" s="295" t="s">
        <v>85</v>
      </c>
      <c r="D3421" s="295" t="s">
        <v>259</v>
      </c>
      <c r="E3421" s="296">
        <v>0.15825814752507997</v>
      </c>
    </row>
    <row r="3422" spans="1:5" x14ac:dyDescent="0.3">
      <c r="A3422" s="295">
        <v>2024</v>
      </c>
      <c r="B3422" s="295">
        <v>3</v>
      </c>
      <c r="C3422" s="295" t="s">
        <v>85</v>
      </c>
      <c r="D3422" s="295" t="s">
        <v>101</v>
      </c>
      <c r="E3422" s="296">
        <v>3.31616</v>
      </c>
    </row>
    <row r="3423" spans="1:5" x14ac:dyDescent="0.3">
      <c r="A3423" s="295">
        <v>2024</v>
      </c>
      <c r="B3423" s="295">
        <v>3</v>
      </c>
      <c r="C3423" s="295" t="s">
        <v>85</v>
      </c>
      <c r="D3423" s="295" t="s">
        <v>179</v>
      </c>
      <c r="E3423" s="296">
        <v>195.87726000000001</v>
      </c>
    </row>
    <row r="3424" spans="1:5" x14ac:dyDescent="0.3">
      <c r="A3424" s="295">
        <v>2024</v>
      </c>
      <c r="B3424" s="295">
        <v>3</v>
      </c>
      <c r="C3424" s="295" t="s">
        <v>85</v>
      </c>
      <c r="D3424" s="295" t="s">
        <v>352</v>
      </c>
      <c r="E3424" s="296">
        <v>1.44625</v>
      </c>
    </row>
    <row r="3425" spans="1:5" x14ac:dyDescent="0.3">
      <c r="A3425" s="295">
        <v>2024</v>
      </c>
      <c r="B3425" s="295">
        <v>3</v>
      </c>
      <c r="C3425" s="295" t="s">
        <v>85</v>
      </c>
      <c r="D3425" s="295" t="s">
        <v>426</v>
      </c>
      <c r="E3425" s="296">
        <v>0.18074000000000001</v>
      </c>
    </row>
    <row r="3426" spans="1:5" x14ac:dyDescent="0.3">
      <c r="A3426" s="295">
        <v>2024</v>
      </c>
      <c r="B3426" s="295">
        <v>3</v>
      </c>
      <c r="C3426" s="295" t="s">
        <v>101</v>
      </c>
      <c r="D3426" s="295" t="s">
        <v>1</v>
      </c>
      <c r="E3426" s="296">
        <v>5.5810111676033468E-2</v>
      </c>
    </row>
    <row r="3427" spans="1:5" x14ac:dyDescent="0.3">
      <c r="A3427" s="295">
        <v>2024</v>
      </c>
      <c r="B3427" s="295">
        <v>3</v>
      </c>
      <c r="C3427" s="295" t="s">
        <v>101</v>
      </c>
      <c r="D3427" s="295" t="s">
        <v>2</v>
      </c>
      <c r="E3427" s="296">
        <v>6.0336302482778513E-2</v>
      </c>
    </row>
    <row r="3428" spans="1:5" x14ac:dyDescent="0.3">
      <c r="A3428" s="295">
        <v>2024</v>
      </c>
      <c r="B3428" s="295">
        <v>3</v>
      </c>
      <c r="C3428" s="295" t="s">
        <v>101</v>
      </c>
      <c r="D3428" s="295" t="s">
        <v>259</v>
      </c>
      <c r="E3428" s="296">
        <v>4.7723220591997004E-2</v>
      </c>
    </row>
    <row r="3429" spans="1:5" x14ac:dyDescent="0.3">
      <c r="A3429" s="295">
        <v>2024</v>
      </c>
      <c r="B3429" s="295">
        <v>3</v>
      </c>
      <c r="C3429" s="295" t="s">
        <v>101</v>
      </c>
      <c r="D3429" s="295" t="s">
        <v>85</v>
      </c>
      <c r="E3429" s="296">
        <v>0.30155360416867705</v>
      </c>
    </row>
    <row r="3430" spans="1:5" x14ac:dyDescent="0.3">
      <c r="A3430" s="295">
        <v>2024</v>
      </c>
      <c r="B3430" s="295">
        <v>3</v>
      </c>
      <c r="C3430" s="295" t="s">
        <v>101</v>
      </c>
      <c r="D3430" s="295" t="s">
        <v>179</v>
      </c>
      <c r="E3430" s="296">
        <v>59.067410000000002</v>
      </c>
    </row>
    <row r="3431" spans="1:5" x14ac:dyDescent="0.3">
      <c r="A3431" s="295">
        <v>2024</v>
      </c>
      <c r="B3431" s="295">
        <v>3</v>
      </c>
      <c r="C3431" s="295" t="s">
        <v>101</v>
      </c>
      <c r="D3431" s="295" t="s">
        <v>352</v>
      </c>
      <c r="E3431" s="296">
        <v>0.43612000000000001</v>
      </c>
    </row>
    <row r="3432" spans="1:5" x14ac:dyDescent="0.3">
      <c r="A3432" s="295">
        <v>2024</v>
      </c>
      <c r="B3432" s="295">
        <v>3</v>
      </c>
      <c r="C3432" s="295" t="s">
        <v>101</v>
      </c>
      <c r="D3432" s="295" t="s">
        <v>426</v>
      </c>
      <c r="E3432" s="296">
        <v>5.45E-2</v>
      </c>
    </row>
    <row r="3433" spans="1:5" x14ac:dyDescent="0.3">
      <c r="A3433" s="295">
        <v>2024</v>
      </c>
      <c r="B3433" s="295">
        <v>3</v>
      </c>
      <c r="C3433" s="295" t="s">
        <v>179</v>
      </c>
      <c r="D3433" s="295" t="s">
        <v>1</v>
      </c>
      <c r="E3433" s="296">
        <v>9.448545113023496E-4</v>
      </c>
    </row>
    <row r="3434" spans="1:5" x14ac:dyDescent="0.3">
      <c r="A3434" s="295">
        <v>2024</v>
      </c>
      <c r="B3434" s="295">
        <v>3</v>
      </c>
      <c r="C3434" s="295" t="s">
        <v>179</v>
      </c>
      <c r="D3434" s="295" t="s">
        <v>2</v>
      </c>
      <c r="E3434" s="296">
        <v>1.0214822101160918E-3</v>
      </c>
    </row>
    <row r="3435" spans="1:5" x14ac:dyDescent="0.3">
      <c r="A3435" s="295">
        <v>2024</v>
      </c>
      <c r="B3435" s="295">
        <v>3</v>
      </c>
      <c r="C3435" s="295" t="s">
        <v>179</v>
      </c>
      <c r="D3435" s="295" t="s">
        <v>259</v>
      </c>
      <c r="E3435" s="296">
        <v>8.0794509289174997E-4</v>
      </c>
    </row>
    <row r="3436" spans="1:5" x14ac:dyDescent="0.3">
      <c r="A3436" s="295">
        <v>2024</v>
      </c>
      <c r="B3436" s="295">
        <v>3</v>
      </c>
      <c r="C3436" s="295" t="s">
        <v>179</v>
      </c>
      <c r="D3436" s="295" t="s">
        <v>85</v>
      </c>
      <c r="E3436" s="296">
        <v>5.105237841288978E-3</v>
      </c>
    </row>
    <row r="3437" spans="1:5" x14ac:dyDescent="0.3">
      <c r="A3437" s="295">
        <v>2024</v>
      </c>
      <c r="B3437" s="295">
        <v>3</v>
      </c>
      <c r="C3437" s="295" t="s">
        <v>179</v>
      </c>
      <c r="D3437" s="295" t="s">
        <v>101</v>
      </c>
      <c r="E3437" s="296">
        <v>1.6929809517634172E-2</v>
      </c>
    </row>
    <row r="3438" spans="1:5" x14ac:dyDescent="0.3">
      <c r="A3438" s="295">
        <v>2024</v>
      </c>
      <c r="B3438" s="295">
        <v>3</v>
      </c>
      <c r="C3438" s="295" t="s">
        <v>179</v>
      </c>
      <c r="D3438" s="295" t="s">
        <v>352</v>
      </c>
      <c r="E3438" s="296">
        <v>7.3800000000000003E-3</v>
      </c>
    </row>
    <row r="3439" spans="1:5" x14ac:dyDescent="0.3">
      <c r="A3439" s="295">
        <v>2024</v>
      </c>
      <c r="B3439" s="295">
        <v>3</v>
      </c>
      <c r="C3439" s="295" t="s">
        <v>179</v>
      </c>
      <c r="D3439" s="295" t="s">
        <v>426</v>
      </c>
      <c r="E3439" s="296">
        <v>9.2000000000000003E-4</v>
      </c>
    </row>
    <row r="3440" spans="1:5" x14ac:dyDescent="0.3">
      <c r="A3440" s="295">
        <v>2024</v>
      </c>
      <c r="B3440" s="295">
        <v>3</v>
      </c>
      <c r="C3440" s="295" t="s">
        <v>352</v>
      </c>
      <c r="D3440" s="295" t="s">
        <v>1</v>
      </c>
      <c r="E3440" s="296">
        <v>0.12796887796887796</v>
      </c>
    </row>
    <row r="3441" spans="1:5" x14ac:dyDescent="0.3">
      <c r="A3441" s="295">
        <v>2024</v>
      </c>
      <c r="B3441" s="295">
        <v>3</v>
      </c>
      <c r="C3441" s="295" t="s">
        <v>352</v>
      </c>
      <c r="D3441" s="295" t="s">
        <v>2</v>
      </c>
      <c r="E3441" s="296">
        <v>0.13834722108854361</v>
      </c>
    </row>
    <row r="3442" spans="1:5" x14ac:dyDescent="0.3">
      <c r="A3442" s="295">
        <v>2024</v>
      </c>
      <c r="B3442" s="295">
        <v>3</v>
      </c>
      <c r="C3442" s="295" t="s">
        <v>352</v>
      </c>
      <c r="D3442" s="295" t="s">
        <v>259</v>
      </c>
      <c r="E3442" s="296">
        <v>0.1094261909399491</v>
      </c>
    </row>
    <row r="3443" spans="1:5" x14ac:dyDescent="0.3">
      <c r="A3443" s="295">
        <v>2024</v>
      </c>
      <c r="B3443" s="295">
        <v>3</v>
      </c>
      <c r="C3443" s="295" t="s">
        <v>352</v>
      </c>
      <c r="D3443" s="295" t="s">
        <v>85</v>
      </c>
      <c r="E3443" s="296">
        <v>0.69144338807260153</v>
      </c>
    </row>
    <row r="3444" spans="1:5" x14ac:dyDescent="0.3">
      <c r="A3444" s="295">
        <v>2024</v>
      </c>
      <c r="B3444" s="295">
        <v>3</v>
      </c>
      <c r="C3444" s="295" t="s">
        <v>352</v>
      </c>
      <c r="D3444" s="295" t="s">
        <v>101</v>
      </c>
      <c r="E3444" s="296">
        <v>2.2929468953499037</v>
      </c>
    </row>
    <row r="3445" spans="1:5" x14ac:dyDescent="0.3">
      <c r="A3445" s="295">
        <v>2024</v>
      </c>
      <c r="B3445" s="295">
        <v>3</v>
      </c>
      <c r="C3445" s="295" t="s">
        <v>352</v>
      </c>
      <c r="D3445" s="295" t="s">
        <v>179</v>
      </c>
      <c r="E3445" s="296">
        <v>135.50135501355012</v>
      </c>
    </row>
    <row r="3446" spans="1:5" x14ac:dyDescent="0.3">
      <c r="A3446" s="295">
        <v>2024</v>
      </c>
      <c r="B3446" s="295">
        <v>3</v>
      </c>
      <c r="C3446" s="295" t="s">
        <v>352</v>
      </c>
      <c r="D3446" s="295" t="s">
        <v>426</v>
      </c>
      <c r="E3446" s="296">
        <v>0.12497</v>
      </c>
    </row>
    <row r="3447" spans="1:5" x14ac:dyDescent="0.3">
      <c r="A3447" s="295">
        <v>2024</v>
      </c>
      <c r="B3447" s="295">
        <v>3</v>
      </c>
      <c r="C3447" s="295" t="s">
        <v>426</v>
      </c>
      <c r="D3447" s="295" t="s">
        <v>1</v>
      </c>
      <c r="E3447" s="296">
        <v>1.0239606799098915</v>
      </c>
    </row>
    <row r="3448" spans="1:5" x14ac:dyDescent="0.3">
      <c r="A3448" s="295">
        <v>2024</v>
      </c>
      <c r="B3448" s="295">
        <v>3</v>
      </c>
      <c r="C3448" s="295" t="s">
        <v>426</v>
      </c>
      <c r="D3448" s="295" t="s">
        <v>2</v>
      </c>
      <c r="E3448" s="296">
        <v>1.107002900347599</v>
      </c>
    </row>
    <row r="3449" spans="1:5" x14ac:dyDescent="0.3">
      <c r="A3449" s="295">
        <v>2024</v>
      </c>
      <c r="B3449" s="295">
        <v>3</v>
      </c>
      <c r="C3449" s="295" t="s">
        <v>426</v>
      </c>
      <c r="D3449" s="295" t="s">
        <v>259</v>
      </c>
      <c r="E3449" s="296">
        <v>0.87558773826931324</v>
      </c>
    </row>
    <row r="3450" spans="1:5" x14ac:dyDescent="0.3">
      <c r="A3450" s="295">
        <v>2024</v>
      </c>
      <c r="B3450" s="295">
        <v>3</v>
      </c>
      <c r="C3450" s="295" t="s">
        <v>426</v>
      </c>
      <c r="D3450" s="295" t="s">
        <v>85</v>
      </c>
      <c r="E3450" s="296">
        <v>5.5328095606949201</v>
      </c>
    </row>
    <row r="3451" spans="1:5" x14ac:dyDescent="0.3">
      <c r="A3451" s="295">
        <v>2024</v>
      </c>
      <c r="B3451" s="295">
        <v>3</v>
      </c>
      <c r="C3451" s="295" t="s">
        <v>426</v>
      </c>
      <c r="D3451" s="295" t="s">
        <v>101</v>
      </c>
      <c r="E3451" s="296">
        <v>18.348623853211009</v>
      </c>
    </row>
    <row r="3452" spans="1:5" x14ac:dyDescent="0.3">
      <c r="A3452" s="295">
        <v>2024</v>
      </c>
      <c r="B3452" s="295">
        <v>3</v>
      </c>
      <c r="C3452" s="295" t="s">
        <v>426</v>
      </c>
      <c r="D3452" s="295" t="s">
        <v>179</v>
      </c>
      <c r="E3452" s="296">
        <v>1086.9565217391305</v>
      </c>
    </row>
    <row r="3453" spans="1:5" x14ac:dyDescent="0.3">
      <c r="A3453" s="295">
        <v>2024</v>
      </c>
      <c r="B3453" s="295">
        <v>3</v>
      </c>
      <c r="C3453" s="295" t="s">
        <v>426</v>
      </c>
      <c r="D3453" s="295" t="s">
        <v>352</v>
      </c>
      <c r="E3453" s="296">
        <v>8.0019204609106183</v>
      </c>
    </row>
    <row r="3454" spans="1:5" x14ac:dyDescent="0.3">
      <c r="A3454" s="295">
        <v>2024</v>
      </c>
      <c r="B3454" s="295">
        <v>3</v>
      </c>
      <c r="C3454" s="295" t="s">
        <v>1</v>
      </c>
      <c r="D3454" s="295" t="s">
        <v>1</v>
      </c>
      <c r="E3454" s="296">
        <v>1</v>
      </c>
    </row>
    <row r="3455" spans="1:5" x14ac:dyDescent="0.3">
      <c r="A3455" s="295">
        <v>2024</v>
      </c>
      <c r="B3455" s="295">
        <v>3</v>
      </c>
      <c r="C3455" s="295" t="s">
        <v>2</v>
      </c>
      <c r="D3455" s="295" t="s">
        <v>2</v>
      </c>
      <c r="E3455" s="296">
        <v>1</v>
      </c>
    </row>
    <row r="3456" spans="1:5" x14ac:dyDescent="0.3">
      <c r="A3456" s="295">
        <v>2024</v>
      </c>
      <c r="B3456" s="295">
        <v>3</v>
      </c>
      <c r="C3456" s="295" t="s">
        <v>259</v>
      </c>
      <c r="D3456" s="295" t="s">
        <v>259</v>
      </c>
      <c r="E3456" s="296">
        <v>1</v>
      </c>
    </row>
    <row r="3457" spans="1:5" x14ac:dyDescent="0.3">
      <c r="A3457" s="295">
        <v>2024</v>
      </c>
      <c r="B3457" s="295">
        <v>3</v>
      </c>
      <c r="C3457" s="295" t="s">
        <v>85</v>
      </c>
      <c r="D3457" s="295" t="s">
        <v>85</v>
      </c>
      <c r="E3457" s="296">
        <v>1</v>
      </c>
    </row>
    <row r="3458" spans="1:5" x14ac:dyDescent="0.3">
      <c r="A3458" s="295">
        <v>2024</v>
      </c>
      <c r="B3458" s="295">
        <v>3</v>
      </c>
      <c r="C3458" s="295" t="s">
        <v>101</v>
      </c>
      <c r="D3458" s="295" t="s">
        <v>101</v>
      </c>
      <c r="E3458" s="296">
        <v>1</v>
      </c>
    </row>
    <row r="3459" spans="1:5" x14ac:dyDescent="0.3">
      <c r="A3459" s="295">
        <v>2024</v>
      </c>
      <c r="B3459" s="295">
        <v>3</v>
      </c>
      <c r="C3459" s="295" t="s">
        <v>179</v>
      </c>
      <c r="D3459" s="295" t="s">
        <v>179</v>
      </c>
      <c r="E3459" s="296">
        <v>1</v>
      </c>
    </row>
    <row r="3460" spans="1:5" x14ac:dyDescent="0.3">
      <c r="A3460" s="295">
        <v>2024</v>
      </c>
      <c r="B3460" s="295">
        <v>3</v>
      </c>
      <c r="C3460" s="295" t="s">
        <v>352</v>
      </c>
      <c r="D3460" s="295" t="s">
        <v>352</v>
      </c>
      <c r="E3460" s="296">
        <v>1</v>
      </c>
    </row>
    <row r="3461" spans="1:5" x14ac:dyDescent="0.3">
      <c r="A3461" s="295">
        <v>2024</v>
      </c>
      <c r="B3461" s="295">
        <v>3</v>
      </c>
      <c r="C3461" s="295" t="s">
        <v>426</v>
      </c>
      <c r="D3461" s="295" t="s">
        <v>426</v>
      </c>
      <c r="E3461" s="296">
        <v>1</v>
      </c>
    </row>
    <row r="3462" spans="1:5" x14ac:dyDescent="0.3">
      <c r="A3462" s="295">
        <v>2024</v>
      </c>
      <c r="B3462" s="295">
        <v>4</v>
      </c>
      <c r="C3462" s="295" t="s">
        <v>1</v>
      </c>
      <c r="D3462" s="295" t="s">
        <v>2</v>
      </c>
      <c r="E3462" s="296">
        <v>1.0718000000000001</v>
      </c>
    </row>
    <row r="3463" spans="1:5" x14ac:dyDescent="0.3">
      <c r="A3463" s="295">
        <v>2024</v>
      </c>
      <c r="B3463" s="295">
        <v>4</v>
      </c>
      <c r="C3463" s="295" t="s">
        <v>1</v>
      </c>
      <c r="D3463" s="295" t="s">
        <v>259</v>
      </c>
      <c r="E3463" s="296">
        <v>0.85477999999999998</v>
      </c>
    </row>
    <row r="3464" spans="1:5" x14ac:dyDescent="0.3">
      <c r="A3464" s="295">
        <v>2024</v>
      </c>
      <c r="B3464" s="295">
        <v>4</v>
      </c>
      <c r="C3464" s="295" t="s">
        <v>1</v>
      </c>
      <c r="D3464" s="295" t="s">
        <v>85</v>
      </c>
      <c r="E3464" s="296">
        <v>5.4927999999999999</v>
      </c>
    </row>
    <row r="3465" spans="1:5" x14ac:dyDescent="0.3">
      <c r="A3465" s="295">
        <v>2024</v>
      </c>
      <c r="B3465" s="295">
        <v>4</v>
      </c>
      <c r="C3465" s="295" t="s">
        <v>1</v>
      </c>
      <c r="D3465" s="295" t="s">
        <v>101</v>
      </c>
      <c r="E3465" s="296">
        <v>18.189499999999999</v>
      </c>
    </row>
    <row r="3466" spans="1:5" x14ac:dyDescent="0.3">
      <c r="A3466" s="295">
        <v>2024</v>
      </c>
      <c r="B3466" s="295">
        <v>4</v>
      </c>
      <c r="C3466" s="295" t="s">
        <v>1</v>
      </c>
      <c r="D3466" s="295" t="s">
        <v>179</v>
      </c>
      <c r="E3466" s="296">
        <v>1027.8989999999999</v>
      </c>
    </row>
    <row r="3467" spans="1:5" x14ac:dyDescent="0.3">
      <c r="A3467" s="295">
        <v>2024</v>
      </c>
      <c r="B3467" s="295">
        <v>4</v>
      </c>
      <c r="C3467" s="295" t="s">
        <v>1</v>
      </c>
      <c r="D3467" s="295" t="s">
        <v>352</v>
      </c>
      <c r="E3467" s="296">
        <v>7.7609000000000004</v>
      </c>
    </row>
    <row r="3468" spans="1:5" x14ac:dyDescent="0.3">
      <c r="A3468" s="295">
        <v>2024</v>
      </c>
      <c r="B3468" s="295">
        <v>4</v>
      </c>
      <c r="C3468" s="295" t="s">
        <v>1</v>
      </c>
      <c r="D3468" s="295" t="s">
        <v>426</v>
      </c>
      <c r="E3468" s="296">
        <v>0.97870000000000001</v>
      </c>
    </row>
    <row r="3469" spans="1:5" x14ac:dyDescent="0.3">
      <c r="A3469" s="295">
        <v>2024</v>
      </c>
      <c r="B3469" s="295">
        <v>4</v>
      </c>
      <c r="C3469" s="295" t="s">
        <v>2</v>
      </c>
      <c r="D3469" s="295" t="s">
        <v>1</v>
      </c>
      <c r="E3469" s="296">
        <v>0.93300988990483291</v>
      </c>
    </row>
    <row r="3470" spans="1:5" x14ac:dyDescent="0.3">
      <c r="A3470" s="295">
        <v>2024</v>
      </c>
      <c r="B3470" s="295">
        <v>4</v>
      </c>
      <c r="C3470" s="295" t="s">
        <v>2</v>
      </c>
      <c r="D3470" s="295" t="s">
        <v>259</v>
      </c>
      <c r="E3470" s="296">
        <v>0.79752000000000001</v>
      </c>
    </row>
    <row r="3471" spans="1:5" x14ac:dyDescent="0.3">
      <c r="A3471" s="295">
        <v>2024</v>
      </c>
      <c r="B3471" s="295">
        <v>4</v>
      </c>
      <c r="C3471" s="295" t="s">
        <v>2</v>
      </c>
      <c r="D3471" s="295" t="s">
        <v>85</v>
      </c>
      <c r="E3471" s="296">
        <v>5.1248399999999998</v>
      </c>
    </row>
    <row r="3472" spans="1:5" x14ac:dyDescent="0.3">
      <c r="A3472" s="295">
        <v>2024</v>
      </c>
      <c r="B3472" s="295">
        <v>4</v>
      </c>
      <c r="C3472" s="295" t="s">
        <v>2</v>
      </c>
      <c r="D3472" s="295" t="s">
        <v>101</v>
      </c>
      <c r="E3472" s="296">
        <v>16.970980000000001</v>
      </c>
    </row>
    <row r="3473" spans="1:5" x14ac:dyDescent="0.3">
      <c r="A3473" s="295">
        <v>2024</v>
      </c>
      <c r="B3473" s="295">
        <v>4</v>
      </c>
      <c r="C3473" s="295" t="s">
        <v>2</v>
      </c>
      <c r="D3473" s="295" t="s">
        <v>179</v>
      </c>
      <c r="E3473" s="296">
        <v>959.03993000000003</v>
      </c>
    </row>
    <row r="3474" spans="1:5" x14ac:dyDescent="0.3">
      <c r="A3474" s="295">
        <v>2024</v>
      </c>
      <c r="B3474" s="295">
        <v>4</v>
      </c>
      <c r="C3474" s="295" t="s">
        <v>2</v>
      </c>
      <c r="D3474" s="295" t="s">
        <v>352</v>
      </c>
      <c r="E3474" s="296">
        <v>7.2409999999999997</v>
      </c>
    </row>
    <row r="3475" spans="1:5" x14ac:dyDescent="0.3">
      <c r="A3475" s="295">
        <v>2024</v>
      </c>
      <c r="B3475" s="295">
        <v>4</v>
      </c>
      <c r="C3475" s="295" t="s">
        <v>2</v>
      </c>
      <c r="D3475" s="295" t="s">
        <v>426</v>
      </c>
      <c r="E3475" s="296">
        <v>0.91313999999999995</v>
      </c>
    </row>
    <row r="3476" spans="1:5" x14ac:dyDescent="0.3">
      <c r="A3476" s="295">
        <v>2024</v>
      </c>
      <c r="B3476" s="295">
        <v>4</v>
      </c>
      <c r="C3476" s="295" t="s">
        <v>259</v>
      </c>
      <c r="D3476" s="295" t="s">
        <v>1</v>
      </c>
      <c r="E3476" s="296">
        <v>1.1698916680315403</v>
      </c>
    </row>
    <row r="3477" spans="1:5" x14ac:dyDescent="0.3">
      <c r="A3477" s="295">
        <v>2024</v>
      </c>
      <c r="B3477" s="295">
        <v>4</v>
      </c>
      <c r="C3477" s="295" t="s">
        <v>259</v>
      </c>
      <c r="D3477" s="295" t="s">
        <v>2</v>
      </c>
      <c r="E3477" s="296">
        <v>1.2538870498545491</v>
      </c>
    </row>
    <row r="3478" spans="1:5" x14ac:dyDescent="0.3">
      <c r="A3478" s="295">
        <v>2024</v>
      </c>
      <c r="B3478" s="295">
        <v>4</v>
      </c>
      <c r="C3478" s="295" t="s">
        <v>259</v>
      </c>
      <c r="D3478" s="295" t="s">
        <v>85</v>
      </c>
      <c r="E3478" s="296">
        <v>6.42598</v>
      </c>
    </row>
    <row r="3479" spans="1:5" x14ac:dyDescent="0.3">
      <c r="A3479" s="295">
        <v>2024</v>
      </c>
      <c r="B3479" s="295">
        <v>4</v>
      </c>
      <c r="C3479" s="295" t="s">
        <v>259</v>
      </c>
      <c r="D3479" s="295" t="s">
        <v>101</v>
      </c>
      <c r="E3479" s="296">
        <v>21.27974</v>
      </c>
    </row>
    <row r="3480" spans="1:5" x14ac:dyDescent="0.3">
      <c r="A3480" s="295">
        <v>2024</v>
      </c>
      <c r="B3480" s="295">
        <v>4</v>
      </c>
      <c r="C3480" s="295" t="s">
        <v>259</v>
      </c>
      <c r="D3480" s="295" t="s">
        <v>179</v>
      </c>
      <c r="E3480" s="296">
        <v>1202.5304799999999</v>
      </c>
    </row>
    <row r="3481" spans="1:5" x14ac:dyDescent="0.3">
      <c r="A3481" s="295">
        <v>2024</v>
      </c>
      <c r="B3481" s="295">
        <v>4</v>
      </c>
      <c r="C3481" s="295" t="s">
        <v>259</v>
      </c>
      <c r="D3481" s="295" t="s">
        <v>352</v>
      </c>
      <c r="E3481" s="296">
        <v>9.0794099999999993</v>
      </c>
    </row>
    <row r="3482" spans="1:5" x14ac:dyDescent="0.3">
      <c r="A3482" s="295">
        <v>2024</v>
      </c>
      <c r="B3482" s="295">
        <v>4</v>
      </c>
      <c r="C3482" s="295" t="s">
        <v>259</v>
      </c>
      <c r="D3482" s="295" t="s">
        <v>426</v>
      </c>
      <c r="E3482" s="296">
        <v>1.14497</v>
      </c>
    </row>
    <row r="3483" spans="1:5" x14ac:dyDescent="0.3">
      <c r="A3483" s="295">
        <v>2024</v>
      </c>
      <c r="B3483" s="295">
        <v>4</v>
      </c>
      <c r="C3483" s="295" t="s">
        <v>85</v>
      </c>
      <c r="D3483" s="295" t="s">
        <v>1</v>
      </c>
      <c r="E3483" s="296">
        <v>0.1820565103408098</v>
      </c>
    </row>
    <row r="3484" spans="1:5" x14ac:dyDescent="0.3">
      <c r="A3484" s="295">
        <v>2024</v>
      </c>
      <c r="B3484" s="295">
        <v>4</v>
      </c>
      <c r="C3484" s="295" t="s">
        <v>85</v>
      </c>
      <c r="D3484" s="295" t="s">
        <v>2</v>
      </c>
      <c r="E3484" s="296">
        <v>0.19512804302183093</v>
      </c>
    </row>
    <row r="3485" spans="1:5" x14ac:dyDescent="0.3">
      <c r="A3485" s="295">
        <v>2024</v>
      </c>
      <c r="B3485" s="295">
        <v>4</v>
      </c>
      <c r="C3485" s="295" t="s">
        <v>85</v>
      </c>
      <c r="D3485" s="295" t="s">
        <v>259</v>
      </c>
      <c r="E3485" s="296">
        <v>0.15561828701614383</v>
      </c>
    </row>
    <row r="3486" spans="1:5" x14ac:dyDescent="0.3">
      <c r="A3486" s="295">
        <v>2024</v>
      </c>
      <c r="B3486" s="295">
        <v>4</v>
      </c>
      <c r="C3486" s="295" t="s">
        <v>85</v>
      </c>
      <c r="D3486" s="295" t="s">
        <v>101</v>
      </c>
      <c r="E3486" s="296">
        <v>3.3115199999999998</v>
      </c>
    </row>
    <row r="3487" spans="1:5" x14ac:dyDescent="0.3">
      <c r="A3487" s="295">
        <v>2024</v>
      </c>
      <c r="B3487" s="295">
        <v>4</v>
      </c>
      <c r="C3487" s="295" t="s">
        <v>85</v>
      </c>
      <c r="D3487" s="295" t="s">
        <v>179</v>
      </c>
      <c r="E3487" s="296">
        <v>187.13570000000001</v>
      </c>
    </row>
    <row r="3488" spans="1:5" x14ac:dyDescent="0.3">
      <c r="A3488" s="295">
        <v>2024</v>
      </c>
      <c r="B3488" s="295">
        <v>4</v>
      </c>
      <c r="C3488" s="295" t="s">
        <v>85</v>
      </c>
      <c r="D3488" s="295" t="s">
        <v>352</v>
      </c>
      <c r="E3488" s="296">
        <v>1.41292</v>
      </c>
    </row>
    <row r="3489" spans="1:5" x14ac:dyDescent="0.3">
      <c r="A3489" s="295">
        <v>2024</v>
      </c>
      <c r="B3489" s="295">
        <v>4</v>
      </c>
      <c r="C3489" s="295" t="s">
        <v>85</v>
      </c>
      <c r="D3489" s="295" t="s">
        <v>426</v>
      </c>
      <c r="E3489" s="296">
        <v>0.17818000000000001</v>
      </c>
    </row>
    <row r="3490" spans="1:5" x14ac:dyDescent="0.3">
      <c r="A3490" s="295">
        <v>2024</v>
      </c>
      <c r="B3490" s="295">
        <v>4</v>
      </c>
      <c r="C3490" s="295" t="s">
        <v>101</v>
      </c>
      <c r="D3490" s="295" t="s">
        <v>1</v>
      </c>
      <c r="E3490" s="296">
        <v>5.4976772313697464E-2</v>
      </c>
    </row>
    <row r="3491" spans="1:5" x14ac:dyDescent="0.3">
      <c r="A3491" s="295">
        <v>2024</v>
      </c>
      <c r="B3491" s="295">
        <v>4</v>
      </c>
      <c r="C3491" s="295" t="s">
        <v>101</v>
      </c>
      <c r="D3491" s="295" t="s">
        <v>2</v>
      </c>
      <c r="E3491" s="296">
        <v>5.8924116344489234E-2</v>
      </c>
    </row>
    <row r="3492" spans="1:5" x14ac:dyDescent="0.3">
      <c r="A3492" s="295">
        <v>2024</v>
      </c>
      <c r="B3492" s="295">
        <v>4</v>
      </c>
      <c r="C3492" s="295" t="s">
        <v>101</v>
      </c>
      <c r="D3492" s="295" t="s">
        <v>259</v>
      </c>
      <c r="E3492" s="296">
        <v>4.6993055366277972E-2</v>
      </c>
    </row>
    <row r="3493" spans="1:5" x14ac:dyDescent="0.3">
      <c r="A3493" s="295">
        <v>2024</v>
      </c>
      <c r="B3493" s="295">
        <v>4</v>
      </c>
      <c r="C3493" s="295" t="s">
        <v>101</v>
      </c>
      <c r="D3493" s="295" t="s">
        <v>85</v>
      </c>
      <c r="E3493" s="296">
        <v>0.30197613180654204</v>
      </c>
    </row>
    <row r="3494" spans="1:5" x14ac:dyDescent="0.3">
      <c r="A3494" s="295">
        <v>2024</v>
      </c>
      <c r="B3494" s="295">
        <v>4</v>
      </c>
      <c r="C3494" s="295" t="s">
        <v>101</v>
      </c>
      <c r="D3494" s="295" t="s">
        <v>179</v>
      </c>
      <c r="E3494" s="296">
        <v>56.510570000000001</v>
      </c>
    </row>
    <row r="3495" spans="1:5" x14ac:dyDescent="0.3">
      <c r="A3495" s="295">
        <v>2024</v>
      </c>
      <c r="B3495" s="295">
        <v>4</v>
      </c>
      <c r="C3495" s="295" t="s">
        <v>101</v>
      </c>
      <c r="D3495" s="295" t="s">
        <v>352</v>
      </c>
      <c r="E3495" s="296">
        <v>0.42666999999999999</v>
      </c>
    </row>
    <row r="3496" spans="1:5" x14ac:dyDescent="0.3">
      <c r="A3496" s="295">
        <v>2024</v>
      </c>
      <c r="B3496" s="295">
        <v>4</v>
      </c>
      <c r="C3496" s="295" t="s">
        <v>101</v>
      </c>
      <c r="D3496" s="295" t="s">
        <v>426</v>
      </c>
      <c r="E3496" s="296">
        <v>5.3809999999999997E-2</v>
      </c>
    </row>
    <row r="3497" spans="1:5" x14ac:dyDescent="0.3">
      <c r="A3497" s="295">
        <v>2024</v>
      </c>
      <c r="B3497" s="295">
        <v>4</v>
      </c>
      <c r="C3497" s="295" t="s">
        <v>179</v>
      </c>
      <c r="D3497" s="295" t="s">
        <v>1</v>
      </c>
      <c r="E3497" s="296">
        <v>9.7285822828896624E-4</v>
      </c>
    </row>
    <row r="3498" spans="1:5" x14ac:dyDescent="0.3">
      <c r="A3498" s="295">
        <v>2024</v>
      </c>
      <c r="B3498" s="295">
        <v>4</v>
      </c>
      <c r="C3498" s="295" t="s">
        <v>179</v>
      </c>
      <c r="D3498" s="295" t="s">
        <v>2</v>
      </c>
      <c r="E3498" s="296">
        <v>1.0427094521497139E-3</v>
      </c>
    </row>
    <row r="3499" spans="1:5" x14ac:dyDescent="0.3">
      <c r="A3499" s="295">
        <v>2024</v>
      </c>
      <c r="B3499" s="295">
        <v>4</v>
      </c>
      <c r="C3499" s="295" t="s">
        <v>179</v>
      </c>
      <c r="D3499" s="295" t="s">
        <v>259</v>
      </c>
      <c r="E3499" s="296">
        <v>8.3157975338803895E-4</v>
      </c>
    </row>
    <row r="3500" spans="1:5" x14ac:dyDescent="0.3">
      <c r="A3500" s="295">
        <v>2024</v>
      </c>
      <c r="B3500" s="295">
        <v>4</v>
      </c>
      <c r="C3500" s="295" t="s">
        <v>179</v>
      </c>
      <c r="D3500" s="295" t="s">
        <v>85</v>
      </c>
      <c r="E3500" s="296">
        <v>5.3437158169178829E-3</v>
      </c>
    </row>
    <row r="3501" spans="1:5" x14ac:dyDescent="0.3">
      <c r="A3501" s="295">
        <v>2024</v>
      </c>
      <c r="B3501" s="295">
        <v>4</v>
      </c>
      <c r="C3501" s="295" t="s">
        <v>179</v>
      </c>
      <c r="D3501" s="295" t="s">
        <v>101</v>
      </c>
      <c r="E3501" s="296">
        <v>1.7695804519402298E-2</v>
      </c>
    </row>
    <row r="3502" spans="1:5" x14ac:dyDescent="0.3">
      <c r="A3502" s="295">
        <v>2024</v>
      </c>
      <c r="B3502" s="295">
        <v>4</v>
      </c>
      <c r="C3502" s="295" t="s">
        <v>179</v>
      </c>
      <c r="D3502" s="295" t="s">
        <v>352</v>
      </c>
      <c r="E3502" s="296">
        <v>7.5500000000000003E-3</v>
      </c>
    </row>
    <row r="3503" spans="1:5" x14ac:dyDescent="0.3">
      <c r="A3503" s="295">
        <v>2024</v>
      </c>
      <c r="B3503" s="295">
        <v>4</v>
      </c>
      <c r="C3503" s="295" t="s">
        <v>179</v>
      </c>
      <c r="D3503" s="295" t="s">
        <v>426</v>
      </c>
      <c r="E3503" s="296">
        <v>9.5E-4</v>
      </c>
    </row>
    <row r="3504" spans="1:5" x14ac:dyDescent="0.3">
      <c r="A3504" s="295">
        <v>2024</v>
      </c>
      <c r="B3504" s="295">
        <v>4</v>
      </c>
      <c r="C3504" s="295" t="s">
        <v>352</v>
      </c>
      <c r="D3504" s="295" t="s">
        <v>1</v>
      </c>
      <c r="E3504" s="296">
        <v>0.12885103531806877</v>
      </c>
    </row>
    <row r="3505" spans="1:5" x14ac:dyDescent="0.3">
      <c r="A3505" s="295">
        <v>2024</v>
      </c>
      <c r="B3505" s="295">
        <v>4</v>
      </c>
      <c r="C3505" s="295" t="s">
        <v>352</v>
      </c>
      <c r="D3505" s="295" t="s">
        <v>2</v>
      </c>
      <c r="E3505" s="296">
        <v>0.13810247203424941</v>
      </c>
    </row>
    <row r="3506" spans="1:5" x14ac:dyDescent="0.3">
      <c r="A3506" s="295">
        <v>2024</v>
      </c>
      <c r="B3506" s="295">
        <v>4</v>
      </c>
      <c r="C3506" s="295" t="s">
        <v>352</v>
      </c>
      <c r="D3506" s="295" t="s">
        <v>259</v>
      </c>
      <c r="E3506" s="296">
        <v>0.11013931521982157</v>
      </c>
    </row>
    <row r="3507" spans="1:5" x14ac:dyDescent="0.3">
      <c r="A3507" s="295">
        <v>2024</v>
      </c>
      <c r="B3507" s="295">
        <v>4</v>
      </c>
      <c r="C3507" s="295" t="s">
        <v>352</v>
      </c>
      <c r="D3507" s="295" t="s">
        <v>85</v>
      </c>
      <c r="E3507" s="296">
        <v>0.70775415451688706</v>
      </c>
    </row>
    <row r="3508" spans="1:5" x14ac:dyDescent="0.3">
      <c r="A3508" s="295">
        <v>2024</v>
      </c>
      <c r="B3508" s="295">
        <v>4</v>
      </c>
      <c r="C3508" s="295" t="s">
        <v>352</v>
      </c>
      <c r="D3508" s="295" t="s">
        <v>101</v>
      </c>
      <c r="E3508" s="296">
        <v>2.3437316895961753</v>
      </c>
    </row>
    <row r="3509" spans="1:5" x14ac:dyDescent="0.3">
      <c r="A3509" s="295">
        <v>2024</v>
      </c>
      <c r="B3509" s="295">
        <v>4</v>
      </c>
      <c r="C3509" s="295" t="s">
        <v>352</v>
      </c>
      <c r="D3509" s="295" t="s">
        <v>179</v>
      </c>
      <c r="E3509" s="296">
        <v>132.4503311258278</v>
      </c>
    </row>
    <row r="3510" spans="1:5" x14ac:dyDescent="0.3">
      <c r="A3510" s="295">
        <v>2024</v>
      </c>
      <c r="B3510" s="295">
        <v>4</v>
      </c>
      <c r="C3510" s="295" t="s">
        <v>352</v>
      </c>
      <c r="D3510" s="295" t="s">
        <v>426</v>
      </c>
      <c r="E3510" s="296">
        <v>0.12611</v>
      </c>
    </row>
    <row r="3511" spans="1:5" x14ac:dyDescent="0.3">
      <c r="A3511" s="295">
        <v>2024</v>
      </c>
      <c r="B3511" s="295">
        <v>4</v>
      </c>
      <c r="C3511" s="295" t="s">
        <v>426</v>
      </c>
      <c r="D3511" s="295" t="s">
        <v>1</v>
      </c>
      <c r="E3511" s="296">
        <v>1.021763563911311</v>
      </c>
    </row>
    <row r="3512" spans="1:5" x14ac:dyDescent="0.3">
      <c r="A3512" s="295">
        <v>2024</v>
      </c>
      <c r="B3512" s="295">
        <v>4</v>
      </c>
      <c r="C3512" s="295" t="s">
        <v>426</v>
      </c>
      <c r="D3512" s="295" t="s">
        <v>2</v>
      </c>
      <c r="E3512" s="296">
        <v>1.0951223251637208</v>
      </c>
    </row>
    <row r="3513" spans="1:5" x14ac:dyDescent="0.3">
      <c r="A3513" s="295">
        <v>2024</v>
      </c>
      <c r="B3513" s="295">
        <v>4</v>
      </c>
      <c r="C3513" s="295" t="s">
        <v>426</v>
      </c>
      <c r="D3513" s="295" t="s">
        <v>259</v>
      </c>
      <c r="E3513" s="296">
        <v>0.8733853288732456</v>
      </c>
    </row>
    <row r="3514" spans="1:5" x14ac:dyDescent="0.3">
      <c r="A3514" s="295">
        <v>2024</v>
      </c>
      <c r="B3514" s="295">
        <v>4</v>
      </c>
      <c r="C3514" s="295" t="s">
        <v>426</v>
      </c>
      <c r="D3514" s="295" t="s">
        <v>85</v>
      </c>
      <c r="E3514" s="296">
        <v>5.6123021663486359</v>
      </c>
    </row>
    <row r="3515" spans="1:5" x14ac:dyDescent="0.3">
      <c r="A3515" s="295">
        <v>2024</v>
      </c>
      <c r="B3515" s="295">
        <v>4</v>
      </c>
      <c r="C3515" s="295" t="s">
        <v>426</v>
      </c>
      <c r="D3515" s="295" t="s">
        <v>101</v>
      </c>
      <c r="E3515" s="296">
        <v>18.583906337112062</v>
      </c>
    </row>
    <row r="3516" spans="1:5" x14ac:dyDescent="0.3">
      <c r="A3516" s="295">
        <v>2024</v>
      </c>
      <c r="B3516" s="295">
        <v>4</v>
      </c>
      <c r="C3516" s="295" t="s">
        <v>426</v>
      </c>
      <c r="D3516" s="295" t="s">
        <v>179</v>
      </c>
      <c r="E3516" s="296">
        <v>1052.6315789473683</v>
      </c>
    </row>
    <row r="3517" spans="1:5" x14ac:dyDescent="0.3">
      <c r="A3517" s="295">
        <v>2024</v>
      </c>
      <c r="B3517" s="295">
        <v>4</v>
      </c>
      <c r="C3517" s="295" t="s">
        <v>426</v>
      </c>
      <c r="D3517" s="295" t="s">
        <v>352</v>
      </c>
      <c r="E3517" s="296">
        <v>7.9295852826897155</v>
      </c>
    </row>
    <row r="3518" spans="1:5" x14ac:dyDescent="0.3">
      <c r="A3518" s="295">
        <v>2024</v>
      </c>
      <c r="B3518" s="295">
        <v>4</v>
      </c>
      <c r="C3518" s="295" t="s">
        <v>1</v>
      </c>
      <c r="D3518" s="295" t="s">
        <v>1</v>
      </c>
      <c r="E3518" s="296">
        <v>1</v>
      </c>
    </row>
    <row r="3519" spans="1:5" x14ac:dyDescent="0.3">
      <c r="A3519" s="295">
        <v>2024</v>
      </c>
      <c r="B3519" s="295">
        <v>4</v>
      </c>
      <c r="C3519" s="295" t="s">
        <v>2</v>
      </c>
      <c r="D3519" s="295" t="s">
        <v>2</v>
      </c>
      <c r="E3519" s="296">
        <v>1</v>
      </c>
    </row>
    <row r="3520" spans="1:5" x14ac:dyDescent="0.3">
      <c r="A3520" s="295">
        <v>2024</v>
      </c>
      <c r="B3520" s="295">
        <v>4</v>
      </c>
      <c r="C3520" s="295" t="s">
        <v>259</v>
      </c>
      <c r="D3520" s="295" t="s">
        <v>259</v>
      </c>
      <c r="E3520" s="296">
        <v>1</v>
      </c>
    </row>
    <row r="3521" spans="1:5" x14ac:dyDescent="0.3">
      <c r="A3521" s="295">
        <v>2024</v>
      </c>
      <c r="B3521" s="295">
        <v>4</v>
      </c>
      <c r="C3521" s="295" t="s">
        <v>85</v>
      </c>
      <c r="D3521" s="295" t="s">
        <v>85</v>
      </c>
      <c r="E3521" s="296">
        <v>1</v>
      </c>
    </row>
    <row r="3522" spans="1:5" x14ac:dyDescent="0.3">
      <c r="A3522" s="295">
        <v>2024</v>
      </c>
      <c r="B3522" s="295">
        <v>4</v>
      </c>
      <c r="C3522" s="295" t="s">
        <v>101</v>
      </c>
      <c r="D3522" s="295" t="s">
        <v>101</v>
      </c>
      <c r="E3522" s="296">
        <v>1</v>
      </c>
    </row>
    <row r="3523" spans="1:5" x14ac:dyDescent="0.3">
      <c r="A3523" s="295">
        <v>2024</v>
      </c>
      <c r="B3523" s="295">
        <v>4</v>
      </c>
      <c r="C3523" s="295" t="s">
        <v>179</v>
      </c>
      <c r="D3523" s="295" t="s">
        <v>179</v>
      </c>
      <c r="E3523" s="296">
        <v>1</v>
      </c>
    </row>
    <row r="3524" spans="1:5" x14ac:dyDescent="0.3">
      <c r="A3524" s="295">
        <v>2024</v>
      </c>
      <c r="B3524" s="295">
        <v>4</v>
      </c>
      <c r="C3524" s="295" t="s">
        <v>352</v>
      </c>
      <c r="D3524" s="295" t="s">
        <v>352</v>
      </c>
      <c r="E3524" s="296">
        <v>1</v>
      </c>
    </row>
    <row r="3525" spans="1:5" x14ac:dyDescent="0.3">
      <c r="A3525" s="295">
        <v>2024</v>
      </c>
      <c r="B3525" s="295">
        <v>4</v>
      </c>
      <c r="C3525" s="295" t="s">
        <v>426</v>
      </c>
      <c r="D3525" s="295" t="s">
        <v>426</v>
      </c>
      <c r="E3525" s="296">
        <v>1</v>
      </c>
    </row>
    <row r="3526" spans="1:5" x14ac:dyDescent="0.3">
      <c r="A3526" s="295">
        <v>2024</v>
      </c>
      <c r="B3526" s="295">
        <v>5</v>
      </c>
      <c r="C3526" s="295" t="s">
        <v>1</v>
      </c>
      <c r="D3526" s="295" t="s">
        <v>2</v>
      </c>
      <c r="E3526" s="296">
        <v>1.0851999999999999</v>
      </c>
    </row>
    <row r="3527" spans="1:5" x14ac:dyDescent="0.3">
      <c r="A3527" s="295">
        <v>2024</v>
      </c>
      <c r="B3527" s="295">
        <v>5</v>
      </c>
      <c r="C3527" s="295" t="s">
        <v>1</v>
      </c>
      <c r="D3527" s="295" t="s">
        <v>259</v>
      </c>
      <c r="E3527" s="296">
        <v>0.85365000000000002</v>
      </c>
    </row>
    <row r="3528" spans="1:5" x14ac:dyDescent="0.3">
      <c r="A3528" s="295">
        <v>2024</v>
      </c>
      <c r="B3528" s="295">
        <v>5</v>
      </c>
      <c r="C3528" s="295" t="s">
        <v>1</v>
      </c>
      <c r="D3528" s="295" t="s">
        <v>85</v>
      </c>
      <c r="E3528" s="296">
        <v>5.6417999999999999</v>
      </c>
    </row>
    <row r="3529" spans="1:5" x14ac:dyDescent="0.3">
      <c r="A3529" s="295">
        <v>2024</v>
      </c>
      <c r="B3529" s="295">
        <v>5</v>
      </c>
      <c r="C3529" s="295" t="s">
        <v>1</v>
      </c>
      <c r="D3529" s="295" t="s">
        <v>101</v>
      </c>
      <c r="E3529" s="296">
        <v>18.438700000000001</v>
      </c>
    </row>
    <row r="3530" spans="1:5" x14ac:dyDescent="0.3">
      <c r="A3530" s="295">
        <v>2024</v>
      </c>
      <c r="B3530" s="295">
        <v>5</v>
      </c>
      <c r="C3530" s="295" t="s">
        <v>1</v>
      </c>
      <c r="D3530" s="295" t="s">
        <v>179</v>
      </c>
      <c r="E3530" s="296">
        <v>996.51700000000005</v>
      </c>
    </row>
    <row r="3531" spans="1:5" x14ac:dyDescent="0.3">
      <c r="A3531" s="295">
        <v>2024</v>
      </c>
      <c r="B3531" s="295">
        <v>5</v>
      </c>
      <c r="C3531" s="295" t="s">
        <v>1</v>
      </c>
      <c r="D3531" s="295" t="s">
        <v>352</v>
      </c>
      <c r="E3531" s="296">
        <v>7.8577000000000004</v>
      </c>
    </row>
    <row r="3532" spans="1:5" x14ac:dyDescent="0.3">
      <c r="A3532" s="295">
        <v>2024</v>
      </c>
      <c r="B3532" s="295">
        <v>5</v>
      </c>
      <c r="C3532" s="295" t="s">
        <v>1</v>
      </c>
      <c r="D3532" s="295" t="s">
        <v>426</v>
      </c>
      <c r="E3532" s="296">
        <v>0.98180000000000001</v>
      </c>
    </row>
    <row r="3533" spans="1:5" x14ac:dyDescent="0.3">
      <c r="A3533" s="295">
        <v>2024</v>
      </c>
      <c r="B3533" s="295">
        <v>5</v>
      </c>
      <c r="C3533" s="295" t="s">
        <v>2</v>
      </c>
      <c r="D3533" s="295" t="s">
        <v>1</v>
      </c>
      <c r="E3533" s="296">
        <v>0.92148912642830816</v>
      </c>
    </row>
    <row r="3534" spans="1:5" x14ac:dyDescent="0.3">
      <c r="A3534" s="295">
        <v>2024</v>
      </c>
      <c r="B3534" s="295">
        <v>5</v>
      </c>
      <c r="C3534" s="295" t="s">
        <v>2</v>
      </c>
      <c r="D3534" s="295" t="s">
        <v>259</v>
      </c>
      <c r="E3534" s="296">
        <v>0.78663000000000005</v>
      </c>
    </row>
    <row r="3535" spans="1:5" x14ac:dyDescent="0.3">
      <c r="A3535" s="295">
        <v>2024</v>
      </c>
      <c r="B3535" s="295">
        <v>5</v>
      </c>
      <c r="C3535" s="295" t="s">
        <v>2</v>
      </c>
      <c r="D3535" s="295" t="s">
        <v>85</v>
      </c>
      <c r="E3535" s="296">
        <v>5.1988599999999998</v>
      </c>
    </row>
    <row r="3536" spans="1:5" x14ac:dyDescent="0.3">
      <c r="A3536" s="295">
        <v>2024</v>
      </c>
      <c r="B3536" s="295">
        <v>5</v>
      </c>
      <c r="C3536" s="295" t="s">
        <v>2</v>
      </c>
      <c r="D3536" s="295" t="s">
        <v>101</v>
      </c>
      <c r="E3536" s="296">
        <v>16.991060000000001</v>
      </c>
    </row>
    <row r="3537" spans="1:5" x14ac:dyDescent="0.3">
      <c r="A3537" s="295">
        <v>2024</v>
      </c>
      <c r="B3537" s="295">
        <v>5</v>
      </c>
      <c r="C3537" s="295" t="s">
        <v>2</v>
      </c>
      <c r="D3537" s="295" t="s">
        <v>179</v>
      </c>
      <c r="E3537" s="296">
        <v>918.27958000000001</v>
      </c>
    </row>
    <row r="3538" spans="1:5" x14ac:dyDescent="0.3">
      <c r="A3538" s="295">
        <v>2024</v>
      </c>
      <c r="B3538" s="295">
        <v>5</v>
      </c>
      <c r="C3538" s="295" t="s">
        <v>2</v>
      </c>
      <c r="D3538" s="295" t="s">
        <v>352</v>
      </c>
      <c r="E3538" s="296">
        <v>7.2407899999999996</v>
      </c>
    </row>
    <row r="3539" spans="1:5" x14ac:dyDescent="0.3">
      <c r="A3539" s="295">
        <v>2024</v>
      </c>
      <c r="B3539" s="295">
        <v>5</v>
      </c>
      <c r="C3539" s="295" t="s">
        <v>2</v>
      </c>
      <c r="D3539" s="295" t="s">
        <v>426</v>
      </c>
      <c r="E3539" s="296">
        <v>0.90471999999999997</v>
      </c>
    </row>
    <row r="3540" spans="1:5" x14ac:dyDescent="0.3">
      <c r="A3540" s="295">
        <v>2024</v>
      </c>
      <c r="B3540" s="295">
        <v>5</v>
      </c>
      <c r="C3540" s="295" t="s">
        <v>259</v>
      </c>
      <c r="D3540" s="295" t="s">
        <v>1</v>
      </c>
      <c r="E3540" s="296">
        <v>1.1714402858314297</v>
      </c>
    </row>
    <row r="3541" spans="1:5" x14ac:dyDescent="0.3">
      <c r="A3541" s="295">
        <v>2024</v>
      </c>
      <c r="B3541" s="295">
        <v>5</v>
      </c>
      <c r="C3541" s="295" t="s">
        <v>259</v>
      </c>
      <c r="D3541" s="295" t="s">
        <v>2</v>
      </c>
      <c r="E3541" s="296">
        <v>1.2712456936552126</v>
      </c>
    </row>
    <row r="3542" spans="1:5" x14ac:dyDescent="0.3">
      <c r="A3542" s="295">
        <v>2024</v>
      </c>
      <c r="B3542" s="295">
        <v>5</v>
      </c>
      <c r="C3542" s="295" t="s">
        <v>259</v>
      </c>
      <c r="D3542" s="295" t="s">
        <v>85</v>
      </c>
      <c r="E3542" s="296">
        <v>6.6090299999999997</v>
      </c>
    </row>
    <row r="3543" spans="1:5" x14ac:dyDescent="0.3">
      <c r="A3543" s="295">
        <v>2024</v>
      </c>
      <c r="B3543" s="295">
        <v>5</v>
      </c>
      <c r="C3543" s="295" t="s">
        <v>259</v>
      </c>
      <c r="D3543" s="295" t="s">
        <v>101</v>
      </c>
      <c r="E3543" s="296">
        <v>21.59984</v>
      </c>
    </row>
    <row r="3544" spans="1:5" x14ac:dyDescent="0.3">
      <c r="A3544" s="295">
        <v>2024</v>
      </c>
      <c r="B3544" s="295">
        <v>5</v>
      </c>
      <c r="C3544" s="295" t="s">
        <v>259</v>
      </c>
      <c r="D3544" s="295" t="s">
        <v>179</v>
      </c>
      <c r="E3544" s="296">
        <v>1167.36016</v>
      </c>
    </row>
    <row r="3545" spans="1:5" x14ac:dyDescent="0.3">
      <c r="A3545" s="295">
        <v>2024</v>
      </c>
      <c r="B3545" s="295">
        <v>5</v>
      </c>
      <c r="C3545" s="295" t="s">
        <v>259</v>
      </c>
      <c r="D3545" s="295" t="s">
        <v>352</v>
      </c>
      <c r="E3545" s="296">
        <v>9.2048299999999994</v>
      </c>
    </row>
    <row r="3546" spans="1:5" x14ac:dyDescent="0.3">
      <c r="A3546" s="295">
        <v>2024</v>
      </c>
      <c r="B3546" s="295">
        <v>5</v>
      </c>
      <c r="C3546" s="295" t="s">
        <v>259</v>
      </c>
      <c r="D3546" s="295" t="s">
        <v>426</v>
      </c>
      <c r="E3546" s="296">
        <v>1.15012</v>
      </c>
    </row>
    <row r="3547" spans="1:5" x14ac:dyDescent="0.3">
      <c r="A3547" s="295">
        <v>2024</v>
      </c>
      <c r="B3547" s="295">
        <v>5</v>
      </c>
      <c r="C3547" s="295" t="s">
        <v>85</v>
      </c>
      <c r="D3547" s="295" t="s">
        <v>1</v>
      </c>
      <c r="E3547" s="296">
        <v>0.1772483959020171</v>
      </c>
    </row>
    <row r="3548" spans="1:5" x14ac:dyDescent="0.3">
      <c r="A3548" s="295">
        <v>2024</v>
      </c>
      <c r="B3548" s="295">
        <v>5</v>
      </c>
      <c r="C3548" s="295" t="s">
        <v>85</v>
      </c>
      <c r="D3548" s="295" t="s">
        <v>2</v>
      </c>
      <c r="E3548" s="296">
        <v>0.19234986131574999</v>
      </c>
    </row>
    <row r="3549" spans="1:5" x14ac:dyDescent="0.3">
      <c r="A3549" s="295">
        <v>2024</v>
      </c>
      <c r="B3549" s="295">
        <v>5</v>
      </c>
      <c r="C3549" s="295" t="s">
        <v>85</v>
      </c>
      <c r="D3549" s="295" t="s">
        <v>259</v>
      </c>
      <c r="E3549" s="296">
        <v>0.15130813447661762</v>
      </c>
    </row>
    <row r="3550" spans="1:5" x14ac:dyDescent="0.3">
      <c r="A3550" s="295">
        <v>2024</v>
      </c>
      <c r="B3550" s="295">
        <v>5</v>
      </c>
      <c r="C3550" s="295" t="s">
        <v>85</v>
      </c>
      <c r="D3550" s="295" t="s">
        <v>101</v>
      </c>
      <c r="E3550" s="296">
        <v>3.26823</v>
      </c>
    </row>
    <row r="3551" spans="1:5" x14ac:dyDescent="0.3">
      <c r="A3551" s="295">
        <v>2024</v>
      </c>
      <c r="B3551" s="295">
        <v>5</v>
      </c>
      <c r="C3551" s="295" t="s">
        <v>85</v>
      </c>
      <c r="D3551" s="295" t="s">
        <v>179</v>
      </c>
      <c r="E3551" s="296">
        <v>176.63104000000001</v>
      </c>
    </row>
    <row r="3552" spans="1:5" x14ac:dyDescent="0.3">
      <c r="A3552" s="295">
        <v>2024</v>
      </c>
      <c r="B3552" s="295">
        <v>5</v>
      </c>
      <c r="C3552" s="295" t="s">
        <v>85</v>
      </c>
      <c r="D3552" s="295" t="s">
        <v>352</v>
      </c>
      <c r="E3552" s="296">
        <v>1.39276</v>
      </c>
    </row>
    <row r="3553" spans="1:5" x14ac:dyDescent="0.3">
      <c r="A3553" s="295">
        <v>2024</v>
      </c>
      <c r="B3553" s="295">
        <v>5</v>
      </c>
      <c r="C3553" s="295" t="s">
        <v>85</v>
      </c>
      <c r="D3553" s="295" t="s">
        <v>426</v>
      </c>
      <c r="E3553" s="296">
        <v>0.17402000000000001</v>
      </c>
    </row>
    <row r="3554" spans="1:5" x14ac:dyDescent="0.3">
      <c r="A3554" s="295">
        <v>2024</v>
      </c>
      <c r="B3554" s="295">
        <v>5</v>
      </c>
      <c r="C3554" s="295" t="s">
        <v>101</v>
      </c>
      <c r="D3554" s="295" t="s">
        <v>1</v>
      </c>
      <c r="E3554" s="296">
        <v>5.4233758345219561E-2</v>
      </c>
    </row>
    <row r="3555" spans="1:5" x14ac:dyDescent="0.3">
      <c r="A3555" s="295">
        <v>2024</v>
      </c>
      <c r="B3555" s="295">
        <v>5</v>
      </c>
      <c r="C3555" s="295" t="s">
        <v>101</v>
      </c>
      <c r="D3555" s="295" t="s">
        <v>2</v>
      </c>
      <c r="E3555" s="296">
        <v>5.8854479944158863E-2</v>
      </c>
    </row>
    <row r="3556" spans="1:5" x14ac:dyDescent="0.3">
      <c r="A3556" s="295">
        <v>2024</v>
      </c>
      <c r="B3556" s="295">
        <v>5</v>
      </c>
      <c r="C3556" s="295" t="s">
        <v>101</v>
      </c>
      <c r="D3556" s="295" t="s">
        <v>259</v>
      </c>
      <c r="E3556" s="296">
        <v>4.6296639234364695E-2</v>
      </c>
    </row>
    <row r="3557" spans="1:5" x14ac:dyDescent="0.3">
      <c r="A3557" s="295">
        <v>2024</v>
      </c>
      <c r="B3557" s="295">
        <v>5</v>
      </c>
      <c r="C3557" s="295" t="s">
        <v>101</v>
      </c>
      <c r="D3557" s="295" t="s">
        <v>85</v>
      </c>
      <c r="E3557" s="296">
        <v>0.30597601759974052</v>
      </c>
    </row>
    <row r="3558" spans="1:5" x14ac:dyDescent="0.3">
      <c r="A3558" s="295">
        <v>2024</v>
      </c>
      <c r="B3558" s="295">
        <v>5</v>
      </c>
      <c r="C3558" s="295" t="s">
        <v>101</v>
      </c>
      <c r="D3558" s="295" t="s">
        <v>179</v>
      </c>
      <c r="E3558" s="296">
        <v>54.04486</v>
      </c>
    </row>
    <row r="3559" spans="1:5" x14ac:dyDescent="0.3">
      <c r="A3559" s="295">
        <v>2024</v>
      </c>
      <c r="B3559" s="295">
        <v>5</v>
      </c>
      <c r="C3559" s="295" t="s">
        <v>101</v>
      </c>
      <c r="D3559" s="295" t="s">
        <v>352</v>
      </c>
      <c r="E3559" s="296">
        <v>0.42614999999999997</v>
      </c>
    </row>
    <row r="3560" spans="1:5" x14ac:dyDescent="0.3">
      <c r="A3560" s="295">
        <v>2024</v>
      </c>
      <c r="B3560" s="295">
        <v>5</v>
      </c>
      <c r="C3560" s="295" t="s">
        <v>101</v>
      </c>
      <c r="D3560" s="295" t="s">
        <v>426</v>
      </c>
      <c r="E3560" s="296">
        <v>5.3249999999999999E-2</v>
      </c>
    </row>
    <row r="3561" spans="1:5" x14ac:dyDescent="0.3">
      <c r="A3561" s="295">
        <v>2024</v>
      </c>
      <c r="B3561" s="295">
        <v>5</v>
      </c>
      <c r="C3561" s="295" t="s">
        <v>179</v>
      </c>
      <c r="D3561" s="295" t="s">
        <v>1</v>
      </c>
      <c r="E3561" s="296">
        <v>1.003495173689962E-3</v>
      </c>
    </row>
    <row r="3562" spans="1:5" x14ac:dyDescent="0.3">
      <c r="A3562" s="295">
        <v>2024</v>
      </c>
      <c r="B3562" s="295">
        <v>5</v>
      </c>
      <c r="C3562" s="295" t="s">
        <v>179</v>
      </c>
      <c r="D3562" s="295" t="s">
        <v>2</v>
      </c>
      <c r="E3562" s="296">
        <v>1.0889929622523024E-3</v>
      </c>
    </row>
    <row r="3563" spans="1:5" x14ac:dyDescent="0.3">
      <c r="A3563" s="295">
        <v>2024</v>
      </c>
      <c r="B3563" s="295">
        <v>5</v>
      </c>
      <c r="C3563" s="295" t="s">
        <v>179</v>
      </c>
      <c r="D3563" s="295" t="s">
        <v>259</v>
      </c>
      <c r="E3563" s="296">
        <v>8.5663365451841362E-4</v>
      </c>
    </row>
    <row r="3564" spans="1:5" x14ac:dyDescent="0.3">
      <c r="A3564" s="295">
        <v>2024</v>
      </c>
      <c r="B3564" s="295">
        <v>5</v>
      </c>
      <c r="C3564" s="295" t="s">
        <v>179</v>
      </c>
      <c r="D3564" s="295" t="s">
        <v>85</v>
      </c>
      <c r="E3564" s="296">
        <v>5.661519062561144E-3</v>
      </c>
    </row>
    <row r="3565" spans="1:5" x14ac:dyDescent="0.3">
      <c r="A3565" s="295">
        <v>2024</v>
      </c>
      <c r="B3565" s="295">
        <v>5</v>
      </c>
      <c r="C3565" s="295" t="s">
        <v>179</v>
      </c>
      <c r="D3565" s="295" t="s">
        <v>101</v>
      </c>
      <c r="E3565" s="296">
        <v>1.85031472003073E-2</v>
      </c>
    </row>
    <row r="3566" spans="1:5" x14ac:dyDescent="0.3">
      <c r="A3566" s="295">
        <v>2024</v>
      </c>
      <c r="B3566" s="295">
        <v>5</v>
      </c>
      <c r="C3566" s="295" t="s">
        <v>179</v>
      </c>
      <c r="D3566" s="295" t="s">
        <v>352</v>
      </c>
      <c r="E3566" s="296">
        <v>7.8899999999999994E-3</v>
      </c>
    </row>
    <row r="3567" spans="1:5" x14ac:dyDescent="0.3">
      <c r="A3567" s="295">
        <v>2024</v>
      </c>
      <c r="B3567" s="295">
        <v>5</v>
      </c>
      <c r="C3567" s="295" t="s">
        <v>179</v>
      </c>
      <c r="D3567" s="295" t="s">
        <v>426</v>
      </c>
      <c r="E3567" s="296">
        <v>9.8999999999999999E-4</v>
      </c>
    </row>
    <row r="3568" spans="1:5" x14ac:dyDescent="0.3">
      <c r="A3568" s="295">
        <v>2024</v>
      </c>
      <c r="B3568" s="295">
        <v>5</v>
      </c>
      <c r="C3568" s="295" t="s">
        <v>352</v>
      </c>
      <c r="D3568" s="295" t="s">
        <v>1</v>
      </c>
      <c r="E3568" s="296">
        <v>0.12726370311923335</v>
      </c>
    </row>
    <row r="3569" spans="1:5" x14ac:dyDescent="0.3">
      <c r="A3569" s="295">
        <v>2024</v>
      </c>
      <c r="B3569" s="295">
        <v>5</v>
      </c>
      <c r="C3569" s="295" t="s">
        <v>352</v>
      </c>
      <c r="D3569" s="295" t="s">
        <v>2</v>
      </c>
      <c r="E3569" s="296">
        <v>0.13810647733189335</v>
      </c>
    </row>
    <row r="3570" spans="1:5" x14ac:dyDescent="0.3">
      <c r="A3570" s="295">
        <v>2024</v>
      </c>
      <c r="B3570" s="295">
        <v>5</v>
      </c>
      <c r="C3570" s="295" t="s">
        <v>352</v>
      </c>
      <c r="D3570" s="295" t="s">
        <v>259</v>
      </c>
      <c r="E3570" s="296">
        <v>0.10863861690004054</v>
      </c>
    </row>
    <row r="3571" spans="1:5" x14ac:dyDescent="0.3">
      <c r="A3571" s="295">
        <v>2024</v>
      </c>
      <c r="B3571" s="295">
        <v>5</v>
      </c>
      <c r="C3571" s="295" t="s">
        <v>352</v>
      </c>
      <c r="D3571" s="295" t="s">
        <v>85</v>
      </c>
      <c r="E3571" s="296">
        <v>0.71799879376202647</v>
      </c>
    </row>
    <row r="3572" spans="1:5" x14ac:dyDescent="0.3">
      <c r="A3572" s="295">
        <v>2024</v>
      </c>
      <c r="B3572" s="295">
        <v>5</v>
      </c>
      <c r="C3572" s="295" t="s">
        <v>352</v>
      </c>
      <c r="D3572" s="295" t="s">
        <v>101</v>
      </c>
      <c r="E3572" s="296">
        <v>2.3465915757362432</v>
      </c>
    </row>
    <row r="3573" spans="1:5" x14ac:dyDescent="0.3">
      <c r="A3573" s="295">
        <v>2024</v>
      </c>
      <c r="B3573" s="295">
        <v>5</v>
      </c>
      <c r="C3573" s="295" t="s">
        <v>352</v>
      </c>
      <c r="D3573" s="295" t="s">
        <v>179</v>
      </c>
      <c r="E3573" s="296">
        <v>126.7427122940431</v>
      </c>
    </row>
    <row r="3574" spans="1:5" x14ac:dyDescent="0.3">
      <c r="A3574" s="295">
        <v>2024</v>
      </c>
      <c r="B3574" s="295">
        <v>5</v>
      </c>
      <c r="C3574" s="295" t="s">
        <v>352</v>
      </c>
      <c r="D3574" s="295" t="s">
        <v>426</v>
      </c>
      <c r="E3574" s="296">
        <v>0.12495000000000001</v>
      </c>
    </row>
    <row r="3575" spans="1:5" x14ac:dyDescent="0.3">
      <c r="A3575" s="295">
        <v>2024</v>
      </c>
      <c r="B3575" s="295">
        <v>5</v>
      </c>
      <c r="C3575" s="295" t="s">
        <v>426</v>
      </c>
      <c r="D3575" s="295" t="s">
        <v>1</v>
      </c>
      <c r="E3575" s="296">
        <v>1.0185373803218578</v>
      </c>
    </row>
    <row r="3576" spans="1:5" x14ac:dyDescent="0.3">
      <c r="A3576" s="295">
        <v>2024</v>
      </c>
      <c r="B3576" s="295">
        <v>5</v>
      </c>
      <c r="C3576" s="295" t="s">
        <v>426</v>
      </c>
      <c r="D3576" s="295" t="s">
        <v>2</v>
      </c>
      <c r="E3576" s="296">
        <v>1.1053143514015387</v>
      </c>
    </row>
    <row r="3577" spans="1:5" x14ac:dyDescent="0.3">
      <c r="A3577" s="295">
        <v>2024</v>
      </c>
      <c r="B3577" s="295">
        <v>5</v>
      </c>
      <c r="C3577" s="295" t="s">
        <v>426</v>
      </c>
      <c r="D3577" s="295" t="s">
        <v>259</v>
      </c>
      <c r="E3577" s="296">
        <v>0.86947448961847462</v>
      </c>
    </row>
    <row r="3578" spans="1:5" x14ac:dyDescent="0.3">
      <c r="A3578" s="295">
        <v>2024</v>
      </c>
      <c r="B3578" s="295">
        <v>5</v>
      </c>
      <c r="C3578" s="295" t="s">
        <v>426</v>
      </c>
      <c r="D3578" s="295" t="s">
        <v>85</v>
      </c>
      <c r="E3578" s="296">
        <v>5.7464659234570741</v>
      </c>
    </row>
    <row r="3579" spans="1:5" x14ac:dyDescent="0.3">
      <c r="A3579" s="295">
        <v>2024</v>
      </c>
      <c r="B3579" s="295">
        <v>5</v>
      </c>
      <c r="C3579" s="295" t="s">
        <v>426</v>
      </c>
      <c r="D3579" s="295" t="s">
        <v>101</v>
      </c>
      <c r="E3579" s="296">
        <v>18.779342723004696</v>
      </c>
    </row>
    <row r="3580" spans="1:5" x14ac:dyDescent="0.3">
      <c r="A3580" s="295">
        <v>2024</v>
      </c>
      <c r="B3580" s="295">
        <v>5</v>
      </c>
      <c r="C3580" s="295" t="s">
        <v>426</v>
      </c>
      <c r="D3580" s="295" t="s">
        <v>179</v>
      </c>
      <c r="E3580" s="296">
        <v>1010.1010101010102</v>
      </c>
    </row>
    <row r="3581" spans="1:5" x14ac:dyDescent="0.3">
      <c r="A3581" s="295">
        <v>2024</v>
      </c>
      <c r="B3581" s="295">
        <v>5</v>
      </c>
      <c r="C3581" s="295" t="s">
        <v>426</v>
      </c>
      <c r="D3581" s="295" t="s">
        <v>352</v>
      </c>
      <c r="E3581" s="296">
        <v>8.0032012805122044</v>
      </c>
    </row>
    <row r="3582" spans="1:5" x14ac:dyDescent="0.3">
      <c r="A3582" s="295">
        <v>2024</v>
      </c>
      <c r="B3582" s="295">
        <v>5</v>
      </c>
      <c r="C3582" s="295" t="s">
        <v>1</v>
      </c>
      <c r="D3582" s="295" t="s">
        <v>1</v>
      </c>
      <c r="E3582" s="296">
        <v>1</v>
      </c>
    </row>
    <row r="3583" spans="1:5" x14ac:dyDescent="0.3">
      <c r="A3583" s="295">
        <v>2024</v>
      </c>
      <c r="B3583" s="295">
        <v>5</v>
      </c>
      <c r="C3583" s="295" t="s">
        <v>2</v>
      </c>
      <c r="D3583" s="295" t="s">
        <v>2</v>
      </c>
      <c r="E3583" s="296">
        <v>1</v>
      </c>
    </row>
    <row r="3584" spans="1:5" x14ac:dyDescent="0.3">
      <c r="A3584" s="295">
        <v>2024</v>
      </c>
      <c r="B3584" s="295">
        <v>5</v>
      </c>
      <c r="C3584" s="295" t="s">
        <v>259</v>
      </c>
      <c r="D3584" s="295" t="s">
        <v>259</v>
      </c>
      <c r="E3584" s="296">
        <v>1</v>
      </c>
    </row>
    <row r="3585" spans="1:5" x14ac:dyDescent="0.3">
      <c r="A3585" s="295">
        <v>2024</v>
      </c>
      <c r="B3585" s="295">
        <v>5</v>
      </c>
      <c r="C3585" s="295" t="s">
        <v>85</v>
      </c>
      <c r="D3585" s="295" t="s">
        <v>85</v>
      </c>
      <c r="E3585" s="296">
        <v>1</v>
      </c>
    </row>
    <row r="3586" spans="1:5" x14ac:dyDescent="0.3">
      <c r="A3586" s="295">
        <v>2024</v>
      </c>
      <c r="B3586" s="295">
        <v>5</v>
      </c>
      <c r="C3586" s="295" t="s">
        <v>101</v>
      </c>
      <c r="D3586" s="295" t="s">
        <v>101</v>
      </c>
      <c r="E3586" s="296">
        <v>1</v>
      </c>
    </row>
    <row r="3587" spans="1:5" x14ac:dyDescent="0.3">
      <c r="A3587" s="295">
        <v>2024</v>
      </c>
      <c r="B3587" s="295">
        <v>5</v>
      </c>
      <c r="C3587" s="295" t="s">
        <v>179</v>
      </c>
      <c r="D3587" s="295" t="s">
        <v>179</v>
      </c>
      <c r="E3587" s="296">
        <v>1</v>
      </c>
    </row>
    <row r="3588" spans="1:5" x14ac:dyDescent="0.3">
      <c r="A3588" s="295">
        <v>2024</v>
      </c>
      <c r="B3588" s="295">
        <v>5</v>
      </c>
      <c r="C3588" s="295" t="s">
        <v>352</v>
      </c>
      <c r="D3588" s="295" t="s">
        <v>352</v>
      </c>
      <c r="E3588" s="296">
        <v>1</v>
      </c>
    </row>
    <row r="3589" spans="1:5" x14ac:dyDescent="0.3">
      <c r="A3589" s="295">
        <v>2024</v>
      </c>
      <c r="B3589" s="295">
        <v>5</v>
      </c>
      <c r="C3589" s="295" t="s">
        <v>426</v>
      </c>
      <c r="D3589" s="295" t="s">
        <v>426</v>
      </c>
      <c r="E3589" s="296">
        <v>1</v>
      </c>
    </row>
    <row r="3590" spans="1:5" x14ac:dyDescent="0.3">
      <c r="A3590" s="295">
        <v>2024</v>
      </c>
      <c r="B3590" s="295">
        <v>6</v>
      </c>
      <c r="C3590" s="295" t="s">
        <v>1</v>
      </c>
      <c r="D3590" s="295" t="s">
        <v>2</v>
      </c>
      <c r="E3590" s="296">
        <v>1.0705</v>
      </c>
    </row>
    <row r="3591" spans="1:5" x14ac:dyDescent="0.3">
      <c r="A3591" s="295">
        <v>2024</v>
      </c>
      <c r="B3591" s="295">
        <v>6</v>
      </c>
      <c r="C3591" s="295" t="s">
        <v>1</v>
      </c>
      <c r="D3591" s="295" t="s">
        <v>259</v>
      </c>
      <c r="E3591" s="296">
        <v>0.84638000000000002</v>
      </c>
    </row>
    <row r="3592" spans="1:5" x14ac:dyDescent="0.3">
      <c r="A3592" s="295">
        <v>2024</v>
      </c>
      <c r="B3592" s="295">
        <v>6</v>
      </c>
      <c r="C3592" s="295" t="s">
        <v>1</v>
      </c>
      <c r="D3592" s="295" t="s">
        <v>85</v>
      </c>
      <c r="E3592" s="296">
        <v>5.8914999999999997</v>
      </c>
    </row>
    <row r="3593" spans="1:5" x14ac:dyDescent="0.3">
      <c r="A3593" s="295">
        <v>2024</v>
      </c>
      <c r="B3593" s="295">
        <v>6</v>
      </c>
      <c r="C3593" s="295" t="s">
        <v>1</v>
      </c>
      <c r="D3593" s="295" t="s">
        <v>101</v>
      </c>
      <c r="E3593" s="296">
        <v>19.5654</v>
      </c>
    </row>
    <row r="3594" spans="1:5" x14ac:dyDescent="0.3">
      <c r="A3594" s="295">
        <v>2024</v>
      </c>
      <c r="B3594" s="295">
        <v>6</v>
      </c>
      <c r="C3594" s="295" t="s">
        <v>1</v>
      </c>
      <c r="D3594" s="295" t="s">
        <v>179</v>
      </c>
      <c r="E3594" s="296">
        <v>1006.752</v>
      </c>
    </row>
    <row r="3595" spans="1:5" x14ac:dyDescent="0.3">
      <c r="A3595" s="295">
        <v>2024</v>
      </c>
      <c r="B3595" s="295">
        <v>6</v>
      </c>
      <c r="C3595" s="295" t="s">
        <v>1</v>
      </c>
      <c r="D3595" s="295" t="s">
        <v>352</v>
      </c>
      <c r="E3595" s="296">
        <v>7.7747999999999999</v>
      </c>
    </row>
    <row r="3596" spans="1:5" x14ac:dyDescent="0.3">
      <c r="A3596" s="295">
        <v>2024</v>
      </c>
      <c r="B3596" s="295">
        <v>6</v>
      </c>
      <c r="C3596" s="295" t="s">
        <v>1</v>
      </c>
      <c r="D3596" s="295" t="s">
        <v>426</v>
      </c>
      <c r="E3596" s="296">
        <v>0.96340000000000003</v>
      </c>
    </row>
    <row r="3597" spans="1:5" x14ac:dyDescent="0.3">
      <c r="A3597" s="295">
        <v>2024</v>
      </c>
      <c r="B3597" s="295">
        <v>6</v>
      </c>
      <c r="C3597" s="295" t="s">
        <v>2</v>
      </c>
      <c r="D3597" s="295" t="s">
        <v>1</v>
      </c>
      <c r="E3597" s="296">
        <v>0.93414292386735165</v>
      </c>
    </row>
    <row r="3598" spans="1:5" x14ac:dyDescent="0.3">
      <c r="A3598" s="295">
        <v>2024</v>
      </c>
      <c r="B3598" s="295">
        <v>6</v>
      </c>
      <c r="C3598" s="295" t="s">
        <v>2</v>
      </c>
      <c r="D3598" s="295" t="s">
        <v>259</v>
      </c>
      <c r="E3598" s="296">
        <v>0.79064000000000001</v>
      </c>
    </row>
    <row r="3599" spans="1:5" x14ac:dyDescent="0.3">
      <c r="A3599" s="295">
        <v>2024</v>
      </c>
      <c r="B3599" s="295">
        <v>6</v>
      </c>
      <c r="C3599" s="295" t="s">
        <v>2</v>
      </c>
      <c r="D3599" s="295" t="s">
        <v>85</v>
      </c>
      <c r="E3599" s="296">
        <v>5.5034999999999998</v>
      </c>
    </row>
    <row r="3600" spans="1:5" x14ac:dyDescent="0.3">
      <c r="A3600" s="295">
        <v>2024</v>
      </c>
      <c r="B3600" s="295">
        <v>6</v>
      </c>
      <c r="C3600" s="295" t="s">
        <v>2</v>
      </c>
      <c r="D3600" s="295" t="s">
        <v>101</v>
      </c>
      <c r="E3600" s="296">
        <v>18.276879999999998</v>
      </c>
    </row>
    <row r="3601" spans="1:5" x14ac:dyDescent="0.3">
      <c r="A3601" s="295">
        <v>2024</v>
      </c>
      <c r="B3601" s="295">
        <v>6</v>
      </c>
      <c r="C3601" s="295" t="s">
        <v>2</v>
      </c>
      <c r="D3601" s="295" t="s">
        <v>179</v>
      </c>
      <c r="E3601" s="296">
        <v>940.45025999999996</v>
      </c>
    </row>
    <row r="3602" spans="1:5" x14ac:dyDescent="0.3">
      <c r="A3602" s="295">
        <v>2024</v>
      </c>
      <c r="B3602" s="295">
        <v>6</v>
      </c>
      <c r="C3602" s="295" t="s">
        <v>2</v>
      </c>
      <c r="D3602" s="295" t="s">
        <v>352</v>
      </c>
      <c r="E3602" s="296">
        <v>7.2627699999999997</v>
      </c>
    </row>
    <row r="3603" spans="1:5" x14ac:dyDescent="0.3">
      <c r="A3603" s="295">
        <v>2024</v>
      </c>
      <c r="B3603" s="295">
        <v>6</v>
      </c>
      <c r="C3603" s="295" t="s">
        <v>2</v>
      </c>
      <c r="D3603" s="295" t="s">
        <v>426</v>
      </c>
      <c r="E3603" s="296">
        <v>0.89995000000000003</v>
      </c>
    </row>
    <row r="3604" spans="1:5" x14ac:dyDescent="0.3">
      <c r="A3604" s="295">
        <v>2024</v>
      </c>
      <c r="B3604" s="295">
        <v>6</v>
      </c>
      <c r="C3604" s="295" t="s">
        <v>259</v>
      </c>
      <c r="D3604" s="295" t="s">
        <v>1</v>
      </c>
      <c r="E3604" s="296">
        <v>1.1815023984498689</v>
      </c>
    </row>
    <row r="3605" spans="1:5" x14ac:dyDescent="0.3">
      <c r="A3605" s="295">
        <v>2024</v>
      </c>
      <c r="B3605" s="295">
        <v>6</v>
      </c>
      <c r="C3605" s="295" t="s">
        <v>259</v>
      </c>
      <c r="D3605" s="295" t="s">
        <v>2</v>
      </c>
      <c r="E3605" s="296">
        <v>1.2647981382171405</v>
      </c>
    </row>
    <row r="3606" spans="1:5" x14ac:dyDescent="0.3">
      <c r="A3606" s="295">
        <v>2024</v>
      </c>
      <c r="B3606" s="295">
        <v>6</v>
      </c>
      <c r="C3606" s="295" t="s">
        <v>259</v>
      </c>
      <c r="D3606" s="295" t="s">
        <v>85</v>
      </c>
      <c r="E3606" s="296">
        <v>6.96082</v>
      </c>
    </row>
    <row r="3607" spans="1:5" x14ac:dyDescent="0.3">
      <c r="A3607" s="295">
        <v>2024</v>
      </c>
      <c r="B3607" s="295">
        <v>6</v>
      </c>
      <c r="C3607" s="295" t="s">
        <v>259</v>
      </c>
      <c r="D3607" s="295" t="s">
        <v>101</v>
      </c>
      <c r="E3607" s="296">
        <v>23.116569999999999</v>
      </c>
    </row>
    <row r="3608" spans="1:5" x14ac:dyDescent="0.3">
      <c r="A3608" s="295">
        <v>2024</v>
      </c>
      <c r="B3608" s="295">
        <v>6</v>
      </c>
      <c r="C3608" s="295" t="s">
        <v>259</v>
      </c>
      <c r="D3608" s="295" t="s">
        <v>179</v>
      </c>
      <c r="E3608" s="296">
        <v>1189.4799</v>
      </c>
    </row>
    <row r="3609" spans="1:5" x14ac:dyDescent="0.3">
      <c r="A3609" s="295">
        <v>2024</v>
      </c>
      <c r="B3609" s="295">
        <v>6</v>
      </c>
      <c r="C3609" s="295" t="s">
        <v>259</v>
      </c>
      <c r="D3609" s="295" t="s">
        <v>352</v>
      </c>
      <c r="E3609" s="296">
        <v>9.1859400000000004</v>
      </c>
    </row>
    <row r="3610" spans="1:5" x14ac:dyDescent="0.3">
      <c r="A3610" s="295">
        <v>2024</v>
      </c>
      <c r="B3610" s="295">
        <v>6</v>
      </c>
      <c r="C3610" s="295" t="s">
        <v>259</v>
      </c>
      <c r="D3610" s="295" t="s">
        <v>426</v>
      </c>
      <c r="E3610" s="296">
        <v>1.13826</v>
      </c>
    </row>
    <row r="3611" spans="1:5" x14ac:dyDescent="0.3">
      <c r="A3611" s="295">
        <v>2024</v>
      </c>
      <c r="B3611" s="295">
        <v>6</v>
      </c>
      <c r="C3611" s="295" t="s">
        <v>85</v>
      </c>
      <c r="D3611" s="295" t="s">
        <v>1</v>
      </c>
      <c r="E3611" s="296">
        <v>0.16973606042603753</v>
      </c>
    </row>
    <row r="3612" spans="1:5" x14ac:dyDescent="0.3">
      <c r="A3612" s="295">
        <v>2024</v>
      </c>
      <c r="B3612" s="295">
        <v>6</v>
      </c>
      <c r="C3612" s="295" t="s">
        <v>85</v>
      </c>
      <c r="D3612" s="295" t="s">
        <v>2</v>
      </c>
      <c r="E3612" s="296">
        <v>0.18170255292086854</v>
      </c>
    </row>
    <row r="3613" spans="1:5" x14ac:dyDescent="0.3">
      <c r="A3613" s="295">
        <v>2024</v>
      </c>
      <c r="B3613" s="295">
        <v>6</v>
      </c>
      <c r="C3613" s="295" t="s">
        <v>85</v>
      </c>
      <c r="D3613" s="295" t="s">
        <v>259</v>
      </c>
      <c r="E3613" s="296">
        <v>0.14366123531423022</v>
      </c>
    </row>
    <row r="3614" spans="1:5" x14ac:dyDescent="0.3">
      <c r="A3614" s="295">
        <v>2024</v>
      </c>
      <c r="B3614" s="295">
        <v>6</v>
      </c>
      <c r="C3614" s="295" t="s">
        <v>85</v>
      </c>
      <c r="D3614" s="295" t="s">
        <v>101</v>
      </c>
      <c r="E3614" s="296">
        <v>3.3209499999999998</v>
      </c>
    </row>
    <row r="3615" spans="1:5" x14ac:dyDescent="0.3">
      <c r="A3615" s="295">
        <v>2024</v>
      </c>
      <c r="B3615" s="295">
        <v>6</v>
      </c>
      <c r="C3615" s="295" t="s">
        <v>85</v>
      </c>
      <c r="D3615" s="295" t="s">
        <v>179</v>
      </c>
      <c r="E3615" s="296">
        <v>170.88211999999999</v>
      </c>
    </row>
    <row r="3616" spans="1:5" x14ac:dyDescent="0.3">
      <c r="A3616" s="295">
        <v>2024</v>
      </c>
      <c r="B3616" s="295">
        <v>6</v>
      </c>
      <c r="C3616" s="295" t="s">
        <v>85</v>
      </c>
      <c r="D3616" s="295" t="s">
        <v>352</v>
      </c>
      <c r="E3616" s="296">
        <v>1.3196600000000001</v>
      </c>
    </row>
    <row r="3617" spans="1:5" x14ac:dyDescent="0.3">
      <c r="A3617" s="295">
        <v>2024</v>
      </c>
      <c r="B3617" s="295">
        <v>6</v>
      </c>
      <c r="C3617" s="295" t="s">
        <v>85</v>
      </c>
      <c r="D3617" s="295" t="s">
        <v>426</v>
      </c>
      <c r="E3617" s="296">
        <v>0.16352</v>
      </c>
    </row>
    <row r="3618" spans="1:5" x14ac:dyDescent="0.3">
      <c r="A3618" s="295">
        <v>2024</v>
      </c>
      <c r="B3618" s="295">
        <v>6</v>
      </c>
      <c r="C3618" s="295" t="s">
        <v>101</v>
      </c>
      <c r="D3618" s="295" t="s">
        <v>1</v>
      </c>
      <c r="E3618" s="296">
        <v>5.1110634078526375E-2</v>
      </c>
    </row>
    <row r="3619" spans="1:5" x14ac:dyDescent="0.3">
      <c r="A3619" s="295">
        <v>2024</v>
      </c>
      <c r="B3619" s="295">
        <v>6</v>
      </c>
      <c r="C3619" s="295" t="s">
        <v>101</v>
      </c>
      <c r="D3619" s="295" t="s">
        <v>2</v>
      </c>
      <c r="E3619" s="296">
        <v>5.4713933669203942E-2</v>
      </c>
    </row>
    <row r="3620" spans="1:5" x14ac:dyDescent="0.3">
      <c r="A3620" s="295">
        <v>2024</v>
      </c>
      <c r="B3620" s="295">
        <v>6</v>
      </c>
      <c r="C3620" s="295" t="s">
        <v>101</v>
      </c>
      <c r="D3620" s="295" t="s">
        <v>259</v>
      </c>
      <c r="E3620" s="296">
        <v>4.3259012907191682E-2</v>
      </c>
    </row>
    <row r="3621" spans="1:5" x14ac:dyDescent="0.3">
      <c r="A3621" s="295">
        <v>2024</v>
      </c>
      <c r="B3621" s="295">
        <v>6</v>
      </c>
      <c r="C3621" s="295" t="s">
        <v>101</v>
      </c>
      <c r="D3621" s="295" t="s">
        <v>85</v>
      </c>
      <c r="E3621" s="296">
        <v>0.30111865580632047</v>
      </c>
    </row>
    <row r="3622" spans="1:5" x14ac:dyDescent="0.3">
      <c r="A3622" s="295">
        <v>2024</v>
      </c>
      <c r="B3622" s="295">
        <v>6</v>
      </c>
      <c r="C3622" s="295" t="s">
        <v>101</v>
      </c>
      <c r="D3622" s="295" t="s">
        <v>179</v>
      </c>
      <c r="E3622" s="296">
        <v>51.455730000000003</v>
      </c>
    </row>
    <row r="3623" spans="1:5" x14ac:dyDescent="0.3">
      <c r="A3623" s="295">
        <v>2024</v>
      </c>
      <c r="B3623" s="295">
        <v>6</v>
      </c>
      <c r="C3623" s="295" t="s">
        <v>101</v>
      </c>
      <c r="D3623" s="295" t="s">
        <v>352</v>
      </c>
      <c r="E3623" s="296">
        <v>0.39737</v>
      </c>
    </row>
    <row r="3624" spans="1:5" x14ac:dyDescent="0.3">
      <c r="A3624" s="295">
        <v>2024</v>
      </c>
      <c r="B3624" s="295">
        <v>6</v>
      </c>
      <c r="C3624" s="295" t="s">
        <v>101</v>
      </c>
      <c r="D3624" s="295" t="s">
        <v>426</v>
      </c>
      <c r="E3624" s="296">
        <v>4.9239999999999999E-2</v>
      </c>
    </row>
    <row r="3625" spans="1:5" x14ac:dyDescent="0.3">
      <c r="A3625" s="295">
        <v>2024</v>
      </c>
      <c r="B3625" s="295">
        <v>6</v>
      </c>
      <c r="C3625" s="295" t="s">
        <v>179</v>
      </c>
      <c r="D3625" s="295" t="s">
        <v>1</v>
      </c>
      <c r="E3625" s="296">
        <v>9.9329328374813276E-4</v>
      </c>
    </row>
    <row r="3626" spans="1:5" x14ac:dyDescent="0.3">
      <c r="A3626" s="295">
        <v>2024</v>
      </c>
      <c r="B3626" s="295">
        <v>6</v>
      </c>
      <c r="C3626" s="295" t="s">
        <v>179</v>
      </c>
      <c r="D3626" s="295" t="s">
        <v>2</v>
      </c>
      <c r="E3626" s="296">
        <v>1.0633204567352663E-3</v>
      </c>
    </row>
    <row r="3627" spans="1:5" x14ac:dyDescent="0.3">
      <c r="A3627" s="295">
        <v>2024</v>
      </c>
      <c r="B3627" s="295">
        <v>6</v>
      </c>
      <c r="C3627" s="295" t="s">
        <v>179</v>
      </c>
      <c r="D3627" s="295" t="s">
        <v>259</v>
      </c>
      <c r="E3627" s="296">
        <v>8.4070357136762036E-4</v>
      </c>
    </row>
    <row r="3628" spans="1:5" x14ac:dyDescent="0.3">
      <c r="A3628" s="295">
        <v>2024</v>
      </c>
      <c r="B3628" s="295">
        <v>6</v>
      </c>
      <c r="C3628" s="295" t="s">
        <v>179</v>
      </c>
      <c r="D3628" s="295" t="s">
        <v>85</v>
      </c>
      <c r="E3628" s="296">
        <v>5.8519873231909813E-3</v>
      </c>
    </row>
    <row r="3629" spans="1:5" x14ac:dyDescent="0.3">
      <c r="A3629" s="295">
        <v>2024</v>
      </c>
      <c r="B3629" s="295">
        <v>6</v>
      </c>
      <c r="C3629" s="295" t="s">
        <v>179</v>
      </c>
      <c r="D3629" s="295" t="s">
        <v>101</v>
      </c>
      <c r="E3629" s="296">
        <v>1.9434181577056626E-2</v>
      </c>
    </row>
    <row r="3630" spans="1:5" x14ac:dyDescent="0.3">
      <c r="A3630" s="295">
        <v>2024</v>
      </c>
      <c r="B3630" s="295">
        <v>6</v>
      </c>
      <c r="C3630" s="295" t="s">
        <v>179</v>
      </c>
      <c r="D3630" s="295" t="s">
        <v>352</v>
      </c>
      <c r="E3630" s="296">
        <v>7.7200000000000003E-3</v>
      </c>
    </row>
    <row r="3631" spans="1:5" x14ac:dyDescent="0.3">
      <c r="A3631" s="295">
        <v>2024</v>
      </c>
      <c r="B3631" s="295">
        <v>6</v>
      </c>
      <c r="C3631" s="295" t="s">
        <v>179</v>
      </c>
      <c r="D3631" s="295" t="s">
        <v>426</v>
      </c>
      <c r="E3631" s="296">
        <v>9.6000000000000002E-4</v>
      </c>
    </row>
    <row r="3632" spans="1:5" x14ac:dyDescent="0.3">
      <c r="A3632" s="295">
        <v>2024</v>
      </c>
      <c r="B3632" s="295">
        <v>6</v>
      </c>
      <c r="C3632" s="295" t="s">
        <v>352</v>
      </c>
      <c r="D3632" s="295" t="s">
        <v>1</v>
      </c>
      <c r="E3632" s="296">
        <v>0.12862067191439008</v>
      </c>
    </row>
    <row r="3633" spans="1:5" x14ac:dyDescent="0.3">
      <c r="A3633" s="295">
        <v>2024</v>
      </c>
      <c r="B3633" s="295">
        <v>6</v>
      </c>
      <c r="C3633" s="295" t="s">
        <v>352</v>
      </c>
      <c r="D3633" s="295" t="s">
        <v>2</v>
      </c>
      <c r="E3633" s="296">
        <v>0.13768851278506686</v>
      </c>
    </row>
    <row r="3634" spans="1:5" x14ac:dyDescent="0.3">
      <c r="A3634" s="295">
        <v>2024</v>
      </c>
      <c r="B3634" s="295">
        <v>6</v>
      </c>
      <c r="C3634" s="295" t="s">
        <v>352</v>
      </c>
      <c r="D3634" s="295" t="s">
        <v>259</v>
      </c>
      <c r="E3634" s="296">
        <v>0.10886202174192297</v>
      </c>
    </row>
    <row r="3635" spans="1:5" x14ac:dyDescent="0.3">
      <c r="A3635" s="295">
        <v>2024</v>
      </c>
      <c r="B3635" s="295">
        <v>6</v>
      </c>
      <c r="C3635" s="295" t="s">
        <v>352</v>
      </c>
      <c r="D3635" s="295" t="s">
        <v>85</v>
      </c>
      <c r="E3635" s="296">
        <v>0.75777094099995446</v>
      </c>
    </row>
    <row r="3636" spans="1:5" x14ac:dyDescent="0.3">
      <c r="A3636" s="295">
        <v>2024</v>
      </c>
      <c r="B3636" s="295">
        <v>6</v>
      </c>
      <c r="C3636" s="295" t="s">
        <v>352</v>
      </c>
      <c r="D3636" s="295" t="s">
        <v>101</v>
      </c>
      <c r="E3636" s="296">
        <v>2.5165462918690391</v>
      </c>
    </row>
    <row r="3637" spans="1:5" x14ac:dyDescent="0.3">
      <c r="A3637" s="295">
        <v>2024</v>
      </c>
      <c r="B3637" s="295">
        <v>6</v>
      </c>
      <c r="C3637" s="295" t="s">
        <v>352</v>
      </c>
      <c r="D3637" s="295" t="s">
        <v>179</v>
      </c>
      <c r="E3637" s="296">
        <v>129.53367875647669</v>
      </c>
    </row>
    <row r="3638" spans="1:5" x14ac:dyDescent="0.3">
      <c r="A3638" s="295">
        <v>2024</v>
      </c>
      <c r="B3638" s="295">
        <v>6</v>
      </c>
      <c r="C3638" s="295" t="s">
        <v>352</v>
      </c>
      <c r="D3638" s="295" t="s">
        <v>426</v>
      </c>
      <c r="E3638" s="296">
        <v>0.12495000000000001</v>
      </c>
    </row>
    <row r="3639" spans="1:5" x14ac:dyDescent="0.3">
      <c r="A3639" s="295">
        <v>2024</v>
      </c>
      <c r="B3639" s="295">
        <v>6</v>
      </c>
      <c r="C3639" s="295" t="s">
        <v>426</v>
      </c>
      <c r="D3639" s="295" t="s">
        <v>1</v>
      </c>
      <c r="E3639" s="296">
        <v>1.0379904504878554</v>
      </c>
    </row>
    <row r="3640" spans="1:5" x14ac:dyDescent="0.3">
      <c r="A3640" s="295">
        <v>2024</v>
      </c>
      <c r="B3640" s="295">
        <v>6</v>
      </c>
      <c r="C3640" s="295" t="s">
        <v>426</v>
      </c>
      <c r="D3640" s="295" t="s">
        <v>2</v>
      </c>
      <c r="E3640" s="296">
        <v>1.1111728429357186</v>
      </c>
    </row>
    <row r="3641" spans="1:5" x14ac:dyDescent="0.3">
      <c r="A3641" s="295">
        <v>2024</v>
      </c>
      <c r="B3641" s="295">
        <v>6</v>
      </c>
      <c r="C3641" s="295" t="s">
        <v>426</v>
      </c>
      <c r="D3641" s="295" t="s">
        <v>259</v>
      </c>
      <c r="E3641" s="296">
        <v>0.87853390262330222</v>
      </c>
    </row>
    <row r="3642" spans="1:5" x14ac:dyDescent="0.3">
      <c r="A3642" s="295">
        <v>2024</v>
      </c>
      <c r="B3642" s="295">
        <v>6</v>
      </c>
      <c r="C3642" s="295" t="s">
        <v>426</v>
      </c>
      <c r="D3642" s="295" t="s">
        <v>85</v>
      </c>
      <c r="E3642" s="296">
        <v>6.1154598825831705</v>
      </c>
    </row>
    <row r="3643" spans="1:5" x14ac:dyDescent="0.3">
      <c r="A3643" s="295">
        <v>2024</v>
      </c>
      <c r="B3643" s="295">
        <v>6</v>
      </c>
      <c r="C3643" s="295" t="s">
        <v>426</v>
      </c>
      <c r="D3643" s="295" t="s">
        <v>101</v>
      </c>
      <c r="E3643" s="296">
        <v>20.308692120227459</v>
      </c>
    </row>
    <row r="3644" spans="1:5" x14ac:dyDescent="0.3">
      <c r="A3644" s="295">
        <v>2024</v>
      </c>
      <c r="B3644" s="295">
        <v>6</v>
      </c>
      <c r="C3644" s="295" t="s">
        <v>426</v>
      </c>
      <c r="D3644" s="295" t="s">
        <v>179</v>
      </c>
      <c r="E3644" s="296">
        <v>1041.6666666666667</v>
      </c>
    </row>
    <row r="3645" spans="1:5" x14ac:dyDescent="0.3">
      <c r="A3645" s="295">
        <v>2024</v>
      </c>
      <c r="B3645" s="295">
        <v>6</v>
      </c>
      <c r="C3645" s="295" t="s">
        <v>426</v>
      </c>
      <c r="D3645" s="295" t="s">
        <v>352</v>
      </c>
      <c r="E3645" s="296">
        <v>8.0032012805122044</v>
      </c>
    </row>
    <row r="3646" spans="1:5" x14ac:dyDescent="0.3">
      <c r="A3646" s="295">
        <v>2024</v>
      </c>
      <c r="B3646" s="295">
        <v>6</v>
      </c>
      <c r="C3646" s="295" t="s">
        <v>1</v>
      </c>
      <c r="D3646" s="295" t="s">
        <v>1</v>
      </c>
      <c r="E3646" s="296">
        <v>1</v>
      </c>
    </row>
    <row r="3647" spans="1:5" x14ac:dyDescent="0.3">
      <c r="A3647" s="295">
        <v>2024</v>
      </c>
      <c r="B3647" s="295">
        <v>6</v>
      </c>
      <c r="C3647" s="295" t="s">
        <v>2</v>
      </c>
      <c r="D3647" s="295" t="s">
        <v>2</v>
      </c>
      <c r="E3647" s="296">
        <v>1</v>
      </c>
    </row>
    <row r="3648" spans="1:5" x14ac:dyDescent="0.3">
      <c r="A3648" s="295">
        <v>2024</v>
      </c>
      <c r="B3648" s="295">
        <v>6</v>
      </c>
      <c r="C3648" s="295" t="s">
        <v>259</v>
      </c>
      <c r="D3648" s="295" t="s">
        <v>259</v>
      </c>
      <c r="E3648" s="296">
        <v>1</v>
      </c>
    </row>
    <row r="3649" spans="1:5" x14ac:dyDescent="0.3">
      <c r="A3649" s="295">
        <v>2024</v>
      </c>
      <c r="B3649" s="295">
        <v>6</v>
      </c>
      <c r="C3649" s="295" t="s">
        <v>85</v>
      </c>
      <c r="D3649" s="295" t="s">
        <v>85</v>
      </c>
      <c r="E3649" s="296">
        <v>1</v>
      </c>
    </row>
    <row r="3650" spans="1:5" x14ac:dyDescent="0.3">
      <c r="A3650" s="295">
        <v>2024</v>
      </c>
      <c r="B3650" s="295">
        <v>6</v>
      </c>
      <c r="C3650" s="295" t="s">
        <v>101</v>
      </c>
      <c r="D3650" s="295" t="s">
        <v>101</v>
      </c>
      <c r="E3650" s="296">
        <v>1</v>
      </c>
    </row>
    <row r="3651" spans="1:5" x14ac:dyDescent="0.3">
      <c r="A3651" s="295">
        <v>2024</v>
      </c>
      <c r="B3651" s="295">
        <v>6</v>
      </c>
      <c r="C3651" s="295" t="s">
        <v>179</v>
      </c>
      <c r="D3651" s="295" t="s">
        <v>179</v>
      </c>
      <c r="E3651" s="296">
        <v>1</v>
      </c>
    </row>
    <row r="3652" spans="1:5" x14ac:dyDescent="0.3">
      <c r="A3652" s="295">
        <v>2024</v>
      </c>
      <c r="B3652" s="295">
        <v>6</v>
      </c>
      <c r="C3652" s="295" t="s">
        <v>352</v>
      </c>
      <c r="D3652" s="295" t="s">
        <v>352</v>
      </c>
      <c r="E3652" s="296">
        <v>1</v>
      </c>
    </row>
    <row r="3653" spans="1:5" x14ac:dyDescent="0.3">
      <c r="A3653" s="295">
        <v>2024</v>
      </c>
      <c r="B3653" s="295">
        <v>6</v>
      </c>
      <c r="C3653" s="295" t="s">
        <v>426</v>
      </c>
      <c r="D3653" s="295" t="s">
        <v>426</v>
      </c>
      <c r="E3653" s="296">
        <v>1</v>
      </c>
    </row>
    <row r="3654" spans="1:5" x14ac:dyDescent="0.3">
      <c r="A3654" s="295">
        <v>2024</v>
      </c>
      <c r="B3654" s="295">
        <v>7</v>
      </c>
      <c r="C3654" s="295" t="s">
        <v>1</v>
      </c>
      <c r="D3654" s="295" t="s">
        <v>2</v>
      </c>
      <c r="E3654" s="296">
        <v>1.0828</v>
      </c>
    </row>
    <row r="3655" spans="1:5" x14ac:dyDescent="0.3">
      <c r="A3655" s="295">
        <v>2024</v>
      </c>
      <c r="B3655" s="295">
        <v>7</v>
      </c>
      <c r="C3655" s="295" t="s">
        <v>1</v>
      </c>
      <c r="D3655" s="295" t="s">
        <v>259</v>
      </c>
      <c r="E3655" s="296">
        <v>0.84379999999999999</v>
      </c>
    </row>
    <row r="3656" spans="1:5" x14ac:dyDescent="0.3">
      <c r="A3656" s="295">
        <v>2024</v>
      </c>
      <c r="B3656" s="295">
        <v>7</v>
      </c>
      <c r="C3656" s="295" t="s">
        <v>1</v>
      </c>
      <c r="D3656" s="295" t="s">
        <v>85</v>
      </c>
      <c r="E3656" s="296">
        <v>6.0873999999999997</v>
      </c>
    </row>
    <row r="3657" spans="1:5" x14ac:dyDescent="0.3">
      <c r="A3657" s="295">
        <v>2024</v>
      </c>
      <c r="B3657" s="295">
        <v>7</v>
      </c>
      <c r="C3657" s="295" t="s">
        <v>1</v>
      </c>
      <c r="D3657" s="295" t="s">
        <v>101</v>
      </c>
      <c r="E3657" s="296">
        <v>20.331700000000001</v>
      </c>
    </row>
    <row r="3658" spans="1:5" x14ac:dyDescent="0.3">
      <c r="A3658" s="295">
        <v>2024</v>
      </c>
      <c r="B3658" s="295">
        <v>7</v>
      </c>
      <c r="C3658" s="295" t="s">
        <v>1</v>
      </c>
      <c r="D3658" s="295" t="s">
        <v>179</v>
      </c>
      <c r="E3658" s="296">
        <v>1006.752</v>
      </c>
    </row>
    <row r="3659" spans="1:5" x14ac:dyDescent="0.3">
      <c r="A3659" s="295">
        <v>2024</v>
      </c>
      <c r="B3659" s="295">
        <v>7</v>
      </c>
      <c r="C3659" s="295" t="s">
        <v>1</v>
      </c>
      <c r="D3659" s="295" t="s">
        <v>352</v>
      </c>
      <c r="E3659" s="296">
        <v>7.8193999999999999</v>
      </c>
    </row>
    <row r="3660" spans="1:5" x14ac:dyDescent="0.3">
      <c r="A3660" s="295">
        <v>2024</v>
      </c>
      <c r="B3660" s="295">
        <v>7</v>
      </c>
      <c r="C3660" s="295" t="s">
        <v>1</v>
      </c>
      <c r="D3660" s="295" t="s">
        <v>426</v>
      </c>
      <c r="E3660" s="296">
        <v>0.95330000000000004</v>
      </c>
    </row>
    <row r="3661" spans="1:5" x14ac:dyDescent="0.3">
      <c r="A3661" s="295">
        <v>2024</v>
      </c>
      <c r="B3661" s="295">
        <v>7</v>
      </c>
      <c r="C3661" s="295" t="s">
        <v>2</v>
      </c>
      <c r="D3661" s="295" t="s">
        <v>1</v>
      </c>
      <c r="E3661" s="296">
        <v>0.92353158478019948</v>
      </c>
    </row>
    <row r="3662" spans="1:5" x14ac:dyDescent="0.3">
      <c r="A3662" s="295">
        <v>2024</v>
      </c>
      <c r="B3662" s="295">
        <v>7</v>
      </c>
      <c r="C3662" s="295" t="s">
        <v>2</v>
      </c>
      <c r="D3662" s="295" t="s">
        <v>259</v>
      </c>
      <c r="E3662" s="296">
        <v>0.77927999999999997</v>
      </c>
    </row>
    <row r="3663" spans="1:5" x14ac:dyDescent="0.3">
      <c r="A3663" s="295">
        <v>2024</v>
      </c>
      <c r="B3663" s="295">
        <v>7</v>
      </c>
      <c r="C3663" s="295" t="s">
        <v>2</v>
      </c>
      <c r="D3663" s="295" t="s">
        <v>85</v>
      </c>
      <c r="E3663" s="296">
        <v>5.6219099999999997</v>
      </c>
    </row>
    <row r="3664" spans="1:5" x14ac:dyDescent="0.3">
      <c r="A3664" s="295">
        <v>2024</v>
      </c>
      <c r="B3664" s="295">
        <v>7</v>
      </c>
      <c r="C3664" s="295" t="s">
        <v>2</v>
      </c>
      <c r="D3664" s="295" t="s">
        <v>101</v>
      </c>
      <c r="E3664" s="296">
        <v>18.776969999999999</v>
      </c>
    </row>
    <row r="3665" spans="1:5" x14ac:dyDescent="0.3">
      <c r="A3665" s="295">
        <v>2024</v>
      </c>
      <c r="B3665" s="295">
        <v>7</v>
      </c>
      <c r="C3665" s="295" t="s">
        <v>2</v>
      </c>
      <c r="D3665" s="295" t="s">
        <v>179</v>
      </c>
      <c r="E3665" s="296">
        <v>929.76727000000005</v>
      </c>
    </row>
    <row r="3666" spans="1:5" x14ac:dyDescent="0.3">
      <c r="A3666" s="295">
        <v>2024</v>
      </c>
      <c r="B3666" s="295">
        <v>7</v>
      </c>
      <c r="C3666" s="295" t="s">
        <v>2</v>
      </c>
      <c r="D3666" s="295" t="s">
        <v>352</v>
      </c>
      <c r="E3666" s="296">
        <v>7.2214600000000004</v>
      </c>
    </row>
    <row r="3667" spans="1:5" x14ac:dyDescent="0.3">
      <c r="A3667" s="295">
        <v>2024</v>
      </c>
      <c r="B3667" s="295">
        <v>7</v>
      </c>
      <c r="C3667" s="295" t="s">
        <v>2</v>
      </c>
      <c r="D3667" s="295" t="s">
        <v>426</v>
      </c>
      <c r="E3667" s="296">
        <v>0.88039999999999996</v>
      </c>
    </row>
    <row r="3668" spans="1:5" x14ac:dyDescent="0.3">
      <c r="A3668" s="295">
        <v>2024</v>
      </c>
      <c r="B3668" s="295">
        <v>7</v>
      </c>
      <c r="C3668" s="295" t="s">
        <v>259</v>
      </c>
      <c r="D3668" s="295" t="s">
        <v>1</v>
      </c>
      <c r="E3668" s="296">
        <v>1.1851149561507466</v>
      </c>
    </row>
    <row r="3669" spans="1:5" x14ac:dyDescent="0.3">
      <c r="A3669" s="295">
        <v>2024</v>
      </c>
      <c r="B3669" s="295">
        <v>7</v>
      </c>
      <c r="C3669" s="295" t="s">
        <v>259</v>
      </c>
      <c r="D3669" s="295" t="s">
        <v>2</v>
      </c>
      <c r="E3669" s="296">
        <v>1.2832358074119701</v>
      </c>
    </row>
    <row r="3670" spans="1:5" x14ac:dyDescent="0.3">
      <c r="A3670" s="295">
        <v>2024</v>
      </c>
      <c r="B3670" s="295">
        <v>7</v>
      </c>
      <c r="C3670" s="295" t="s">
        <v>259</v>
      </c>
      <c r="D3670" s="295" t="s">
        <v>85</v>
      </c>
      <c r="E3670" s="296">
        <v>7.21427</v>
      </c>
    </row>
    <row r="3671" spans="1:5" x14ac:dyDescent="0.3">
      <c r="A3671" s="295">
        <v>2024</v>
      </c>
      <c r="B3671" s="295">
        <v>7</v>
      </c>
      <c r="C3671" s="295" t="s">
        <v>259</v>
      </c>
      <c r="D3671" s="295" t="s">
        <v>101</v>
      </c>
      <c r="E3671" s="296">
        <v>24.095400000000001</v>
      </c>
    </row>
    <row r="3672" spans="1:5" x14ac:dyDescent="0.3">
      <c r="A3672" s="295">
        <v>2024</v>
      </c>
      <c r="B3672" s="295">
        <v>7</v>
      </c>
      <c r="C3672" s="295" t="s">
        <v>259</v>
      </c>
      <c r="D3672" s="295" t="s">
        <v>179</v>
      </c>
      <c r="E3672" s="296">
        <v>1193.1168500000001</v>
      </c>
    </row>
    <row r="3673" spans="1:5" x14ac:dyDescent="0.3">
      <c r="A3673" s="295">
        <v>2024</v>
      </c>
      <c r="B3673" s="295">
        <v>7</v>
      </c>
      <c r="C3673" s="295" t="s">
        <v>259</v>
      </c>
      <c r="D3673" s="295" t="s">
        <v>352</v>
      </c>
      <c r="E3673" s="296">
        <v>9.2668900000000001</v>
      </c>
    </row>
    <row r="3674" spans="1:5" x14ac:dyDescent="0.3">
      <c r="A3674" s="295">
        <v>2024</v>
      </c>
      <c r="B3674" s="295">
        <v>7</v>
      </c>
      <c r="C3674" s="295" t="s">
        <v>259</v>
      </c>
      <c r="D3674" s="295" t="s">
        <v>426</v>
      </c>
      <c r="E3674" s="296">
        <v>1.1297699999999999</v>
      </c>
    </row>
    <row r="3675" spans="1:5" x14ac:dyDescent="0.3">
      <c r="A3675" s="295">
        <v>2024</v>
      </c>
      <c r="B3675" s="295">
        <v>7</v>
      </c>
      <c r="C3675" s="295" t="s">
        <v>85</v>
      </c>
      <c r="D3675" s="295" t="s">
        <v>1</v>
      </c>
      <c r="E3675" s="296">
        <v>0.16427374576995105</v>
      </c>
    </row>
    <row r="3676" spans="1:5" x14ac:dyDescent="0.3">
      <c r="A3676" s="295">
        <v>2024</v>
      </c>
      <c r="B3676" s="295">
        <v>7</v>
      </c>
      <c r="C3676" s="295" t="s">
        <v>85</v>
      </c>
      <c r="D3676" s="295" t="s">
        <v>2</v>
      </c>
      <c r="E3676" s="296">
        <v>0.17787549071401001</v>
      </c>
    </row>
    <row r="3677" spans="1:5" x14ac:dyDescent="0.3">
      <c r="A3677" s="295">
        <v>2024</v>
      </c>
      <c r="B3677" s="295">
        <v>7</v>
      </c>
      <c r="C3677" s="295" t="s">
        <v>85</v>
      </c>
      <c r="D3677" s="295" t="s">
        <v>259</v>
      </c>
      <c r="E3677" s="296">
        <v>0.13861416331797952</v>
      </c>
    </row>
    <row r="3678" spans="1:5" x14ac:dyDescent="0.3">
      <c r="A3678" s="295">
        <v>2024</v>
      </c>
      <c r="B3678" s="295">
        <v>7</v>
      </c>
      <c r="C3678" s="295" t="s">
        <v>85</v>
      </c>
      <c r="D3678" s="295" t="s">
        <v>101</v>
      </c>
      <c r="E3678" s="296">
        <v>3.33996</v>
      </c>
    </row>
    <row r="3679" spans="1:5" x14ac:dyDescent="0.3">
      <c r="A3679" s="295">
        <v>2024</v>
      </c>
      <c r="B3679" s="295">
        <v>7</v>
      </c>
      <c r="C3679" s="295" t="s">
        <v>85</v>
      </c>
      <c r="D3679" s="295" t="s">
        <v>179</v>
      </c>
      <c r="E3679" s="296">
        <v>165.38292000000001</v>
      </c>
    </row>
    <row r="3680" spans="1:5" x14ac:dyDescent="0.3">
      <c r="A3680" s="295">
        <v>2024</v>
      </c>
      <c r="B3680" s="295">
        <v>7</v>
      </c>
      <c r="C3680" s="295" t="s">
        <v>85</v>
      </c>
      <c r="D3680" s="295" t="s">
        <v>352</v>
      </c>
      <c r="E3680" s="296">
        <v>1.2845200000000001</v>
      </c>
    </row>
    <row r="3681" spans="1:5" x14ac:dyDescent="0.3">
      <c r="A3681" s="295">
        <v>2024</v>
      </c>
      <c r="B3681" s="295">
        <v>7</v>
      </c>
      <c r="C3681" s="295" t="s">
        <v>85</v>
      </c>
      <c r="D3681" s="295" t="s">
        <v>426</v>
      </c>
      <c r="E3681" s="296">
        <v>0.15659999999999999</v>
      </c>
    </row>
    <row r="3682" spans="1:5" x14ac:dyDescent="0.3">
      <c r="A3682" s="295">
        <v>2024</v>
      </c>
      <c r="B3682" s="295">
        <v>7</v>
      </c>
      <c r="C3682" s="295" t="s">
        <v>101</v>
      </c>
      <c r="D3682" s="295" t="s">
        <v>1</v>
      </c>
      <c r="E3682" s="296">
        <v>4.9184278737144455E-2</v>
      </c>
    </row>
    <row r="3683" spans="1:5" x14ac:dyDescent="0.3">
      <c r="A3683" s="295">
        <v>2024</v>
      </c>
      <c r="B3683" s="295">
        <v>7</v>
      </c>
      <c r="C3683" s="295" t="s">
        <v>101</v>
      </c>
      <c r="D3683" s="295" t="s">
        <v>2</v>
      </c>
      <c r="E3683" s="296">
        <v>5.3256728854548956E-2</v>
      </c>
    </row>
    <row r="3684" spans="1:5" x14ac:dyDescent="0.3">
      <c r="A3684" s="295">
        <v>2024</v>
      </c>
      <c r="B3684" s="295">
        <v>7</v>
      </c>
      <c r="C3684" s="295" t="s">
        <v>101</v>
      </c>
      <c r="D3684" s="295" t="s">
        <v>259</v>
      </c>
      <c r="E3684" s="296">
        <v>4.1501697419424451E-2</v>
      </c>
    </row>
    <row r="3685" spans="1:5" x14ac:dyDescent="0.3">
      <c r="A3685" s="295">
        <v>2024</v>
      </c>
      <c r="B3685" s="295">
        <v>7</v>
      </c>
      <c r="C3685" s="295" t="s">
        <v>101</v>
      </c>
      <c r="D3685" s="295" t="s">
        <v>85</v>
      </c>
      <c r="E3685" s="296">
        <v>0.29940478329081788</v>
      </c>
    </row>
    <row r="3686" spans="1:5" x14ac:dyDescent="0.3">
      <c r="A3686" s="295">
        <v>2024</v>
      </c>
      <c r="B3686" s="295">
        <v>7</v>
      </c>
      <c r="C3686" s="295" t="s">
        <v>101</v>
      </c>
      <c r="D3686" s="295" t="s">
        <v>179</v>
      </c>
      <c r="E3686" s="296">
        <v>49.516370000000002</v>
      </c>
    </row>
    <row r="3687" spans="1:5" x14ac:dyDescent="0.3">
      <c r="A3687" s="295">
        <v>2024</v>
      </c>
      <c r="B3687" s="295">
        <v>7</v>
      </c>
      <c r="C3687" s="295" t="s">
        <v>101</v>
      </c>
      <c r="D3687" s="295" t="s">
        <v>352</v>
      </c>
      <c r="E3687" s="296">
        <v>0.38458999999999999</v>
      </c>
    </row>
    <row r="3688" spans="1:5" x14ac:dyDescent="0.3">
      <c r="A3688" s="295">
        <v>2024</v>
      </c>
      <c r="B3688" s="295">
        <v>7</v>
      </c>
      <c r="C3688" s="295" t="s">
        <v>101</v>
      </c>
      <c r="D3688" s="295" t="s">
        <v>426</v>
      </c>
      <c r="E3688" s="296">
        <v>4.6890000000000001E-2</v>
      </c>
    </row>
    <row r="3689" spans="1:5" x14ac:dyDescent="0.3">
      <c r="A3689" s="295">
        <v>2024</v>
      </c>
      <c r="B3689" s="295">
        <v>7</v>
      </c>
      <c r="C3689" s="295" t="s">
        <v>179</v>
      </c>
      <c r="D3689" s="295" t="s">
        <v>1</v>
      </c>
      <c r="E3689" s="296">
        <v>9.9329328374813276E-4</v>
      </c>
    </row>
    <row r="3690" spans="1:5" x14ac:dyDescent="0.3">
      <c r="A3690" s="295">
        <v>2024</v>
      </c>
      <c r="B3690" s="295">
        <v>7</v>
      </c>
      <c r="C3690" s="295" t="s">
        <v>179</v>
      </c>
      <c r="D3690" s="295" t="s">
        <v>2</v>
      </c>
      <c r="E3690" s="296">
        <v>1.0755379676894842E-3</v>
      </c>
    </row>
    <row r="3691" spans="1:5" x14ac:dyDescent="0.3">
      <c r="A3691" s="295">
        <v>2024</v>
      </c>
      <c r="B3691" s="295">
        <v>7</v>
      </c>
      <c r="C3691" s="295" t="s">
        <v>179</v>
      </c>
      <c r="D3691" s="295" t="s">
        <v>259</v>
      </c>
      <c r="E3691" s="296">
        <v>8.3814087446673798E-4</v>
      </c>
    </row>
    <row r="3692" spans="1:5" x14ac:dyDescent="0.3">
      <c r="A3692" s="295">
        <v>2024</v>
      </c>
      <c r="B3692" s="295">
        <v>7</v>
      </c>
      <c r="C3692" s="295" t="s">
        <v>179</v>
      </c>
      <c r="D3692" s="295" t="s">
        <v>85</v>
      </c>
      <c r="E3692" s="296">
        <v>6.046573612317402E-3</v>
      </c>
    </row>
    <row r="3693" spans="1:5" x14ac:dyDescent="0.3">
      <c r="A3693" s="295">
        <v>2024</v>
      </c>
      <c r="B3693" s="295">
        <v>7</v>
      </c>
      <c r="C3693" s="295" t="s">
        <v>179</v>
      </c>
      <c r="D3693" s="295" t="s">
        <v>101</v>
      </c>
      <c r="E3693" s="296">
        <v>2.01953414598041E-2</v>
      </c>
    </row>
    <row r="3694" spans="1:5" x14ac:dyDescent="0.3">
      <c r="A3694" s="295">
        <v>2024</v>
      </c>
      <c r="B3694" s="295">
        <v>7</v>
      </c>
      <c r="C3694" s="295" t="s">
        <v>179</v>
      </c>
      <c r="D3694" s="295" t="s">
        <v>352</v>
      </c>
      <c r="E3694" s="296">
        <v>7.77E-3</v>
      </c>
    </row>
    <row r="3695" spans="1:5" x14ac:dyDescent="0.3">
      <c r="A3695" s="295">
        <v>2024</v>
      </c>
      <c r="B3695" s="295">
        <v>7</v>
      </c>
      <c r="C3695" s="295" t="s">
        <v>179</v>
      </c>
      <c r="D3695" s="295" t="s">
        <v>426</v>
      </c>
      <c r="E3695" s="296">
        <v>9.5E-4</v>
      </c>
    </row>
    <row r="3696" spans="1:5" x14ac:dyDescent="0.3">
      <c r="A3696" s="295">
        <v>2024</v>
      </c>
      <c r="B3696" s="295">
        <v>7</v>
      </c>
      <c r="C3696" s="295" t="s">
        <v>352</v>
      </c>
      <c r="D3696" s="295" t="s">
        <v>1</v>
      </c>
      <c r="E3696" s="296">
        <v>0.12788705015730106</v>
      </c>
    </row>
    <row r="3697" spans="1:5" x14ac:dyDescent="0.3">
      <c r="A3697" s="295">
        <v>2024</v>
      </c>
      <c r="B3697" s="295">
        <v>7</v>
      </c>
      <c r="C3697" s="295" t="s">
        <v>352</v>
      </c>
      <c r="D3697" s="295" t="s">
        <v>2</v>
      </c>
      <c r="E3697" s="296">
        <v>0.13847615302168811</v>
      </c>
    </row>
    <row r="3698" spans="1:5" x14ac:dyDescent="0.3">
      <c r="A3698" s="295">
        <v>2024</v>
      </c>
      <c r="B3698" s="295">
        <v>7</v>
      </c>
      <c r="C3698" s="295" t="s">
        <v>352</v>
      </c>
      <c r="D3698" s="295" t="s">
        <v>259</v>
      </c>
      <c r="E3698" s="296">
        <v>0.10791106833036758</v>
      </c>
    </row>
    <row r="3699" spans="1:5" x14ac:dyDescent="0.3">
      <c r="A3699" s="295">
        <v>2024</v>
      </c>
      <c r="B3699" s="295">
        <v>7</v>
      </c>
      <c r="C3699" s="295" t="s">
        <v>352</v>
      </c>
      <c r="D3699" s="295" t="s">
        <v>85</v>
      </c>
      <c r="E3699" s="296">
        <v>0.77850091863108395</v>
      </c>
    </row>
    <row r="3700" spans="1:5" x14ac:dyDescent="0.3">
      <c r="A3700" s="295">
        <v>2024</v>
      </c>
      <c r="B3700" s="295">
        <v>7</v>
      </c>
      <c r="C3700" s="295" t="s">
        <v>352</v>
      </c>
      <c r="D3700" s="295" t="s">
        <v>101</v>
      </c>
      <c r="E3700" s="296">
        <v>2.6001716113263478</v>
      </c>
    </row>
    <row r="3701" spans="1:5" x14ac:dyDescent="0.3">
      <c r="A3701" s="295">
        <v>2024</v>
      </c>
      <c r="B3701" s="295">
        <v>7</v>
      </c>
      <c r="C3701" s="295" t="s">
        <v>352</v>
      </c>
      <c r="D3701" s="295" t="s">
        <v>179</v>
      </c>
      <c r="E3701" s="296">
        <v>128.70012870012869</v>
      </c>
    </row>
    <row r="3702" spans="1:5" x14ac:dyDescent="0.3">
      <c r="A3702" s="295">
        <v>2024</v>
      </c>
      <c r="B3702" s="295">
        <v>7</v>
      </c>
      <c r="C3702" s="295" t="s">
        <v>352</v>
      </c>
      <c r="D3702" s="295" t="s">
        <v>426</v>
      </c>
      <c r="E3702" s="296">
        <v>0.12191</v>
      </c>
    </row>
    <row r="3703" spans="1:5" x14ac:dyDescent="0.3">
      <c r="A3703" s="295">
        <v>2024</v>
      </c>
      <c r="B3703" s="295">
        <v>7</v>
      </c>
      <c r="C3703" s="295" t="s">
        <v>426</v>
      </c>
      <c r="D3703" s="295" t="s">
        <v>1</v>
      </c>
      <c r="E3703" s="296">
        <v>1.0489877268435959</v>
      </c>
    </row>
    <row r="3704" spans="1:5" x14ac:dyDescent="0.3">
      <c r="A3704" s="295">
        <v>2024</v>
      </c>
      <c r="B3704" s="295">
        <v>7</v>
      </c>
      <c r="C3704" s="295" t="s">
        <v>426</v>
      </c>
      <c r="D3704" s="295" t="s">
        <v>2</v>
      </c>
      <c r="E3704" s="296">
        <v>1.1358473421172195</v>
      </c>
    </row>
    <row r="3705" spans="1:5" x14ac:dyDescent="0.3">
      <c r="A3705" s="295">
        <v>2024</v>
      </c>
      <c r="B3705" s="295">
        <v>7</v>
      </c>
      <c r="C3705" s="295" t="s">
        <v>426</v>
      </c>
      <c r="D3705" s="295" t="s">
        <v>259</v>
      </c>
      <c r="E3705" s="296">
        <v>0.88513591261938274</v>
      </c>
    </row>
    <row r="3706" spans="1:5" x14ac:dyDescent="0.3">
      <c r="A3706" s="295">
        <v>2024</v>
      </c>
      <c r="B3706" s="295">
        <v>7</v>
      </c>
      <c r="C3706" s="295" t="s">
        <v>426</v>
      </c>
      <c r="D3706" s="295" t="s">
        <v>85</v>
      </c>
      <c r="E3706" s="296">
        <v>6.3856960408684547</v>
      </c>
    </row>
    <row r="3707" spans="1:5" x14ac:dyDescent="0.3">
      <c r="A3707" s="295">
        <v>2024</v>
      </c>
      <c r="B3707" s="295">
        <v>7</v>
      </c>
      <c r="C3707" s="295" t="s">
        <v>426</v>
      </c>
      <c r="D3707" s="295" t="s">
        <v>101</v>
      </c>
      <c r="E3707" s="296">
        <v>21.326508850501174</v>
      </c>
    </row>
    <row r="3708" spans="1:5" x14ac:dyDescent="0.3">
      <c r="A3708" s="295">
        <v>2024</v>
      </c>
      <c r="B3708" s="295">
        <v>7</v>
      </c>
      <c r="C3708" s="295" t="s">
        <v>426</v>
      </c>
      <c r="D3708" s="295" t="s">
        <v>179</v>
      </c>
      <c r="E3708" s="296">
        <v>1052.6315789473683</v>
      </c>
    </row>
    <row r="3709" spans="1:5" x14ac:dyDescent="0.3">
      <c r="A3709" s="295">
        <v>2024</v>
      </c>
      <c r="B3709" s="295">
        <v>7</v>
      </c>
      <c r="C3709" s="295" t="s">
        <v>426</v>
      </c>
      <c r="D3709" s="295" t="s">
        <v>352</v>
      </c>
      <c r="E3709" s="296">
        <v>8.2027725371175446</v>
      </c>
    </row>
    <row r="3710" spans="1:5" x14ac:dyDescent="0.3">
      <c r="A3710" s="295">
        <v>2024</v>
      </c>
      <c r="B3710" s="295">
        <v>7</v>
      </c>
      <c r="C3710" s="295" t="s">
        <v>1</v>
      </c>
      <c r="D3710" s="295" t="s">
        <v>1</v>
      </c>
      <c r="E3710" s="296">
        <v>1</v>
      </c>
    </row>
    <row r="3711" spans="1:5" x14ac:dyDescent="0.3">
      <c r="A3711" s="295">
        <v>2024</v>
      </c>
      <c r="B3711" s="295">
        <v>7</v>
      </c>
      <c r="C3711" s="295" t="s">
        <v>2</v>
      </c>
      <c r="D3711" s="295" t="s">
        <v>2</v>
      </c>
      <c r="E3711" s="296">
        <v>1</v>
      </c>
    </row>
    <row r="3712" spans="1:5" x14ac:dyDescent="0.3">
      <c r="A3712" s="295">
        <v>2024</v>
      </c>
      <c r="B3712" s="295">
        <v>7</v>
      </c>
      <c r="C3712" s="295" t="s">
        <v>259</v>
      </c>
      <c r="D3712" s="295" t="s">
        <v>259</v>
      </c>
      <c r="E3712" s="296">
        <v>1</v>
      </c>
    </row>
    <row r="3713" spans="1:5" x14ac:dyDescent="0.3">
      <c r="A3713" s="295">
        <v>2024</v>
      </c>
      <c r="B3713" s="295">
        <v>7</v>
      </c>
      <c r="C3713" s="295" t="s">
        <v>85</v>
      </c>
      <c r="D3713" s="295" t="s">
        <v>85</v>
      </c>
      <c r="E3713" s="296">
        <v>1</v>
      </c>
    </row>
    <row r="3714" spans="1:5" x14ac:dyDescent="0.3">
      <c r="A3714" s="295">
        <v>2024</v>
      </c>
      <c r="B3714" s="295">
        <v>7</v>
      </c>
      <c r="C3714" s="295" t="s">
        <v>101</v>
      </c>
      <c r="D3714" s="295" t="s">
        <v>101</v>
      </c>
      <c r="E3714" s="296">
        <v>1</v>
      </c>
    </row>
    <row r="3715" spans="1:5" x14ac:dyDescent="0.3">
      <c r="A3715" s="295">
        <v>2024</v>
      </c>
      <c r="B3715" s="295">
        <v>7</v>
      </c>
      <c r="C3715" s="295" t="s">
        <v>179</v>
      </c>
      <c r="D3715" s="295" t="s">
        <v>179</v>
      </c>
      <c r="E3715" s="296">
        <v>1</v>
      </c>
    </row>
    <row r="3716" spans="1:5" x14ac:dyDescent="0.3">
      <c r="A3716" s="295">
        <v>2024</v>
      </c>
      <c r="B3716" s="295">
        <v>7</v>
      </c>
      <c r="C3716" s="295" t="s">
        <v>352</v>
      </c>
      <c r="D3716" s="295" t="s">
        <v>352</v>
      </c>
      <c r="E3716" s="296">
        <v>1</v>
      </c>
    </row>
    <row r="3717" spans="1:5" x14ac:dyDescent="0.3">
      <c r="A3717" s="295">
        <v>2024</v>
      </c>
      <c r="B3717" s="295">
        <v>7</v>
      </c>
      <c r="C3717" s="295" t="s">
        <v>426</v>
      </c>
      <c r="D3717" s="295" t="s">
        <v>426</v>
      </c>
      <c r="E3717" s="296">
        <v>1</v>
      </c>
    </row>
    <row r="3718" spans="1:5" x14ac:dyDescent="0.3">
      <c r="A3718" s="295">
        <v>2024</v>
      </c>
      <c r="B3718" s="295">
        <v>8</v>
      </c>
      <c r="C3718" s="295" t="s">
        <v>1</v>
      </c>
      <c r="D3718" s="295" t="s">
        <v>2</v>
      </c>
      <c r="E3718" s="296">
        <v>1.1087</v>
      </c>
    </row>
    <row r="3719" spans="1:5" x14ac:dyDescent="0.3">
      <c r="A3719" s="295">
        <v>2024</v>
      </c>
      <c r="B3719" s="295">
        <v>8</v>
      </c>
      <c r="C3719" s="295" t="s">
        <v>1</v>
      </c>
      <c r="D3719" s="295" t="s">
        <v>259</v>
      </c>
      <c r="E3719" s="296">
        <v>0.84119999999999995</v>
      </c>
    </row>
    <row r="3720" spans="1:5" x14ac:dyDescent="0.3">
      <c r="A3720" s="295">
        <v>2024</v>
      </c>
      <c r="B3720" s="295">
        <v>8</v>
      </c>
      <c r="C3720" s="295" t="s">
        <v>1</v>
      </c>
      <c r="D3720" s="295" t="s">
        <v>85</v>
      </c>
      <c r="E3720" s="296">
        <v>6.2154999999999996</v>
      </c>
    </row>
    <row r="3721" spans="1:5" x14ac:dyDescent="0.3">
      <c r="A3721" s="295">
        <v>2024</v>
      </c>
      <c r="B3721" s="295">
        <v>8</v>
      </c>
      <c r="C3721" s="295" t="s">
        <v>1</v>
      </c>
      <c r="D3721" s="295" t="s">
        <v>101</v>
      </c>
      <c r="E3721" s="296">
        <v>21.758099999999999</v>
      </c>
    </row>
    <row r="3722" spans="1:5" x14ac:dyDescent="0.3">
      <c r="A3722" s="295">
        <v>2024</v>
      </c>
      <c r="B3722" s="295">
        <v>8</v>
      </c>
      <c r="C3722" s="295" t="s">
        <v>1</v>
      </c>
      <c r="D3722" s="295" t="s">
        <v>179</v>
      </c>
      <c r="E3722" s="296">
        <v>1011.9880000000001</v>
      </c>
    </row>
    <row r="3723" spans="1:5" x14ac:dyDescent="0.3">
      <c r="A3723" s="295">
        <v>2024</v>
      </c>
      <c r="B3723" s="295">
        <v>8</v>
      </c>
      <c r="C3723" s="295" t="s">
        <v>1</v>
      </c>
      <c r="D3723" s="295" t="s">
        <v>352</v>
      </c>
      <c r="E3723" s="296">
        <v>7.8585000000000003</v>
      </c>
    </row>
    <row r="3724" spans="1:5" x14ac:dyDescent="0.3">
      <c r="A3724" s="295">
        <v>2024</v>
      </c>
      <c r="B3724" s="295">
        <v>8</v>
      </c>
      <c r="C3724" s="295" t="s">
        <v>1</v>
      </c>
      <c r="D3724" s="295" t="s">
        <v>426</v>
      </c>
      <c r="E3724" s="296">
        <v>0.94159999999999999</v>
      </c>
    </row>
    <row r="3725" spans="1:5" x14ac:dyDescent="0.3">
      <c r="A3725" s="295">
        <v>2024</v>
      </c>
      <c r="B3725" s="295">
        <v>8</v>
      </c>
      <c r="C3725" s="295" t="s">
        <v>2</v>
      </c>
      <c r="D3725" s="295" t="s">
        <v>1</v>
      </c>
      <c r="E3725" s="296">
        <v>0.90195724722648141</v>
      </c>
    </row>
    <row r="3726" spans="1:5" x14ac:dyDescent="0.3">
      <c r="A3726" s="295">
        <v>2024</v>
      </c>
      <c r="B3726" s="295">
        <v>8</v>
      </c>
      <c r="C3726" s="295" t="s">
        <v>2</v>
      </c>
      <c r="D3726" s="295" t="s">
        <v>259</v>
      </c>
      <c r="E3726" s="296">
        <v>0.75873000000000002</v>
      </c>
    </row>
    <row r="3727" spans="1:5" x14ac:dyDescent="0.3">
      <c r="A3727" s="295">
        <v>2024</v>
      </c>
      <c r="B3727" s="295">
        <v>8</v>
      </c>
      <c r="C3727" s="295" t="s">
        <v>2</v>
      </c>
      <c r="D3727" s="295" t="s">
        <v>85</v>
      </c>
      <c r="E3727" s="296">
        <v>5.6061199999999998</v>
      </c>
    </row>
    <row r="3728" spans="1:5" x14ac:dyDescent="0.3">
      <c r="A3728" s="295">
        <v>2024</v>
      </c>
      <c r="B3728" s="295">
        <v>8</v>
      </c>
      <c r="C3728" s="295" t="s">
        <v>2</v>
      </c>
      <c r="D3728" s="295" t="s">
        <v>101</v>
      </c>
      <c r="E3728" s="296">
        <v>19.624880000000001</v>
      </c>
    </row>
    <row r="3729" spans="1:5" x14ac:dyDescent="0.3">
      <c r="A3729" s="295">
        <v>2024</v>
      </c>
      <c r="B3729" s="295">
        <v>8</v>
      </c>
      <c r="C3729" s="295" t="s">
        <v>2</v>
      </c>
      <c r="D3729" s="295" t="s">
        <v>179</v>
      </c>
      <c r="E3729" s="296">
        <v>912.76990999999998</v>
      </c>
    </row>
    <row r="3730" spans="1:5" x14ac:dyDescent="0.3">
      <c r="A3730" s="295">
        <v>2024</v>
      </c>
      <c r="B3730" s="295">
        <v>8</v>
      </c>
      <c r="C3730" s="295" t="s">
        <v>2</v>
      </c>
      <c r="D3730" s="295" t="s">
        <v>352</v>
      </c>
      <c r="E3730" s="296">
        <v>7.0880299999999998</v>
      </c>
    </row>
    <row r="3731" spans="1:5" x14ac:dyDescent="0.3">
      <c r="A3731" s="295">
        <v>2024</v>
      </c>
      <c r="B3731" s="295">
        <v>8</v>
      </c>
      <c r="C3731" s="295" t="s">
        <v>2</v>
      </c>
      <c r="D3731" s="295" t="s">
        <v>426</v>
      </c>
      <c r="E3731" s="296">
        <v>0.84928000000000003</v>
      </c>
    </row>
    <row r="3732" spans="1:5" x14ac:dyDescent="0.3">
      <c r="A3732" s="295">
        <v>2024</v>
      </c>
      <c r="B3732" s="295">
        <v>8</v>
      </c>
      <c r="C3732" s="295" t="s">
        <v>259</v>
      </c>
      <c r="D3732" s="295" t="s">
        <v>1</v>
      </c>
      <c r="E3732" s="296">
        <v>1.1887779362815027</v>
      </c>
    </row>
    <row r="3733" spans="1:5" x14ac:dyDescent="0.3">
      <c r="A3733" s="295">
        <v>2024</v>
      </c>
      <c r="B3733" s="295">
        <v>8</v>
      </c>
      <c r="C3733" s="295" t="s">
        <v>259</v>
      </c>
      <c r="D3733" s="295" t="s">
        <v>2</v>
      </c>
      <c r="E3733" s="296">
        <v>1.3179919075296878</v>
      </c>
    </row>
    <row r="3734" spans="1:5" x14ac:dyDescent="0.3">
      <c r="A3734" s="295">
        <v>2024</v>
      </c>
      <c r="B3734" s="295">
        <v>8</v>
      </c>
      <c r="C3734" s="295" t="s">
        <v>259</v>
      </c>
      <c r="D3734" s="295" t="s">
        <v>85</v>
      </c>
      <c r="E3734" s="296">
        <v>7.3888499999999997</v>
      </c>
    </row>
    <row r="3735" spans="1:5" x14ac:dyDescent="0.3">
      <c r="A3735" s="295">
        <v>2024</v>
      </c>
      <c r="B3735" s="295">
        <v>8</v>
      </c>
      <c r="C3735" s="295" t="s">
        <v>259</v>
      </c>
      <c r="D3735" s="295" t="s">
        <v>101</v>
      </c>
      <c r="E3735" s="296">
        <v>25.865549999999999</v>
      </c>
    </row>
    <row r="3736" spans="1:5" x14ac:dyDescent="0.3">
      <c r="A3736" s="295">
        <v>2024</v>
      </c>
      <c r="B3736" s="295">
        <v>8</v>
      </c>
      <c r="C3736" s="295" t="s">
        <v>259</v>
      </c>
      <c r="D3736" s="295" t="s">
        <v>179</v>
      </c>
      <c r="E3736" s="296">
        <v>1203.02901</v>
      </c>
    </row>
    <row r="3737" spans="1:5" x14ac:dyDescent="0.3">
      <c r="A3737" s="295">
        <v>2024</v>
      </c>
      <c r="B3737" s="295">
        <v>8</v>
      </c>
      <c r="C3737" s="295" t="s">
        <v>259</v>
      </c>
      <c r="D3737" s="295" t="s">
        <v>352</v>
      </c>
      <c r="E3737" s="296">
        <v>9.3420100000000001</v>
      </c>
    </row>
    <row r="3738" spans="1:5" x14ac:dyDescent="0.3">
      <c r="A3738" s="295">
        <v>2024</v>
      </c>
      <c r="B3738" s="295">
        <v>8</v>
      </c>
      <c r="C3738" s="295" t="s">
        <v>259</v>
      </c>
      <c r="D3738" s="295" t="s">
        <v>426</v>
      </c>
      <c r="E3738" s="296">
        <v>1.1193500000000001</v>
      </c>
    </row>
    <row r="3739" spans="1:5" x14ac:dyDescent="0.3">
      <c r="A3739" s="295">
        <v>2024</v>
      </c>
      <c r="B3739" s="295">
        <v>8</v>
      </c>
      <c r="C3739" s="295" t="s">
        <v>85</v>
      </c>
      <c r="D3739" s="295" t="s">
        <v>1</v>
      </c>
      <c r="E3739" s="296">
        <v>0.16088810232483308</v>
      </c>
    </row>
    <row r="3740" spans="1:5" x14ac:dyDescent="0.3">
      <c r="A3740" s="295">
        <v>2024</v>
      </c>
      <c r="B3740" s="295">
        <v>8</v>
      </c>
      <c r="C3740" s="295" t="s">
        <v>85</v>
      </c>
      <c r="D3740" s="295" t="s">
        <v>2</v>
      </c>
      <c r="E3740" s="296">
        <v>0.17837648855179697</v>
      </c>
    </row>
    <row r="3741" spans="1:5" x14ac:dyDescent="0.3">
      <c r="A3741" s="295">
        <v>2024</v>
      </c>
      <c r="B3741" s="295">
        <v>8</v>
      </c>
      <c r="C3741" s="295" t="s">
        <v>85</v>
      </c>
      <c r="D3741" s="295" t="s">
        <v>259</v>
      </c>
      <c r="E3741" s="296">
        <v>0.13533905817549416</v>
      </c>
    </row>
    <row r="3742" spans="1:5" x14ac:dyDescent="0.3">
      <c r="A3742" s="295">
        <v>2024</v>
      </c>
      <c r="B3742" s="295">
        <v>8</v>
      </c>
      <c r="C3742" s="295" t="s">
        <v>85</v>
      </c>
      <c r="D3742" s="295" t="s">
        <v>101</v>
      </c>
      <c r="E3742" s="296">
        <v>3.5006200000000001</v>
      </c>
    </row>
    <row r="3743" spans="1:5" x14ac:dyDescent="0.3">
      <c r="A3743" s="295">
        <v>2024</v>
      </c>
      <c r="B3743" s="295">
        <v>8</v>
      </c>
      <c r="C3743" s="295" t="s">
        <v>85</v>
      </c>
      <c r="D3743" s="295" t="s">
        <v>179</v>
      </c>
      <c r="E3743" s="296">
        <v>162.81683000000001</v>
      </c>
    </row>
    <row r="3744" spans="1:5" x14ac:dyDescent="0.3">
      <c r="A3744" s="295">
        <v>2024</v>
      </c>
      <c r="B3744" s="295">
        <v>8</v>
      </c>
      <c r="C3744" s="295" t="s">
        <v>85</v>
      </c>
      <c r="D3744" s="295" t="s">
        <v>352</v>
      </c>
      <c r="E3744" s="296">
        <v>1.26434</v>
      </c>
    </row>
    <row r="3745" spans="1:5" x14ac:dyDescent="0.3">
      <c r="A3745" s="295">
        <v>2024</v>
      </c>
      <c r="B3745" s="295">
        <v>8</v>
      </c>
      <c r="C3745" s="295" t="s">
        <v>85</v>
      </c>
      <c r="D3745" s="295" t="s">
        <v>426</v>
      </c>
      <c r="E3745" s="296">
        <v>0.15149000000000001</v>
      </c>
    </row>
    <row r="3746" spans="1:5" x14ac:dyDescent="0.3">
      <c r="A3746" s="295">
        <v>2024</v>
      </c>
      <c r="B3746" s="295">
        <v>8</v>
      </c>
      <c r="C3746" s="295" t="s">
        <v>101</v>
      </c>
      <c r="D3746" s="295" t="s">
        <v>1</v>
      </c>
      <c r="E3746" s="296">
        <v>4.5959895395278082E-2</v>
      </c>
    </row>
    <row r="3747" spans="1:5" x14ac:dyDescent="0.3">
      <c r="A3747" s="295">
        <v>2024</v>
      </c>
      <c r="B3747" s="295">
        <v>8</v>
      </c>
      <c r="C3747" s="295" t="s">
        <v>101</v>
      </c>
      <c r="D3747" s="295" t="s">
        <v>2</v>
      </c>
      <c r="E3747" s="296">
        <v>5.0955725589150097E-2</v>
      </c>
    </row>
    <row r="3748" spans="1:5" x14ac:dyDescent="0.3">
      <c r="A3748" s="295">
        <v>2024</v>
      </c>
      <c r="B3748" s="295">
        <v>8</v>
      </c>
      <c r="C3748" s="295" t="s">
        <v>101</v>
      </c>
      <c r="D3748" s="295" t="s">
        <v>259</v>
      </c>
      <c r="E3748" s="296">
        <v>3.8661462833769242E-2</v>
      </c>
    </row>
    <row r="3749" spans="1:5" x14ac:dyDescent="0.3">
      <c r="A3749" s="295">
        <v>2024</v>
      </c>
      <c r="B3749" s="295">
        <v>8</v>
      </c>
      <c r="C3749" s="295" t="s">
        <v>101</v>
      </c>
      <c r="D3749" s="295" t="s">
        <v>85</v>
      </c>
      <c r="E3749" s="296">
        <v>0.28566368243339751</v>
      </c>
    </row>
    <row r="3750" spans="1:5" x14ac:dyDescent="0.3">
      <c r="A3750" s="295">
        <v>2024</v>
      </c>
      <c r="B3750" s="295">
        <v>8</v>
      </c>
      <c r="C3750" s="295" t="s">
        <v>101</v>
      </c>
      <c r="D3750" s="295" t="s">
        <v>179</v>
      </c>
      <c r="E3750" s="296">
        <v>46.510860000000001</v>
      </c>
    </row>
    <row r="3751" spans="1:5" x14ac:dyDescent="0.3">
      <c r="A3751" s="295">
        <v>2024</v>
      </c>
      <c r="B3751" s="295">
        <v>8</v>
      </c>
      <c r="C3751" s="295" t="s">
        <v>101</v>
      </c>
      <c r="D3751" s="295" t="s">
        <v>352</v>
      </c>
      <c r="E3751" s="296">
        <v>0.36118</v>
      </c>
    </row>
    <row r="3752" spans="1:5" x14ac:dyDescent="0.3">
      <c r="A3752" s="295">
        <v>2024</v>
      </c>
      <c r="B3752" s="295">
        <v>8</v>
      </c>
      <c r="C3752" s="295" t="s">
        <v>101</v>
      </c>
      <c r="D3752" s="295" t="s">
        <v>426</v>
      </c>
      <c r="E3752" s="296">
        <v>4.3279999999999999E-2</v>
      </c>
    </row>
    <row r="3753" spans="1:5" x14ac:dyDescent="0.3">
      <c r="A3753" s="295">
        <v>2024</v>
      </c>
      <c r="B3753" s="295">
        <v>8</v>
      </c>
      <c r="C3753" s="295" t="s">
        <v>179</v>
      </c>
      <c r="D3753" s="295" t="s">
        <v>1</v>
      </c>
      <c r="E3753" s="296">
        <v>9.8815400973134072E-4</v>
      </c>
    </row>
    <row r="3754" spans="1:5" x14ac:dyDescent="0.3">
      <c r="A3754" s="295">
        <v>2024</v>
      </c>
      <c r="B3754" s="295">
        <v>8</v>
      </c>
      <c r="C3754" s="295" t="s">
        <v>179</v>
      </c>
      <c r="D3754" s="295" t="s">
        <v>2</v>
      </c>
      <c r="E3754" s="296">
        <v>1.095566351436804E-3</v>
      </c>
    </row>
    <row r="3755" spans="1:5" x14ac:dyDescent="0.3">
      <c r="A3755" s="295">
        <v>2024</v>
      </c>
      <c r="B3755" s="295">
        <v>8</v>
      </c>
      <c r="C3755" s="295" t="s">
        <v>179</v>
      </c>
      <c r="D3755" s="295" t="s">
        <v>259</v>
      </c>
      <c r="E3755" s="296">
        <v>8.3123515034770439E-4</v>
      </c>
    </row>
    <row r="3756" spans="1:5" x14ac:dyDescent="0.3">
      <c r="A3756" s="295">
        <v>2024</v>
      </c>
      <c r="B3756" s="295">
        <v>8</v>
      </c>
      <c r="C3756" s="295" t="s">
        <v>179</v>
      </c>
      <c r="D3756" s="295" t="s">
        <v>85</v>
      </c>
      <c r="E3756" s="296">
        <v>6.1418712058206757E-3</v>
      </c>
    </row>
    <row r="3757" spans="1:5" x14ac:dyDescent="0.3">
      <c r="A3757" s="295">
        <v>2024</v>
      </c>
      <c r="B3757" s="295">
        <v>8</v>
      </c>
      <c r="C3757" s="295" t="s">
        <v>179</v>
      </c>
      <c r="D3757" s="295" t="s">
        <v>101</v>
      </c>
      <c r="E3757" s="296">
        <v>2.1500354970860568E-2</v>
      </c>
    </row>
    <row r="3758" spans="1:5" x14ac:dyDescent="0.3">
      <c r="A3758" s="295">
        <v>2024</v>
      </c>
      <c r="B3758" s="295">
        <v>8</v>
      </c>
      <c r="C3758" s="295" t="s">
        <v>179</v>
      </c>
      <c r="D3758" s="295" t="s">
        <v>352</v>
      </c>
      <c r="E3758" s="296">
        <v>7.77E-3</v>
      </c>
    </row>
    <row r="3759" spans="1:5" x14ac:dyDescent="0.3">
      <c r="A3759" s="295">
        <v>2024</v>
      </c>
      <c r="B3759" s="295">
        <v>8</v>
      </c>
      <c r="C3759" s="295" t="s">
        <v>179</v>
      </c>
      <c r="D3759" s="295" t="s">
        <v>426</v>
      </c>
      <c r="E3759" s="296">
        <v>9.3000000000000005E-4</v>
      </c>
    </row>
    <row r="3760" spans="1:5" x14ac:dyDescent="0.3">
      <c r="A3760" s="295">
        <v>2024</v>
      </c>
      <c r="B3760" s="295">
        <v>8</v>
      </c>
      <c r="C3760" s="295" t="s">
        <v>352</v>
      </c>
      <c r="D3760" s="295" t="s">
        <v>1</v>
      </c>
      <c r="E3760" s="296">
        <v>0.12725074759814214</v>
      </c>
    </row>
    <row r="3761" spans="1:5" x14ac:dyDescent="0.3">
      <c r="A3761" s="295">
        <v>2024</v>
      </c>
      <c r="B3761" s="295">
        <v>8</v>
      </c>
      <c r="C3761" s="295" t="s">
        <v>352</v>
      </c>
      <c r="D3761" s="295" t="s">
        <v>2</v>
      </c>
      <c r="E3761" s="296">
        <v>0.14108292431042194</v>
      </c>
    </row>
    <row r="3762" spans="1:5" x14ac:dyDescent="0.3">
      <c r="A3762" s="295">
        <v>2024</v>
      </c>
      <c r="B3762" s="295">
        <v>8</v>
      </c>
      <c r="C3762" s="295" t="s">
        <v>352</v>
      </c>
      <c r="D3762" s="295" t="s">
        <v>259</v>
      </c>
      <c r="E3762" s="296">
        <v>0.10704334506171584</v>
      </c>
    </row>
    <row r="3763" spans="1:5" x14ac:dyDescent="0.3">
      <c r="A3763" s="295">
        <v>2024</v>
      </c>
      <c r="B3763" s="295">
        <v>8</v>
      </c>
      <c r="C3763" s="295" t="s">
        <v>352</v>
      </c>
      <c r="D3763" s="295" t="s">
        <v>85</v>
      </c>
      <c r="E3763" s="296">
        <v>0.79092649129189929</v>
      </c>
    </row>
    <row r="3764" spans="1:5" x14ac:dyDescent="0.3">
      <c r="A3764" s="295">
        <v>2024</v>
      </c>
      <c r="B3764" s="295">
        <v>8</v>
      </c>
      <c r="C3764" s="295" t="s">
        <v>352</v>
      </c>
      <c r="D3764" s="295" t="s">
        <v>101</v>
      </c>
      <c r="E3764" s="296">
        <v>2.7687025859682155</v>
      </c>
    </row>
    <row r="3765" spans="1:5" x14ac:dyDescent="0.3">
      <c r="A3765" s="295">
        <v>2024</v>
      </c>
      <c r="B3765" s="295">
        <v>8</v>
      </c>
      <c r="C3765" s="295" t="s">
        <v>352</v>
      </c>
      <c r="D3765" s="295" t="s">
        <v>179</v>
      </c>
      <c r="E3765" s="296">
        <v>128.70012870012869</v>
      </c>
    </row>
    <row r="3766" spans="1:5" x14ac:dyDescent="0.3">
      <c r="A3766" s="295">
        <v>2024</v>
      </c>
      <c r="B3766" s="295">
        <v>8</v>
      </c>
      <c r="C3766" s="295" t="s">
        <v>352</v>
      </c>
      <c r="D3766" s="295" t="s">
        <v>426</v>
      </c>
      <c r="E3766" s="296">
        <v>0.11982</v>
      </c>
    </row>
    <row r="3767" spans="1:5" x14ac:dyDescent="0.3">
      <c r="A3767" s="295">
        <v>2024</v>
      </c>
      <c r="B3767" s="295">
        <v>8</v>
      </c>
      <c r="C3767" s="295" t="s">
        <v>426</v>
      </c>
      <c r="D3767" s="295" t="s">
        <v>1</v>
      </c>
      <c r="E3767" s="296">
        <v>1.0620220900594732</v>
      </c>
    </row>
    <row r="3768" spans="1:5" x14ac:dyDescent="0.3">
      <c r="A3768" s="295">
        <v>2024</v>
      </c>
      <c r="B3768" s="295">
        <v>8</v>
      </c>
      <c r="C3768" s="295" t="s">
        <v>426</v>
      </c>
      <c r="D3768" s="295" t="s">
        <v>2</v>
      </c>
      <c r="E3768" s="296">
        <v>1.1774679728711379</v>
      </c>
    </row>
    <row r="3769" spans="1:5" x14ac:dyDescent="0.3">
      <c r="A3769" s="295">
        <v>2024</v>
      </c>
      <c r="B3769" s="295">
        <v>8</v>
      </c>
      <c r="C3769" s="295" t="s">
        <v>426</v>
      </c>
      <c r="D3769" s="295" t="s">
        <v>259</v>
      </c>
      <c r="E3769" s="296">
        <v>0.89337561977933622</v>
      </c>
    </row>
    <row r="3770" spans="1:5" x14ac:dyDescent="0.3">
      <c r="A3770" s="295">
        <v>2024</v>
      </c>
      <c r="B3770" s="295">
        <v>8</v>
      </c>
      <c r="C3770" s="295" t="s">
        <v>426</v>
      </c>
      <c r="D3770" s="295" t="s">
        <v>85</v>
      </c>
      <c r="E3770" s="296">
        <v>6.6010957818997946</v>
      </c>
    </row>
    <row r="3771" spans="1:5" x14ac:dyDescent="0.3">
      <c r="A3771" s="295">
        <v>2024</v>
      </c>
      <c r="B3771" s="295">
        <v>8</v>
      </c>
      <c r="C3771" s="295" t="s">
        <v>426</v>
      </c>
      <c r="D3771" s="295" t="s">
        <v>101</v>
      </c>
      <c r="E3771" s="296">
        <v>23.105360443622921</v>
      </c>
    </row>
    <row r="3772" spans="1:5" x14ac:dyDescent="0.3">
      <c r="A3772" s="295">
        <v>2024</v>
      </c>
      <c r="B3772" s="295">
        <v>8</v>
      </c>
      <c r="C3772" s="295" t="s">
        <v>426</v>
      </c>
      <c r="D3772" s="295" t="s">
        <v>179</v>
      </c>
      <c r="E3772" s="296">
        <v>1075.2688172043011</v>
      </c>
    </row>
    <row r="3773" spans="1:5" x14ac:dyDescent="0.3">
      <c r="A3773" s="295">
        <v>2024</v>
      </c>
      <c r="B3773" s="295">
        <v>8</v>
      </c>
      <c r="C3773" s="295" t="s">
        <v>426</v>
      </c>
      <c r="D3773" s="295" t="s">
        <v>352</v>
      </c>
      <c r="E3773" s="296">
        <v>8.3458521115005837</v>
      </c>
    </row>
    <row r="3774" spans="1:5" x14ac:dyDescent="0.3">
      <c r="A3774" s="295">
        <v>2024</v>
      </c>
      <c r="B3774" s="295">
        <v>8</v>
      </c>
      <c r="C3774" s="295" t="s">
        <v>1</v>
      </c>
      <c r="D3774" s="295" t="s">
        <v>1</v>
      </c>
      <c r="E3774" s="296">
        <v>1</v>
      </c>
    </row>
    <row r="3775" spans="1:5" x14ac:dyDescent="0.3">
      <c r="A3775" s="295">
        <v>2024</v>
      </c>
      <c r="B3775" s="295">
        <v>8</v>
      </c>
      <c r="C3775" s="295" t="s">
        <v>2</v>
      </c>
      <c r="D3775" s="295" t="s">
        <v>2</v>
      </c>
      <c r="E3775" s="296">
        <v>1</v>
      </c>
    </row>
    <row r="3776" spans="1:5" x14ac:dyDescent="0.3">
      <c r="A3776" s="295">
        <v>2024</v>
      </c>
      <c r="B3776" s="295">
        <v>8</v>
      </c>
      <c r="C3776" s="295" t="s">
        <v>259</v>
      </c>
      <c r="D3776" s="295" t="s">
        <v>259</v>
      </c>
      <c r="E3776" s="296">
        <v>1</v>
      </c>
    </row>
    <row r="3777" spans="1:5" x14ac:dyDescent="0.3">
      <c r="A3777" s="295">
        <v>2024</v>
      </c>
      <c r="B3777" s="295">
        <v>8</v>
      </c>
      <c r="C3777" s="295" t="s">
        <v>85</v>
      </c>
      <c r="D3777" s="295" t="s">
        <v>85</v>
      </c>
      <c r="E3777" s="296">
        <v>1</v>
      </c>
    </row>
    <row r="3778" spans="1:5" x14ac:dyDescent="0.3">
      <c r="A3778" s="295">
        <v>2024</v>
      </c>
      <c r="B3778" s="295">
        <v>8</v>
      </c>
      <c r="C3778" s="295" t="s">
        <v>101</v>
      </c>
      <c r="D3778" s="295" t="s">
        <v>101</v>
      </c>
      <c r="E3778" s="296">
        <v>1</v>
      </c>
    </row>
    <row r="3779" spans="1:5" x14ac:dyDescent="0.3">
      <c r="A3779" s="295">
        <v>2024</v>
      </c>
      <c r="B3779" s="295">
        <v>8</v>
      </c>
      <c r="C3779" s="295" t="s">
        <v>179</v>
      </c>
      <c r="D3779" s="295" t="s">
        <v>179</v>
      </c>
      <c r="E3779" s="296">
        <v>1</v>
      </c>
    </row>
    <row r="3780" spans="1:5" x14ac:dyDescent="0.3">
      <c r="A3780" s="295">
        <v>2024</v>
      </c>
      <c r="B3780" s="295">
        <v>8</v>
      </c>
      <c r="C3780" s="295" t="s">
        <v>352</v>
      </c>
      <c r="D3780" s="295" t="s">
        <v>352</v>
      </c>
      <c r="E3780" s="296">
        <v>1</v>
      </c>
    </row>
    <row r="3781" spans="1:5" x14ac:dyDescent="0.3">
      <c r="A3781" s="295">
        <v>2024</v>
      </c>
      <c r="B3781" s="295">
        <v>8</v>
      </c>
      <c r="C3781" s="295" t="s">
        <v>426</v>
      </c>
      <c r="D3781" s="295" t="s">
        <v>426</v>
      </c>
      <c r="E3781" s="296">
        <v>1</v>
      </c>
    </row>
    <row r="3782" spans="1:5" x14ac:dyDescent="0.3">
      <c r="A3782" s="295">
        <v>2024</v>
      </c>
      <c r="B3782" s="295">
        <v>9</v>
      </c>
      <c r="C3782" s="295" t="s">
        <v>1</v>
      </c>
      <c r="D3782" s="295" t="s">
        <v>2</v>
      </c>
      <c r="E3782" s="296">
        <v>1.1195999999999999</v>
      </c>
    </row>
    <row r="3783" spans="1:5" x14ac:dyDescent="0.3">
      <c r="A3783" s="295">
        <v>2024</v>
      </c>
      <c r="B3783" s="295">
        <v>9</v>
      </c>
      <c r="C3783" s="295" t="s">
        <v>1</v>
      </c>
      <c r="D3783" s="295" t="s">
        <v>259</v>
      </c>
      <c r="E3783" s="296">
        <v>0.83543000000000001</v>
      </c>
    </row>
    <row r="3784" spans="1:5" x14ac:dyDescent="0.3">
      <c r="A3784" s="295">
        <v>2024</v>
      </c>
      <c r="B3784" s="295">
        <v>9</v>
      </c>
      <c r="C3784" s="295" t="s">
        <v>1</v>
      </c>
      <c r="D3784" s="295" t="s">
        <v>85</v>
      </c>
      <c r="E3784" s="296">
        <v>6.0503999999999998</v>
      </c>
    </row>
    <row r="3785" spans="1:5" x14ac:dyDescent="0.3">
      <c r="A3785" s="295">
        <v>2024</v>
      </c>
      <c r="B3785" s="295">
        <v>9</v>
      </c>
      <c r="C3785" s="295" t="s">
        <v>1</v>
      </c>
      <c r="D3785" s="295" t="s">
        <v>101</v>
      </c>
      <c r="E3785" s="296">
        <v>21.984200000000001</v>
      </c>
    </row>
    <row r="3786" spans="1:5" x14ac:dyDescent="0.3">
      <c r="A3786" s="295">
        <v>2024</v>
      </c>
      <c r="B3786" s="295">
        <v>9</v>
      </c>
      <c r="C3786" s="295" t="s">
        <v>1</v>
      </c>
      <c r="D3786" s="295" t="s">
        <v>179</v>
      </c>
      <c r="E3786" s="296">
        <v>1006.073</v>
      </c>
    </row>
    <row r="3787" spans="1:5" x14ac:dyDescent="0.3">
      <c r="A3787" s="295">
        <v>2024</v>
      </c>
      <c r="B3787" s="295">
        <v>9</v>
      </c>
      <c r="C3787" s="295" t="s">
        <v>1</v>
      </c>
      <c r="D3787" s="295" t="s">
        <v>352</v>
      </c>
      <c r="E3787" s="296">
        <v>7.8510999999999997</v>
      </c>
    </row>
    <row r="3788" spans="1:5" x14ac:dyDescent="0.3">
      <c r="A3788" s="295">
        <v>2024</v>
      </c>
      <c r="B3788" s="295">
        <v>9</v>
      </c>
      <c r="C3788" s="295" t="s">
        <v>1</v>
      </c>
      <c r="D3788" s="295" t="s">
        <v>426</v>
      </c>
      <c r="E3788" s="296">
        <v>0.94389999999999996</v>
      </c>
    </row>
    <row r="3789" spans="1:5" x14ac:dyDescent="0.3">
      <c r="A3789" s="295">
        <v>2024</v>
      </c>
      <c r="B3789" s="295">
        <v>9</v>
      </c>
      <c r="C3789" s="295" t="s">
        <v>1</v>
      </c>
      <c r="D3789" s="295" t="s">
        <v>427</v>
      </c>
      <c r="E3789" s="296">
        <v>11.3</v>
      </c>
    </row>
    <row r="3790" spans="1:5" x14ac:dyDescent="0.3">
      <c r="A3790" s="295">
        <v>2024</v>
      </c>
      <c r="B3790" s="295">
        <v>9</v>
      </c>
      <c r="C3790" s="295" t="s">
        <v>1</v>
      </c>
      <c r="D3790" s="295" t="s">
        <v>429</v>
      </c>
      <c r="E3790" s="296">
        <v>4.2</v>
      </c>
    </row>
    <row r="3791" spans="1:5" x14ac:dyDescent="0.3">
      <c r="A3791" s="295">
        <v>2024</v>
      </c>
      <c r="B3791" s="295">
        <v>9</v>
      </c>
      <c r="C3791" s="295" t="s">
        <v>2</v>
      </c>
      <c r="D3791" s="295" t="s">
        <v>1</v>
      </c>
      <c r="E3791" s="296">
        <v>0.8931761343336907</v>
      </c>
    </row>
    <row r="3792" spans="1:5" x14ac:dyDescent="0.3">
      <c r="A3792" s="295">
        <v>2024</v>
      </c>
      <c r="B3792" s="295">
        <v>9</v>
      </c>
      <c r="C3792" s="295" t="s">
        <v>2</v>
      </c>
      <c r="D3792" s="295" t="s">
        <v>259</v>
      </c>
      <c r="E3792" s="296">
        <v>0.74619000000000002</v>
      </c>
    </row>
    <row r="3793" spans="1:5" x14ac:dyDescent="0.3">
      <c r="A3793" s="295">
        <v>2024</v>
      </c>
      <c r="B3793" s="295">
        <v>9</v>
      </c>
      <c r="C3793" s="295" t="s">
        <v>2</v>
      </c>
      <c r="D3793" s="295" t="s">
        <v>85</v>
      </c>
      <c r="E3793" s="296">
        <v>5.4040699999999999</v>
      </c>
    </row>
    <row r="3794" spans="1:5" x14ac:dyDescent="0.3">
      <c r="A3794" s="295">
        <v>2024</v>
      </c>
      <c r="B3794" s="295">
        <v>9</v>
      </c>
      <c r="C3794" s="295" t="s">
        <v>2</v>
      </c>
      <c r="D3794" s="295" t="s">
        <v>101</v>
      </c>
      <c r="E3794" s="296">
        <v>19.635760000000001</v>
      </c>
    </row>
    <row r="3795" spans="1:5" x14ac:dyDescent="0.3">
      <c r="A3795" s="295">
        <v>2024</v>
      </c>
      <c r="B3795" s="295">
        <v>9</v>
      </c>
      <c r="C3795" s="295" t="s">
        <v>2</v>
      </c>
      <c r="D3795" s="295" t="s">
        <v>179</v>
      </c>
      <c r="E3795" s="296">
        <v>898.60038999999995</v>
      </c>
    </row>
    <row r="3796" spans="1:5" x14ac:dyDescent="0.3">
      <c r="A3796" s="295">
        <v>2024</v>
      </c>
      <c r="B3796" s="295">
        <v>9</v>
      </c>
      <c r="C3796" s="295" t="s">
        <v>2</v>
      </c>
      <c r="D3796" s="295" t="s">
        <v>352</v>
      </c>
      <c r="E3796" s="296">
        <v>7.0124199999999997</v>
      </c>
    </row>
    <row r="3797" spans="1:5" x14ac:dyDescent="0.3">
      <c r="A3797" s="295">
        <v>2024</v>
      </c>
      <c r="B3797" s="295">
        <v>9</v>
      </c>
      <c r="C3797" s="295" t="s">
        <v>2</v>
      </c>
      <c r="D3797" s="295" t="s">
        <v>426</v>
      </c>
      <c r="E3797" s="296">
        <v>0.84306999999999999</v>
      </c>
    </row>
    <row r="3798" spans="1:5" x14ac:dyDescent="0.3">
      <c r="A3798" s="295">
        <v>2024</v>
      </c>
      <c r="B3798" s="295">
        <v>9</v>
      </c>
      <c r="C3798" s="295" t="s">
        <v>2</v>
      </c>
      <c r="D3798" s="295" t="s">
        <v>427</v>
      </c>
      <c r="E3798" s="296">
        <v>10.092890000000001</v>
      </c>
    </row>
    <row r="3799" spans="1:5" x14ac:dyDescent="0.3">
      <c r="A3799" s="295">
        <v>2024</v>
      </c>
      <c r="B3799" s="295">
        <v>9</v>
      </c>
      <c r="C3799" s="295" t="s">
        <v>2</v>
      </c>
      <c r="D3799" s="295" t="s">
        <v>429</v>
      </c>
      <c r="E3799" s="296">
        <v>3.7513399999999999</v>
      </c>
    </row>
    <row r="3800" spans="1:5" x14ac:dyDescent="0.3">
      <c r="A3800" s="295">
        <v>2024</v>
      </c>
      <c r="B3800" s="295">
        <v>9</v>
      </c>
      <c r="C3800" s="295" t="s">
        <v>259</v>
      </c>
      <c r="D3800" s="295" t="s">
        <v>1</v>
      </c>
      <c r="E3800" s="296">
        <v>1.1969883772428569</v>
      </c>
    </row>
    <row r="3801" spans="1:5" x14ac:dyDescent="0.3">
      <c r="A3801" s="295">
        <v>2024</v>
      </c>
      <c r="B3801" s="295">
        <v>9</v>
      </c>
      <c r="C3801" s="295" t="s">
        <v>259</v>
      </c>
      <c r="D3801" s="295" t="s">
        <v>2</v>
      </c>
      <c r="E3801" s="296">
        <v>1.3401412508878436</v>
      </c>
    </row>
    <row r="3802" spans="1:5" x14ac:dyDescent="0.3">
      <c r="A3802" s="295">
        <v>2024</v>
      </c>
      <c r="B3802" s="295">
        <v>9</v>
      </c>
      <c r="C3802" s="295" t="s">
        <v>259</v>
      </c>
      <c r="D3802" s="295" t="s">
        <v>85</v>
      </c>
      <c r="E3802" s="296">
        <v>7.2422599999999999</v>
      </c>
    </row>
    <row r="3803" spans="1:5" x14ac:dyDescent="0.3">
      <c r="A3803" s="295">
        <v>2024</v>
      </c>
      <c r="B3803" s="295">
        <v>9</v>
      </c>
      <c r="C3803" s="295" t="s">
        <v>259</v>
      </c>
      <c r="D3803" s="295" t="s">
        <v>101</v>
      </c>
      <c r="E3803" s="296">
        <v>26.314830000000001</v>
      </c>
    </row>
    <row r="3804" spans="1:5" x14ac:dyDescent="0.3">
      <c r="A3804" s="295">
        <v>2024</v>
      </c>
      <c r="B3804" s="295">
        <v>9</v>
      </c>
      <c r="C3804" s="295" t="s">
        <v>259</v>
      </c>
      <c r="D3804" s="295" t="s">
        <v>179</v>
      </c>
      <c r="E3804" s="296">
        <v>1204.2576899999999</v>
      </c>
    </row>
    <row r="3805" spans="1:5" x14ac:dyDescent="0.3">
      <c r="A3805" s="295">
        <v>2024</v>
      </c>
      <c r="B3805" s="295">
        <v>9</v>
      </c>
      <c r="C3805" s="295" t="s">
        <v>259</v>
      </c>
      <c r="D3805" s="295" t="s">
        <v>352</v>
      </c>
      <c r="E3805" s="296">
        <v>9.3976799999999994</v>
      </c>
    </row>
    <row r="3806" spans="1:5" x14ac:dyDescent="0.3">
      <c r="A3806" s="295">
        <v>2024</v>
      </c>
      <c r="B3806" s="295">
        <v>9</v>
      </c>
      <c r="C3806" s="295" t="s">
        <v>259</v>
      </c>
      <c r="D3806" s="295" t="s">
        <v>426</v>
      </c>
      <c r="E3806" s="296">
        <v>1.12984</v>
      </c>
    </row>
    <row r="3807" spans="1:5" x14ac:dyDescent="0.3">
      <c r="A3807" s="295">
        <v>2024</v>
      </c>
      <c r="B3807" s="295">
        <v>9</v>
      </c>
      <c r="C3807" s="295" t="s">
        <v>259</v>
      </c>
      <c r="D3807" s="295" t="s">
        <v>427</v>
      </c>
      <c r="E3807" s="296">
        <v>13.525969999999999</v>
      </c>
    </row>
    <row r="3808" spans="1:5" x14ac:dyDescent="0.3">
      <c r="A3808" s="295">
        <v>2024</v>
      </c>
      <c r="B3808" s="295">
        <v>9</v>
      </c>
      <c r="C3808" s="295" t="s">
        <v>259</v>
      </c>
      <c r="D3808" s="295" t="s">
        <v>429</v>
      </c>
      <c r="E3808" s="296">
        <v>5.0273500000000002</v>
      </c>
    </row>
    <row r="3809" spans="1:5" x14ac:dyDescent="0.3">
      <c r="A3809" s="295">
        <v>2024</v>
      </c>
      <c r="B3809" s="295">
        <v>9</v>
      </c>
      <c r="C3809" s="295" t="s">
        <v>85</v>
      </c>
      <c r="D3809" s="295" t="s">
        <v>1</v>
      </c>
      <c r="E3809" s="296">
        <v>0.16527832870554013</v>
      </c>
    </row>
    <row r="3810" spans="1:5" x14ac:dyDescent="0.3">
      <c r="A3810" s="295">
        <v>2024</v>
      </c>
      <c r="B3810" s="295">
        <v>9</v>
      </c>
      <c r="C3810" s="295" t="s">
        <v>85</v>
      </c>
      <c r="D3810" s="295" t="s">
        <v>2</v>
      </c>
      <c r="E3810" s="296">
        <v>0.18504571554402516</v>
      </c>
    </row>
    <row r="3811" spans="1:5" x14ac:dyDescent="0.3">
      <c r="A3811" s="295">
        <v>2024</v>
      </c>
      <c r="B3811" s="295">
        <v>9</v>
      </c>
      <c r="C3811" s="295" t="s">
        <v>85</v>
      </c>
      <c r="D3811" s="295" t="s">
        <v>259</v>
      </c>
      <c r="E3811" s="296">
        <v>0.13807844512624512</v>
      </c>
    </row>
    <row r="3812" spans="1:5" x14ac:dyDescent="0.3">
      <c r="A3812" s="295">
        <v>2024</v>
      </c>
      <c r="B3812" s="295">
        <v>9</v>
      </c>
      <c r="C3812" s="295" t="s">
        <v>85</v>
      </c>
      <c r="D3812" s="295" t="s">
        <v>101</v>
      </c>
      <c r="E3812" s="296">
        <v>3.6335099999999998</v>
      </c>
    </row>
    <row r="3813" spans="1:5" x14ac:dyDescent="0.3">
      <c r="A3813" s="295">
        <v>2024</v>
      </c>
      <c r="B3813" s="295">
        <v>9</v>
      </c>
      <c r="C3813" s="295" t="s">
        <v>85</v>
      </c>
      <c r="D3813" s="295" t="s">
        <v>179</v>
      </c>
      <c r="E3813" s="296">
        <v>166.28206</v>
      </c>
    </row>
    <row r="3814" spans="1:5" x14ac:dyDescent="0.3">
      <c r="A3814" s="295">
        <v>2024</v>
      </c>
      <c r="B3814" s="295">
        <v>9</v>
      </c>
      <c r="C3814" s="295" t="s">
        <v>85</v>
      </c>
      <c r="D3814" s="295" t="s">
        <v>352</v>
      </c>
      <c r="E3814" s="296">
        <v>1.29762</v>
      </c>
    </row>
    <row r="3815" spans="1:5" x14ac:dyDescent="0.3">
      <c r="A3815" s="295">
        <v>2024</v>
      </c>
      <c r="B3815" s="295">
        <v>9</v>
      </c>
      <c r="C3815" s="295" t="s">
        <v>85</v>
      </c>
      <c r="D3815" s="295" t="s">
        <v>426</v>
      </c>
      <c r="E3815" s="296">
        <v>0.15601000000000001</v>
      </c>
    </row>
    <row r="3816" spans="1:5" x14ac:dyDescent="0.3">
      <c r="A3816" s="295">
        <v>2024</v>
      </c>
      <c r="B3816" s="295">
        <v>9</v>
      </c>
      <c r="C3816" s="295" t="s">
        <v>85</v>
      </c>
      <c r="D3816" s="295" t="s">
        <v>427</v>
      </c>
      <c r="E3816" s="296">
        <v>1.86765</v>
      </c>
    </row>
    <row r="3817" spans="1:5" x14ac:dyDescent="0.3">
      <c r="A3817" s="295">
        <v>2024</v>
      </c>
      <c r="B3817" s="295">
        <v>9</v>
      </c>
      <c r="C3817" s="295" t="s">
        <v>85</v>
      </c>
      <c r="D3817" s="295" t="s">
        <v>429</v>
      </c>
      <c r="E3817" s="296">
        <v>0.69416999999999995</v>
      </c>
    </row>
    <row r="3818" spans="1:5" x14ac:dyDescent="0.3">
      <c r="A3818" s="295">
        <v>2024</v>
      </c>
      <c r="B3818" s="295">
        <v>9</v>
      </c>
      <c r="C3818" s="295" t="s">
        <v>101</v>
      </c>
      <c r="D3818" s="295" t="s">
        <v>1</v>
      </c>
      <c r="E3818" s="296">
        <v>4.5487213544272702E-2</v>
      </c>
    </row>
    <row r="3819" spans="1:5" x14ac:dyDescent="0.3">
      <c r="A3819" s="295">
        <v>2024</v>
      </c>
      <c r="B3819" s="295">
        <v>9</v>
      </c>
      <c r="C3819" s="295" t="s">
        <v>101</v>
      </c>
      <c r="D3819" s="295" t="s">
        <v>2</v>
      </c>
      <c r="E3819" s="296">
        <v>5.0927491474737921E-2</v>
      </c>
    </row>
    <row r="3820" spans="1:5" x14ac:dyDescent="0.3">
      <c r="A3820" s="295">
        <v>2024</v>
      </c>
      <c r="B3820" s="295">
        <v>9</v>
      </c>
      <c r="C3820" s="295" t="s">
        <v>101</v>
      </c>
      <c r="D3820" s="295" t="s">
        <v>259</v>
      </c>
      <c r="E3820" s="296">
        <v>3.8001385530516442E-2</v>
      </c>
    </row>
    <row r="3821" spans="1:5" x14ac:dyDescent="0.3">
      <c r="A3821" s="295">
        <v>2024</v>
      </c>
      <c r="B3821" s="295">
        <v>9</v>
      </c>
      <c r="C3821" s="295" t="s">
        <v>101</v>
      </c>
      <c r="D3821" s="295" t="s">
        <v>85</v>
      </c>
      <c r="E3821" s="296">
        <v>0.27521597573695961</v>
      </c>
    </row>
    <row r="3822" spans="1:5" x14ac:dyDescent="0.3">
      <c r="A3822" s="295">
        <v>2024</v>
      </c>
      <c r="B3822" s="295">
        <v>9</v>
      </c>
      <c r="C3822" s="295" t="s">
        <v>101</v>
      </c>
      <c r="D3822" s="295" t="s">
        <v>179</v>
      </c>
      <c r="E3822" s="296">
        <v>45.763460000000002</v>
      </c>
    </row>
    <row r="3823" spans="1:5" x14ac:dyDescent="0.3">
      <c r="A3823" s="295">
        <v>2024</v>
      </c>
      <c r="B3823" s="295">
        <v>9</v>
      </c>
      <c r="C3823" s="295" t="s">
        <v>101</v>
      </c>
      <c r="D3823" s="295" t="s">
        <v>352</v>
      </c>
      <c r="E3823" s="296">
        <v>0.35711999999999999</v>
      </c>
    </row>
    <row r="3824" spans="1:5" x14ac:dyDescent="0.3">
      <c r="A3824" s="295">
        <v>2024</v>
      </c>
      <c r="B3824" s="295">
        <v>9</v>
      </c>
      <c r="C3824" s="295" t="s">
        <v>101</v>
      </c>
      <c r="D3824" s="295" t="s">
        <v>426</v>
      </c>
      <c r="E3824" s="296">
        <v>4.2939999999999999E-2</v>
      </c>
    </row>
    <row r="3825" spans="1:5" x14ac:dyDescent="0.3">
      <c r="A3825" s="295">
        <v>2024</v>
      </c>
      <c r="B3825" s="295">
        <v>9</v>
      </c>
      <c r="C3825" s="295" t="s">
        <v>101</v>
      </c>
      <c r="D3825" s="295" t="s">
        <v>427</v>
      </c>
      <c r="E3825" s="296">
        <v>0.51400999999999997</v>
      </c>
    </row>
    <row r="3826" spans="1:5" x14ac:dyDescent="0.3">
      <c r="A3826" s="295">
        <v>2024</v>
      </c>
      <c r="B3826" s="295">
        <v>9</v>
      </c>
      <c r="C3826" s="295" t="s">
        <v>101</v>
      </c>
      <c r="D3826" s="295" t="s">
        <v>429</v>
      </c>
      <c r="E3826" s="296">
        <v>0.19105</v>
      </c>
    </row>
    <row r="3827" spans="1:5" x14ac:dyDescent="0.3">
      <c r="A3827" s="295">
        <v>2024</v>
      </c>
      <c r="B3827" s="295">
        <v>9</v>
      </c>
      <c r="C3827" s="295" t="s">
        <v>179</v>
      </c>
      <c r="D3827" s="295" t="s">
        <v>1</v>
      </c>
      <c r="E3827" s="296">
        <v>9.9396365870071056E-4</v>
      </c>
    </row>
    <row r="3828" spans="1:5" x14ac:dyDescent="0.3">
      <c r="A3828" s="295">
        <v>2024</v>
      </c>
      <c r="B3828" s="295">
        <v>9</v>
      </c>
      <c r="C3828" s="295" t="s">
        <v>179</v>
      </c>
      <c r="D3828" s="295" t="s">
        <v>2</v>
      </c>
      <c r="E3828" s="296">
        <v>1.1128417159934686E-3</v>
      </c>
    </row>
    <row r="3829" spans="1:5" x14ac:dyDescent="0.3">
      <c r="A3829" s="295">
        <v>2024</v>
      </c>
      <c r="B3829" s="295">
        <v>9</v>
      </c>
      <c r="C3829" s="295" t="s">
        <v>179</v>
      </c>
      <c r="D3829" s="295" t="s">
        <v>259</v>
      </c>
      <c r="E3829" s="296">
        <v>8.3038705777332435E-4</v>
      </c>
    </row>
    <row r="3830" spans="1:5" x14ac:dyDescent="0.3">
      <c r="A3830" s="295">
        <v>2024</v>
      </c>
      <c r="B3830" s="295">
        <v>9</v>
      </c>
      <c r="C3830" s="295" t="s">
        <v>179</v>
      </c>
      <c r="D3830" s="295" t="s">
        <v>85</v>
      </c>
      <c r="E3830" s="296">
        <v>6.0138778651166579E-3</v>
      </c>
    </row>
    <row r="3831" spans="1:5" x14ac:dyDescent="0.3">
      <c r="A3831" s="295">
        <v>2024</v>
      </c>
      <c r="B3831" s="295">
        <v>9</v>
      </c>
      <c r="C3831" s="295" t="s">
        <v>179</v>
      </c>
      <c r="D3831" s="295" t="s">
        <v>101</v>
      </c>
      <c r="E3831" s="296">
        <v>2.1851494620380538E-2</v>
      </c>
    </row>
    <row r="3832" spans="1:5" x14ac:dyDescent="0.3">
      <c r="A3832" s="295">
        <v>2024</v>
      </c>
      <c r="B3832" s="295">
        <v>9</v>
      </c>
      <c r="C3832" s="295" t="s">
        <v>179</v>
      </c>
      <c r="D3832" s="295" t="s">
        <v>352</v>
      </c>
      <c r="E3832" s="296">
        <v>7.7999999999999996E-3</v>
      </c>
    </row>
    <row r="3833" spans="1:5" x14ac:dyDescent="0.3">
      <c r="A3833" s="295">
        <v>2024</v>
      </c>
      <c r="B3833" s="295">
        <v>9</v>
      </c>
      <c r="C3833" s="295" t="s">
        <v>179</v>
      </c>
      <c r="D3833" s="295" t="s">
        <v>426</v>
      </c>
      <c r="E3833" s="296">
        <v>9.3999999999999997E-4</v>
      </c>
    </row>
    <row r="3834" spans="1:5" x14ac:dyDescent="0.3">
      <c r="A3834" s="295">
        <v>2024</v>
      </c>
      <c r="B3834" s="295">
        <v>9</v>
      </c>
      <c r="C3834" s="295" t="s">
        <v>179</v>
      </c>
      <c r="D3834" s="295" t="s">
        <v>427</v>
      </c>
      <c r="E3834" s="296">
        <v>1.123E-2</v>
      </c>
    </row>
    <row r="3835" spans="1:5" x14ac:dyDescent="0.3">
      <c r="A3835" s="295">
        <v>2024</v>
      </c>
      <c r="B3835" s="295">
        <v>9</v>
      </c>
      <c r="C3835" s="295" t="s">
        <v>179</v>
      </c>
      <c r="D3835" s="295" t="s">
        <v>429</v>
      </c>
      <c r="E3835" s="296">
        <v>4.1700000000000001E-3</v>
      </c>
    </row>
    <row r="3836" spans="1:5" x14ac:dyDescent="0.3">
      <c r="A3836" s="295">
        <v>2024</v>
      </c>
      <c r="B3836" s="295">
        <v>9</v>
      </c>
      <c r="C3836" s="295" t="s">
        <v>352</v>
      </c>
      <c r="D3836" s="295" t="s">
        <v>1</v>
      </c>
      <c r="E3836" s="296">
        <v>0.12737068691011452</v>
      </c>
    </row>
    <row r="3837" spans="1:5" x14ac:dyDescent="0.3">
      <c r="A3837" s="295">
        <v>2024</v>
      </c>
      <c r="B3837" s="295">
        <v>9</v>
      </c>
      <c r="C3837" s="295" t="s">
        <v>352</v>
      </c>
      <c r="D3837" s="295" t="s">
        <v>2</v>
      </c>
      <c r="E3837" s="296">
        <v>0.14260412239997033</v>
      </c>
    </row>
    <row r="3838" spans="1:5" x14ac:dyDescent="0.3">
      <c r="A3838" s="295">
        <v>2024</v>
      </c>
      <c r="B3838" s="295">
        <v>9</v>
      </c>
      <c r="C3838" s="295" t="s">
        <v>352</v>
      </c>
      <c r="D3838" s="295" t="s">
        <v>259</v>
      </c>
      <c r="E3838" s="296">
        <v>0.1064092414297997</v>
      </c>
    </row>
    <row r="3839" spans="1:5" x14ac:dyDescent="0.3">
      <c r="A3839" s="295">
        <v>2024</v>
      </c>
      <c r="B3839" s="295">
        <v>9</v>
      </c>
      <c r="C3839" s="295" t="s">
        <v>352</v>
      </c>
      <c r="D3839" s="295" t="s">
        <v>85</v>
      </c>
      <c r="E3839" s="296">
        <v>0.77064163622632209</v>
      </c>
    </row>
    <row r="3840" spans="1:5" x14ac:dyDescent="0.3">
      <c r="A3840" s="295">
        <v>2024</v>
      </c>
      <c r="B3840" s="295">
        <v>9</v>
      </c>
      <c r="C3840" s="295" t="s">
        <v>352</v>
      </c>
      <c r="D3840" s="295" t="s">
        <v>101</v>
      </c>
      <c r="E3840" s="296">
        <v>2.8001792114695343</v>
      </c>
    </row>
    <row r="3841" spans="1:5" x14ac:dyDescent="0.3">
      <c r="A3841" s="295">
        <v>2024</v>
      </c>
      <c r="B3841" s="295">
        <v>9</v>
      </c>
      <c r="C3841" s="295" t="s">
        <v>352</v>
      </c>
      <c r="D3841" s="295" t="s">
        <v>179</v>
      </c>
      <c r="E3841" s="296">
        <v>128.2051282051282</v>
      </c>
    </row>
    <row r="3842" spans="1:5" x14ac:dyDescent="0.3">
      <c r="A3842" s="295">
        <v>2024</v>
      </c>
      <c r="B3842" s="295">
        <v>9</v>
      </c>
      <c r="C3842" s="295" t="s">
        <v>352</v>
      </c>
      <c r="D3842" s="295" t="s">
        <v>426</v>
      </c>
      <c r="E3842" s="296">
        <v>0.12023</v>
      </c>
    </row>
    <row r="3843" spans="1:5" x14ac:dyDescent="0.3">
      <c r="A3843" s="295">
        <v>2024</v>
      </c>
      <c r="B3843" s="295">
        <v>9</v>
      </c>
      <c r="C3843" s="295" t="s">
        <v>352</v>
      </c>
      <c r="D3843" s="295" t="s">
        <v>427</v>
      </c>
      <c r="E3843" s="296">
        <v>1.43929</v>
      </c>
    </row>
    <row r="3844" spans="1:5" x14ac:dyDescent="0.3">
      <c r="A3844" s="295">
        <v>2024</v>
      </c>
      <c r="B3844" s="295">
        <v>9</v>
      </c>
      <c r="C3844" s="295" t="s">
        <v>352</v>
      </c>
      <c r="D3844" s="295" t="s">
        <v>429</v>
      </c>
      <c r="E3844" s="296">
        <v>0.53495999999999999</v>
      </c>
    </row>
    <row r="3845" spans="1:5" x14ac:dyDescent="0.3">
      <c r="A3845" s="295">
        <v>2024</v>
      </c>
      <c r="B3845" s="295">
        <v>9</v>
      </c>
      <c r="C3845" s="295" t="s">
        <v>426</v>
      </c>
      <c r="D3845" s="295" t="s">
        <v>1</v>
      </c>
      <c r="E3845" s="296">
        <v>1.0594342621040365</v>
      </c>
    </row>
    <row r="3846" spans="1:5" x14ac:dyDescent="0.3">
      <c r="A3846" s="295">
        <v>2024</v>
      </c>
      <c r="B3846" s="295">
        <v>9</v>
      </c>
      <c r="C3846" s="295" t="s">
        <v>426</v>
      </c>
      <c r="D3846" s="295" t="s">
        <v>2</v>
      </c>
      <c r="E3846" s="296">
        <v>1.1861411270712989</v>
      </c>
    </row>
    <row r="3847" spans="1:5" x14ac:dyDescent="0.3">
      <c r="A3847" s="295">
        <v>2024</v>
      </c>
      <c r="B3847" s="295">
        <v>9</v>
      </c>
      <c r="C3847" s="295" t="s">
        <v>426</v>
      </c>
      <c r="D3847" s="295" t="s">
        <v>259</v>
      </c>
      <c r="E3847" s="296">
        <v>0.88508107342632591</v>
      </c>
    </row>
    <row r="3848" spans="1:5" x14ac:dyDescent="0.3">
      <c r="A3848" s="295">
        <v>2024</v>
      </c>
      <c r="B3848" s="295">
        <v>9</v>
      </c>
      <c r="C3848" s="295" t="s">
        <v>426</v>
      </c>
      <c r="D3848" s="295" t="s">
        <v>85</v>
      </c>
      <c r="E3848" s="296">
        <v>6.4098455227229021</v>
      </c>
    </row>
    <row r="3849" spans="1:5" x14ac:dyDescent="0.3">
      <c r="A3849" s="295">
        <v>2024</v>
      </c>
      <c r="B3849" s="295">
        <v>9</v>
      </c>
      <c r="C3849" s="295" t="s">
        <v>426</v>
      </c>
      <c r="D3849" s="295" t="s">
        <v>101</v>
      </c>
      <c r="E3849" s="296">
        <v>23.288309268747089</v>
      </c>
    </row>
    <row r="3850" spans="1:5" x14ac:dyDescent="0.3">
      <c r="A3850" s="295">
        <v>2024</v>
      </c>
      <c r="B3850" s="295">
        <v>9</v>
      </c>
      <c r="C3850" s="295" t="s">
        <v>426</v>
      </c>
      <c r="D3850" s="295" t="s">
        <v>179</v>
      </c>
      <c r="E3850" s="296">
        <v>1063.8297872340427</v>
      </c>
    </row>
    <row r="3851" spans="1:5" x14ac:dyDescent="0.3">
      <c r="A3851" s="295">
        <v>2024</v>
      </c>
      <c r="B3851" s="295">
        <v>9</v>
      </c>
      <c r="C3851" s="295" t="s">
        <v>426</v>
      </c>
      <c r="D3851" s="295" t="s">
        <v>352</v>
      </c>
      <c r="E3851" s="296">
        <v>8.3173916659735507</v>
      </c>
    </row>
    <row r="3852" spans="1:5" x14ac:dyDescent="0.3">
      <c r="A3852" s="295">
        <v>2024</v>
      </c>
      <c r="B3852" s="295">
        <v>9</v>
      </c>
      <c r="C3852" s="295" t="s">
        <v>426</v>
      </c>
      <c r="D3852" s="295" t="s">
        <v>427</v>
      </c>
      <c r="E3852" s="296">
        <v>11.97161</v>
      </c>
    </row>
    <row r="3853" spans="1:5" x14ac:dyDescent="0.3">
      <c r="A3853" s="295">
        <v>2024</v>
      </c>
      <c r="B3853" s="295">
        <v>9</v>
      </c>
      <c r="C3853" s="295" t="s">
        <v>426</v>
      </c>
      <c r="D3853" s="295" t="s">
        <v>429</v>
      </c>
      <c r="E3853" s="296">
        <v>4.4496200000000004</v>
      </c>
    </row>
    <row r="3854" spans="1:5" x14ac:dyDescent="0.3">
      <c r="A3854" s="295">
        <v>2024</v>
      </c>
      <c r="B3854" s="295">
        <v>9</v>
      </c>
      <c r="C3854" s="295" t="s">
        <v>427</v>
      </c>
      <c r="D3854" s="295" t="s">
        <v>1</v>
      </c>
      <c r="E3854" s="296">
        <v>8.8495575221238937E-2</v>
      </c>
    </row>
    <row r="3855" spans="1:5" x14ac:dyDescent="0.3">
      <c r="A3855" s="295">
        <v>2024</v>
      </c>
      <c r="B3855" s="295">
        <v>9</v>
      </c>
      <c r="C3855" s="295" t="s">
        <v>427</v>
      </c>
      <c r="D3855" s="295" t="s">
        <v>2</v>
      </c>
      <c r="E3855" s="296">
        <v>9.9079649139146464E-2</v>
      </c>
    </row>
    <row r="3856" spans="1:5" x14ac:dyDescent="0.3">
      <c r="A3856" s="295">
        <v>2024</v>
      </c>
      <c r="B3856" s="295">
        <v>9</v>
      </c>
      <c r="C3856" s="295" t="s">
        <v>427</v>
      </c>
      <c r="D3856" s="295" t="s">
        <v>259</v>
      </c>
      <c r="E3856" s="296">
        <v>7.3931851098294615E-2</v>
      </c>
    </row>
    <row r="3857" spans="1:5" x14ac:dyDescent="0.3">
      <c r="A3857" s="295">
        <v>2024</v>
      </c>
      <c r="B3857" s="295">
        <v>9</v>
      </c>
      <c r="C3857" s="295" t="s">
        <v>427</v>
      </c>
      <c r="D3857" s="295" t="s">
        <v>85</v>
      </c>
      <c r="E3857" s="296">
        <v>0.53543222766578324</v>
      </c>
    </row>
    <row r="3858" spans="1:5" x14ac:dyDescent="0.3">
      <c r="A3858" s="295">
        <v>2024</v>
      </c>
      <c r="B3858" s="295">
        <v>9</v>
      </c>
      <c r="C3858" s="295" t="s">
        <v>427</v>
      </c>
      <c r="D3858" s="295" t="s">
        <v>101</v>
      </c>
      <c r="E3858" s="296">
        <v>1.9454874418785628</v>
      </c>
    </row>
    <row r="3859" spans="1:5" x14ac:dyDescent="0.3">
      <c r="A3859" s="295">
        <v>2024</v>
      </c>
      <c r="B3859" s="295">
        <v>9</v>
      </c>
      <c r="C3859" s="295" t="s">
        <v>427</v>
      </c>
      <c r="D3859" s="295" t="s">
        <v>179</v>
      </c>
      <c r="E3859" s="296">
        <v>89.047195013357083</v>
      </c>
    </row>
    <row r="3860" spans="1:5" x14ac:dyDescent="0.3">
      <c r="A3860" s="295">
        <v>2024</v>
      </c>
      <c r="B3860" s="295">
        <v>9</v>
      </c>
      <c r="C3860" s="295" t="s">
        <v>427</v>
      </c>
      <c r="D3860" s="295" t="s">
        <v>352</v>
      </c>
      <c r="E3860" s="296">
        <v>0.6947870130411522</v>
      </c>
    </row>
    <row r="3861" spans="1:5" x14ac:dyDescent="0.3">
      <c r="A3861" s="295">
        <v>2024</v>
      </c>
      <c r="B3861" s="295">
        <v>9</v>
      </c>
      <c r="C3861" s="295" t="s">
        <v>427</v>
      </c>
      <c r="D3861" s="295" t="s">
        <v>426</v>
      </c>
      <c r="E3861" s="296">
        <v>8.353095364783851E-2</v>
      </c>
    </row>
    <row r="3862" spans="1:5" x14ac:dyDescent="0.3">
      <c r="A3862" s="295">
        <v>2024</v>
      </c>
      <c r="B3862" s="295">
        <v>9</v>
      </c>
      <c r="C3862" s="295" t="s">
        <v>427</v>
      </c>
      <c r="D3862" s="295" t="s">
        <v>429</v>
      </c>
      <c r="E3862" s="296">
        <v>0.37168000000000001</v>
      </c>
    </row>
    <row r="3863" spans="1:5" x14ac:dyDescent="0.3">
      <c r="A3863" s="295">
        <v>2024</v>
      </c>
      <c r="B3863" s="295">
        <v>9</v>
      </c>
      <c r="C3863" s="295" t="s">
        <v>429</v>
      </c>
      <c r="D3863" s="295" t="s">
        <v>1</v>
      </c>
      <c r="E3863" s="296">
        <v>0.23809523809523808</v>
      </c>
    </row>
    <row r="3864" spans="1:5" x14ac:dyDescent="0.3">
      <c r="A3864" s="295">
        <v>2024</v>
      </c>
      <c r="B3864" s="295">
        <v>9</v>
      </c>
      <c r="C3864" s="295" t="s">
        <v>429</v>
      </c>
      <c r="D3864" s="295" t="s">
        <v>2</v>
      </c>
      <c r="E3864" s="296">
        <v>0.26657141181551125</v>
      </c>
    </row>
    <row r="3865" spans="1:5" x14ac:dyDescent="0.3">
      <c r="A3865" s="295">
        <v>2024</v>
      </c>
      <c r="B3865" s="295">
        <v>9</v>
      </c>
      <c r="C3865" s="295" t="s">
        <v>429</v>
      </c>
      <c r="D3865" s="295" t="s">
        <v>259</v>
      </c>
      <c r="E3865" s="296">
        <v>0.19891195162461336</v>
      </c>
    </row>
    <row r="3866" spans="1:5" x14ac:dyDescent="0.3">
      <c r="A3866" s="295">
        <v>2024</v>
      </c>
      <c r="B3866" s="295">
        <v>9</v>
      </c>
      <c r="C3866" s="295" t="s">
        <v>429</v>
      </c>
      <c r="D3866" s="295" t="s">
        <v>85</v>
      </c>
      <c r="E3866" s="296">
        <v>1.4405693129924948</v>
      </c>
    </row>
    <row r="3867" spans="1:5" x14ac:dyDescent="0.3">
      <c r="A3867" s="295">
        <v>2024</v>
      </c>
      <c r="B3867" s="295">
        <v>9</v>
      </c>
      <c r="C3867" s="295" t="s">
        <v>429</v>
      </c>
      <c r="D3867" s="295" t="s">
        <v>101</v>
      </c>
      <c r="E3867" s="296">
        <v>5.2342318764721281</v>
      </c>
    </row>
    <row r="3868" spans="1:5" x14ac:dyDescent="0.3">
      <c r="A3868" s="295">
        <v>2024</v>
      </c>
      <c r="B3868" s="295">
        <v>9</v>
      </c>
      <c r="C3868" s="295" t="s">
        <v>429</v>
      </c>
      <c r="D3868" s="295" t="s">
        <v>179</v>
      </c>
      <c r="E3868" s="296">
        <v>239.80815347721821</v>
      </c>
    </row>
    <row r="3869" spans="1:5" x14ac:dyDescent="0.3">
      <c r="A3869" s="295">
        <v>2024</v>
      </c>
      <c r="B3869" s="295">
        <v>9</v>
      </c>
      <c r="C3869" s="295" t="s">
        <v>429</v>
      </c>
      <c r="D3869" s="295" t="s">
        <v>352</v>
      </c>
      <c r="E3869" s="296">
        <v>1.8692986391505908</v>
      </c>
    </row>
    <row r="3870" spans="1:5" x14ac:dyDescent="0.3">
      <c r="A3870" s="295">
        <v>2024</v>
      </c>
      <c r="B3870" s="295">
        <v>9</v>
      </c>
      <c r="C3870" s="295" t="s">
        <v>429</v>
      </c>
      <c r="D3870" s="295" t="s">
        <v>426</v>
      </c>
      <c r="E3870" s="296">
        <v>0.22473829225866476</v>
      </c>
    </row>
    <row r="3871" spans="1:5" x14ac:dyDescent="0.3">
      <c r="A3871" s="295">
        <v>2024</v>
      </c>
      <c r="B3871" s="295">
        <v>9</v>
      </c>
      <c r="C3871" s="295" t="s">
        <v>429</v>
      </c>
      <c r="D3871" s="295" t="s">
        <v>427</v>
      </c>
      <c r="E3871" s="296">
        <v>2.6904864399483426</v>
      </c>
    </row>
    <row r="3872" spans="1:5" x14ac:dyDescent="0.3">
      <c r="A3872" s="295">
        <v>2024</v>
      </c>
      <c r="B3872" s="295">
        <v>9</v>
      </c>
      <c r="C3872" s="295" t="s">
        <v>1</v>
      </c>
      <c r="D3872" s="295" t="s">
        <v>1</v>
      </c>
      <c r="E3872" s="296">
        <v>1</v>
      </c>
    </row>
    <row r="3873" spans="1:5" x14ac:dyDescent="0.3">
      <c r="A3873" s="295">
        <v>2024</v>
      </c>
      <c r="B3873" s="295">
        <v>9</v>
      </c>
      <c r="C3873" s="295" t="s">
        <v>2</v>
      </c>
      <c r="D3873" s="295" t="s">
        <v>2</v>
      </c>
      <c r="E3873" s="296">
        <v>1</v>
      </c>
    </row>
    <row r="3874" spans="1:5" x14ac:dyDescent="0.3">
      <c r="A3874" s="295">
        <v>2024</v>
      </c>
      <c r="B3874" s="295">
        <v>9</v>
      </c>
      <c r="C3874" s="295" t="s">
        <v>259</v>
      </c>
      <c r="D3874" s="295" t="s">
        <v>259</v>
      </c>
      <c r="E3874" s="296">
        <v>1</v>
      </c>
    </row>
    <row r="3875" spans="1:5" x14ac:dyDescent="0.3">
      <c r="A3875" s="295">
        <v>2024</v>
      </c>
      <c r="B3875" s="295">
        <v>9</v>
      </c>
      <c r="C3875" s="295" t="s">
        <v>85</v>
      </c>
      <c r="D3875" s="295" t="s">
        <v>85</v>
      </c>
      <c r="E3875" s="296">
        <v>1</v>
      </c>
    </row>
    <row r="3876" spans="1:5" x14ac:dyDescent="0.3">
      <c r="A3876" s="295">
        <v>2024</v>
      </c>
      <c r="B3876" s="295">
        <v>9</v>
      </c>
      <c r="C3876" s="295" t="s">
        <v>101</v>
      </c>
      <c r="D3876" s="295" t="s">
        <v>101</v>
      </c>
      <c r="E3876" s="296">
        <v>1</v>
      </c>
    </row>
    <row r="3877" spans="1:5" x14ac:dyDescent="0.3">
      <c r="A3877" s="295">
        <v>2024</v>
      </c>
      <c r="B3877" s="295">
        <v>9</v>
      </c>
      <c r="C3877" s="295" t="s">
        <v>179</v>
      </c>
      <c r="D3877" s="295" t="s">
        <v>179</v>
      </c>
      <c r="E3877" s="296">
        <v>1</v>
      </c>
    </row>
    <row r="3878" spans="1:5" x14ac:dyDescent="0.3">
      <c r="A3878" s="295">
        <v>2024</v>
      </c>
      <c r="B3878" s="295">
        <v>9</v>
      </c>
      <c r="C3878" s="295" t="s">
        <v>352</v>
      </c>
      <c r="D3878" s="295" t="s">
        <v>352</v>
      </c>
      <c r="E3878" s="296">
        <v>1</v>
      </c>
    </row>
    <row r="3879" spans="1:5" x14ac:dyDescent="0.3">
      <c r="A3879" s="295">
        <v>2024</v>
      </c>
      <c r="B3879" s="295">
        <v>9</v>
      </c>
      <c r="C3879" s="295" t="s">
        <v>426</v>
      </c>
      <c r="D3879" s="295" t="s">
        <v>426</v>
      </c>
      <c r="E3879" s="296">
        <v>1</v>
      </c>
    </row>
    <row r="3880" spans="1:5" x14ac:dyDescent="0.3">
      <c r="A3880" s="295">
        <v>2024</v>
      </c>
      <c r="B3880" s="295">
        <v>9</v>
      </c>
      <c r="C3880" s="295" t="s">
        <v>427</v>
      </c>
      <c r="D3880" s="295" t="s">
        <v>427</v>
      </c>
      <c r="E3880" s="296">
        <v>1</v>
      </c>
    </row>
    <row r="3881" spans="1:5" x14ac:dyDescent="0.3">
      <c r="A3881" s="295">
        <v>2024</v>
      </c>
      <c r="B3881" s="295">
        <v>9</v>
      </c>
      <c r="C3881" s="295" t="s">
        <v>429</v>
      </c>
      <c r="D3881" s="295" t="s">
        <v>429</v>
      </c>
      <c r="E3881" s="296">
        <v>1</v>
      </c>
    </row>
    <row r="3882" spans="1:5" x14ac:dyDescent="0.3">
      <c r="A3882" s="295">
        <v>2024</v>
      </c>
      <c r="B3882" s="295">
        <v>10</v>
      </c>
      <c r="C3882" s="295" t="s">
        <v>1</v>
      </c>
      <c r="D3882" s="295" t="s">
        <v>2</v>
      </c>
      <c r="E3882" s="296">
        <v>1.0882000000000001</v>
      </c>
    </row>
    <row r="3883" spans="1:5" x14ac:dyDescent="0.3">
      <c r="A3883" s="295">
        <v>2024</v>
      </c>
      <c r="B3883" s="295">
        <v>10</v>
      </c>
      <c r="C3883" s="295" t="s">
        <v>1</v>
      </c>
      <c r="D3883" s="295" t="s">
        <v>259</v>
      </c>
      <c r="E3883" s="296">
        <v>0.83753</v>
      </c>
    </row>
    <row r="3884" spans="1:5" x14ac:dyDescent="0.3">
      <c r="A3884" s="295">
        <v>2024</v>
      </c>
      <c r="B3884" s="295">
        <v>10</v>
      </c>
      <c r="C3884" s="295" t="s">
        <v>1</v>
      </c>
      <c r="D3884" s="295" t="s">
        <v>85</v>
      </c>
      <c r="E3884" s="296">
        <v>6.2634999999999996</v>
      </c>
    </row>
    <row r="3885" spans="1:5" x14ac:dyDescent="0.3">
      <c r="A3885" s="295">
        <v>2024</v>
      </c>
      <c r="B3885" s="295">
        <v>10</v>
      </c>
      <c r="C3885" s="295" t="s">
        <v>1</v>
      </c>
      <c r="D3885" s="295" t="s">
        <v>101</v>
      </c>
      <c r="E3885" s="296">
        <v>21.808700000000002</v>
      </c>
    </row>
    <row r="3886" spans="1:5" x14ac:dyDescent="0.3">
      <c r="A3886" s="295">
        <v>2024</v>
      </c>
      <c r="B3886" s="295">
        <v>10</v>
      </c>
      <c r="C3886" s="295" t="s">
        <v>1</v>
      </c>
      <c r="D3886" s="295" t="s">
        <v>179</v>
      </c>
      <c r="E3886" s="296">
        <v>1006.073</v>
      </c>
    </row>
    <row r="3887" spans="1:5" x14ac:dyDescent="0.3">
      <c r="A3887" s="295">
        <v>2024</v>
      </c>
      <c r="B3887" s="295">
        <v>10</v>
      </c>
      <c r="C3887" s="295" t="s">
        <v>1</v>
      </c>
      <c r="D3887" s="295" t="s">
        <v>352</v>
      </c>
      <c r="E3887" s="296">
        <v>7.7435999999999998</v>
      </c>
    </row>
    <row r="3888" spans="1:5" x14ac:dyDescent="0.3">
      <c r="A3888" s="295">
        <v>2024</v>
      </c>
      <c r="B3888" s="295">
        <v>10</v>
      </c>
      <c r="C3888" s="295" t="s">
        <v>1</v>
      </c>
      <c r="D3888" s="295" t="s">
        <v>426</v>
      </c>
      <c r="E3888" s="296">
        <v>0.94120000000000004</v>
      </c>
    </row>
    <row r="3889" spans="1:5" x14ac:dyDescent="0.3">
      <c r="A3889" s="295">
        <v>2024</v>
      </c>
      <c r="B3889" s="295">
        <v>10</v>
      </c>
      <c r="C3889" s="295" t="s">
        <v>1</v>
      </c>
      <c r="D3889" s="295" t="s">
        <v>427</v>
      </c>
      <c r="E3889" s="296">
        <v>11.630800000000001</v>
      </c>
    </row>
    <row r="3890" spans="1:5" x14ac:dyDescent="0.3">
      <c r="A3890" s="295">
        <v>2024</v>
      </c>
      <c r="B3890" s="295">
        <v>10</v>
      </c>
      <c r="C3890" s="295" t="s">
        <v>1</v>
      </c>
      <c r="D3890" s="295" t="s">
        <v>429</v>
      </c>
      <c r="E3890" s="296">
        <v>4.2</v>
      </c>
    </row>
    <row r="3891" spans="1:5" x14ac:dyDescent="0.3">
      <c r="A3891" s="295">
        <v>2024</v>
      </c>
      <c r="B3891" s="295">
        <v>10</v>
      </c>
      <c r="C3891" s="295" t="s">
        <v>2</v>
      </c>
      <c r="D3891" s="295" t="s">
        <v>1</v>
      </c>
      <c r="E3891" s="296">
        <v>0.91894872266127547</v>
      </c>
    </row>
    <row r="3892" spans="1:5" x14ac:dyDescent="0.3">
      <c r="A3892" s="295">
        <v>2024</v>
      </c>
      <c r="B3892" s="295">
        <v>10</v>
      </c>
      <c r="C3892" s="295" t="s">
        <v>2</v>
      </c>
      <c r="D3892" s="295" t="s">
        <v>259</v>
      </c>
      <c r="E3892" s="296">
        <v>0.76964999999999995</v>
      </c>
    </row>
    <row r="3893" spans="1:5" x14ac:dyDescent="0.3">
      <c r="A3893" s="295">
        <v>2024</v>
      </c>
      <c r="B3893" s="295">
        <v>10</v>
      </c>
      <c r="C3893" s="295" t="s">
        <v>2</v>
      </c>
      <c r="D3893" s="295" t="s">
        <v>85</v>
      </c>
      <c r="E3893" s="296">
        <v>5.7558400000000001</v>
      </c>
    </row>
    <row r="3894" spans="1:5" x14ac:dyDescent="0.3">
      <c r="A3894" s="295">
        <v>2024</v>
      </c>
      <c r="B3894" s="295">
        <v>10</v>
      </c>
      <c r="C3894" s="295" t="s">
        <v>2</v>
      </c>
      <c r="D3894" s="295" t="s">
        <v>101</v>
      </c>
      <c r="E3894" s="296">
        <v>20.041080000000001</v>
      </c>
    </row>
    <row r="3895" spans="1:5" x14ac:dyDescent="0.3">
      <c r="A3895" s="295">
        <v>2024</v>
      </c>
      <c r="B3895" s="295">
        <v>10</v>
      </c>
      <c r="C3895" s="295" t="s">
        <v>2</v>
      </c>
      <c r="D3895" s="295" t="s">
        <v>179</v>
      </c>
      <c r="E3895" s="296">
        <v>924.52949999999998</v>
      </c>
    </row>
    <row r="3896" spans="1:5" x14ac:dyDescent="0.3">
      <c r="A3896" s="295">
        <v>2024</v>
      </c>
      <c r="B3896" s="295">
        <v>10</v>
      </c>
      <c r="C3896" s="295" t="s">
        <v>2</v>
      </c>
      <c r="D3896" s="295" t="s">
        <v>352</v>
      </c>
      <c r="E3896" s="296">
        <v>7.1159699999999999</v>
      </c>
    </row>
    <row r="3897" spans="1:5" x14ac:dyDescent="0.3">
      <c r="A3897" s="295">
        <v>2024</v>
      </c>
      <c r="B3897" s="295">
        <v>10</v>
      </c>
      <c r="C3897" s="295" t="s">
        <v>2</v>
      </c>
      <c r="D3897" s="295" t="s">
        <v>426</v>
      </c>
      <c r="E3897" s="296">
        <v>0.86490999999999996</v>
      </c>
    </row>
    <row r="3898" spans="1:5" x14ac:dyDescent="0.3">
      <c r="A3898" s="295">
        <v>2024</v>
      </c>
      <c r="B3898" s="295">
        <v>10</v>
      </c>
      <c r="C3898" s="295" t="s">
        <v>2</v>
      </c>
      <c r="D3898" s="295" t="s">
        <v>427</v>
      </c>
      <c r="E3898" s="296">
        <v>10.68811</v>
      </c>
    </row>
    <row r="3899" spans="1:5" x14ac:dyDescent="0.3">
      <c r="A3899" s="295">
        <v>2024</v>
      </c>
      <c r="B3899" s="295">
        <v>10</v>
      </c>
      <c r="C3899" s="295" t="s">
        <v>2</v>
      </c>
      <c r="D3899" s="295" t="s">
        <v>429</v>
      </c>
      <c r="E3899" s="296">
        <v>3.8595799999999998</v>
      </c>
    </row>
    <row r="3900" spans="1:5" x14ac:dyDescent="0.3">
      <c r="A3900" s="295">
        <v>2024</v>
      </c>
      <c r="B3900" s="295">
        <v>10</v>
      </c>
      <c r="C3900" s="295" t="s">
        <v>259</v>
      </c>
      <c r="D3900" s="295" t="s">
        <v>1</v>
      </c>
      <c r="E3900" s="296">
        <v>1.193987081059783</v>
      </c>
    </row>
    <row r="3901" spans="1:5" x14ac:dyDescent="0.3">
      <c r="A3901" s="295">
        <v>2024</v>
      </c>
      <c r="B3901" s="295">
        <v>10</v>
      </c>
      <c r="C3901" s="295" t="s">
        <v>259</v>
      </c>
      <c r="D3901" s="295" t="s">
        <v>2</v>
      </c>
      <c r="E3901" s="296">
        <v>1.2992918859221725</v>
      </c>
    </row>
    <row r="3902" spans="1:5" x14ac:dyDescent="0.3">
      <c r="A3902" s="295">
        <v>2024</v>
      </c>
      <c r="B3902" s="295">
        <v>10</v>
      </c>
      <c r="C3902" s="295" t="s">
        <v>259</v>
      </c>
      <c r="D3902" s="295" t="s">
        <v>85</v>
      </c>
      <c r="E3902" s="296">
        <v>7.4785399999999997</v>
      </c>
    </row>
    <row r="3903" spans="1:5" x14ac:dyDescent="0.3">
      <c r="A3903" s="295">
        <v>2024</v>
      </c>
      <c r="B3903" s="295">
        <v>10</v>
      </c>
      <c r="C3903" s="295" t="s">
        <v>259</v>
      </c>
      <c r="D3903" s="295" t="s">
        <v>101</v>
      </c>
      <c r="E3903" s="296">
        <v>26.03931</v>
      </c>
    </row>
    <row r="3904" spans="1:5" x14ac:dyDescent="0.3">
      <c r="A3904" s="295">
        <v>2024</v>
      </c>
      <c r="B3904" s="295">
        <v>10</v>
      </c>
      <c r="C3904" s="295" t="s">
        <v>259</v>
      </c>
      <c r="D3904" s="295" t="s">
        <v>179</v>
      </c>
      <c r="E3904" s="296">
        <v>1201.2381600000001</v>
      </c>
    </row>
    <row r="3905" spans="1:5" x14ac:dyDescent="0.3">
      <c r="A3905" s="295">
        <v>2024</v>
      </c>
      <c r="B3905" s="295">
        <v>10</v>
      </c>
      <c r="C3905" s="295" t="s">
        <v>259</v>
      </c>
      <c r="D3905" s="295" t="s">
        <v>352</v>
      </c>
      <c r="E3905" s="296">
        <v>9.2457600000000006</v>
      </c>
    </row>
    <row r="3906" spans="1:5" x14ac:dyDescent="0.3">
      <c r="A3906" s="295">
        <v>2024</v>
      </c>
      <c r="B3906" s="295">
        <v>10</v>
      </c>
      <c r="C3906" s="295" t="s">
        <v>259</v>
      </c>
      <c r="D3906" s="295" t="s">
        <v>426</v>
      </c>
      <c r="E3906" s="296">
        <v>1.12378</v>
      </c>
    </row>
    <row r="3907" spans="1:5" x14ac:dyDescent="0.3">
      <c r="A3907" s="295">
        <v>2024</v>
      </c>
      <c r="B3907" s="295">
        <v>10</v>
      </c>
      <c r="C3907" s="295" t="s">
        <v>259</v>
      </c>
      <c r="D3907" s="295" t="s">
        <v>427</v>
      </c>
      <c r="E3907" s="296">
        <v>13.88702</v>
      </c>
    </row>
    <row r="3908" spans="1:5" x14ac:dyDescent="0.3">
      <c r="A3908" s="295">
        <v>2024</v>
      </c>
      <c r="B3908" s="295">
        <v>10</v>
      </c>
      <c r="C3908" s="295" t="s">
        <v>259</v>
      </c>
      <c r="D3908" s="295" t="s">
        <v>429</v>
      </c>
      <c r="E3908" s="296">
        <v>5.0147500000000003</v>
      </c>
    </row>
    <row r="3909" spans="1:5" x14ac:dyDescent="0.3">
      <c r="A3909" s="295">
        <v>2024</v>
      </c>
      <c r="B3909" s="295">
        <v>10</v>
      </c>
      <c r="C3909" s="295" t="s">
        <v>85</v>
      </c>
      <c r="D3909" s="295" t="s">
        <v>1</v>
      </c>
      <c r="E3909" s="296">
        <v>0.15965514488704399</v>
      </c>
    </row>
    <row r="3910" spans="1:5" x14ac:dyDescent="0.3">
      <c r="A3910" s="295">
        <v>2024</v>
      </c>
      <c r="B3910" s="295">
        <v>10</v>
      </c>
      <c r="C3910" s="295" t="s">
        <v>85</v>
      </c>
      <c r="D3910" s="295" t="s">
        <v>2</v>
      </c>
      <c r="E3910" s="296">
        <v>0.17373658753544227</v>
      </c>
    </row>
    <row r="3911" spans="1:5" x14ac:dyDescent="0.3">
      <c r="A3911" s="295">
        <v>2024</v>
      </c>
      <c r="B3911" s="295">
        <v>10</v>
      </c>
      <c r="C3911" s="295" t="s">
        <v>85</v>
      </c>
      <c r="D3911" s="295" t="s">
        <v>259</v>
      </c>
      <c r="E3911" s="296">
        <v>0.13371593920738539</v>
      </c>
    </row>
    <row r="3912" spans="1:5" x14ac:dyDescent="0.3">
      <c r="A3912" s="295">
        <v>2024</v>
      </c>
      <c r="B3912" s="295">
        <v>10</v>
      </c>
      <c r="C3912" s="295" t="s">
        <v>85</v>
      </c>
      <c r="D3912" s="295" t="s">
        <v>101</v>
      </c>
      <c r="E3912" s="296">
        <v>3.4818699999999998</v>
      </c>
    </row>
    <row r="3913" spans="1:5" x14ac:dyDescent="0.3">
      <c r="A3913" s="295">
        <v>2024</v>
      </c>
      <c r="B3913" s="295">
        <v>10</v>
      </c>
      <c r="C3913" s="295" t="s">
        <v>85</v>
      </c>
      <c r="D3913" s="295" t="s">
        <v>179</v>
      </c>
      <c r="E3913" s="296">
        <v>160.62473</v>
      </c>
    </row>
    <row r="3914" spans="1:5" x14ac:dyDescent="0.3">
      <c r="A3914" s="295">
        <v>2024</v>
      </c>
      <c r="B3914" s="295">
        <v>10</v>
      </c>
      <c r="C3914" s="295" t="s">
        <v>85</v>
      </c>
      <c r="D3914" s="295" t="s">
        <v>352</v>
      </c>
      <c r="E3914" s="296">
        <v>1.23631</v>
      </c>
    </row>
    <row r="3915" spans="1:5" x14ac:dyDescent="0.3">
      <c r="A3915" s="295">
        <v>2024</v>
      </c>
      <c r="B3915" s="295">
        <v>10</v>
      </c>
      <c r="C3915" s="295" t="s">
        <v>85</v>
      </c>
      <c r="D3915" s="295" t="s">
        <v>426</v>
      </c>
      <c r="E3915" s="296">
        <v>0.15026999999999999</v>
      </c>
    </row>
    <row r="3916" spans="1:5" x14ac:dyDescent="0.3">
      <c r="A3916" s="295">
        <v>2024</v>
      </c>
      <c r="B3916" s="295">
        <v>10</v>
      </c>
      <c r="C3916" s="295" t="s">
        <v>85</v>
      </c>
      <c r="D3916" s="295" t="s">
        <v>427</v>
      </c>
      <c r="E3916" s="296">
        <v>1.8569199999999999</v>
      </c>
    </row>
    <row r="3917" spans="1:5" x14ac:dyDescent="0.3">
      <c r="A3917" s="295">
        <v>2024</v>
      </c>
      <c r="B3917" s="295">
        <v>10</v>
      </c>
      <c r="C3917" s="295" t="s">
        <v>85</v>
      </c>
      <c r="D3917" s="295" t="s">
        <v>429</v>
      </c>
      <c r="E3917" s="296">
        <v>0.67054999999999998</v>
      </c>
    </row>
    <row r="3918" spans="1:5" x14ac:dyDescent="0.3">
      <c r="A3918" s="295">
        <v>2024</v>
      </c>
      <c r="B3918" s="295">
        <v>10</v>
      </c>
      <c r="C3918" s="295" t="s">
        <v>101</v>
      </c>
      <c r="D3918" s="295" t="s">
        <v>1</v>
      </c>
      <c r="E3918" s="296">
        <v>4.585326039608046E-2</v>
      </c>
    </row>
    <row r="3919" spans="1:5" x14ac:dyDescent="0.3">
      <c r="A3919" s="295">
        <v>2024</v>
      </c>
      <c r="B3919" s="295">
        <v>10</v>
      </c>
      <c r="C3919" s="295" t="s">
        <v>101</v>
      </c>
      <c r="D3919" s="295" t="s">
        <v>2</v>
      </c>
      <c r="E3919" s="296">
        <v>4.9897510513405463E-2</v>
      </c>
    </row>
    <row r="3920" spans="1:5" x14ac:dyDescent="0.3">
      <c r="A3920" s="295">
        <v>2024</v>
      </c>
      <c r="B3920" s="295">
        <v>10</v>
      </c>
      <c r="C3920" s="295" t="s">
        <v>101</v>
      </c>
      <c r="D3920" s="295" t="s">
        <v>259</v>
      </c>
      <c r="E3920" s="296">
        <v>3.8403475360906263E-2</v>
      </c>
    </row>
    <row r="3921" spans="1:5" x14ac:dyDescent="0.3">
      <c r="A3921" s="295">
        <v>2024</v>
      </c>
      <c r="B3921" s="295">
        <v>10</v>
      </c>
      <c r="C3921" s="295" t="s">
        <v>101</v>
      </c>
      <c r="D3921" s="295" t="s">
        <v>85</v>
      </c>
      <c r="E3921" s="296">
        <v>0.28720199203301677</v>
      </c>
    </row>
    <row r="3922" spans="1:5" x14ac:dyDescent="0.3">
      <c r="A3922" s="295">
        <v>2024</v>
      </c>
      <c r="B3922" s="295">
        <v>10</v>
      </c>
      <c r="C3922" s="295" t="s">
        <v>101</v>
      </c>
      <c r="D3922" s="295" t="s">
        <v>179</v>
      </c>
      <c r="E3922" s="296">
        <v>46.131729999999997</v>
      </c>
    </row>
    <row r="3923" spans="1:5" x14ac:dyDescent="0.3">
      <c r="A3923" s="295">
        <v>2024</v>
      </c>
      <c r="B3923" s="295">
        <v>10</v>
      </c>
      <c r="C3923" s="295" t="s">
        <v>101</v>
      </c>
      <c r="D3923" s="295" t="s">
        <v>352</v>
      </c>
      <c r="E3923" s="296">
        <v>0.35507</v>
      </c>
    </row>
    <row r="3924" spans="1:5" x14ac:dyDescent="0.3">
      <c r="A3924" s="295">
        <v>2024</v>
      </c>
      <c r="B3924" s="295">
        <v>10</v>
      </c>
      <c r="C3924" s="295" t="s">
        <v>101</v>
      </c>
      <c r="D3924" s="295" t="s">
        <v>426</v>
      </c>
      <c r="E3924" s="296">
        <v>4.3159999999999997E-2</v>
      </c>
    </row>
    <row r="3925" spans="1:5" x14ac:dyDescent="0.3">
      <c r="A3925" s="295">
        <v>2024</v>
      </c>
      <c r="B3925" s="295">
        <v>10</v>
      </c>
      <c r="C3925" s="295" t="s">
        <v>101</v>
      </c>
      <c r="D3925" s="295" t="s">
        <v>427</v>
      </c>
      <c r="E3925" s="296">
        <v>0.53330999999999995</v>
      </c>
    </row>
    <row r="3926" spans="1:5" x14ac:dyDescent="0.3">
      <c r="A3926" s="295">
        <v>2024</v>
      </c>
      <c r="B3926" s="295">
        <v>10</v>
      </c>
      <c r="C3926" s="295" t="s">
        <v>101</v>
      </c>
      <c r="D3926" s="295" t="s">
        <v>429</v>
      </c>
      <c r="E3926" s="296">
        <v>0.19258</v>
      </c>
    </row>
    <row r="3927" spans="1:5" x14ac:dyDescent="0.3">
      <c r="A3927" s="295">
        <v>2024</v>
      </c>
      <c r="B3927" s="295">
        <v>10</v>
      </c>
      <c r="C3927" s="295" t="s">
        <v>179</v>
      </c>
      <c r="D3927" s="295" t="s">
        <v>1</v>
      </c>
      <c r="E3927" s="296">
        <v>9.9396365870071056E-4</v>
      </c>
    </row>
    <row r="3928" spans="1:5" x14ac:dyDescent="0.3">
      <c r="A3928" s="295">
        <v>2024</v>
      </c>
      <c r="B3928" s="295">
        <v>10</v>
      </c>
      <c r="C3928" s="295" t="s">
        <v>179</v>
      </c>
      <c r="D3928" s="295" t="s">
        <v>2</v>
      </c>
      <c r="E3928" s="296">
        <v>1.0816312513554191E-3</v>
      </c>
    </row>
    <row r="3929" spans="1:5" x14ac:dyDescent="0.3">
      <c r="A3929" s="295">
        <v>2024</v>
      </c>
      <c r="B3929" s="295">
        <v>10</v>
      </c>
      <c r="C3929" s="295" t="s">
        <v>179</v>
      </c>
      <c r="D3929" s="295" t="s">
        <v>259</v>
      </c>
      <c r="E3929" s="296">
        <v>8.3247438626158851E-4</v>
      </c>
    </row>
    <row r="3930" spans="1:5" x14ac:dyDescent="0.3">
      <c r="A3930" s="295">
        <v>2024</v>
      </c>
      <c r="B3930" s="295">
        <v>10</v>
      </c>
      <c r="C3930" s="295" t="s">
        <v>179</v>
      </c>
      <c r="D3930" s="295" t="s">
        <v>85</v>
      </c>
      <c r="E3930" s="296">
        <v>6.2256913988275649E-3</v>
      </c>
    </row>
    <row r="3931" spans="1:5" x14ac:dyDescent="0.3">
      <c r="A3931" s="295">
        <v>2024</v>
      </c>
      <c r="B3931" s="295">
        <v>10</v>
      </c>
      <c r="C3931" s="295" t="s">
        <v>179</v>
      </c>
      <c r="D3931" s="295" t="s">
        <v>101</v>
      </c>
      <c r="E3931" s="296">
        <v>2.1677053949635101E-2</v>
      </c>
    </row>
    <row r="3932" spans="1:5" x14ac:dyDescent="0.3">
      <c r="A3932" s="295">
        <v>2024</v>
      </c>
      <c r="B3932" s="295">
        <v>10</v>
      </c>
      <c r="C3932" s="295" t="s">
        <v>179</v>
      </c>
      <c r="D3932" s="295" t="s">
        <v>352</v>
      </c>
      <c r="E3932" s="296">
        <v>7.7000000000000002E-3</v>
      </c>
    </row>
    <row r="3933" spans="1:5" x14ac:dyDescent="0.3">
      <c r="A3933" s="295">
        <v>2024</v>
      </c>
      <c r="B3933" s="295">
        <v>10</v>
      </c>
      <c r="C3933" s="295" t="s">
        <v>179</v>
      </c>
      <c r="D3933" s="295" t="s">
        <v>426</v>
      </c>
      <c r="E3933" s="296">
        <v>9.3999999999999997E-4</v>
      </c>
    </row>
    <row r="3934" spans="1:5" x14ac:dyDescent="0.3">
      <c r="A3934" s="295">
        <v>2024</v>
      </c>
      <c r="B3934" s="295">
        <v>10</v>
      </c>
      <c r="C3934" s="295" t="s">
        <v>179</v>
      </c>
      <c r="D3934" s="295" t="s">
        <v>427</v>
      </c>
      <c r="E3934" s="296">
        <v>1.1560000000000001E-2</v>
      </c>
    </row>
    <row r="3935" spans="1:5" x14ac:dyDescent="0.3">
      <c r="A3935" s="295">
        <v>2024</v>
      </c>
      <c r="B3935" s="295">
        <v>10</v>
      </c>
      <c r="C3935" s="295" t="s">
        <v>179</v>
      </c>
      <c r="D3935" s="295" t="s">
        <v>429</v>
      </c>
      <c r="E3935" s="296">
        <v>4.1700000000000001E-3</v>
      </c>
    </row>
    <row r="3936" spans="1:5" x14ac:dyDescent="0.3">
      <c r="A3936" s="295">
        <v>2024</v>
      </c>
      <c r="B3936" s="295">
        <v>10</v>
      </c>
      <c r="C3936" s="295" t="s">
        <v>352</v>
      </c>
      <c r="D3936" s="295" t="s">
        <v>1</v>
      </c>
      <c r="E3936" s="296">
        <v>0.12913890180277907</v>
      </c>
    </row>
    <row r="3937" spans="1:5" x14ac:dyDescent="0.3">
      <c r="A3937" s="295">
        <v>2024</v>
      </c>
      <c r="B3937" s="295">
        <v>10</v>
      </c>
      <c r="C3937" s="295" t="s">
        <v>352</v>
      </c>
      <c r="D3937" s="295" t="s">
        <v>2</v>
      </c>
      <c r="E3937" s="296">
        <v>0.14052897918344232</v>
      </c>
    </row>
    <row r="3938" spans="1:5" x14ac:dyDescent="0.3">
      <c r="A3938" s="295">
        <v>2024</v>
      </c>
      <c r="B3938" s="295">
        <v>10</v>
      </c>
      <c r="C3938" s="295" t="s">
        <v>352</v>
      </c>
      <c r="D3938" s="295" t="s">
        <v>259</v>
      </c>
      <c r="E3938" s="296">
        <v>0.10815768525248329</v>
      </c>
    </row>
    <row r="3939" spans="1:5" x14ac:dyDescent="0.3">
      <c r="A3939" s="295">
        <v>2024</v>
      </c>
      <c r="B3939" s="295">
        <v>10</v>
      </c>
      <c r="C3939" s="295" t="s">
        <v>352</v>
      </c>
      <c r="D3939" s="295" t="s">
        <v>85</v>
      </c>
      <c r="E3939" s="296">
        <v>0.80885861960187977</v>
      </c>
    </row>
    <row r="3940" spans="1:5" x14ac:dyDescent="0.3">
      <c r="A3940" s="295">
        <v>2024</v>
      </c>
      <c r="B3940" s="295">
        <v>10</v>
      </c>
      <c r="C3940" s="295" t="s">
        <v>352</v>
      </c>
      <c r="D3940" s="295" t="s">
        <v>101</v>
      </c>
      <c r="E3940" s="296">
        <v>2.8163460726054019</v>
      </c>
    </row>
    <row r="3941" spans="1:5" x14ac:dyDescent="0.3">
      <c r="A3941" s="295">
        <v>2024</v>
      </c>
      <c r="B3941" s="295">
        <v>10</v>
      </c>
      <c r="C3941" s="295" t="s">
        <v>352</v>
      </c>
      <c r="D3941" s="295" t="s">
        <v>179</v>
      </c>
      <c r="E3941" s="296">
        <v>129.87012987012986</v>
      </c>
    </row>
    <row r="3942" spans="1:5" x14ac:dyDescent="0.3">
      <c r="A3942" s="295">
        <v>2024</v>
      </c>
      <c r="B3942" s="295">
        <v>10</v>
      </c>
      <c r="C3942" s="295" t="s">
        <v>352</v>
      </c>
      <c r="D3942" s="295" t="s">
        <v>426</v>
      </c>
      <c r="E3942" s="296">
        <v>0.12155000000000001</v>
      </c>
    </row>
    <row r="3943" spans="1:5" x14ac:dyDescent="0.3">
      <c r="A3943" s="295">
        <v>2024</v>
      </c>
      <c r="B3943" s="295">
        <v>10</v>
      </c>
      <c r="C3943" s="295" t="s">
        <v>352</v>
      </c>
      <c r="D3943" s="295" t="s">
        <v>427</v>
      </c>
      <c r="E3943" s="296">
        <v>1.5019899999999999</v>
      </c>
    </row>
    <row r="3944" spans="1:5" x14ac:dyDescent="0.3">
      <c r="A3944" s="295">
        <v>2024</v>
      </c>
      <c r="B3944" s="295">
        <v>10</v>
      </c>
      <c r="C3944" s="295" t="s">
        <v>352</v>
      </c>
      <c r="D3944" s="295" t="s">
        <v>429</v>
      </c>
      <c r="E3944" s="296">
        <v>0.54237999999999997</v>
      </c>
    </row>
    <row r="3945" spans="1:5" x14ac:dyDescent="0.3">
      <c r="A3945" s="295">
        <v>2024</v>
      </c>
      <c r="B3945" s="295">
        <v>10</v>
      </c>
      <c r="C3945" s="295" t="s">
        <v>426</v>
      </c>
      <c r="D3945" s="295" t="s">
        <v>1</v>
      </c>
      <c r="E3945" s="296">
        <v>1.0624734381640459</v>
      </c>
    </row>
    <row r="3946" spans="1:5" x14ac:dyDescent="0.3">
      <c r="A3946" s="295">
        <v>2024</v>
      </c>
      <c r="B3946" s="295">
        <v>10</v>
      </c>
      <c r="C3946" s="295" t="s">
        <v>426</v>
      </c>
      <c r="D3946" s="295" t="s">
        <v>2</v>
      </c>
      <c r="E3946" s="296">
        <v>1.1561896613520481</v>
      </c>
    </row>
    <row r="3947" spans="1:5" x14ac:dyDescent="0.3">
      <c r="A3947" s="295">
        <v>2024</v>
      </c>
      <c r="B3947" s="295">
        <v>10</v>
      </c>
      <c r="C3947" s="295" t="s">
        <v>426</v>
      </c>
      <c r="D3947" s="295" t="s">
        <v>259</v>
      </c>
      <c r="E3947" s="296">
        <v>0.88985388599192017</v>
      </c>
    </row>
    <row r="3948" spans="1:5" x14ac:dyDescent="0.3">
      <c r="A3948" s="295">
        <v>2024</v>
      </c>
      <c r="B3948" s="295">
        <v>10</v>
      </c>
      <c r="C3948" s="295" t="s">
        <v>426</v>
      </c>
      <c r="D3948" s="295" t="s">
        <v>85</v>
      </c>
      <c r="E3948" s="296">
        <v>6.6546882278565258</v>
      </c>
    </row>
    <row r="3949" spans="1:5" x14ac:dyDescent="0.3">
      <c r="A3949" s="295">
        <v>2024</v>
      </c>
      <c r="B3949" s="295">
        <v>10</v>
      </c>
      <c r="C3949" s="295" t="s">
        <v>426</v>
      </c>
      <c r="D3949" s="295" t="s">
        <v>101</v>
      </c>
      <c r="E3949" s="296">
        <v>23.169601482854496</v>
      </c>
    </row>
    <row r="3950" spans="1:5" x14ac:dyDescent="0.3">
      <c r="A3950" s="295">
        <v>2024</v>
      </c>
      <c r="B3950" s="295">
        <v>10</v>
      </c>
      <c r="C3950" s="295" t="s">
        <v>426</v>
      </c>
      <c r="D3950" s="295" t="s">
        <v>179</v>
      </c>
      <c r="E3950" s="296">
        <v>1063.8297872340427</v>
      </c>
    </row>
    <row r="3951" spans="1:5" x14ac:dyDescent="0.3">
      <c r="A3951" s="295">
        <v>2024</v>
      </c>
      <c r="B3951" s="295">
        <v>10</v>
      </c>
      <c r="C3951" s="295" t="s">
        <v>426</v>
      </c>
      <c r="D3951" s="295" t="s">
        <v>352</v>
      </c>
      <c r="E3951" s="296">
        <v>8.227067050596462</v>
      </c>
    </row>
    <row r="3952" spans="1:5" x14ac:dyDescent="0.3">
      <c r="A3952" s="295">
        <v>2024</v>
      </c>
      <c r="B3952" s="295">
        <v>10</v>
      </c>
      <c r="C3952" s="295" t="s">
        <v>426</v>
      </c>
      <c r="D3952" s="295" t="s">
        <v>427</v>
      </c>
      <c r="E3952" s="296">
        <v>12.357419999999999</v>
      </c>
    </row>
    <row r="3953" spans="1:5" x14ac:dyDescent="0.3">
      <c r="A3953" s="295">
        <v>2024</v>
      </c>
      <c r="B3953" s="295">
        <v>10</v>
      </c>
      <c r="C3953" s="295" t="s">
        <v>426</v>
      </c>
      <c r="D3953" s="295" t="s">
        <v>429</v>
      </c>
      <c r="E3953" s="296">
        <v>4.4623900000000001</v>
      </c>
    </row>
    <row r="3954" spans="1:5" x14ac:dyDescent="0.3">
      <c r="A3954" s="295">
        <v>2024</v>
      </c>
      <c r="B3954" s="295">
        <v>10</v>
      </c>
      <c r="C3954" s="295" t="s">
        <v>427</v>
      </c>
      <c r="D3954" s="295" t="s">
        <v>1</v>
      </c>
      <c r="E3954" s="296">
        <v>8.597860852219967E-2</v>
      </c>
    </row>
    <row r="3955" spans="1:5" x14ac:dyDescent="0.3">
      <c r="A3955" s="295">
        <v>2024</v>
      </c>
      <c r="B3955" s="295">
        <v>10</v>
      </c>
      <c r="C3955" s="295" t="s">
        <v>427</v>
      </c>
      <c r="D3955" s="295" t="s">
        <v>2</v>
      </c>
      <c r="E3955" s="296">
        <v>9.356191132014921E-2</v>
      </c>
    </row>
    <row r="3956" spans="1:5" x14ac:dyDescent="0.3">
      <c r="A3956" s="295">
        <v>2024</v>
      </c>
      <c r="B3956" s="295">
        <v>10</v>
      </c>
      <c r="C3956" s="295" t="s">
        <v>427</v>
      </c>
      <c r="D3956" s="295" t="s">
        <v>259</v>
      </c>
      <c r="E3956" s="296">
        <v>7.200968962383579E-2</v>
      </c>
    </row>
    <row r="3957" spans="1:5" x14ac:dyDescent="0.3">
      <c r="A3957" s="295">
        <v>2024</v>
      </c>
      <c r="B3957" s="295">
        <v>10</v>
      </c>
      <c r="C3957" s="295" t="s">
        <v>427</v>
      </c>
      <c r="D3957" s="295" t="s">
        <v>85</v>
      </c>
      <c r="E3957" s="296">
        <v>0.53852616160093059</v>
      </c>
    </row>
    <row r="3958" spans="1:5" x14ac:dyDescent="0.3">
      <c r="A3958" s="295">
        <v>2024</v>
      </c>
      <c r="B3958" s="295">
        <v>10</v>
      </c>
      <c r="C3958" s="295" t="s">
        <v>427</v>
      </c>
      <c r="D3958" s="295" t="s">
        <v>101</v>
      </c>
      <c r="E3958" s="296">
        <v>1.8750820348390245</v>
      </c>
    </row>
    <row r="3959" spans="1:5" x14ac:dyDescent="0.3">
      <c r="A3959" s="295">
        <v>2024</v>
      </c>
      <c r="B3959" s="295">
        <v>10</v>
      </c>
      <c r="C3959" s="295" t="s">
        <v>427</v>
      </c>
      <c r="D3959" s="295" t="s">
        <v>179</v>
      </c>
      <c r="E3959" s="296">
        <v>86.505190311418673</v>
      </c>
    </row>
    <row r="3960" spans="1:5" x14ac:dyDescent="0.3">
      <c r="A3960" s="295">
        <v>2024</v>
      </c>
      <c r="B3960" s="295">
        <v>10</v>
      </c>
      <c r="C3960" s="295" t="s">
        <v>427</v>
      </c>
      <c r="D3960" s="295" t="s">
        <v>352</v>
      </c>
      <c r="E3960" s="296">
        <v>0.66578339403058606</v>
      </c>
    </row>
    <row r="3961" spans="1:5" x14ac:dyDescent="0.3">
      <c r="A3961" s="295">
        <v>2024</v>
      </c>
      <c r="B3961" s="295">
        <v>10</v>
      </c>
      <c r="C3961" s="295" t="s">
        <v>427</v>
      </c>
      <c r="D3961" s="295" t="s">
        <v>426</v>
      </c>
      <c r="E3961" s="296">
        <v>8.0923040569957166E-2</v>
      </c>
    </row>
    <row r="3962" spans="1:5" x14ac:dyDescent="0.3">
      <c r="A3962" s="295">
        <v>2024</v>
      </c>
      <c r="B3962" s="295">
        <v>10</v>
      </c>
      <c r="C3962" s="295" t="s">
        <v>427</v>
      </c>
      <c r="D3962" s="295" t="s">
        <v>429</v>
      </c>
      <c r="E3962" s="296">
        <v>0.36110999999999999</v>
      </c>
    </row>
    <row r="3963" spans="1:5" x14ac:dyDescent="0.3">
      <c r="A3963" s="295">
        <v>2024</v>
      </c>
      <c r="B3963" s="295">
        <v>10</v>
      </c>
      <c r="C3963" s="295" t="s">
        <v>429</v>
      </c>
      <c r="D3963" s="295" t="s">
        <v>1</v>
      </c>
      <c r="E3963" s="296">
        <v>0.23809523809523808</v>
      </c>
    </row>
    <row r="3964" spans="1:5" x14ac:dyDescent="0.3">
      <c r="A3964" s="295">
        <v>2024</v>
      </c>
      <c r="B3964" s="295">
        <v>10</v>
      </c>
      <c r="C3964" s="295" t="s">
        <v>429</v>
      </c>
      <c r="D3964" s="295" t="s">
        <v>2</v>
      </c>
      <c r="E3964" s="296">
        <v>0.2590955492566549</v>
      </c>
    </row>
    <row r="3965" spans="1:5" x14ac:dyDescent="0.3">
      <c r="A3965" s="295">
        <v>2024</v>
      </c>
      <c r="B3965" s="295">
        <v>10</v>
      </c>
      <c r="C3965" s="295" t="s">
        <v>429</v>
      </c>
      <c r="D3965" s="295" t="s">
        <v>259</v>
      </c>
      <c r="E3965" s="296">
        <v>0.19941173538062715</v>
      </c>
    </row>
    <row r="3966" spans="1:5" x14ac:dyDescent="0.3">
      <c r="A3966" s="295">
        <v>2024</v>
      </c>
      <c r="B3966" s="295">
        <v>10</v>
      </c>
      <c r="C3966" s="295" t="s">
        <v>429</v>
      </c>
      <c r="D3966" s="295" t="s">
        <v>85</v>
      </c>
      <c r="E3966" s="296">
        <v>1.491313101185594</v>
      </c>
    </row>
    <row r="3967" spans="1:5" x14ac:dyDescent="0.3">
      <c r="A3967" s="295">
        <v>2024</v>
      </c>
      <c r="B3967" s="295">
        <v>10</v>
      </c>
      <c r="C3967" s="295" t="s">
        <v>429</v>
      </c>
      <c r="D3967" s="295" t="s">
        <v>101</v>
      </c>
      <c r="E3967" s="296">
        <v>5.1926472115484472</v>
      </c>
    </row>
    <row r="3968" spans="1:5" x14ac:dyDescent="0.3">
      <c r="A3968" s="295">
        <v>2024</v>
      </c>
      <c r="B3968" s="295">
        <v>10</v>
      </c>
      <c r="C3968" s="295" t="s">
        <v>429</v>
      </c>
      <c r="D3968" s="295" t="s">
        <v>179</v>
      </c>
      <c r="E3968" s="296">
        <v>239.80815347721821</v>
      </c>
    </row>
    <row r="3969" spans="1:5" x14ac:dyDescent="0.3">
      <c r="A3969" s="295">
        <v>2024</v>
      </c>
      <c r="B3969" s="295">
        <v>10</v>
      </c>
      <c r="C3969" s="295" t="s">
        <v>429</v>
      </c>
      <c r="D3969" s="295" t="s">
        <v>352</v>
      </c>
      <c r="E3969" s="296">
        <v>1.8437258010988606</v>
      </c>
    </row>
    <row r="3970" spans="1:5" x14ac:dyDescent="0.3">
      <c r="A3970" s="295">
        <v>2024</v>
      </c>
      <c r="B3970" s="295">
        <v>10</v>
      </c>
      <c r="C3970" s="295" t="s">
        <v>429</v>
      </c>
      <c r="D3970" s="295" t="s">
        <v>426</v>
      </c>
      <c r="E3970" s="296">
        <v>0.22409515976864416</v>
      </c>
    </row>
    <row r="3971" spans="1:5" x14ac:dyDescent="0.3">
      <c r="A3971" s="295">
        <v>2024</v>
      </c>
      <c r="B3971" s="295">
        <v>10</v>
      </c>
      <c r="C3971" s="295" t="s">
        <v>429</v>
      </c>
      <c r="D3971" s="295" t="s">
        <v>427</v>
      </c>
      <c r="E3971" s="296">
        <v>2.7692392899670462</v>
      </c>
    </row>
    <row r="3972" spans="1:5" x14ac:dyDescent="0.3">
      <c r="A3972" s="295">
        <v>2024</v>
      </c>
      <c r="B3972" s="295">
        <v>10</v>
      </c>
      <c r="C3972" s="295" t="s">
        <v>1</v>
      </c>
      <c r="D3972" s="295" t="s">
        <v>1</v>
      </c>
      <c r="E3972" s="296">
        <v>1</v>
      </c>
    </row>
    <row r="3973" spans="1:5" x14ac:dyDescent="0.3">
      <c r="A3973" s="295">
        <v>2024</v>
      </c>
      <c r="B3973" s="295">
        <v>10</v>
      </c>
      <c r="C3973" s="295" t="s">
        <v>2</v>
      </c>
      <c r="D3973" s="295" t="s">
        <v>2</v>
      </c>
      <c r="E3973" s="296">
        <v>1</v>
      </c>
    </row>
    <row r="3974" spans="1:5" x14ac:dyDescent="0.3">
      <c r="A3974" s="295">
        <v>2024</v>
      </c>
      <c r="B3974" s="295">
        <v>10</v>
      </c>
      <c r="C3974" s="295" t="s">
        <v>259</v>
      </c>
      <c r="D3974" s="295" t="s">
        <v>259</v>
      </c>
      <c r="E3974" s="296">
        <v>1</v>
      </c>
    </row>
    <row r="3975" spans="1:5" x14ac:dyDescent="0.3">
      <c r="A3975" s="295">
        <v>2024</v>
      </c>
      <c r="B3975" s="295">
        <v>10</v>
      </c>
      <c r="C3975" s="295" t="s">
        <v>85</v>
      </c>
      <c r="D3975" s="295" t="s">
        <v>85</v>
      </c>
      <c r="E3975" s="296">
        <v>1</v>
      </c>
    </row>
    <row r="3976" spans="1:5" x14ac:dyDescent="0.3">
      <c r="A3976" s="295">
        <v>2024</v>
      </c>
      <c r="B3976" s="295">
        <v>10</v>
      </c>
      <c r="C3976" s="295" t="s">
        <v>101</v>
      </c>
      <c r="D3976" s="295" t="s">
        <v>101</v>
      </c>
      <c r="E3976" s="296">
        <v>1</v>
      </c>
    </row>
    <row r="3977" spans="1:5" x14ac:dyDescent="0.3">
      <c r="A3977" s="295">
        <v>2024</v>
      </c>
      <c r="B3977" s="295">
        <v>10</v>
      </c>
      <c r="C3977" s="295" t="s">
        <v>179</v>
      </c>
      <c r="D3977" s="295" t="s">
        <v>179</v>
      </c>
      <c r="E3977" s="296">
        <v>1</v>
      </c>
    </row>
    <row r="3978" spans="1:5" x14ac:dyDescent="0.3">
      <c r="A3978" s="295">
        <v>2024</v>
      </c>
      <c r="B3978" s="295">
        <v>10</v>
      </c>
      <c r="C3978" s="295" t="s">
        <v>352</v>
      </c>
      <c r="D3978" s="295" t="s">
        <v>352</v>
      </c>
      <c r="E3978" s="296">
        <v>1</v>
      </c>
    </row>
    <row r="3979" spans="1:5" x14ac:dyDescent="0.3">
      <c r="A3979" s="295">
        <v>2024</v>
      </c>
      <c r="B3979" s="295">
        <v>10</v>
      </c>
      <c r="C3979" s="295" t="s">
        <v>426</v>
      </c>
      <c r="D3979" s="295" t="s">
        <v>426</v>
      </c>
      <c r="E3979" s="296">
        <v>1</v>
      </c>
    </row>
    <row r="3980" spans="1:5" x14ac:dyDescent="0.3">
      <c r="A3980" s="295">
        <v>2024</v>
      </c>
      <c r="B3980" s="295">
        <v>10</v>
      </c>
      <c r="C3980" s="295" t="s">
        <v>427</v>
      </c>
      <c r="D3980" s="295" t="s">
        <v>427</v>
      </c>
      <c r="E3980" s="296">
        <v>1</v>
      </c>
    </row>
    <row r="3981" spans="1:5" x14ac:dyDescent="0.3">
      <c r="A3981" s="295">
        <v>2024</v>
      </c>
      <c r="B3981" s="295">
        <v>10</v>
      </c>
      <c r="C3981" s="295" t="s">
        <v>429</v>
      </c>
      <c r="D3981" s="295" t="s">
        <v>429</v>
      </c>
      <c r="E3981" s="296">
        <v>1</v>
      </c>
    </row>
    <row r="3982" spans="1:5" x14ac:dyDescent="0.3">
      <c r="A3982" s="295">
        <v>2024</v>
      </c>
      <c r="B3982" s="295">
        <v>11</v>
      </c>
      <c r="C3982" s="295" t="s">
        <v>1</v>
      </c>
      <c r="D3982" s="295" t="s">
        <v>2</v>
      </c>
      <c r="E3982" s="296">
        <v>1.0562</v>
      </c>
    </row>
    <row r="3983" spans="1:5" x14ac:dyDescent="0.3">
      <c r="A3983" s="295">
        <v>2024</v>
      </c>
      <c r="B3983" s="295">
        <v>11</v>
      </c>
      <c r="C3983" s="295" t="s">
        <v>1</v>
      </c>
      <c r="D3983" s="295" t="s">
        <v>259</v>
      </c>
      <c r="E3983" s="296">
        <v>0.83204999999999996</v>
      </c>
    </row>
    <row r="3984" spans="1:5" x14ac:dyDescent="0.3">
      <c r="A3984" s="295">
        <v>2024</v>
      </c>
      <c r="B3984" s="295">
        <v>11</v>
      </c>
      <c r="C3984" s="295" t="s">
        <v>1</v>
      </c>
      <c r="D3984" s="295" t="s">
        <v>85</v>
      </c>
      <c r="E3984" s="296">
        <v>6.4360999999999997</v>
      </c>
    </row>
    <row r="3985" spans="1:5" x14ac:dyDescent="0.3">
      <c r="A3985" s="295">
        <v>2024</v>
      </c>
      <c r="B3985" s="295">
        <v>11</v>
      </c>
      <c r="C3985" s="295" t="s">
        <v>1</v>
      </c>
      <c r="D3985" s="295" t="s">
        <v>101</v>
      </c>
      <c r="E3985" s="296">
        <v>21.536999999999999</v>
      </c>
    </row>
    <row r="3986" spans="1:5" x14ac:dyDescent="0.3">
      <c r="A3986" s="295">
        <v>2024</v>
      </c>
      <c r="B3986" s="295">
        <v>11</v>
      </c>
      <c r="C3986" s="295" t="s">
        <v>1</v>
      </c>
      <c r="D3986" s="295" t="s">
        <v>179</v>
      </c>
      <c r="E3986" s="296">
        <v>1027.8409999999999</v>
      </c>
    </row>
    <row r="3987" spans="1:5" x14ac:dyDescent="0.3">
      <c r="A3987" s="295">
        <v>2024</v>
      </c>
      <c r="B3987" s="295">
        <v>11</v>
      </c>
      <c r="C3987" s="295" t="s">
        <v>1</v>
      </c>
      <c r="D3987" s="295" t="s">
        <v>352</v>
      </c>
      <c r="E3987" s="296">
        <v>7.6483999999999996</v>
      </c>
    </row>
    <row r="3988" spans="1:5" x14ac:dyDescent="0.3">
      <c r="A3988" s="295">
        <v>2024</v>
      </c>
      <c r="B3988" s="295">
        <v>11</v>
      </c>
      <c r="C3988" s="295" t="s">
        <v>1</v>
      </c>
      <c r="D3988" s="295" t="s">
        <v>426</v>
      </c>
      <c r="E3988" s="296">
        <v>0.93089999999999995</v>
      </c>
    </row>
    <row r="3989" spans="1:5" x14ac:dyDescent="0.3">
      <c r="A3989" s="295">
        <v>2024</v>
      </c>
      <c r="B3989" s="295">
        <v>11</v>
      </c>
      <c r="C3989" s="295" t="s">
        <v>1</v>
      </c>
      <c r="D3989" s="295" t="s">
        <v>427</v>
      </c>
      <c r="E3989" s="296">
        <v>11.518000000000001</v>
      </c>
    </row>
    <row r="3990" spans="1:5" x14ac:dyDescent="0.3">
      <c r="A3990" s="295">
        <v>2024</v>
      </c>
      <c r="B3990" s="295">
        <v>11</v>
      </c>
      <c r="C3990" s="295" t="s">
        <v>1</v>
      </c>
      <c r="D3990" s="295" t="s">
        <v>429</v>
      </c>
      <c r="E3990" s="296">
        <v>3.9676999999999998</v>
      </c>
    </row>
    <row r="3991" spans="1:5" x14ac:dyDescent="0.3">
      <c r="A3991" s="295">
        <v>2024</v>
      </c>
      <c r="B3991" s="295">
        <v>11</v>
      </c>
      <c r="C3991" s="295" t="s">
        <v>2</v>
      </c>
      <c r="D3991" s="295" t="s">
        <v>1</v>
      </c>
      <c r="E3991" s="296">
        <v>0.94679038060973297</v>
      </c>
    </row>
    <row r="3992" spans="1:5" x14ac:dyDescent="0.3">
      <c r="A3992" s="295">
        <v>2024</v>
      </c>
      <c r="B3992" s="295">
        <v>11</v>
      </c>
      <c r="C3992" s="295" t="s">
        <v>2</v>
      </c>
      <c r="D3992" s="295" t="s">
        <v>259</v>
      </c>
      <c r="E3992" s="296">
        <v>0.78778000000000004</v>
      </c>
    </row>
    <row r="3993" spans="1:5" x14ac:dyDescent="0.3">
      <c r="A3993" s="295">
        <v>2024</v>
      </c>
      <c r="B3993" s="295">
        <v>11</v>
      </c>
      <c r="C3993" s="295" t="s">
        <v>2</v>
      </c>
      <c r="D3993" s="295" t="s">
        <v>85</v>
      </c>
      <c r="E3993" s="296">
        <v>6.0936399999999997</v>
      </c>
    </row>
    <row r="3994" spans="1:5" x14ac:dyDescent="0.3">
      <c r="A3994" s="295">
        <v>2024</v>
      </c>
      <c r="B3994" s="295">
        <v>11</v>
      </c>
      <c r="C3994" s="295" t="s">
        <v>2</v>
      </c>
      <c r="D3994" s="295" t="s">
        <v>101</v>
      </c>
      <c r="E3994" s="296">
        <v>20.391020000000001</v>
      </c>
    </row>
    <row r="3995" spans="1:5" x14ac:dyDescent="0.3">
      <c r="A3995" s="295">
        <v>2024</v>
      </c>
      <c r="B3995" s="295">
        <v>11</v>
      </c>
      <c r="C3995" s="295" t="s">
        <v>2</v>
      </c>
      <c r="D3995" s="295" t="s">
        <v>179</v>
      </c>
      <c r="E3995" s="296">
        <v>973.14997000000005</v>
      </c>
    </row>
    <row r="3996" spans="1:5" x14ac:dyDescent="0.3">
      <c r="A3996" s="295">
        <v>2024</v>
      </c>
      <c r="B3996" s="295">
        <v>11</v>
      </c>
      <c r="C3996" s="295" t="s">
        <v>2</v>
      </c>
      <c r="D3996" s="295" t="s">
        <v>352</v>
      </c>
      <c r="E3996" s="296">
        <v>7.2414300000000003</v>
      </c>
    </row>
    <row r="3997" spans="1:5" x14ac:dyDescent="0.3">
      <c r="A3997" s="295">
        <v>2024</v>
      </c>
      <c r="B3997" s="295">
        <v>11</v>
      </c>
      <c r="C3997" s="295" t="s">
        <v>2</v>
      </c>
      <c r="D3997" s="295" t="s">
        <v>426</v>
      </c>
      <c r="E3997" s="296">
        <v>0.88136999999999999</v>
      </c>
    </row>
    <row r="3998" spans="1:5" x14ac:dyDescent="0.3">
      <c r="A3998" s="295">
        <v>2024</v>
      </c>
      <c r="B3998" s="295">
        <v>11</v>
      </c>
      <c r="C3998" s="295" t="s">
        <v>2</v>
      </c>
      <c r="D3998" s="295" t="s">
        <v>427</v>
      </c>
      <c r="E3998" s="296">
        <v>10.90513</v>
      </c>
    </row>
    <row r="3999" spans="1:5" x14ac:dyDescent="0.3">
      <c r="A3999" s="295">
        <v>2024</v>
      </c>
      <c r="B3999" s="295">
        <v>11</v>
      </c>
      <c r="C3999" s="295" t="s">
        <v>2</v>
      </c>
      <c r="D3999" s="295" t="s">
        <v>429</v>
      </c>
      <c r="E3999" s="296">
        <v>3.75658</v>
      </c>
    </row>
    <row r="4000" spans="1:5" x14ac:dyDescent="0.3">
      <c r="A4000" s="295">
        <v>2024</v>
      </c>
      <c r="B4000" s="295">
        <v>11</v>
      </c>
      <c r="C4000" s="295" t="s">
        <v>259</v>
      </c>
      <c r="D4000" s="295" t="s">
        <v>1</v>
      </c>
      <c r="E4000" s="296">
        <v>1.2018508503094767</v>
      </c>
    </row>
    <row r="4001" spans="1:5" x14ac:dyDescent="0.3">
      <c r="A4001" s="295">
        <v>2024</v>
      </c>
      <c r="B4001" s="295">
        <v>11</v>
      </c>
      <c r="C4001" s="295" t="s">
        <v>259</v>
      </c>
      <c r="D4001" s="295" t="s">
        <v>2</v>
      </c>
      <c r="E4001" s="296">
        <v>1.2693899311990657</v>
      </c>
    </row>
    <row r="4002" spans="1:5" x14ac:dyDescent="0.3">
      <c r="A4002" s="295">
        <v>2024</v>
      </c>
      <c r="B4002" s="295">
        <v>11</v>
      </c>
      <c r="C4002" s="295" t="s">
        <v>259</v>
      </c>
      <c r="D4002" s="295" t="s">
        <v>85</v>
      </c>
      <c r="E4002" s="296">
        <v>7.7352299999999996</v>
      </c>
    </row>
    <row r="4003" spans="1:5" x14ac:dyDescent="0.3">
      <c r="A4003" s="295">
        <v>2024</v>
      </c>
      <c r="B4003" s="295">
        <v>11</v>
      </c>
      <c r="C4003" s="295" t="s">
        <v>259</v>
      </c>
      <c r="D4003" s="295" t="s">
        <v>101</v>
      </c>
      <c r="E4003" s="296">
        <v>25.884260000000001</v>
      </c>
    </row>
    <row r="4004" spans="1:5" x14ac:dyDescent="0.3">
      <c r="A4004" s="295">
        <v>2024</v>
      </c>
      <c r="B4004" s="295">
        <v>11</v>
      </c>
      <c r="C4004" s="295" t="s">
        <v>259</v>
      </c>
      <c r="D4004" s="295" t="s">
        <v>179</v>
      </c>
      <c r="E4004" s="296">
        <v>1235.31158</v>
      </c>
    </row>
    <row r="4005" spans="1:5" x14ac:dyDescent="0.3">
      <c r="A4005" s="295">
        <v>2024</v>
      </c>
      <c r="B4005" s="295">
        <v>11</v>
      </c>
      <c r="C4005" s="295" t="s">
        <v>259</v>
      </c>
      <c r="D4005" s="295" t="s">
        <v>352</v>
      </c>
      <c r="E4005" s="296">
        <v>9.19224</v>
      </c>
    </row>
    <row r="4006" spans="1:5" x14ac:dyDescent="0.3">
      <c r="A4006" s="295">
        <v>2024</v>
      </c>
      <c r="B4006" s="295">
        <v>11</v>
      </c>
      <c r="C4006" s="295" t="s">
        <v>259</v>
      </c>
      <c r="D4006" s="295" t="s">
        <v>426</v>
      </c>
      <c r="E4006" s="296">
        <v>1.1188</v>
      </c>
    </row>
    <row r="4007" spans="1:5" x14ac:dyDescent="0.3">
      <c r="A4007" s="295">
        <v>2024</v>
      </c>
      <c r="B4007" s="295">
        <v>11</v>
      </c>
      <c r="C4007" s="295" t="s">
        <v>259</v>
      </c>
      <c r="D4007" s="295" t="s">
        <v>427</v>
      </c>
      <c r="E4007" s="296">
        <v>13.842919999999999</v>
      </c>
    </row>
    <row r="4008" spans="1:5" x14ac:dyDescent="0.3">
      <c r="A4008" s="295">
        <v>2024</v>
      </c>
      <c r="B4008" s="295">
        <v>11</v>
      </c>
      <c r="C4008" s="295" t="s">
        <v>259</v>
      </c>
      <c r="D4008" s="295" t="s">
        <v>429</v>
      </c>
      <c r="E4008" s="296">
        <v>4.76858</v>
      </c>
    </row>
    <row r="4009" spans="1:5" x14ac:dyDescent="0.3">
      <c r="A4009" s="295">
        <v>2024</v>
      </c>
      <c r="B4009" s="295">
        <v>11</v>
      </c>
      <c r="C4009" s="295" t="s">
        <v>85</v>
      </c>
      <c r="D4009" s="295" t="s">
        <v>1</v>
      </c>
      <c r="E4009" s="296">
        <v>0.15537359581112786</v>
      </c>
    </row>
    <row r="4010" spans="1:5" x14ac:dyDescent="0.3">
      <c r="A4010" s="295">
        <v>2024</v>
      </c>
      <c r="B4010" s="295">
        <v>11</v>
      </c>
      <c r="C4010" s="295" t="s">
        <v>85</v>
      </c>
      <c r="D4010" s="295" t="s">
        <v>2</v>
      </c>
      <c r="E4010" s="296">
        <v>0.16410552641770765</v>
      </c>
    </row>
    <row r="4011" spans="1:5" x14ac:dyDescent="0.3">
      <c r="A4011" s="295">
        <v>2024</v>
      </c>
      <c r="B4011" s="295">
        <v>11</v>
      </c>
      <c r="C4011" s="295" t="s">
        <v>85</v>
      </c>
      <c r="D4011" s="295" t="s">
        <v>259</v>
      </c>
      <c r="E4011" s="296">
        <v>0.12927863812711451</v>
      </c>
    </row>
    <row r="4012" spans="1:5" x14ac:dyDescent="0.3">
      <c r="A4012" s="295">
        <v>2024</v>
      </c>
      <c r="B4012" s="295">
        <v>11</v>
      </c>
      <c r="C4012" s="295" t="s">
        <v>85</v>
      </c>
      <c r="D4012" s="295" t="s">
        <v>101</v>
      </c>
      <c r="E4012" s="296">
        <v>3.3462800000000001</v>
      </c>
    </row>
    <row r="4013" spans="1:5" x14ac:dyDescent="0.3">
      <c r="A4013" s="295">
        <v>2024</v>
      </c>
      <c r="B4013" s="295">
        <v>11</v>
      </c>
      <c r="C4013" s="295" t="s">
        <v>85</v>
      </c>
      <c r="D4013" s="295" t="s">
        <v>179</v>
      </c>
      <c r="E4013" s="296">
        <v>159.69935000000001</v>
      </c>
    </row>
    <row r="4014" spans="1:5" x14ac:dyDescent="0.3">
      <c r="A4014" s="295">
        <v>2024</v>
      </c>
      <c r="B4014" s="295">
        <v>11</v>
      </c>
      <c r="C4014" s="295" t="s">
        <v>85</v>
      </c>
      <c r="D4014" s="295" t="s">
        <v>352</v>
      </c>
      <c r="E4014" s="296">
        <v>1.1883600000000001</v>
      </c>
    </row>
    <row r="4015" spans="1:5" x14ac:dyDescent="0.3">
      <c r="A4015" s="295">
        <v>2024</v>
      </c>
      <c r="B4015" s="295">
        <v>11</v>
      </c>
      <c r="C4015" s="295" t="s">
        <v>85</v>
      </c>
      <c r="D4015" s="295" t="s">
        <v>426</v>
      </c>
      <c r="E4015" s="296">
        <v>0.14463999999999999</v>
      </c>
    </row>
    <row r="4016" spans="1:5" x14ac:dyDescent="0.3">
      <c r="A4016" s="295">
        <v>2024</v>
      </c>
      <c r="B4016" s="295">
        <v>11</v>
      </c>
      <c r="C4016" s="295" t="s">
        <v>85</v>
      </c>
      <c r="D4016" s="295" t="s">
        <v>427</v>
      </c>
      <c r="E4016" s="296">
        <v>1.78959</v>
      </c>
    </row>
    <row r="4017" spans="1:5" x14ac:dyDescent="0.3">
      <c r="A4017" s="295">
        <v>2024</v>
      </c>
      <c r="B4017" s="295">
        <v>11</v>
      </c>
      <c r="C4017" s="295" t="s">
        <v>85</v>
      </c>
      <c r="D4017" s="295" t="s">
        <v>429</v>
      </c>
      <c r="E4017" s="296">
        <v>0.61648000000000003</v>
      </c>
    </row>
    <row r="4018" spans="1:5" x14ac:dyDescent="0.3">
      <c r="A4018" s="295">
        <v>2024</v>
      </c>
      <c r="B4018" s="295">
        <v>11</v>
      </c>
      <c r="C4018" s="295" t="s">
        <v>101</v>
      </c>
      <c r="D4018" s="295" t="s">
        <v>1</v>
      </c>
      <c r="E4018" s="296">
        <v>4.6431722152574642E-2</v>
      </c>
    </row>
    <row r="4019" spans="1:5" x14ac:dyDescent="0.3">
      <c r="A4019" s="295">
        <v>2024</v>
      </c>
      <c r="B4019" s="295">
        <v>11</v>
      </c>
      <c r="C4019" s="295" t="s">
        <v>101</v>
      </c>
      <c r="D4019" s="295" t="s">
        <v>2</v>
      </c>
      <c r="E4019" s="296">
        <v>4.9041195585115403E-2</v>
      </c>
    </row>
    <row r="4020" spans="1:5" x14ac:dyDescent="0.3">
      <c r="A4020" s="295">
        <v>2024</v>
      </c>
      <c r="B4020" s="295">
        <v>11</v>
      </c>
      <c r="C4020" s="295" t="s">
        <v>101</v>
      </c>
      <c r="D4020" s="295" t="s">
        <v>259</v>
      </c>
      <c r="E4020" s="296">
        <v>3.863351704858474E-2</v>
      </c>
    </row>
    <row r="4021" spans="1:5" x14ac:dyDescent="0.3">
      <c r="A4021" s="295">
        <v>2024</v>
      </c>
      <c r="B4021" s="295">
        <v>11</v>
      </c>
      <c r="C4021" s="295" t="s">
        <v>101</v>
      </c>
      <c r="D4021" s="295" t="s">
        <v>85</v>
      </c>
      <c r="E4021" s="296">
        <v>0.2988393081272338</v>
      </c>
    </row>
    <row r="4022" spans="1:5" x14ac:dyDescent="0.3">
      <c r="A4022" s="295">
        <v>2024</v>
      </c>
      <c r="B4022" s="295">
        <v>11</v>
      </c>
      <c r="C4022" s="295" t="s">
        <v>101</v>
      </c>
      <c r="D4022" s="295" t="s">
        <v>179</v>
      </c>
      <c r="E4022" s="296">
        <v>47.724429999999998</v>
      </c>
    </row>
    <row r="4023" spans="1:5" x14ac:dyDescent="0.3">
      <c r="A4023" s="295">
        <v>2024</v>
      </c>
      <c r="B4023" s="295">
        <v>11</v>
      </c>
      <c r="C4023" s="295" t="s">
        <v>101</v>
      </c>
      <c r="D4023" s="295" t="s">
        <v>352</v>
      </c>
      <c r="E4023" s="296">
        <v>0.35513</v>
      </c>
    </row>
    <row r="4024" spans="1:5" x14ac:dyDescent="0.3">
      <c r="A4024" s="295">
        <v>2024</v>
      </c>
      <c r="B4024" s="295">
        <v>11</v>
      </c>
      <c r="C4024" s="295" t="s">
        <v>101</v>
      </c>
      <c r="D4024" s="295" t="s">
        <v>426</v>
      </c>
      <c r="E4024" s="296">
        <v>4.3220000000000001E-2</v>
      </c>
    </row>
    <row r="4025" spans="1:5" x14ac:dyDescent="0.3">
      <c r="A4025" s="295">
        <v>2024</v>
      </c>
      <c r="B4025" s="295">
        <v>11</v>
      </c>
      <c r="C4025" s="295" t="s">
        <v>101</v>
      </c>
      <c r="D4025" s="295" t="s">
        <v>427</v>
      </c>
      <c r="E4025" s="296">
        <v>0.53480000000000005</v>
      </c>
    </row>
    <row r="4026" spans="1:5" x14ac:dyDescent="0.3">
      <c r="A4026" s="295">
        <v>2024</v>
      </c>
      <c r="B4026" s="295">
        <v>11</v>
      </c>
      <c r="C4026" s="295" t="s">
        <v>101</v>
      </c>
      <c r="D4026" s="295" t="s">
        <v>429</v>
      </c>
      <c r="E4026" s="296">
        <v>0.18423</v>
      </c>
    </row>
    <row r="4027" spans="1:5" x14ac:dyDescent="0.3">
      <c r="A4027" s="295">
        <v>2024</v>
      </c>
      <c r="B4027" s="295">
        <v>11</v>
      </c>
      <c r="C4027" s="295" t="s">
        <v>179</v>
      </c>
      <c r="D4027" s="295" t="s">
        <v>1</v>
      </c>
      <c r="E4027" s="296">
        <v>9.7291312566826979E-4</v>
      </c>
    </row>
    <row r="4028" spans="1:5" x14ac:dyDescent="0.3">
      <c r="A4028" s="295">
        <v>2024</v>
      </c>
      <c r="B4028" s="295">
        <v>11</v>
      </c>
      <c r="C4028" s="295" t="s">
        <v>179</v>
      </c>
      <c r="D4028" s="295" t="s">
        <v>2</v>
      </c>
      <c r="E4028" s="296">
        <v>1.0275908450164161E-3</v>
      </c>
    </row>
    <row r="4029" spans="1:5" x14ac:dyDescent="0.3">
      <c r="A4029" s="295">
        <v>2024</v>
      </c>
      <c r="B4029" s="295">
        <v>11</v>
      </c>
      <c r="C4029" s="295" t="s">
        <v>179</v>
      </c>
      <c r="D4029" s="295" t="s">
        <v>259</v>
      </c>
      <c r="E4029" s="296">
        <v>8.0951236610280939E-4</v>
      </c>
    </row>
    <row r="4030" spans="1:5" x14ac:dyDescent="0.3">
      <c r="A4030" s="295">
        <v>2024</v>
      </c>
      <c r="B4030" s="295">
        <v>11</v>
      </c>
      <c r="C4030" s="295" t="s">
        <v>179</v>
      </c>
      <c r="D4030" s="295" t="s">
        <v>85</v>
      </c>
      <c r="E4030" s="296">
        <v>6.2617662501444115E-3</v>
      </c>
    </row>
    <row r="4031" spans="1:5" x14ac:dyDescent="0.3">
      <c r="A4031" s="295">
        <v>2024</v>
      </c>
      <c r="B4031" s="295">
        <v>11</v>
      </c>
      <c r="C4031" s="295" t="s">
        <v>179</v>
      </c>
      <c r="D4031" s="295" t="s">
        <v>101</v>
      </c>
      <c r="E4031" s="296">
        <v>2.0953628990435298E-2</v>
      </c>
    </row>
    <row r="4032" spans="1:5" x14ac:dyDescent="0.3">
      <c r="A4032" s="295">
        <v>2024</v>
      </c>
      <c r="B4032" s="295">
        <v>11</v>
      </c>
      <c r="C4032" s="295" t="s">
        <v>179</v>
      </c>
      <c r="D4032" s="295" t="s">
        <v>352</v>
      </c>
      <c r="E4032" s="296">
        <v>7.4400000000000004E-3</v>
      </c>
    </row>
    <row r="4033" spans="1:5" x14ac:dyDescent="0.3">
      <c r="A4033" s="295">
        <v>2024</v>
      </c>
      <c r="B4033" s="295">
        <v>11</v>
      </c>
      <c r="C4033" s="295" t="s">
        <v>179</v>
      </c>
      <c r="D4033" s="295" t="s">
        <v>426</v>
      </c>
      <c r="E4033" s="296">
        <v>9.1E-4</v>
      </c>
    </row>
    <row r="4034" spans="1:5" x14ac:dyDescent="0.3">
      <c r="A4034" s="295">
        <v>2024</v>
      </c>
      <c r="B4034" s="295">
        <v>11</v>
      </c>
      <c r="C4034" s="295" t="s">
        <v>179</v>
      </c>
      <c r="D4034" s="295" t="s">
        <v>427</v>
      </c>
      <c r="E4034" s="296">
        <v>1.1209999999999999E-2</v>
      </c>
    </row>
    <row r="4035" spans="1:5" x14ac:dyDescent="0.3">
      <c r="A4035" s="295">
        <v>2024</v>
      </c>
      <c r="B4035" s="295">
        <v>11</v>
      </c>
      <c r="C4035" s="295" t="s">
        <v>179</v>
      </c>
      <c r="D4035" s="295" t="s">
        <v>429</v>
      </c>
      <c r="E4035" s="296">
        <v>3.8600000000000001E-3</v>
      </c>
    </row>
    <row r="4036" spans="1:5" x14ac:dyDescent="0.3">
      <c r="A4036" s="295">
        <v>2024</v>
      </c>
      <c r="B4036" s="295">
        <v>11</v>
      </c>
      <c r="C4036" s="295" t="s">
        <v>352</v>
      </c>
      <c r="D4036" s="295" t="s">
        <v>1</v>
      </c>
      <c r="E4036" s="296">
        <v>0.13074629987971342</v>
      </c>
    </row>
    <row r="4037" spans="1:5" x14ac:dyDescent="0.3">
      <c r="A4037" s="295">
        <v>2024</v>
      </c>
      <c r="B4037" s="295">
        <v>11</v>
      </c>
      <c r="C4037" s="295" t="s">
        <v>352</v>
      </c>
      <c r="D4037" s="295" t="s">
        <v>2</v>
      </c>
      <c r="E4037" s="296">
        <v>0.13809427143533803</v>
      </c>
    </row>
    <row r="4038" spans="1:5" x14ac:dyDescent="0.3">
      <c r="A4038" s="295">
        <v>2024</v>
      </c>
      <c r="B4038" s="295">
        <v>11</v>
      </c>
      <c r="C4038" s="295" t="s">
        <v>352</v>
      </c>
      <c r="D4038" s="295" t="s">
        <v>259</v>
      </c>
      <c r="E4038" s="296">
        <v>0.1087874119909837</v>
      </c>
    </row>
    <row r="4039" spans="1:5" x14ac:dyDescent="0.3">
      <c r="A4039" s="295">
        <v>2024</v>
      </c>
      <c r="B4039" s="295">
        <v>11</v>
      </c>
      <c r="C4039" s="295" t="s">
        <v>352</v>
      </c>
      <c r="D4039" s="295" t="s">
        <v>85</v>
      </c>
      <c r="E4039" s="296">
        <v>0.84149584301053548</v>
      </c>
    </row>
    <row r="4040" spans="1:5" x14ac:dyDescent="0.3">
      <c r="A4040" s="295">
        <v>2024</v>
      </c>
      <c r="B4040" s="295">
        <v>11</v>
      </c>
      <c r="C4040" s="295" t="s">
        <v>352</v>
      </c>
      <c r="D4040" s="295" t="s">
        <v>101</v>
      </c>
      <c r="E4040" s="296">
        <v>2.8158702446991244</v>
      </c>
    </row>
    <row r="4041" spans="1:5" x14ac:dyDescent="0.3">
      <c r="A4041" s="295">
        <v>2024</v>
      </c>
      <c r="B4041" s="295">
        <v>11</v>
      </c>
      <c r="C4041" s="295" t="s">
        <v>352</v>
      </c>
      <c r="D4041" s="295" t="s">
        <v>179</v>
      </c>
      <c r="E4041" s="296">
        <v>134.40860215053763</v>
      </c>
    </row>
    <row r="4042" spans="1:5" x14ac:dyDescent="0.3">
      <c r="A4042" s="295">
        <v>2024</v>
      </c>
      <c r="B4042" s="295">
        <v>11</v>
      </c>
      <c r="C4042" s="295" t="s">
        <v>352</v>
      </c>
      <c r="D4042" s="295" t="s">
        <v>426</v>
      </c>
      <c r="E4042" s="296">
        <v>0.12171</v>
      </c>
    </row>
    <row r="4043" spans="1:5" x14ac:dyDescent="0.3">
      <c r="A4043" s="295">
        <v>2024</v>
      </c>
      <c r="B4043" s="295">
        <v>11</v>
      </c>
      <c r="C4043" s="295" t="s">
        <v>352</v>
      </c>
      <c r="D4043" s="295" t="s">
        <v>427</v>
      </c>
      <c r="E4043" s="296">
        <v>1.5059400000000001</v>
      </c>
    </row>
    <row r="4044" spans="1:5" x14ac:dyDescent="0.3">
      <c r="A4044" s="295">
        <v>2024</v>
      </c>
      <c r="B4044" s="295">
        <v>11</v>
      </c>
      <c r="C4044" s="295" t="s">
        <v>352</v>
      </c>
      <c r="D4044" s="295" t="s">
        <v>429</v>
      </c>
      <c r="E4044" s="296">
        <v>0.51876</v>
      </c>
    </row>
    <row r="4045" spans="1:5" x14ac:dyDescent="0.3">
      <c r="A4045" s="295">
        <v>2024</v>
      </c>
      <c r="B4045" s="295">
        <v>11</v>
      </c>
      <c r="C4045" s="295" t="s">
        <v>426</v>
      </c>
      <c r="D4045" s="295" t="s">
        <v>1</v>
      </c>
      <c r="E4045" s="296">
        <v>1.074229240519927</v>
      </c>
    </row>
    <row r="4046" spans="1:5" x14ac:dyDescent="0.3">
      <c r="A4046" s="295">
        <v>2024</v>
      </c>
      <c r="B4046" s="295">
        <v>11</v>
      </c>
      <c r="C4046" s="295" t="s">
        <v>426</v>
      </c>
      <c r="D4046" s="295" t="s">
        <v>2</v>
      </c>
      <c r="E4046" s="296">
        <v>1.1345972746973463</v>
      </c>
    </row>
    <row r="4047" spans="1:5" x14ac:dyDescent="0.3">
      <c r="A4047" s="295">
        <v>2024</v>
      </c>
      <c r="B4047" s="295">
        <v>11</v>
      </c>
      <c r="C4047" s="295" t="s">
        <v>426</v>
      </c>
      <c r="D4047" s="295" t="s">
        <v>259</v>
      </c>
      <c r="E4047" s="296">
        <v>0.89381480157311399</v>
      </c>
    </row>
    <row r="4048" spans="1:5" x14ac:dyDescent="0.3">
      <c r="A4048" s="295">
        <v>2024</v>
      </c>
      <c r="B4048" s="295">
        <v>11</v>
      </c>
      <c r="C4048" s="295" t="s">
        <v>426</v>
      </c>
      <c r="D4048" s="295" t="s">
        <v>85</v>
      </c>
      <c r="E4048" s="296">
        <v>6.9137168141592928</v>
      </c>
    </row>
    <row r="4049" spans="1:5" x14ac:dyDescent="0.3">
      <c r="A4049" s="295">
        <v>2024</v>
      </c>
      <c r="B4049" s="295">
        <v>11</v>
      </c>
      <c r="C4049" s="295" t="s">
        <v>426</v>
      </c>
      <c r="D4049" s="295" t="s">
        <v>101</v>
      </c>
      <c r="E4049" s="296">
        <v>23.137436372049976</v>
      </c>
    </row>
    <row r="4050" spans="1:5" x14ac:dyDescent="0.3">
      <c r="A4050" s="295">
        <v>2024</v>
      </c>
      <c r="B4050" s="295">
        <v>11</v>
      </c>
      <c r="C4050" s="295" t="s">
        <v>426</v>
      </c>
      <c r="D4050" s="295" t="s">
        <v>179</v>
      </c>
      <c r="E4050" s="296">
        <v>1098.901098901099</v>
      </c>
    </row>
    <row r="4051" spans="1:5" x14ac:dyDescent="0.3">
      <c r="A4051" s="295">
        <v>2024</v>
      </c>
      <c r="B4051" s="295">
        <v>11</v>
      </c>
      <c r="C4051" s="295" t="s">
        <v>426</v>
      </c>
      <c r="D4051" s="295" t="s">
        <v>352</v>
      </c>
      <c r="E4051" s="296">
        <v>8.2162517459534961</v>
      </c>
    </row>
    <row r="4052" spans="1:5" x14ac:dyDescent="0.3">
      <c r="A4052" s="295">
        <v>2024</v>
      </c>
      <c r="B4052" s="295">
        <v>11</v>
      </c>
      <c r="C4052" s="295" t="s">
        <v>426</v>
      </c>
      <c r="D4052" s="295" t="s">
        <v>427</v>
      </c>
      <c r="E4052" s="296">
        <v>12.37297</v>
      </c>
    </row>
    <row r="4053" spans="1:5" x14ac:dyDescent="0.3">
      <c r="A4053" s="295">
        <v>2024</v>
      </c>
      <c r="B4053" s="295">
        <v>11</v>
      </c>
      <c r="C4053" s="295" t="s">
        <v>426</v>
      </c>
      <c r="D4053" s="295" t="s">
        <v>429</v>
      </c>
      <c r="E4053" s="296">
        <v>4.2622200000000001</v>
      </c>
    </row>
    <row r="4054" spans="1:5" x14ac:dyDescent="0.3">
      <c r="A4054" s="295">
        <v>2024</v>
      </c>
      <c r="B4054" s="295">
        <v>11</v>
      </c>
      <c r="C4054" s="295" t="s">
        <v>427</v>
      </c>
      <c r="D4054" s="295" t="s">
        <v>1</v>
      </c>
      <c r="E4054" s="296">
        <v>8.6820628581350923E-2</v>
      </c>
    </row>
    <row r="4055" spans="1:5" x14ac:dyDescent="0.3">
      <c r="A4055" s="295">
        <v>2024</v>
      </c>
      <c r="B4055" s="295">
        <v>11</v>
      </c>
      <c r="C4055" s="295" t="s">
        <v>427</v>
      </c>
      <c r="D4055" s="295" t="s">
        <v>2</v>
      </c>
      <c r="E4055" s="296">
        <v>9.1699961394316257E-2</v>
      </c>
    </row>
    <row r="4056" spans="1:5" x14ac:dyDescent="0.3">
      <c r="A4056" s="295">
        <v>2024</v>
      </c>
      <c r="B4056" s="295">
        <v>11</v>
      </c>
      <c r="C4056" s="295" t="s">
        <v>427</v>
      </c>
      <c r="D4056" s="295" t="s">
        <v>259</v>
      </c>
      <c r="E4056" s="296">
        <v>7.2239094063969167E-2</v>
      </c>
    </row>
    <row r="4057" spans="1:5" x14ac:dyDescent="0.3">
      <c r="A4057" s="295">
        <v>2024</v>
      </c>
      <c r="B4057" s="295">
        <v>11</v>
      </c>
      <c r="C4057" s="295" t="s">
        <v>427</v>
      </c>
      <c r="D4057" s="295" t="s">
        <v>85</v>
      </c>
      <c r="E4057" s="296">
        <v>0.55878720824322892</v>
      </c>
    </row>
    <row r="4058" spans="1:5" x14ac:dyDescent="0.3">
      <c r="A4058" s="295">
        <v>2024</v>
      </c>
      <c r="B4058" s="295">
        <v>11</v>
      </c>
      <c r="C4058" s="295" t="s">
        <v>427</v>
      </c>
      <c r="D4058" s="295" t="s">
        <v>101</v>
      </c>
      <c r="E4058" s="296">
        <v>1.869857890800299</v>
      </c>
    </row>
    <row r="4059" spans="1:5" x14ac:dyDescent="0.3">
      <c r="A4059" s="295">
        <v>2024</v>
      </c>
      <c r="B4059" s="295">
        <v>11</v>
      </c>
      <c r="C4059" s="295" t="s">
        <v>427</v>
      </c>
      <c r="D4059" s="295" t="s">
        <v>179</v>
      </c>
      <c r="E4059" s="296">
        <v>89.206066012488847</v>
      </c>
    </row>
    <row r="4060" spans="1:5" x14ac:dyDescent="0.3">
      <c r="A4060" s="295">
        <v>2024</v>
      </c>
      <c r="B4060" s="295">
        <v>11</v>
      </c>
      <c r="C4060" s="295" t="s">
        <v>427</v>
      </c>
      <c r="D4060" s="295" t="s">
        <v>352</v>
      </c>
      <c r="E4060" s="296">
        <v>0.66403707983053772</v>
      </c>
    </row>
    <row r="4061" spans="1:5" x14ac:dyDescent="0.3">
      <c r="A4061" s="295">
        <v>2024</v>
      </c>
      <c r="B4061" s="295">
        <v>11</v>
      </c>
      <c r="C4061" s="295" t="s">
        <v>427</v>
      </c>
      <c r="D4061" s="295" t="s">
        <v>426</v>
      </c>
      <c r="E4061" s="296">
        <v>8.0821338773148232E-2</v>
      </c>
    </row>
    <row r="4062" spans="1:5" x14ac:dyDescent="0.3">
      <c r="A4062" s="295">
        <v>2024</v>
      </c>
      <c r="B4062" s="295">
        <v>11</v>
      </c>
      <c r="C4062" s="295" t="s">
        <v>427</v>
      </c>
      <c r="D4062" s="295" t="s">
        <v>429</v>
      </c>
      <c r="E4062" s="296">
        <v>0.34448000000000001</v>
      </c>
    </row>
    <row r="4063" spans="1:5" x14ac:dyDescent="0.3">
      <c r="A4063" s="295">
        <v>2024</v>
      </c>
      <c r="B4063" s="295">
        <v>11</v>
      </c>
      <c r="C4063" s="295" t="s">
        <v>429</v>
      </c>
      <c r="D4063" s="295" t="s">
        <v>1</v>
      </c>
      <c r="E4063" s="296">
        <v>0.252035184111702</v>
      </c>
    </row>
    <row r="4064" spans="1:5" x14ac:dyDescent="0.3">
      <c r="A4064" s="295">
        <v>2024</v>
      </c>
      <c r="B4064" s="295">
        <v>11</v>
      </c>
      <c r="C4064" s="295" t="s">
        <v>429</v>
      </c>
      <c r="D4064" s="295" t="s">
        <v>2</v>
      </c>
      <c r="E4064" s="296">
        <v>0.26619957514547804</v>
      </c>
    </row>
    <row r="4065" spans="1:5" x14ac:dyDescent="0.3">
      <c r="A4065" s="295">
        <v>2024</v>
      </c>
      <c r="B4065" s="295">
        <v>11</v>
      </c>
      <c r="C4065" s="295" t="s">
        <v>429</v>
      </c>
      <c r="D4065" s="295" t="s">
        <v>259</v>
      </c>
      <c r="E4065" s="296">
        <v>0.20970603408142466</v>
      </c>
    </row>
    <row r="4066" spans="1:5" x14ac:dyDescent="0.3">
      <c r="A4066" s="295">
        <v>2024</v>
      </c>
      <c r="B4066" s="295">
        <v>11</v>
      </c>
      <c r="C4066" s="295" t="s">
        <v>429</v>
      </c>
      <c r="D4066" s="295" t="s">
        <v>85</v>
      </c>
      <c r="E4066" s="296">
        <v>1.6221126395016869</v>
      </c>
    </row>
    <row r="4067" spans="1:5" x14ac:dyDescent="0.3">
      <c r="A4067" s="295">
        <v>2024</v>
      </c>
      <c r="B4067" s="295">
        <v>11</v>
      </c>
      <c r="C4067" s="295" t="s">
        <v>429</v>
      </c>
      <c r="D4067" s="295" t="s">
        <v>101</v>
      </c>
      <c r="E4067" s="296">
        <v>5.4279976116810511</v>
      </c>
    </row>
    <row r="4068" spans="1:5" x14ac:dyDescent="0.3">
      <c r="A4068" s="295">
        <v>2024</v>
      </c>
      <c r="B4068" s="295">
        <v>11</v>
      </c>
      <c r="C4068" s="295" t="s">
        <v>429</v>
      </c>
      <c r="D4068" s="295" t="s">
        <v>179</v>
      </c>
      <c r="E4068" s="296">
        <v>259.06735751295338</v>
      </c>
    </row>
    <row r="4069" spans="1:5" x14ac:dyDescent="0.3">
      <c r="A4069" s="295">
        <v>2024</v>
      </c>
      <c r="B4069" s="295">
        <v>11</v>
      </c>
      <c r="C4069" s="295" t="s">
        <v>429</v>
      </c>
      <c r="D4069" s="295" t="s">
        <v>352</v>
      </c>
      <c r="E4069" s="296">
        <v>1.9276736833988743</v>
      </c>
    </row>
    <row r="4070" spans="1:5" x14ac:dyDescent="0.3">
      <c r="A4070" s="295">
        <v>2024</v>
      </c>
      <c r="B4070" s="295">
        <v>11</v>
      </c>
      <c r="C4070" s="295" t="s">
        <v>429</v>
      </c>
      <c r="D4070" s="295" t="s">
        <v>426</v>
      </c>
      <c r="E4070" s="296">
        <v>0.23461951752842414</v>
      </c>
    </row>
    <row r="4071" spans="1:5" x14ac:dyDescent="0.3">
      <c r="A4071" s="295">
        <v>2024</v>
      </c>
      <c r="B4071" s="295">
        <v>11</v>
      </c>
      <c r="C4071" s="295" t="s">
        <v>429</v>
      </c>
      <c r="D4071" s="295" t="s">
        <v>427</v>
      </c>
      <c r="E4071" s="296">
        <v>2.9029261495587551</v>
      </c>
    </row>
    <row r="4072" spans="1:5" x14ac:dyDescent="0.3">
      <c r="A4072" s="295">
        <v>2024</v>
      </c>
      <c r="B4072" s="295">
        <v>11</v>
      </c>
      <c r="C4072" s="295" t="s">
        <v>1</v>
      </c>
      <c r="D4072" s="295" t="s">
        <v>1</v>
      </c>
      <c r="E4072" s="296">
        <v>1</v>
      </c>
    </row>
    <row r="4073" spans="1:5" x14ac:dyDescent="0.3">
      <c r="A4073" s="295">
        <v>2024</v>
      </c>
      <c r="B4073" s="295">
        <v>11</v>
      </c>
      <c r="C4073" s="295" t="s">
        <v>2</v>
      </c>
      <c r="D4073" s="295" t="s">
        <v>2</v>
      </c>
      <c r="E4073" s="296">
        <v>1</v>
      </c>
    </row>
    <row r="4074" spans="1:5" x14ac:dyDescent="0.3">
      <c r="A4074" s="295">
        <v>2024</v>
      </c>
      <c r="B4074" s="295">
        <v>11</v>
      </c>
      <c r="C4074" s="295" t="s">
        <v>259</v>
      </c>
      <c r="D4074" s="295" t="s">
        <v>259</v>
      </c>
      <c r="E4074" s="296">
        <v>1</v>
      </c>
    </row>
    <row r="4075" spans="1:5" x14ac:dyDescent="0.3">
      <c r="A4075" s="295">
        <v>2024</v>
      </c>
      <c r="B4075" s="295">
        <v>11</v>
      </c>
      <c r="C4075" s="295" t="s">
        <v>85</v>
      </c>
      <c r="D4075" s="295" t="s">
        <v>85</v>
      </c>
      <c r="E4075" s="296">
        <v>1</v>
      </c>
    </row>
    <row r="4076" spans="1:5" x14ac:dyDescent="0.3">
      <c r="A4076" s="295">
        <v>2024</v>
      </c>
      <c r="B4076" s="295">
        <v>11</v>
      </c>
      <c r="C4076" s="295" t="s">
        <v>101</v>
      </c>
      <c r="D4076" s="295" t="s">
        <v>101</v>
      </c>
      <c r="E4076" s="296">
        <v>1</v>
      </c>
    </row>
    <row r="4077" spans="1:5" x14ac:dyDescent="0.3">
      <c r="A4077" s="295">
        <v>2024</v>
      </c>
      <c r="B4077" s="295">
        <v>11</v>
      </c>
      <c r="C4077" s="295" t="s">
        <v>179</v>
      </c>
      <c r="D4077" s="295" t="s">
        <v>179</v>
      </c>
      <c r="E4077" s="296">
        <v>1</v>
      </c>
    </row>
    <row r="4078" spans="1:5" x14ac:dyDescent="0.3">
      <c r="A4078" s="295">
        <v>2024</v>
      </c>
      <c r="B4078" s="295">
        <v>11</v>
      </c>
      <c r="C4078" s="295" t="s">
        <v>352</v>
      </c>
      <c r="D4078" s="295" t="s">
        <v>352</v>
      </c>
      <c r="E4078" s="296">
        <v>1</v>
      </c>
    </row>
    <row r="4079" spans="1:5" x14ac:dyDescent="0.3">
      <c r="A4079" s="295">
        <v>2024</v>
      </c>
      <c r="B4079" s="295">
        <v>11</v>
      </c>
      <c r="C4079" s="295" t="s">
        <v>426</v>
      </c>
      <c r="D4079" s="295" t="s">
        <v>426</v>
      </c>
      <c r="E4079" s="296">
        <v>1</v>
      </c>
    </row>
    <row r="4080" spans="1:5" x14ac:dyDescent="0.3">
      <c r="A4080" s="295">
        <v>2024</v>
      </c>
      <c r="B4080" s="295">
        <v>11</v>
      </c>
      <c r="C4080" s="295" t="s">
        <v>427</v>
      </c>
      <c r="D4080" s="295" t="s">
        <v>427</v>
      </c>
      <c r="E4080" s="296">
        <v>1</v>
      </c>
    </row>
    <row r="4081" spans="1:5" x14ac:dyDescent="0.3">
      <c r="A4081" s="295">
        <v>2024</v>
      </c>
      <c r="B4081" s="295">
        <v>11</v>
      </c>
      <c r="C4081" s="295" t="s">
        <v>429</v>
      </c>
      <c r="D4081" s="295" t="s">
        <v>429</v>
      </c>
      <c r="E4081" s="296">
        <v>1</v>
      </c>
    </row>
    <row r="4082" spans="1:5" x14ac:dyDescent="0.3">
      <c r="A4082" s="295">
        <v>2024</v>
      </c>
      <c r="B4082" s="295">
        <v>12</v>
      </c>
      <c r="C4082" s="295" t="s">
        <v>1</v>
      </c>
      <c r="D4082" s="295" t="s">
        <v>2</v>
      </c>
      <c r="E4082" s="296">
        <v>1.0388999999999999</v>
      </c>
    </row>
    <row r="4083" spans="1:5" x14ac:dyDescent="0.3">
      <c r="A4083" s="295">
        <v>2024</v>
      </c>
      <c r="B4083" s="295">
        <v>12</v>
      </c>
      <c r="C4083" s="295" t="s">
        <v>1</v>
      </c>
      <c r="D4083" s="295" t="s">
        <v>259</v>
      </c>
      <c r="E4083" s="296">
        <v>0.82918000000000003</v>
      </c>
    </row>
    <row r="4084" spans="1:5" x14ac:dyDescent="0.3">
      <c r="A4084" s="295">
        <v>2024</v>
      </c>
      <c r="B4084" s="295">
        <v>12</v>
      </c>
      <c r="C4084" s="295" t="s">
        <v>1</v>
      </c>
      <c r="D4084" s="295" t="s">
        <v>85</v>
      </c>
      <c r="E4084" s="296">
        <v>6.4253</v>
      </c>
    </row>
    <row r="4085" spans="1:5" x14ac:dyDescent="0.3">
      <c r="A4085" s="295">
        <v>2024</v>
      </c>
      <c r="B4085" s="295">
        <v>12</v>
      </c>
      <c r="C4085" s="295" t="s">
        <v>1</v>
      </c>
      <c r="D4085" s="295" t="s">
        <v>101</v>
      </c>
      <c r="E4085" s="296">
        <v>21.5504</v>
      </c>
    </row>
    <row r="4086" spans="1:5" x14ac:dyDescent="0.3">
      <c r="A4086" s="295">
        <v>2024</v>
      </c>
      <c r="B4086" s="295">
        <v>12</v>
      </c>
      <c r="C4086" s="295" t="s">
        <v>1</v>
      </c>
      <c r="D4086" s="295" t="s">
        <v>179</v>
      </c>
      <c r="E4086" s="296">
        <v>1031.212</v>
      </c>
    </row>
    <row r="4087" spans="1:5" x14ac:dyDescent="0.3">
      <c r="A4087" s="295">
        <v>2024</v>
      </c>
      <c r="B4087" s="295">
        <v>12</v>
      </c>
      <c r="C4087" s="295" t="s">
        <v>1</v>
      </c>
      <c r="D4087" s="295" t="s">
        <v>352</v>
      </c>
      <c r="E4087" s="296">
        <v>7.5833000000000004</v>
      </c>
    </row>
    <row r="4088" spans="1:5" x14ac:dyDescent="0.3">
      <c r="A4088" s="295">
        <v>2024</v>
      </c>
      <c r="B4088" s="295">
        <v>12</v>
      </c>
      <c r="C4088" s="295" t="s">
        <v>1</v>
      </c>
      <c r="D4088" s="295" t="s">
        <v>426</v>
      </c>
      <c r="E4088" s="296">
        <v>0.94120000000000004</v>
      </c>
    </row>
    <row r="4089" spans="1:5" x14ac:dyDescent="0.3">
      <c r="A4089" s="295">
        <v>2024</v>
      </c>
      <c r="B4089" s="295">
        <v>12</v>
      </c>
      <c r="C4089" s="295" t="s">
        <v>1</v>
      </c>
      <c r="D4089" s="295" t="s">
        <v>427</v>
      </c>
      <c r="E4089" s="296">
        <v>11.459</v>
      </c>
    </row>
    <row r="4090" spans="1:5" x14ac:dyDescent="0.3">
      <c r="A4090" s="295">
        <v>2024</v>
      </c>
      <c r="B4090" s="295">
        <v>12</v>
      </c>
      <c r="C4090" s="295" t="s">
        <v>1</v>
      </c>
      <c r="D4090" s="295" t="s">
        <v>429</v>
      </c>
      <c r="E4090" s="296">
        <v>3.9030999999999998</v>
      </c>
    </row>
    <row r="4091" spans="1:5" x14ac:dyDescent="0.3">
      <c r="A4091" s="295">
        <v>2024</v>
      </c>
      <c r="B4091" s="295">
        <v>12</v>
      </c>
      <c r="C4091" s="295" t="s">
        <v>2</v>
      </c>
      <c r="D4091" s="295" t="s">
        <v>1</v>
      </c>
      <c r="E4091" s="296">
        <v>0.96255655019732411</v>
      </c>
    </row>
    <row r="4092" spans="1:5" x14ac:dyDescent="0.3">
      <c r="A4092" s="295">
        <v>2024</v>
      </c>
      <c r="B4092" s="295">
        <v>12</v>
      </c>
      <c r="C4092" s="295" t="s">
        <v>2</v>
      </c>
      <c r="D4092" s="295" t="s">
        <v>259</v>
      </c>
      <c r="E4092" s="296">
        <v>0.79813000000000001</v>
      </c>
    </row>
    <row r="4093" spans="1:5" x14ac:dyDescent="0.3">
      <c r="A4093" s="295">
        <v>2024</v>
      </c>
      <c r="B4093" s="295">
        <v>12</v>
      </c>
      <c r="C4093" s="295" t="s">
        <v>2</v>
      </c>
      <c r="D4093" s="295" t="s">
        <v>85</v>
      </c>
      <c r="E4093" s="296">
        <v>6.1847099999999999</v>
      </c>
    </row>
    <row r="4094" spans="1:5" x14ac:dyDescent="0.3">
      <c r="A4094" s="295">
        <v>2024</v>
      </c>
      <c r="B4094" s="295">
        <v>12</v>
      </c>
      <c r="C4094" s="295" t="s">
        <v>2</v>
      </c>
      <c r="D4094" s="295" t="s">
        <v>101</v>
      </c>
      <c r="E4094" s="296">
        <v>20.743480000000002</v>
      </c>
    </row>
    <row r="4095" spans="1:5" x14ac:dyDescent="0.3">
      <c r="A4095" s="295">
        <v>2024</v>
      </c>
      <c r="B4095" s="295">
        <v>12</v>
      </c>
      <c r="C4095" s="295" t="s">
        <v>2</v>
      </c>
      <c r="D4095" s="295" t="s">
        <v>179</v>
      </c>
      <c r="E4095" s="296">
        <v>992.59987000000001</v>
      </c>
    </row>
    <row r="4096" spans="1:5" x14ac:dyDescent="0.3">
      <c r="A4096" s="295">
        <v>2024</v>
      </c>
      <c r="B4096" s="295">
        <v>12</v>
      </c>
      <c r="C4096" s="295" t="s">
        <v>2</v>
      </c>
      <c r="D4096" s="295" t="s">
        <v>352</v>
      </c>
      <c r="E4096" s="296">
        <v>7.2993600000000001</v>
      </c>
    </row>
    <row r="4097" spans="1:5" x14ac:dyDescent="0.3">
      <c r="A4097" s="295">
        <v>2024</v>
      </c>
      <c r="B4097" s="295">
        <v>12</v>
      </c>
      <c r="C4097" s="295" t="s">
        <v>2</v>
      </c>
      <c r="D4097" s="295" t="s">
        <v>426</v>
      </c>
      <c r="E4097" s="296">
        <v>0.90595999999999999</v>
      </c>
    </row>
    <row r="4098" spans="1:5" x14ac:dyDescent="0.3">
      <c r="A4098" s="295">
        <v>2024</v>
      </c>
      <c r="B4098" s="295">
        <v>12</v>
      </c>
      <c r="C4098" s="295" t="s">
        <v>2</v>
      </c>
      <c r="D4098" s="295" t="s">
        <v>427</v>
      </c>
      <c r="E4098" s="296">
        <v>11.02994</v>
      </c>
    </row>
    <row r="4099" spans="1:5" x14ac:dyDescent="0.3">
      <c r="A4099" s="295">
        <v>2024</v>
      </c>
      <c r="B4099" s="295">
        <v>12</v>
      </c>
      <c r="C4099" s="295" t="s">
        <v>2</v>
      </c>
      <c r="D4099" s="295" t="s">
        <v>429</v>
      </c>
      <c r="E4099" s="296">
        <v>3.7569499999999998</v>
      </c>
    </row>
    <row r="4100" spans="1:5" x14ac:dyDescent="0.3">
      <c r="A4100" s="295">
        <v>2024</v>
      </c>
      <c r="B4100" s="295">
        <v>12</v>
      </c>
      <c r="C4100" s="295" t="s">
        <v>259</v>
      </c>
      <c r="D4100" s="295" t="s">
        <v>1</v>
      </c>
      <c r="E4100" s="296">
        <v>1.206010757615958</v>
      </c>
    </row>
    <row r="4101" spans="1:5" x14ac:dyDescent="0.3">
      <c r="A4101" s="295">
        <v>2024</v>
      </c>
      <c r="B4101" s="295">
        <v>12</v>
      </c>
      <c r="C4101" s="295" t="s">
        <v>259</v>
      </c>
      <c r="D4101" s="295" t="s">
        <v>2</v>
      </c>
      <c r="E4101" s="296">
        <v>1.2529287208850688</v>
      </c>
    </row>
    <row r="4102" spans="1:5" x14ac:dyDescent="0.3">
      <c r="A4102" s="295">
        <v>2024</v>
      </c>
      <c r="B4102" s="295">
        <v>12</v>
      </c>
      <c r="C4102" s="295" t="s">
        <v>259</v>
      </c>
      <c r="D4102" s="295" t="s">
        <v>85</v>
      </c>
      <c r="E4102" s="296">
        <v>7.7489800000000004</v>
      </c>
    </row>
    <row r="4103" spans="1:5" x14ac:dyDescent="0.3">
      <c r="A4103" s="295">
        <v>2024</v>
      </c>
      <c r="B4103" s="295">
        <v>12</v>
      </c>
      <c r="C4103" s="295" t="s">
        <v>259</v>
      </c>
      <c r="D4103" s="295" t="s">
        <v>101</v>
      </c>
      <c r="E4103" s="296">
        <v>25.990010000000002</v>
      </c>
    </row>
    <row r="4104" spans="1:5" x14ac:dyDescent="0.3">
      <c r="A4104" s="295">
        <v>2024</v>
      </c>
      <c r="B4104" s="295">
        <v>12</v>
      </c>
      <c r="C4104" s="295" t="s">
        <v>259</v>
      </c>
      <c r="D4104" s="295" t="s">
        <v>179</v>
      </c>
      <c r="E4104" s="296">
        <v>1243.6527699999999</v>
      </c>
    </row>
    <row r="4105" spans="1:5" x14ac:dyDescent="0.3">
      <c r="A4105" s="295">
        <v>2024</v>
      </c>
      <c r="B4105" s="295">
        <v>12</v>
      </c>
      <c r="C4105" s="295" t="s">
        <v>259</v>
      </c>
      <c r="D4105" s="295" t="s">
        <v>352</v>
      </c>
      <c r="E4105" s="296">
        <v>9.1455400000000004</v>
      </c>
    </row>
    <row r="4106" spans="1:5" x14ac:dyDescent="0.3">
      <c r="A4106" s="295">
        <v>2024</v>
      </c>
      <c r="B4106" s="295">
        <v>12</v>
      </c>
      <c r="C4106" s="295" t="s">
        <v>259</v>
      </c>
      <c r="D4106" s="295" t="s">
        <v>426</v>
      </c>
      <c r="E4106" s="296">
        <v>1.1351</v>
      </c>
    </row>
    <row r="4107" spans="1:5" x14ac:dyDescent="0.3">
      <c r="A4107" s="295">
        <v>2024</v>
      </c>
      <c r="B4107" s="295">
        <v>12</v>
      </c>
      <c r="C4107" s="295" t="s">
        <v>259</v>
      </c>
      <c r="D4107" s="295" t="s">
        <v>427</v>
      </c>
      <c r="E4107" s="296">
        <v>13.81968</v>
      </c>
    </row>
    <row r="4108" spans="1:5" x14ac:dyDescent="0.3">
      <c r="A4108" s="295">
        <v>2024</v>
      </c>
      <c r="B4108" s="295">
        <v>12</v>
      </c>
      <c r="C4108" s="295" t="s">
        <v>259</v>
      </c>
      <c r="D4108" s="295" t="s">
        <v>429</v>
      </c>
      <c r="E4108" s="296">
        <v>4.7071800000000001</v>
      </c>
    </row>
    <row r="4109" spans="1:5" x14ac:dyDescent="0.3">
      <c r="A4109" s="295">
        <v>2024</v>
      </c>
      <c r="B4109" s="295">
        <v>12</v>
      </c>
      <c r="C4109" s="295" t="s">
        <v>85</v>
      </c>
      <c r="D4109" s="295" t="s">
        <v>1</v>
      </c>
      <c r="E4109" s="296">
        <v>0.15563475635378893</v>
      </c>
    </row>
    <row r="4110" spans="1:5" x14ac:dyDescent="0.3">
      <c r="A4110" s="295">
        <v>2024</v>
      </c>
      <c r="B4110" s="295">
        <v>12</v>
      </c>
      <c r="C4110" s="295" t="s">
        <v>85</v>
      </c>
      <c r="D4110" s="295" t="s">
        <v>2</v>
      </c>
      <c r="E4110" s="296">
        <v>0.16168906868713326</v>
      </c>
    </row>
    <row r="4111" spans="1:5" x14ac:dyDescent="0.3">
      <c r="A4111" s="295">
        <v>2024</v>
      </c>
      <c r="B4111" s="295">
        <v>12</v>
      </c>
      <c r="C4111" s="295" t="s">
        <v>85</v>
      </c>
      <c r="D4111" s="295" t="s">
        <v>259</v>
      </c>
      <c r="E4111" s="296">
        <v>0.12904924260999512</v>
      </c>
    </row>
    <row r="4112" spans="1:5" x14ac:dyDescent="0.3">
      <c r="A4112" s="295">
        <v>2024</v>
      </c>
      <c r="B4112" s="295">
        <v>12</v>
      </c>
      <c r="C4112" s="295" t="s">
        <v>85</v>
      </c>
      <c r="D4112" s="295" t="s">
        <v>101</v>
      </c>
      <c r="E4112" s="296">
        <v>3.35399</v>
      </c>
    </row>
    <row r="4113" spans="1:5" x14ac:dyDescent="0.3">
      <c r="A4113" s="295">
        <v>2024</v>
      </c>
      <c r="B4113" s="295">
        <v>12</v>
      </c>
      <c r="C4113" s="295" t="s">
        <v>85</v>
      </c>
      <c r="D4113" s="295" t="s">
        <v>179</v>
      </c>
      <c r="E4113" s="296">
        <v>160.49243000000001</v>
      </c>
    </row>
    <row r="4114" spans="1:5" x14ac:dyDescent="0.3">
      <c r="A4114" s="295">
        <v>2024</v>
      </c>
      <c r="B4114" s="295">
        <v>12</v>
      </c>
      <c r="C4114" s="295" t="s">
        <v>85</v>
      </c>
      <c r="D4114" s="295" t="s">
        <v>352</v>
      </c>
      <c r="E4114" s="296">
        <v>1.1802299999999999</v>
      </c>
    </row>
    <row r="4115" spans="1:5" x14ac:dyDescent="0.3">
      <c r="A4115" s="295">
        <v>2024</v>
      </c>
      <c r="B4115" s="295">
        <v>12</v>
      </c>
      <c r="C4115" s="295" t="s">
        <v>85</v>
      </c>
      <c r="D4115" s="295" t="s">
        <v>426</v>
      </c>
      <c r="E4115" s="296">
        <v>0.14648</v>
      </c>
    </row>
    <row r="4116" spans="1:5" x14ac:dyDescent="0.3">
      <c r="A4116" s="295">
        <v>2024</v>
      </c>
      <c r="B4116" s="295">
        <v>12</v>
      </c>
      <c r="C4116" s="295" t="s">
        <v>85</v>
      </c>
      <c r="D4116" s="295" t="s">
        <v>427</v>
      </c>
      <c r="E4116" s="296">
        <v>1.78342</v>
      </c>
    </row>
    <row r="4117" spans="1:5" x14ac:dyDescent="0.3">
      <c r="A4117" s="295">
        <v>2024</v>
      </c>
      <c r="B4117" s="295">
        <v>12</v>
      </c>
      <c r="C4117" s="295" t="s">
        <v>85</v>
      </c>
      <c r="D4117" s="295" t="s">
        <v>429</v>
      </c>
      <c r="E4117" s="296">
        <v>0.60746</v>
      </c>
    </row>
    <row r="4118" spans="1:5" x14ac:dyDescent="0.3">
      <c r="A4118" s="295">
        <v>2024</v>
      </c>
      <c r="B4118" s="295">
        <v>12</v>
      </c>
      <c r="C4118" s="295" t="s">
        <v>101</v>
      </c>
      <c r="D4118" s="295" t="s">
        <v>1</v>
      </c>
      <c r="E4118" s="296">
        <v>4.6402850991164896E-2</v>
      </c>
    </row>
    <row r="4119" spans="1:5" x14ac:dyDescent="0.3">
      <c r="A4119" s="295">
        <v>2024</v>
      </c>
      <c r="B4119" s="295">
        <v>12</v>
      </c>
      <c r="C4119" s="295" t="s">
        <v>101</v>
      </c>
      <c r="D4119" s="295" t="s">
        <v>2</v>
      </c>
      <c r="E4119" s="296">
        <v>4.8207918825577963E-2</v>
      </c>
    </row>
    <row r="4120" spans="1:5" x14ac:dyDescent="0.3">
      <c r="A4120" s="295">
        <v>2024</v>
      </c>
      <c r="B4120" s="295">
        <v>12</v>
      </c>
      <c r="C4120" s="295" t="s">
        <v>101</v>
      </c>
      <c r="D4120" s="295" t="s">
        <v>259</v>
      </c>
      <c r="E4120" s="296">
        <v>3.8476322248433142E-2</v>
      </c>
    </row>
    <row r="4121" spans="1:5" x14ac:dyDescent="0.3">
      <c r="A4121" s="295">
        <v>2024</v>
      </c>
      <c r="B4121" s="295">
        <v>12</v>
      </c>
      <c r="C4121" s="295" t="s">
        <v>101</v>
      </c>
      <c r="D4121" s="295" t="s">
        <v>85</v>
      </c>
      <c r="E4121" s="296">
        <v>0.29815234988774564</v>
      </c>
    </row>
    <row r="4122" spans="1:5" x14ac:dyDescent="0.3">
      <c r="A4122" s="295">
        <v>2024</v>
      </c>
      <c r="B4122" s="295">
        <v>12</v>
      </c>
      <c r="C4122" s="295" t="s">
        <v>101</v>
      </c>
      <c r="D4122" s="295" t="s">
        <v>179</v>
      </c>
      <c r="E4122" s="296">
        <v>47.851179999999999</v>
      </c>
    </row>
    <row r="4123" spans="1:5" x14ac:dyDescent="0.3">
      <c r="A4123" s="295">
        <v>2024</v>
      </c>
      <c r="B4123" s="295">
        <v>12</v>
      </c>
      <c r="C4123" s="295" t="s">
        <v>101</v>
      </c>
      <c r="D4123" s="295" t="s">
        <v>352</v>
      </c>
      <c r="E4123" s="296">
        <v>0.35188999999999998</v>
      </c>
    </row>
    <row r="4124" spans="1:5" x14ac:dyDescent="0.3">
      <c r="A4124" s="295">
        <v>2024</v>
      </c>
      <c r="B4124" s="295">
        <v>12</v>
      </c>
      <c r="C4124" s="295" t="s">
        <v>101</v>
      </c>
      <c r="D4124" s="295" t="s">
        <v>426</v>
      </c>
      <c r="E4124" s="296">
        <v>4.367E-2</v>
      </c>
    </row>
    <row r="4125" spans="1:5" x14ac:dyDescent="0.3">
      <c r="A4125" s="295">
        <v>2024</v>
      </c>
      <c r="B4125" s="295">
        <v>12</v>
      </c>
      <c r="C4125" s="295" t="s">
        <v>101</v>
      </c>
      <c r="D4125" s="295" t="s">
        <v>427</v>
      </c>
      <c r="E4125" s="296">
        <v>0.53173000000000004</v>
      </c>
    </row>
    <row r="4126" spans="1:5" x14ac:dyDescent="0.3">
      <c r="A4126" s="295">
        <v>2024</v>
      </c>
      <c r="B4126" s="295">
        <v>12</v>
      </c>
      <c r="C4126" s="295" t="s">
        <v>101</v>
      </c>
      <c r="D4126" s="295" t="s">
        <v>429</v>
      </c>
      <c r="E4126" s="296">
        <v>0.18110999999999999</v>
      </c>
    </row>
    <row r="4127" spans="1:5" x14ac:dyDescent="0.3">
      <c r="A4127" s="295">
        <v>2024</v>
      </c>
      <c r="B4127" s="295">
        <v>12</v>
      </c>
      <c r="C4127" s="295" t="s">
        <v>179</v>
      </c>
      <c r="D4127" s="295" t="s">
        <v>1</v>
      </c>
      <c r="E4127" s="296">
        <v>9.6973270287777883E-4</v>
      </c>
    </row>
    <row r="4128" spans="1:5" x14ac:dyDescent="0.3">
      <c r="A4128" s="295">
        <v>2024</v>
      </c>
      <c r="B4128" s="295">
        <v>12</v>
      </c>
      <c r="C4128" s="295" t="s">
        <v>179</v>
      </c>
      <c r="D4128" s="295" t="s">
        <v>2</v>
      </c>
      <c r="E4128" s="296">
        <v>1.0074553001905994E-3</v>
      </c>
    </row>
    <row r="4129" spans="1:5" x14ac:dyDescent="0.3">
      <c r="A4129" s="295">
        <v>2024</v>
      </c>
      <c r="B4129" s="295">
        <v>12</v>
      </c>
      <c r="C4129" s="295" t="s">
        <v>179</v>
      </c>
      <c r="D4129" s="295" t="s">
        <v>259</v>
      </c>
      <c r="E4129" s="296">
        <v>8.0408295958686289E-4</v>
      </c>
    </row>
    <row r="4130" spans="1:5" x14ac:dyDescent="0.3">
      <c r="A4130" s="295">
        <v>2024</v>
      </c>
      <c r="B4130" s="295">
        <v>12</v>
      </c>
      <c r="C4130" s="295" t="s">
        <v>179</v>
      </c>
      <c r="D4130" s="295" t="s">
        <v>85</v>
      </c>
      <c r="E4130" s="296">
        <v>6.2308234724840284E-3</v>
      </c>
    </row>
    <row r="4131" spans="1:5" x14ac:dyDescent="0.3">
      <c r="A4131" s="295">
        <v>2024</v>
      </c>
      <c r="B4131" s="295">
        <v>12</v>
      </c>
      <c r="C4131" s="295" t="s">
        <v>179</v>
      </c>
      <c r="D4131" s="295" t="s">
        <v>101</v>
      </c>
      <c r="E4131" s="296">
        <v>2.0898126232205768E-2</v>
      </c>
    </row>
    <row r="4132" spans="1:5" x14ac:dyDescent="0.3">
      <c r="A4132" s="295">
        <v>2024</v>
      </c>
      <c r="B4132" s="295">
        <v>12</v>
      </c>
      <c r="C4132" s="295" t="s">
        <v>179</v>
      </c>
      <c r="D4132" s="295" t="s">
        <v>352</v>
      </c>
      <c r="E4132" s="296">
        <v>7.3499999999999998E-3</v>
      </c>
    </row>
    <row r="4133" spans="1:5" x14ac:dyDescent="0.3">
      <c r="A4133" s="295">
        <v>2024</v>
      </c>
      <c r="B4133" s="295">
        <v>12</v>
      </c>
      <c r="C4133" s="295" t="s">
        <v>179</v>
      </c>
      <c r="D4133" s="295" t="s">
        <v>426</v>
      </c>
      <c r="E4133" s="296">
        <v>9.1E-4</v>
      </c>
    </row>
    <row r="4134" spans="1:5" x14ac:dyDescent="0.3">
      <c r="A4134" s="295">
        <v>2024</v>
      </c>
      <c r="B4134" s="295">
        <v>12</v>
      </c>
      <c r="C4134" s="295" t="s">
        <v>179</v>
      </c>
      <c r="D4134" s="295" t="s">
        <v>427</v>
      </c>
      <c r="E4134" s="296">
        <v>1.111E-2</v>
      </c>
    </row>
    <row r="4135" spans="1:5" x14ac:dyDescent="0.3">
      <c r="A4135" s="295">
        <v>2024</v>
      </c>
      <c r="B4135" s="295">
        <v>12</v>
      </c>
      <c r="C4135" s="295" t="s">
        <v>179</v>
      </c>
      <c r="D4135" s="295" t="s">
        <v>429</v>
      </c>
      <c r="E4135" s="296">
        <v>3.7799999999999999E-3</v>
      </c>
    </row>
    <row r="4136" spans="1:5" x14ac:dyDescent="0.3">
      <c r="A4136" s="295">
        <v>2024</v>
      </c>
      <c r="B4136" s="295">
        <v>12</v>
      </c>
      <c r="C4136" s="295" t="s">
        <v>352</v>
      </c>
      <c r="D4136" s="295" t="s">
        <v>1</v>
      </c>
      <c r="E4136" s="296">
        <v>0.13186871151081983</v>
      </c>
    </row>
    <row r="4137" spans="1:5" x14ac:dyDescent="0.3">
      <c r="A4137" s="295">
        <v>2024</v>
      </c>
      <c r="B4137" s="295">
        <v>12</v>
      </c>
      <c r="C4137" s="295" t="s">
        <v>352</v>
      </c>
      <c r="D4137" s="295" t="s">
        <v>2</v>
      </c>
      <c r="E4137" s="296">
        <v>0.13699831218079392</v>
      </c>
    </row>
    <row r="4138" spans="1:5" x14ac:dyDescent="0.3">
      <c r="A4138" s="295">
        <v>2024</v>
      </c>
      <c r="B4138" s="295">
        <v>12</v>
      </c>
      <c r="C4138" s="295" t="s">
        <v>352</v>
      </c>
      <c r="D4138" s="295" t="s">
        <v>259</v>
      </c>
      <c r="E4138" s="296">
        <v>0.1093429146884711</v>
      </c>
    </row>
    <row r="4139" spans="1:5" x14ac:dyDescent="0.3">
      <c r="A4139" s="295">
        <v>2024</v>
      </c>
      <c r="B4139" s="295">
        <v>12</v>
      </c>
      <c r="C4139" s="295" t="s">
        <v>352</v>
      </c>
      <c r="D4139" s="295" t="s">
        <v>85</v>
      </c>
      <c r="E4139" s="296">
        <v>0.84729247689009779</v>
      </c>
    </row>
    <row r="4140" spans="1:5" x14ac:dyDescent="0.3">
      <c r="A4140" s="295">
        <v>2024</v>
      </c>
      <c r="B4140" s="295">
        <v>12</v>
      </c>
      <c r="C4140" s="295" t="s">
        <v>352</v>
      </c>
      <c r="D4140" s="295" t="s">
        <v>101</v>
      </c>
      <c r="E4140" s="296">
        <v>2.8417971525192534</v>
      </c>
    </row>
    <row r="4141" spans="1:5" x14ac:dyDescent="0.3">
      <c r="A4141" s="295">
        <v>2024</v>
      </c>
      <c r="B4141" s="295">
        <v>12</v>
      </c>
      <c r="C4141" s="295" t="s">
        <v>352</v>
      </c>
      <c r="D4141" s="295" t="s">
        <v>179</v>
      </c>
      <c r="E4141" s="296">
        <v>136.0544217687075</v>
      </c>
    </row>
    <row r="4142" spans="1:5" x14ac:dyDescent="0.3">
      <c r="A4142" s="295">
        <v>2024</v>
      </c>
      <c r="B4142" s="295">
        <v>12</v>
      </c>
      <c r="C4142" s="295" t="s">
        <v>352</v>
      </c>
      <c r="D4142" s="295" t="s">
        <v>426</v>
      </c>
      <c r="E4142" s="296">
        <v>0.12411</v>
      </c>
    </row>
    <row r="4143" spans="1:5" x14ac:dyDescent="0.3">
      <c r="A4143" s="295">
        <v>2024</v>
      </c>
      <c r="B4143" s="295">
        <v>12</v>
      </c>
      <c r="C4143" s="295" t="s">
        <v>352</v>
      </c>
      <c r="D4143" s="295" t="s">
        <v>427</v>
      </c>
      <c r="E4143" s="296">
        <v>1.51108</v>
      </c>
    </row>
    <row r="4144" spans="1:5" x14ac:dyDescent="0.3">
      <c r="A4144" s="295">
        <v>2024</v>
      </c>
      <c r="B4144" s="295">
        <v>12</v>
      </c>
      <c r="C4144" s="295" t="s">
        <v>352</v>
      </c>
      <c r="D4144" s="295" t="s">
        <v>429</v>
      </c>
      <c r="E4144" s="296">
        <v>0.51470000000000005</v>
      </c>
    </row>
    <row r="4145" spans="1:5" x14ac:dyDescent="0.3">
      <c r="A4145" s="295">
        <v>2024</v>
      </c>
      <c r="B4145" s="295">
        <v>12</v>
      </c>
      <c r="C4145" s="295" t="s">
        <v>426</v>
      </c>
      <c r="D4145" s="295" t="s">
        <v>1</v>
      </c>
      <c r="E4145" s="296">
        <v>1.0624734381640459</v>
      </c>
    </row>
    <row r="4146" spans="1:5" x14ac:dyDescent="0.3">
      <c r="A4146" s="295">
        <v>2024</v>
      </c>
      <c r="B4146" s="295">
        <v>12</v>
      </c>
      <c r="C4146" s="295" t="s">
        <v>426</v>
      </c>
      <c r="D4146" s="295" t="s">
        <v>2</v>
      </c>
      <c r="E4146" s="296">
        <v>1.1038014923396176</v>
      </c>
    </row>
    <row r="4147" spans="1:5" x14ac:dyDescent="0.3">
      <c r="A4147" s="295">
        <v>2024</v>
      </c>
      <c r="B4147" s="295">
        <v>12</v>
      </c>
      <c r="C4147" s="295" t="s">
        <v>426</v>
      </c>
      <c r="D4147" s="295" t="s">
        <v>259</v>
      </c>
      <c r="E4147" s="296">
        <v>0.88097964937009954</v>
      </c>
    </row>
    <row r="4148" spans="1:5" x14ac:dyDescent="0.3">
      <c r="A4148" s="295">
        <v>2024</v>
      </c>
      <c r="B4148" s="295">
        <v>12</v>
      </c>
      <c r="C4148" s="295" t="s">
        <v>426</v>
      </c>
      <c r="D4148" s="295" t="s">
        <v>85</v>
      </c>
      <c r="E4148" s="296">
        <v>6.8268705625341344</v>
      </c>
    </row>
    <row r="4149" spans="1:5" x14ac:dyDescent="0.3">
      <c r="A4149" s="295">
        <v>2024</v>
      </c>
      <c r="B4149" s="295">
        <v>12</v>
      </c>
      <c r="C4149" s="295" t="s">
        <v>426</v>
      </c>
      <c r="D4149" s="295" t="s">
        <v>101</v>
      </c>
      <c r="E4149" s="296">
        <v>22.899015342340277</v>
      </c>
    </row>
    <row r="4150" spans="1:5" x14ac:dyDescent="0.3">
      <c r="A4150" s="295">
        <v>2024</v>
      </c>
      <c r="B4150" s="295">
        <v>12</v>
      </c>
      <c r="C4150" s="295" t="s">
        <v>426</v>
      </c>
      <c r="D4150" s="295" t="s">
        <v>179</v>
      </c>
      <c r="E4150" s="296">
        <v>1.8806537152314142</v>
      </c>
    </row>
    <row r="4151" spans="1:5" x14ac:dyDescent="0.3">
      <c r="A4151" s="295">
        <v>2024</v>
      </c>
      <c r="B4151" s="295">
        <v>12</v>
      </c>
      <c r="C4151" s="295" t="s">
        <v>426</v>
      </c>
      <c r="D4151" s="295" t="s">
        <v>352</v>
      </c>
      <c r="E4151" s="296">
        <v>5.5215062669096131</v>
      </c>
    </row>
    <row r="4152" spans="1:5" x14ac:dyDescent="0.3">
      <c r="A4152" s="295">
        <v>2024</v>
      </c>
      <c r="B4152" s="295">
        <v>12</v>
      </c>
      <c r="C4152" s="295" t="s">
        <v>426</v>
      </c>
      <c r="D4152" s="295" t="s">
        <v>427</v>
      </c>
      <c r="E4152" s="296">
        <v>12.17488</v>
      </c>
    </row>
    <row r="4153" spans="1:5" x14ac:dyDescent="0.3">
      <c r="A4153" s="295">
        <v>2024</v>
      </c>
      <c r="B4153" s="295">
        <v>12</v>
      </c>
      <c r="C4153" s="295" t="s">
        <v>426</v>
      </c>
      <c r="D4153" s="295" t="s">
        <v>429</v>
      </c>
      <c r="E4153" s="296">
        <v>4.1469399999999998</v>
      </c>
    </row>
    <row r="4154" spans="1:5" x14ac:dyDescent="0.3">
      <c r="A4154" s="295">
        <v>2024</v>
      </c>
      <c r="B4154" s="295">
        <v>12</v>
      </c>
      <c r="C4154" s="295" t="s">
        <v>427</v>
      </c>
      <c r="D4154" s="295" t="s">
        <v>1</v>
      </c>
      <c r="E4154" s="296">
        <v>8.7267649882188672E-2</v>
      </c>
    </row>
    <row r="4155" spans="1:5" x14ac:dyDescent="0.3">
      <c r="A4155" s="295">
        <v>2024</v>
      </c>
      <c r="B4155" s="295">
        <v>12</v>
      </c>
      <c r="C4155" s="295" t="s">
        <v>427</v>
      </c>
      <c r="D4155" s="295" t="s">
        <v>2</v>
      </c>
      <c r="E4155" s="296">
        <v>9.0662324545736431E-2</v>
      </c>
    </row>
    <row r="4156" spans="1:5" x14ac:dyDescent="0.3">
      <c r="A4156" s="295">
        <v>2024</v>
      </c>
      <c r="B4156" s="295">
        <v>12</v>
      </c>
      <c r="C4156" s="295" t="s">
        <v>427</v>
      </c>
      <c r="D4156" s="295" t="s">
        <v>259</v>
      </c>
      <c r="E4156" s="296">
        <v>7.2360575642851352E-2</v>
      </c>
    </row>
    <row r="4157" spans="1:5" x14ac:dyDescent="0.3">
      <c r="A4157" s="295">
        <v>2024</v>
      </c>
      <c r="B4157" s="295">
        <v>12</v>
      </c>
      <c r="C4157" s="295" t="s">
        <v>427</v>
      </c>
      <c r="D4157" s="295" t="s">
        <v>85</v>
      </c>
      <c r="E4157" s="296">
        <v>0.56072041358737701</v>
      </c>
    </row>
    <row r="4158" spans="1:5" x14ac:dyDescent="0.3">
      <c r="A4158" s="295">
        <v>2024</v>
      </c>
      <c r="B4158" s="295">
        <v>12</v>
      </c>
      <c r="C4158" s="295" t="s">
        <v>427</v>
      </c>
      <c r="D4158" s="295" t="s">
        <v>101</v>
      </c>
      <c r="E4158" s="296">
        <v>1.8806537152314142</v>
      </c>
    </row>
    <row r="4159" spans="1:5" x14ac:dyDescent="0.3">
      <c r="A4159" s="295">
        <v>2024</v>
      </c>
      <c r="B4159" s="295">
        <v>12</v>
      </c>
      <c r="C4159" s="295" t="s">
        <v>427</v>
      </c>
      <c r="D4159" s="295" t="s">
        <v>179</v>
      </c>
      <c r="E4159" s="296">
        <v>90.009000900090015</v>
      </c>
    </row>
    <row r="4160" spans="1:5" x14ac:dyDescent="0.3">
      <c r="A4160" s="295">
        <v>2024</v>
      </c>
      <c r="B4160" s="295">
        <v>12</v>
      </c>
      <c r="C4160" s="295" t="s">
        <v>427</v>
      </c>
      <c r="D4160" s="295" t="s">
        <v>352</v>
      </c>
      <c r="E4160" s="296">
        <v>0.66177833073033854</v>
      </c>
    </row>
    <row r="4161" spans="1:5" x14ac:dyDescent="0.3">
      <c r="A4161" s="295">
        <v>2024</v>
      </c>
      <c r="B4161" s="295">
        <v>12</v>
      </c>
      <c r="C4161" s="295" t="s">
        <v>427</v>
      </c>
      <c r="D4161" s="295" t="s">
        <v>426</v>
      </c>
      <c r="E4161" s="296">
        <v>8.2136333171250964E-2</v>
      </c>
    </row>
    <row r="4162" spans="1:5" x14ac:dyDescent="0.3">
      <c r="A4162" s="295">
        <v>2024</v>
      </c>
      <c r="B4162" s="295">
        <v>12</v>
      </c>
      <c r="C4162" s="295" t="s">
        <v>427</v>
      </c>
      <c r="D4162" s="295" t="s">
        <v>429</v>
      </c>
      <c r="E4162" s="296">
        <v>0.34061000000000002</v>
      </c>
    </row>
    <row r="4163" spans="1:5" x14ac:dyDescent="0.3">
      <c r="A4163" s="295">
        <v>2024</v>
      </c>
      <c r="B4163" s="295">
        <v>12</v>
      </c>
      <c r="C4163" s="295" t="s">
        <v>429</v>
      </c>
      <c r="D4163" s="295" t="s">
        <v>1</v>
      </c>
      <c r="E4163" s="296">
        <v>0.25620660500627707</v>
      </c>
    </row>
    <row r="4164" spans="1:5" x14ac:dyDescent="0.3">
      <c r="A4164" s="295">
        <v>2024</v>
      </c>
      <c r="B4164" s="295">
        <v>12</v>
      </c>
      <c r="C4164" s="295" t="s">
        <v>429</v>
      </c>
      <c r="D4164" s="295" t="s">
        <v>2</v>
      </c>
      <c r="E4164" s="296">
        <v>0.26617335870852687</v>
      </c>
    </row>
    <row r="4165" spans="1:5" x14ac:dyDescent="0.3">
      <c r="A4165" s="295">
        <v>2024</v>
      </c>
      <c r="B4165" s="295">
        <v>12</v>
      </c>
      <c r="C4165" s="295" t="s">
        <v>429</v>
      </c>
      <c r="D4165" s="295" t="s">
        <v>259</v>
      </c>
      <c r="E4165" s="296">
        <v>0.21244141927863391</v>
      </c>
    </row>
    <row r="4166" spans="1:5" x14ac:dyDescent="0.3">
      <c r="A4166" s="295">
        <v>2024</v>
      </c>
      <c r="B4166" s="295">
        <v>12</v>
      </c>
      <c r="C4166" s="295" t="s">
        <v>429</v>
      </c>
      <c r="D4166" s="295" t="s">
        <v>85</v>
      </c>
      <c r="E4166" s="296">
        <v>1.6461989266782997</v>
      </c>
    </row>
    <row r="4167" spans="1:5" x14ac:dyDescent="0.3">
      <c r="A4167" s="295">
        <v>2024</v>
      </c>
      <c r="B4167" s="295">
        <v>12</v>
      </c>
      <c r="C4167" s="295" t="s">
        <v>429</v>
      </c>
      <c r="D4167" s="295" t="s">
        <v>101</v>
      </c>
      <c r="E4167" s="296">
        <v>5.5215062669096131</v>
      </c>
    </row>
    <row r="4168" spans="1:5" x14ac:dyDescent="0.3">
      <c r="A4168" s="295">
        <v>2024</v>
      </c>
      <c r="B4168" s="295">
        <v>12</v>
      </c>
      <c r="C4168" s="295" t="s">
        <v>429</v>
      </c>
      <c r="D4168" s="295" t="s">
        <v>179</v>
      </c>
      <c r="E4168" s="296">
        <v>264.55026455026456</v>
      </c>
    </row>
    <row r="4169" spans="1:5" x14ac:dyDescent="0.3">
      <c r="A4169" s="295">
        <v>2024</v>
      </c>
      <c r="B4169" s="295">
        <v>12</v>
      </c>
      <c r="C4169" s="295" t="s">
        <v>429</v>
      </c>
      <c r="D4169" s="295" t="s">
        <v>352</v>
      </c>
      <c r="E4169" s="296">
        <v>1.9428793471925392</v>
      </c>
    </row>
    <row r="4170" spans="1:5" x14ac:dyDescent="0.3">
      <c r="A4170" s="295">
        <v>2024</v>
      </c>
      <c r="B4170" s="295">
        <v>12</v>
      </c>
      <c r="C4170" s="295" t="s">
        <v>429</v>
      </c>
      <c r="D4170" s="295" t="s">
        <v>426</v>
      </c>
      <c r="E4170" s="296">
        <v>0.2411416610802182</v>
      </c>
    </row>
    <row r="4171" spans="1:5" x14ac:dyDescent="0.3">
      <c r="A4171" s="295">
        <v>2024</v>
      </c>
      <c r="B4171" s="295">
        <v>12</v>
      </c>
      <c r="C4171" s="295" t="s">
        <v>429</v>
      </c>
      <c r="D4171" s="295" t="s">
        <v>427</v>
      </c>
      <c r="E4171" s="296">
        <v>2.9359091042541321</v>
      </c>
    </row>
    <row r="4172" spans="1:5" x14ac:dyDescent="0.3">
      <c r="A4172" s="295">
        <v>2024</v>
      </c>
      <c r="B4172" s="295">
        <v>12</v>
      </c>
      <c r="C4172" s="295" t="s">
        <v>1</v>
      </c>
      <c r="D4172" s="295" t="s">
        <v>1</v>
      </c>
      <c r="E4172" s="296">
        <v>1</v>
      </c>
    </row>
    <row r="4173" spans="1:5" x14ac:dyDescent="0.3">
      <c r="A4173" s="295">
        <v>2024</v>
      </c>
      <c r="B4173" s="295">
        <v>12</v>
      </c>
      <c r="C4173" s="295" t="s">
        <v>2</v>
      </c>
      <c r="D4173" s="295" t="s">
        <v>2</v>
      </c>
      <c r="E4173" s="296">
        <v>1</v>
      </c>
    </row>
    <row r="4174" spans="1:5" x14ac:dyDescent="0.3">
      <c r="A4174" s="295">
        <v>2024</v>
      </c>
      <c r="B4174" s="295">
        <v>12</v>
      </c>
      <c r="C4174" s="295" t="s">
        <v>259</v>
      </c>
      <c r="D4174" s="295" t="s">
        <v>259</v>
      </c>
      <c r="E4174" s="296">
        <v>1</v>
      </c>
    </row>
    <row r="4175" spans="1:5" x14ac:dyDescent="0.3">
      <c r="A4175" s="295">
        <v>2024</v>
      </c>
      <c r="B4175" s="295">
        <v>12</v>
      </c>
      <c r="C4175" s="295" t="s">
        <v>85</v>
      </c>
      <c r="D4175" s="295" t="s">
        <v>85</v>
      </c>
      <c r="E4175" s="296">
        <v>1</v>
      </c>
    </row>
    <row r="4176" spans="1:5" x14ac:dyDescent="0.3">
      <c r="A4176" s="295">
        <v>2024</v>
      </c>
      <c r="B4176" s="295">
        <v>12</v>
      </c>
      <c r="C4176" s="295" t="s">
        <v>101</v>
      </c>
      <c r="D4176" s="295" t="s">
        <v>101</v>
      </c>
      <c r="E4176" s="296">
        <v>1</v>
      </c>
    </row>
    <row r="4177" spans="1:5" x14ac:dyDescent="0.3">
      <c r="A4177" s="295">
        <v>2024</v>
      </c>
      <c r="B4177" s="295">
        <v>12</v>
      </c>
      <c r="C4177" s="295" t="s">
        <v>179</v>
      </c>
      <c r="D4177" s="295" t="s">
        <v>179</v>
      </c>
      <c r="E4177" s="296">
        <v>1</v>
      </c>
    </row>
    <row r="4178" spans="1:5" x14ac:dyDescent="0.3">
      <c r="A4178" s="295">
        <v>2024</v>
      </c>
      <c r="B4178" s="295">
        <v>12</v>
      </c>
      <c r="C4178" s="295" t="s">
        <v>352</v>
      </c>
      <c r="D4178" s="295" t="s">
        <v>352</v>
      </c>
      <c r="E4178" s="296">
        <v>1</v>
      </c>
    </row>
    <row r="4179" spans="1:5" x14ac:dyDescent="0.3">
      <c r="A4179" s="295">
        <v>2024</v>
      </c>
      <c r="B4179" s="295">
        <v>12</v>
      </c>
      <c r="C4179" s="295" t="s">
        <v>426</v>
      </c>
      <c r="D4179" s="295" t="s">
        <v>426</v>
      </c>
      <c r="E4179" s="296">
        <v>1</v>
      </c>
    </row>
    <row r="4180" spans="1:5" x14ac:dyDescent="0.3">
      <c r="A4180" s="295">
        <v>2024</v>
      </c>
      <c r="B4180" s="295">
        <v>12</v>
      </c>
      <c r="C4180" s="295" t="s">
        <v>427</v>
      </c>
      <c r="D4180" s="295" t="s">
        <v>427</v>
      </c>
      <c r="E4180" s="296">
        <v>1</v>
      </c>
    </row>
    <row r="4181" spans="1:5" x14ac:dyDescent="0.3">
      <c r="A4181" s="295">
        <v>2024</v>
      </c>
      <c r="B4181" s="295">
        <v>12</v>
      </c>
      <c r="C4181" s="295" t="s">
        <v>429</v>
      </c>
      <c r="D4181" s="295" t="s">
        <v>429</v>
      </c>
      <c r="E4181" s="296">
        <v>1</v>
      </c>
    </row>
    <row r="4182" spans="1:5" x14ac:dyDescent="0.3">
      <c r="A4182" s="295">
        <v>2025</v>
      </c>
      <c r="B4182" s="295">
        <v>1</v>
      </c>
      <c r="C4182" s="295" t="s">
        <v>1</v>
      </c>
      <c r="D4182" s="295" t="s">
        <v>2</v>
      </c>
      <c r="E4182" s="296">
        <v>1.0392999999999999</v>
      </c>
    </row>
    <row r="4183" spans="1:5" x14ac:dyDescent="0.3">
      <c r="A4183" s="295">
        <v>2025</v>
      </c>
      <c r="B4183" s="295">
        <v>1</v>
      </c>
      <c r="C4183" s="295" t="s">
        <v>1</v>
      </c>
      <c r="D4183" s="295" t="s">
        <v>259</v>
      </c>
      <c r="E4183" s="296">
        <v>0.83608000000000005</v>
      </c>
    </row>
    <row r="4184" spans="1:5" x14ac:dyDescent="0.3">
      <c r="A4184" s="295">
        <v>2025</v>
      </c>
      <c r="B4184" s="295">
        <v>1</v>
      </c>
      <c r="C4184" s="295" t="s">
        <v>1</v>
      </c>
      <c r="D4184" s="295" t="s">
        <v>85</v>
      </c>
      <c r="E4184" s="296">
        <v>6.0677000000000003</v>
      </c>
    </row>
    <row r="4185" spans="1:5" x14ac:dyDescent="0.3">
      <c r="A4185" s="295">
        <v>2025</v>
      </c>
      <c r="B4185" s="295">
        <v>1</v>
      </c>
      <c r="C4185" s="295" t="s">
        <v>1</v>
      </c>
      <c r="D4185" s="295" t="s">
        <v>101</v>
      </c>
      <c r="E4185" s="296">
        <v>21.476900000000001</v>
      </c>
    </row>
    <row r="4186" spans="1:5" x14ac:dyDescent="0.3">
      <c r="A4186" s="295">
        <v>2025</v>
      </c>
      <c r="B4186" s="295">
        <v>1</v>
      </c>
      <c r="C4186" s="295" t="s">
        <v>1</v>
      </c>
      <c r="D4186" s="295" t="s">
        <v>179</v>
      </c>
      <c r="E4186" s="296">
        <v>1018.909</v>
      </c>
    </row>
    <row r="4187" spans="1:5" x14ac:dyDescent="0.3">
      <c r="A4187" s="295">
        <v>2025</v>
      </c>
      <c r="B4187" s="295">
        <v>1</v>
      </c>
      <c r="C4187" s="295" t="s">
        <v>1</v>
      </c>
      <c r="D4187" s="295" t="s">
        <v>352</v>
      </c>
      <c r="E4187" s="296">
        <v>7.5362999999999998</v>
      </c>
    </row>
    <row r="4188" spans="1:5" x14ac:dyDescent="0.3">
      <c r="A4188" s="295">
        <v>2025</v>
      </c>
      <c r="B4188" s="295">
        <v>1</v>
      </c>
      <c r="C4188" s="295" t="s">
        <v>1</v>
      </c>
      <c r="D4188" s="295" t="s">
        <v>426</v>
      </c>
      <c r="E4188" s="296">
        <v>0.94489999999999996</v>
      </c>
    </row>
    <row r="4189" spans="1:5" x14ac:dyDescent="0.3">
      <c r="A4189" s="295">
        <v>2025</v>
      </c>
      <c r="B4189" s="295">
        <v>1</v>
      </c>
      <c r="C4189" s="295" t="s">
        <v>1</v>
      </c>
      <c r="D4189" s="295" t="s">
        <v>427</v>
      </c>
      <c r="E4189" s="296">
        <v>11.474</v>
      </c>
    </row>
    <row r="4190" spans="1:5" x14ac:dyDescent="0.3">
      <c r="A4190" s="295">
        <v>2025</v>
      </c>
      <c r="B4190" s="295">
        <v>1</v>
      </c>
      <c r="C4190" s="295" t="s">
        <v>1</v>
      </c>
      <c r="D4190" s="295" t="s">
        <v>429</v>
      </c>
      <c r="E4190" s="296">
        <v>3.8969</v>
      </c>
    </row>
    <row r="4191" spans="1:5" x14ac:dyDescent="0.3">
      <c r="A4191" s="295">
        <v>2025</v>
      </c>
      <c r="B4191" s="295">
        <v>1</v>
      </c>
      <c r="C4191" s="295" t="s">
        <v>2</v>
      </c>
      <c r="D4191" s="295" t="s">
        <v>1</v>
      </c>
      <c r="E4191" s="296">
        <v>0.96218608678918516</v>
      </c>
    </row>
    <row r="4192" spans="1:5" x14ac:dyDescent="0.3">
      <c r="A4192" s="295">
        <v>2025</v>
      </c>
      <c r="B4192" s="295">
        <v>1</v>
      </c>
      <c r="C4192" s="295" t="s">
        <v>2</v>
      </c>
      <c r="D4192" s="295" t="s">
        <v>259</v>
      </c>
      <c r="E4192" s="296">
        <v>0.80445999999999995</v>
      </c>
    </row>
    <row r="4193" spans="1:5" x14ac:dyDescent="0.3">
      <c r="A4193" s="295">
        <v>2025</v>
      </c>
      <c r="B4193" s="295">
        <v>1</v>
      </c>
      <c r="C4193" s="295" t="s">
        <v>2</v>
      </c>
      <c r="D4193" s="295" t="s">
        <v>85</v>
      </c>
      <c r="E4193" s="296">
        <v>5.83826</v>
      </c>
    </row>
    <row r="4194" spans="1:5" x14ac:dyDescent="0.3">
      <c r="A4194" s="295">
        <v>2025</v>
      </c>
      <c r="B4194" s="295">
        <v>1</v>
      </c>
      <c r="C4194" s="295" t="s">
        <v>2</v>
      </c>
      <c r="D4194" s="295" t="s">
        <v>101</v>
      </c>
      <c r="E4194" s="296">
        <v>20.664770000000001</v>
      </c>
    </row>
    <row r="4195" spans="1:5" x14ac:dyDescent="0.3">
      <c r="A4195" s="295">
        <v>2025</v>
      </c>
      <c r="B4195" s="295">
        <v>1</v>
      </c>
      <c r="C4195" s="295" t="s">
        <v>2</v>
      </c>
      <c r="D4195" s="295" t="s">
        <v>179</v>
      </c>
      <c r="E4195" s="296">
        <v>980.38005999999996</v>
      </c>
    </row>
    <row r="4196" spans="1:5" x14ac:dyDescent="0.3">
      <c r="A4196" s="295">
        <v>2025</v>
      </c>
      <c r="B4196" s="295">
        <v>1</v>
      </c>
      <c r="C4196" s="295" t="s">
        <v>2</v>
      </c>
      <c r="D4196" s="295" t="s">
        <v>352</v>
      </c>
      <c r="E4196" s="296">
        <v>7.2513199999999998</v>
      </c>
    </row>
    <row r="4197" spans="1:5" x14ac:dyDescent="0.3">
      <c r="A4197" s="295">
        <v>2025</v>
      </c>
      <c r="B4197" s="295">
        <v>1</v>
      </c>
      <c r="C4197" s="295" t="s">
        <v>2</v>
      </c>
      <c r="D4197" s="295" t="s">
        <v>426</v>
      </c>
      <c r="E4197" s="296">
        <v>0.90917000000000003</v>
      </c>
    </row>
    <row r="4198" spans="1:5" x14ac:dyDescent="0.3">
      <c r="A4198" s="295">
        <v>2025</v>
      </c>
      <c r="B4198" s="295">
        <v>1</v>
      </c>
      <c r="C4198" s="295" t="s">
        <v>2</v>
      </c>
      <c r="D4198" s="295" t="s">
        <v>427</v>
      </c>
      <c r="E4198" s="296">
        <v>11.04012</v>
      </c>
    </row>
    <row r="4199" spans="1:5" x14ac:dyDescent="0.3">
      <c r="A4199" s="295">
        <v>2025</v>
      </c>
      <c r="B4199" s="295">
        <v>1</v>
      </c>
      <c r="C4199" s="295" t="s">
        <v>2</v>
      </c>
      <c r="D4199" s="295" t="s">
        <v>429</v>
      </c>
      <c r="E4199" s="296">
        <v>3.7495400000000001</v>
      </c>
    </row>
    <row r="4200" spans="1:5" x14ac:dyDescent="0.3">
      <c r="A4200" s="295">
        <v>2025</v>
      </c>
      <c r="B4200" s="295">
        <v>1</v>
      </c>
      <c r="C4200" s="295" t="s">
        <v>259</v>
      </c>
      <c r="D4200" s="295" t="s">
        <v>1</v>
      </c>
      <c r="E4200" s="296">
        <v>1.1960577935125825</v>
      </c>
    </row>
    <row r="4201" spans="1:5" x14ac:dyDescent="0.3">
      <c r="A4201" s="295">
        <v>2025</v>
      </c>
      <c r="B4201" s="295">
        <v>1</v>
      </c>
      <c r="C4201" s="295" t="s">
        <v>259</v>
      </c>
      <c r="D4201" s="295" t="s">
        <v>2</v>
      </c>
      <c r="E4201" s="296">
        <v>1.2430698853889566</v>
      </c>
    </row>
    <row r="4202" spans="1:5" x14ac:dyDescent="0.3">
      <c r="A4202" s="295">
        <v>2025</v>
      </c>
      <c r="B4202" s="295">
        <v>1</v>
      </c>
      <c r="C4202" s="295" t="s">
        <v>259</v>
      </c>
      <c r="D4202" s="295" t="s">
        <v>85</v>
      </c>
      <c r="E4202" s="296">
        <v>7.25732</v>
      </c>
    </row>
    <row r="4203" spans="1:5" x14ac:dyDescent="0.3">
      <c r="A4203" s="295">
        <v>2025</v>
      </c>
      <c r="B4203" s="295">
        <v>1</v>
      </c>
      <c r="C4203" s="295" t="s">
        <v>259</v>
      </c>
      <c r="D4203" s="295" t="s">
        <v>101</v>
      </c>
      <c r="E4203" s="296">
        <v>25.687609999999999</v>
      </c>
    </row>
    <row r="4204" spans="1:5" x14ac:dyDescent="0.3">
      <c r="A4204" s="295">
        <v>2025</v>
      </c>
      <c r="B4204" s="295">
        <v>1</v>
      </c>
      <c r="C4204" s="295" t="s">
        <v>259</v>
      </c>
      <c r="D4204" s="295" t="s">
        <v>179</v>
      </c>
      <c r="E4204" s="296">
        <v>1218.6740500000001</v>
      </c>
    </row>
    <row r="4205" spans="1:5" x14ac:dyDescent="0.3">
      <c r="A4205" s="295">
        <v>2025</v>
      </c>
      <c r="B4205" s="295">
        <v>1</v>
      </c>
      <c r="C4205" s="295" t="s">
        <v>259</v>
      </c>
      <c r="D4205" s="295" t="s">
        <v>352</v>
      </c>
      <c r="E4205" s="296">
        <v>9.0138499999999997</v>
      </c>
    </row>
    <row r="4206" spans="1:5" x14ac:dyDescent="0.3">
      <c r="A4206" s="295">
        <v>2025</v>
      </c>
      <c r="B4206" s="295">
        <v>1</v>
      </c>
      <c r="C4206" s="295" t="s">
        <v>259</v>
      </c>
      <c r="D4206" s="295" t="s">
        <v>426</v>
      </c>
      <c r="E4206" s="296">
        <v>1.1301600000000001</v>
      </c>
    </row>
    <row r="4207" spans="1:5" x14ac:dyDescent="0.3">
      <c r="A4207" s="295">
        <v>2025</v>
      </c>
      <c r="B4207" s="295">
        <v>1</v>
      </c>
      <c r="C4207" s="295" t="s">
        <v>259</v>
      </c>
      <c r="D4207" s="295" t="s">
        <v>427</v>
      </c>
      <c r="E4207" s="296">
        <v>13.72357</v>
      </c>
    </row>
    <row r="4208" spans="1:5" x14ac:dyDescent="0.3">
      <c r="A4208" s="295">
        <v>2025</v>
      </c>
      <c r="B4208" s="295">
        <v>1</v>
      </c>
      <c r="C4208" s="295" t="s">
        <v>259</v>
      </c>
      <c r="D4208" s="295" t="s">
        <v>429</v>
      </c>
      <c r="E4208" s="296">
        <v>4.66092</v>
      </c>
    </row>
    <row r="4209" spans="1:5" x14ac:dyDescent="0.3">
      <c r="A4209" s="295">
        <v>2025</v>
      </c>
      <c r="B4209" s="295">
        <v>1</v>
      </c>
      <c r="C4209" s="295" t="s">
        <v>85</v>
      </c>
      <c r="D4209" s="295" t="s">
        <v>1</v>
      </c>
      <c r="E4209" s="296">
        <v>0.16480709329729551</v>
      </c>
    </row>
    <row r="4210" spans="1:5" x14ac:dyDescent="0.3">
      <c r="A4210" s="295">
        <v>2025</v>
      </c>
      <c r="B4210" s="295">
        <v>1</v>
      </c>
      <c r="C4210" s="295" t="s">
        <v>85</v>
      </c>
      <c r="D4210" s="295" t="s">
        <v>2</v>
      </c>
      <c r="E4210" s="296">
        <v>0.1712839099320688</v>
      </c>
    </row>
    <row r="4211" spans="1:5" x14ac:dyDescent="0.3">
      <c r="A4211" s="295">
        <v>2025</v>
      </c>
      <c r="B4211" s="295">
        <v>1</v>
      </c>
      <c r="C4211" s="295" t="s">
        <v>85</v>
      </c>
      <c r="D4211" s="295" t="s">
        <v>259</v>
      </c>
      <c r="E4211" s="296">
        <v>0.13779191216592351</v>
      </c>
    </row>
    <row r="4212" spans="1:5" x14ac:dyDescent="0.3">
      <c r="A4212" s="295">
        <v>2025</v>
      </c>
      <c r="B4212" s="295">
        <v>1</v>
      </c>
      <c r="C4212" s="295" t="s">
        <v>85</v>
      </c>
      <c r="D4212" s="295" t="s">
        <v>101</v>
      </c>
      <c r="E4212" s="296">
        <v>3.5395500000000002</v>
      </c>
    </row>
    <row r="4213" spans="1:5" x14ac:dyDescent="0.3">
      <c r="A4213" s="295">
        <v>2025</v>
      </c>
      <c r="B4213" s="295">
        <v>1</v>
      </c>
      <c r="C4213" s="295" t="s">
        <v>85</v>
      </c>
      <c r="D4213" s="295" t="s">
        <v>179</v>
      </c>
      <c r="E4213" s="296">
        <v>167.92343</v>
      </c>
    </row>
    <row r="4214" spans="1:5" x14ac:dyDescent="0.3">
      <c r="A4214" s="295">
        <v>2025</v>
      </c>
      <c r="B4214" s="295">
        <v>1</v>
      </c>
      <c r="C4214" s="295" t="s">
        <v>85</v>
      </c>
      <c r="D4214" s="295" t="s">
        <v>352</v>
      </c>
      <c r="E4214" s="296">
        <v>1.24204</v>
      </c>
    </row>
    <row r="4215" spans="1:5" x14ac:dyDescent="0.3">
      <c r="A4215" s="295">
        <v>2025</v>
      </c>
      <c r="B4215" s="295">
        <v>1</v>
      </c>
      <c r="C4215" s="295" t="s">
        <v>85</v>
      </c>
      <c r="D4215" s="295" t="s">
        <v>426</v>
      </c>
      <c r="E4215" s="296">
        <v>0.15573000000000001</v>
      </c>
    </row>
    <row r="4216" spans="1:5" x14ac:dyDescent="0.3">
      <c r="A4216" s="295">
        <v>2025</v>
      </c>
      <c r="B4216" s="295">
        <v>1</v>
      </c>
      <c r="C4216" s="295" t="s">
        <v>85</v>
      </c>
      <c r="D4216" s="295" t="s">
        <v>427</v>
      </c>
      <c r="E4216" s="296">
        <v>1.891</v>
      </c>
    </row>
    <row r="4217" spans="1:5" x14ac:dyDescent="0.3">
      <c r="A4217" s="295">
        <v>2025</v>
      </c>
      <c r="B4217" s="295">
        <v>1</v>
      </c>
      <c r="C4217" s="295" t="s">
        <v>85</v>
      </c>
      <c r="D4217" s="295" t="s">
        <v>429</v>
      </c>
      <c r="E4217" s="296">
        <v>0.64224000000000003</v>
      </c>
    </row>
    <row r="4218" spans="1:5" x14ac:dyDescent="0.3">
      <c r="A4218" s="295">
        <v>2025</v>
      </c>
      <c r="B4218" s="295">
        <v>1</v>
      </c>
      <c r="C4218" s="295" t="s">
        <v>101</v>
      </c>
      <c r="D4218" s="295" t="s">
        <v>1</v>
      </c>
      <c r="E4218" s="296">
        <v>4.6561654614958398E-2</v>
      </c>
    </row>
    <row r="4219" spans="1:5" x14ac:dyDescent="0.3">
      <c r="A4219" s="295">
        <v>2025</v>
      </c>
      <c r="B4219" s="295">
        <v>1</v>
      </c>
      <c r="C4219" s="295" t="s">
        <v>101</v>
      </c>
      <c r="D4219" s="295" t="s">
        <v>2</v>
      </c>
      <c r="E4219" s="296">
        <v>4.8391537868555996E-2</v>
      </c>
    </row>
    <row r="4220" spans="1:5" x14ac:dyDescent="0.3">
      <c r="A4220" s="295">
        <v>2025</v>
      </c>
      <c r="B4220" s="295">
        <v>1</v>
      </c>
      <c r="C4220" s="295" t="s">
        <v>101</v>
      </c>
      <c r="D4220" s="295" t="s">
        <v>259</v>
      </c>
      <c r="E4220" s="296">
        <v>3.8929273684862077E-2</v>
      </c>
    </row>
    <row r="4221" spans="1:5" x14ac:dyDescent="0.3">
      <c r="A4221" s="295">
        <v>2025</v>
      </c>
      <c r="B4221" s="295">
        <v>1</v>
      </c>
      <c r="C4221" s="295" t="s">
        <v>101</v>
      </c>
      <c r="D4221" s="295" t="s">
        <v>85</v>
      </c>
      <c r="E4221" s="296">
        <v>0.28252178949301465</v>
      </c>
    </row>
    <row r="4222" spans="1:5" x14ac:dyDescent="0.3">
      <c r="A4222" s="295">
        <v>2025</v>
      </c>
      <c r="B4222" s="295">
        <v>1</v>
      </c>
      <c r="C4222" s="295" t="s">
        <v>101</v>
      </c>
      <c r="D4222" s="295" t="s">
        <v>179</v>
      </c>
      <c r="E4222" s="296">
        <v>47.44209</v>
      </c>
    </row>
    <row r="4223" spans="1:5" x14ac:dyDescent="0.3">
      <c r="A4223" s="295">
        <v>2025</v>
      </c>
      <c r="B4223" s="295">
        <v>1</v>
      </c>
      <c r="C4223" s="295" t="s">
        <v>101</v>
      </c>
      <c r="D4223" s="295" t="s">
        <v>352</v>
      </c>
      <c r="E4223" s="296">
        <v>0.35089999999999999</v>
      </c>
    </row>
    <row r="4224" spans="1:5" x14ac:dyDescent="0.3">
      <c r="A4224" s="295">
        <v>2025</v>
      </c>
      <c r="B4224" s="295">
        <v>1</v>
      </c>
      <c r="C4224" s="295" t="s">
        <v>101</v>
      </c>
      <c r="D4224" s="295" t="s">
        <v>426</v>
      </c>
      <c r="E4224" s="296">
        <v>4.3999999999999997E-2</v>
      </c>
    </row>
    <row r="4225" spans="1:5" x14ac:dyDescent="0.3">
      <c r="A4225" s="295">
        <v>2025</v>
      </c>
      <c r="B4225" s="295">
        <v>1</v>
      </c>
      <c r="C4225" s="295" t="s">
        <v>101</v>
      </c>
      <c r="D4225" s="295" t="s">
        <v>427</v>
      </c>
      <c r="E4225" s="296">
        <v>0.53425</v>
      </c>
    </row>
    <row r="4226" spans="1:5" x14ac:dyDescent="0.3">
      <c r="A4226" s="295">
        <v>2025</v>
      </c>
      <c r="B4226" s="295">
        <v>1</v>
      </c>
      <c r="C4226" s="295" t="s">
        <v>101</v>
      </c>
      <c r="D4226" s="295" t="s">
        <v>429</v>
      </c>
      <c r="E4226" s="296">
        <v>0.18145</v>
      </c>
    </row>
    <row r="4227" spans="1:5" x14ac:dyDescent="0.3">
      <c r="A4227" s="295">
        <v>2025</v>
      </c>
      <c r="B4227" s="295">
        <v>1</v>
      </c>
      <c r="C4227" s="295" t="s">
        <v>179</v>
      </c>
      <c r="D4227" s="295" t="s">
        <v>1</v>
      </c>
      <c r="E4227" s="296">
        <v>9.8144191483243355E-4</v>
      </c>
    </row>
    <row r="4228" spans="1:5" x14ac:dyDescent="0.3">
      <c r="A4228" s="295">
        <v>2025</v>
      </c>
      <c r="B4228" s="295">
        <v>1</v>
      </c>
      <c r="C4228" s="295" t="s">
        <v>179</v>
      </c>
      <c r="D4228" s="295" t="s">
        <v>2</v>
      </c>
      <c r="E4228" s="296">
        <v>1.0200125857312929E-3</v>
      </c>
    </row>
    <row r="4229" spans="1:5" x14ac:dyDescent="0.3">
      <c r="A4229" s="295">
        <v>2025</v>
      </c>
      <c r="B4229" s="295">
        <v>1</v>
      </c>
      <c r="C4229" s="295" t="s">
        <v>179</v>
      </c>
      <c r="D4229" s="295" t="s">
        <v>259</v>
      </c>
      <c r="E4229" s="296">
        <v>8.2056395637537371E-4</v>
      </c>
    </row>
    <row r="4230" spans="1:5" x14ac:dyDescent="0.3">
      <c r="A4230" s="295">
        <v>2025</v>
      </c>
      <c r="B4230" s="295">
        <v>1</v>
      </c>
      <c r="C4230" s="295" t="s">
        <v>179</v>
      </c>
      <c r="D4230" s="295" t="s">
        <v>85</v>
      </c>
      <c r="E4230" s="296">
        <v>5.9550951287738706E-3</v>
      </c>
    </row>
    <row r="4231" spans="1:5" x14ac:dyDescent="0.3">
      <c r="A4231" s="295">
        <v>2025</v>
      </c>
      <c r="B4231" s="295">
        <v>1</v>
      </c>
      <c r="C4231" s="295" t="s">
        <v>179</v>
      </c>
      <c r="D4231" s="295" t="s">
        <v>101</v>
      </c>
      <c r="E4231" s="296">
        <v>2.1078329390631822E-2</v>
      </c>
    </row>
    <row r="4232" spans="1:5" x14ac:dyDescent="0.3">
      <c r="A4232" s="295">
        <v>2025</v>
      </c>
      <c r="B4232" s="295">
        <v>1</v>
      </c>
      <c r="C4232" s="295" t="s">
        <v>179</v>
      </c>
      <c r="D4232" s="295" t="s">
        <v>352</v>
      </c>
      <c r="E4232" s="296">
        <v>7.4000000000000003E-3</v>
      </c>
    </row>
    <row r="4233" spans="1:5" x14ac:dyDescent="0.3">
      <c r="A4233" s="295">
        <v>2025</v>
      </c>
      <c r="B4233" s="295">
        <v>1</v>
      </c>
      <c r="C4233" s="295" t="s">
        <v>179</v>
      </c>
      <c r="D4233" s="295" t="s">
        <v>426</v>
      </c>
      <c r="E4233" s="296">
        <v>9.3000000000000005E-4</v>
      </c>
    </row>
    <row r="4234" spans="1:5" x14ac:dyDescent="0.3">
      <c r="A4234" s="295">
        <v>2025</v>
      </c>
      <c r="B4234" s="295">
        <v>1</v>
      </c>
      <c r="C4234" s="295" t="s">
        <v>179</v>
      </c>
      <c r="D4234" s="295" t="s">
        <v>427</v>
      </c>
      <c r="E4234" s="296">
        <v>1.1259999999999999E-2</v>
      </c>
    </row>
    <row r="4235" spans="1:5" x14ac:dyDescent="0.3">
      <c r="A4235" s="295">
        <v>2025</v>
      </c>
      <c r="B4235" s="295">
        <v>1</v>
      </c>
      <c r="C4235" s="295" t="s">
        <v>179</v>
      </c>
      <c r="D4235" s="295" t="s">
        <v>429</v>
      </c>
      <c r="E4235" s="296">
        <v>3.82E-3</v>
      </c>
    </row>
    <row r="4236" spans="1:5" x14ac:dyDescent="0.3">
      <c r="A4236" s="295">
        <v>2025</v>
      </c>
      <c r="B4236" s="295">
        <v>1</v>
      </c>
      <c r="C4236" s="295" t="s">
        <v>352</v>
      </c>
      <c r="D4236" s="295" t="s">
        <v>1</v>
      </c>
      <c r="E4236" s="296">
        <v>0.13269110836882822</v>
      </c>
    </row>
    <row r="4237" spans="1:5" x14ac:dyDescent="0.3">
      <c r="A4237" s="295">
        <v>2025</v>
      </c>
      <c r="B4237" s="295">
        <v>1</v>
      </c>
      <c r="C4237" s="295" t="s">
        <v>352</v>
      </c>
      <c r="D4237" s="295" t="s">
        <v>2</v>
      </c>
      <c r="E4237" s="296">
        <v>0.13790592609345609</v>
      </c>
    </row>
    <row r="4238" spans="1:5" x14ac:dyDescent="0.3">
      <c r="A4238" s="295">
        <v>2025</v>
      </c>
      <c r="B4238" s="295">
        <v>1</v>
      </c>
      <c r="C4238" s="295" t="s">
        <v>352</v>
      </c>
      <c r="D4238" s="295" t="s">
        <v>259</v>
      </c>
      <c r="E4238" s="296">
        <v>0.11094038618348431</v>
      </c>
    </row>
    <row r="4239" spans="1:5" x14ac:dyDescent="0.3">
      <c r="A4239" s="295">
        <v>2025</v>
      </c>
      <c r="B4239" s="295">
        <v>1</v>
      </c>
      <c r="C4239" s="295" t="s">
        <v>352</v>
      </c>
      <c r="D4239" s="295" t="s">
        <v>85</v>
      </c>
      <c r="E4239" s="296">
        <v>0.80512704904833976</v>
      </c>
    </row>
    <row r="4240" spans="1:5" x14ac:dyDescent="0.3">
      <c r="A4240" s="295">
        <v>2025</v>
      </c>
      <c r="B4240" s="295">
        <v>1</v>
      </c>
      <c r="C4240" s="295" t="s">
        <v>352</v>
      </c>
      <c r="D4240" s="295" t="s">
        <v>101</v>
      </c>
      <c r="E4240" s="296">
        <v>2.8498147620404675</v>
      </c>
    </row>
    <row r="4241" spans="1:5" x14ac:dyDescent="0.3">
      <c r="A4241" s="295">
        <v>2025</v>
      </c>
      <c r="B4241" s="295">
        <v>1</v>
      </c>
      <c r="C4241" s="295" t="s">
        <v>352</v>
      </c>
      <c r="D4241" s="295" t="s">
        <v>179</v>
      </c>
      <c r="E4241" s="296">
        <v>135.13513513513513</v>
      </c>
    </row>
    <row r="4242" spans="1:5" x14ac:dyDescent="0.3">
      <c r="A4242" s="295">
        <v>2025</v>
      </c>
      <c r="B4242" s="295">
        <v>1</v>
      </c>
      <c r="C4242" s="295" t="s">
        <v>352</v>
      </c>
      <c r="D4242" s="295" t="s">
        <v>426</v>
      </c>
      <c r="E4242" s="296">
        <v>0.12537999999999999</v>
      </c>
    </row>
    <row r="4243" spans="1:5" x14ac:dyDescent="0.3">
      <c r="A4243" s="295">
        <v>2025</v>
      </c>
      <c r="B4243" s="295">
        <v>1</v>
      </c>
      <c r="C4243" s="295" t="s">
        <v>352</v>
      </c>
      <c r="D4243" s="295" t="s">
        <v>427</v>
      </c>
      <c r="E4243" s="296">
        <v>1.5225</v>
      </c>
    </row>
    <row r="4244" spans="1:5" x14ac:dyDescent="0.3">
      <c r="A4244" s="295">
        <v>2025</v>
      </c>
      <c r="B4244" s="295">
        <v>1</v>
      </c>
      <c r="C4244" s="295" t="s">
        <v>352</v>
      </c>
      <c r="D4244" s="295" t="s">
        <v>429</v>
      </c>
      <c r="E4244" s="296">
        <v>0.51707999999999998</v>
      </c>
    </row>
    <row r="4245" spans="1:5" x14ac:dyDescent="0.3">
      <c r="A4245" s="295">
        <v>2025</v>
      </c>
      <c r="B4245" s="295">
        <v>1</v>
      </c>
      <c r="C4245" s="295" t="s">
        <v>426</v>
      </c>
      <c r="D4245" s="295" t="s">
        <v>1</v>
      </c>
      <c r="E4245" s="296">
        <v>1.0583130489998942</v>
      </c>
    </row>
    <row r="4246" spans="1:5" x14ac:dyDescent="0.3">
      <c r="A4246" s="295">
        <v>2025</v>
      </c>
      <c r="B4246" s="295">
        <v>1</v>
      </c>
      <c r="C4246" s="295" t="s">
        <v>426</v>
      </c>
      <c r="D4246" s="295" t="s">
        <v>2</v>
      </c>
      <c r="E4246" s="296">
        <v>1.0999043083251756</v>
      </c>
    </row>
    <row r="4247" spans="1:5" x14ac:dyDescent="0.3">
      <c r="A4247" s="295">
        <v>2025</v>
      </c>
      <c r="B4247" s="295">
        <v>1</v>
      </c>
      <c r="C4247" s="295" t="s">
        <v>426</v>
      </c>
      <c r="D4247" s="295" t="s">
        <v>259</v>
      </c>
      <c r="E4247" s="296">
        <v>0.88483046648262187</v>
      </c>
    </row>
    <row r="4248" spans="1:5" x14ac:dyDescent="0.3">
      <c r="A4248" s="295">
        <v>2025</v>
      </c>
      <c r="B4248" s="295">
        <v>1</v>
      </c>
      <c r="C4248" s="295" t="s">
        <v>426</v>
      </c>
      <c r="D4248" s="295" t="s">
        <v>85</v>
      </c>
      <c r="E4248" s="296">
        <v>6.4213703204263783</v>
      </c>
    </row>
    <row r="4249" spans="1:5" x14ac:dyDescent="0.3">
      <c r="A4249" s="295">
        <v>2025</v>
      </c>
      <c r="B4249" s="295">
        <v>1</v>
      </c>
      <c r="C4249" s="295" t="s">
        <v>426</v>
      </c>
      <c r="D4249" s="295" t="s">
        <v>101</v>
      </c>
      <c r="E4249" s="296">
        <v>22.72727272727273</v>
      </c>
    </row>
    <row r="4250" spans="1:5" x14ac:dyDescent="0.3">
      <c r="A4250" s="295">
        <v>2025</v>
      </c>
      <c r="B4250" s="295">
        <v>1</v>
      </c>
      <c r="C4250" s="295" t="s">
        <v>426</v>
      </c>
      <c r="D4250" s="295" t="s">
        <v>179</v>
      </c>
      <c r="E4250" s="296">
        <v>1.8717828731867103</v>
      </c>
    </row>
    <row r="4251" spans="1:5" x14ac:dyDescent="0.3">
      <c r="A4251" s="295">
        <v>2025</v>
      </c>
      <c r="B4251" s="295">
        <v>1</v>
      </c>
      <c r="C4251" s="295" t="s">
        <v>426</v>
      </c>
      <c r="D4251" s="295" t="s">
        <v>352</v>
      </c>
      <c r="E4251" s="296">
        <v>5.5111600992008816</v>
      </c>
    </row>
    <row r="4252" spans="1:5" x14ac:dyDescent="0.3">
      <c r="A4252" s="295">
        <v>2025</v>
      </c>
      <c r="B4252" s="295">
        <v>1</v>
      </c>
      <c r="C4252" s="295" t="s">
        <v>426</v>
      </c>
      <c r="D4252" s="295" t="s">
        <v>427</v>
      </c>
      <c r="E4252" s="296">
        <v>1.5225</v>
      </c>
    </row>
    <row r="4253" spans="1:5" x14ac:dyDescent="0.3">
      <c r="A4253" s="295">
        <v>2025</v>
      </c>
      <c r="B4253" s="295">
        <v>1</v>
      </c>
      <c r="C4253" s="295" t="s">
        <v>426</v>
      </c>
      <c r="D4253" s="295" t="s">
        <v>429</v>
      </c>
      <c r="E4253" s="296">
        <v>0.51707999999999998</v>
      </c>
    </row>
    <row r="4254" spans="1:5" x14ac:dyDescent="0.3">
      <c r="A4254" s="295">
        <v>2025</v>
      </c>
      <c r="B4254" s="295">
        <v>1</v>
      </c>
      <c r="C4254" s="295" t="s">
        <v>427</v>
      </c>
      <c r="D4254" s="295" t="s">
        <v>1</v>
      </c>
      <c r="E4254" s="296">
        <v>8.7153564580791348E-2</v>
      </c>
    </row>
    <row r="4255" spans="1:5" x14ac:dyDescent="0.3">
      <c r="A4255" s="295">
        <v>2025</v>
      </c>
      <c r="B4255" s="295">
        <v>1</v>
      </c>
      <c r="C4255" s="295" t="s">
        <v>427</v>
      </c>
      <c r="D4255" s="295" t="s">
        <v>2</v>
      </c>
      <c r="E4255" s="296">
        <v>9.0578725593562393E-2</v>
      </c>
    </row>
    <row r="4256" spans="1:5" x14ac:dyDescent="0.3">
      <c r="A4256" s="295">
        <v>2025</v>
      </c>
      <c r="B4256" s="295">
        <v>1</v>
      </c>
      <c r="C4256" s="295" t="s">
        <v>427</v>
      </c>
      <c r="D4256" s="295" t="s">
        <v>259</v>
      </c>
      <c r="E4256" s="296">
        <v>7.2867336997588822E-2</v>
      </c>
    </row>
    <row r="4257" spans="1:5" x14ac:dyDescent="0.3">
      <c r="A4257" s="295">
        <v>2025</v>
      </c>
      <c r="B4257" s="295">
        <v>1</v>
      </c>
      <c r="C4257" s="295" t="s">
        <v>427</v>
      </c>
      <c r="D4257" s="295" t="s">
        <v>85</v>
      </c>
      <c r="E4257" s="296">
        <v>0.52882072977260708</v>
      </c>
    </row>
    <row r="4258" spans="1:5" x14ac:dyDescent="0.3">
      <c r="A4258" s="295">
        <v>2025</v>
      </c>
      <c r="B4258" s="295">
        <v>1</v>
      </c>
      <c r="C4258" s="295" t="s">
        <v>427</v>
      </c>
      <c r="D4258" s="295" t="s">
        <v>101</v>
      </c>
      <c r="E4258" s="296">
        <v>1.8717828731867103</v>
      </c>
    </row>
    <row r="4259" spans="1:5" x14ac:dyDescent="0.3">
      <c r="A4259" s="295">
        <v>2025</v>
      </c>
      <c r="B4259" s="295">
        <v>1</v>
      </c>
      <c r="C4259" s="295" t="s">
        <v>427</v>
      </c>
      <c r="D4259" s="295" t="s">
        <v>179</v>
      </c>
      <c r="E4259" s="296">
        <v>88.80994671403198</v>
      </c>
    </row>
    <row r="4260" spans="1:5" x14ac:dyDescent="0.3">
      <c r="A4260" s="295">
        <v>2025</v>
      </c>
      <c r="B4260" s="295">
        <v>1</v>
      </c>
      <c r="C4260" s="295" t="s">
        <v>427</v>
      </c>
      <c r="D4260" s="295" t="s">
        <v>352</v>
      </c>
      <c r="E4260" s="296">
        <v>0.65681444991789817</v>
      </c>
    </row>
    <row r="4261" spans="1:5" x14ac:dyDescent="0.3">
      <c r="A4261" s="295">
        <v>2025</v>
      </c>
      <c r="B4261" s="295">
        <v>1</v>
      </c>
      <c r="C4261" s="295" t="s">
        <v>427</v>
      </c>
      <c r="D4261" s="295" t="s">
        <v>426</v>
      </c>
      <c r="E4261" s="296">
        <v>0.65681444991789817</v>
      </c>
    </row>
    <row r="4262" spans="1:5" x14ac:dyDescent="0.3">
      <c r="A4262" s="295">
        <v>2025</v>
      </c>
      <c r="B4262" s="295">
        <v>1</v>
      </c>
      <c r="C4262" s="295" t="s">
        <v>427</v>
      </c>
      <c r="D4262" s="295" t="s">
        <v>429</v>
      </c>
      <c r="E4262" s="296">
        <v>0.33962999999999999</v>
      </c>
    </row>
    <row r="4263" spans="1:5" x14ac:dyDescent="0.3">
      <c r="A4263" s="295">
        <v>2025</v>
      </c>
      <c r="B4263" s="295">
        <v>1</v>
      </c>
      <c r="C4263" s="295" t="s">
        <v>429</v>
      </c>
      <c r="D4263" s="295" t="s">
        <v>1</v>
      </c>
      <c r="E4263" s="296">
        <v>0.25661423182529702</v>
      </c>
    </row>
    <row r="4264" spans="1:5" x14ac:dyDescent="0.3">
      <c r="A4264" s="295">
        <v>2025</v>
      </c>
      <c r="B4264" s="295">
        <v>1</v>
      </c>
      <c r="C4264" s="295" t="s">
        <v>429</v>
      </c>
      <c r="D4264" s="295" t="s">
        <v>2</v>
      </c>
      <c r="E4264" s="296">
        <v>0.26669938179083302</v>
      </c>
    </row>
    <row r="4265" spans="1:5" x14ac:dyDescent="0.3">
      <c r="A4265" s="295">
        <v>2025</v>
      </c>
      <c r="B4265" s="295">
        <v>1</v>
      </c>
      <c r="C4265" s="295" t="s">
        <v>429</v>
      </c>
      <c r="D4265" s="295" t="s">
        <v>259</v>
      </c>
      <c r="E4265" s="296">
        <v>0.21454991718373198</v>
      </c>
    </row>
    <row r="4266" spans="1:5" x14ac:dyDescent="0.3">
      <c r="A4266" s="295">
        <v>2025</v>
      </c>
      <c r="B4266" s="295">
        <v>1</v>
      </c>
      <c r="C4266" s="295" t="s">
        <v>429</v>
      </c>
      <c r="D4266" s="295" t="s">
        <v>85</v>
      </c>
      <c r="E4266" s="296">
        <v>1.5570503238664672</v>
      </c>
    </row>
    <row r="4267" spans="1:5" x14ac:dyDescent="0.3">
      <c r="A4267" s="295">
        <v>2025</v>
      </c>
      <c r="B4267" s="295">
        <v>1</v>
      </c>
      <c r="C4267" s="295" t="s">
        <v>429</v>
      </c>
      <c r="D4267" s="295" t="s">
        <v>101</v>
      </c>
      <c r="E4267" s="296">
        <v>5.5111600992008816</v>
      </c>
    </row>
    <row r="4268" spans="1:5" x14ac:dyDescent="0.3">
      <c r="A4268" s="295">
        <v>2025</v>
      </c>
      <c r="B4268" s="295">
        <v>1</v>
      </c>
      <c r="C4268" s="295" t="s">
        <v>429</v>
      </c>
      <c r="D4268" s="295" t="s">
        <v>179</v>
      </c>
      <c r="E4268" s="296">
        <v>261.78010471204186</v>
      </c>
    </row>
    <row r="4269" spans="1:5" x14ac:dyDescent="0.3">
      <c r="A4269" s="295">
        <v>2025</v>
      </c>
      <c r="B4269" s="295">
        <v>1</v>
      </c>
      <c r="C4269" s="295" t="s">
        <v>429</v>
      </c>
      <c r="D4269" s="295" t="s">
        <v>352</v>
      </c>
      <c r="E4269" s="296">
        <v>1.9339367215904697</v>
      </c>
    </row>
    <row r="4270" spans="1:5" x14ac:dyDescent="0.3">
      <c r="A4270" s="295">
        <v>2025</v>
      </c>
      <c r="B4270" s="295">
        <v>1</v>
      </c>
      <c r="C4270" s="295" t="s">
        <v>429</v>
      </c>
      <c r="D4270" s="295" t="s">
        <v>426</v>
      </c>
      <c r="E4270" s="296">
        <v>1.9339367215904697</v>
      </c>
    </row>
    <row r="4271" spans="1:5" x14ac:dyDescent="0.3">
      <c r="A4271" s="295">
        <v>2025</v>
      </c>
      <c r="B4271" s="295">
        <v>1</v>
      </c>
      <c r="C4271" s="295" t="s">
        <v>429</v>
      </c>
      <c r="D4271" s="295" t="s">
        <v>427</v>
      </c>
      <c r="E4271" s="296">
        <v>2.9443806495303715</v>
      </c>
    </row>
    <row r="4272" spans="1:5" x14ac:dyDescent="0.3">
      <c r="A4272" s="295">
        <v>2025</v>
      </c>
      <c r="B4272" s="295">
        <v>1</v>
      </c>
      <c r="C4272" s="295" t="s">
        <v>1</v>
      </c>
      <c r="D4272" s="295" t="s">
        <v>1</v>
      </c>
      <c r="E4272" s="296">
        <v>1</v>
      </c>
    </row>
    <row r="4273" spans="1:5" x14ac:dyDescent="0.3">
      <c r="A4273" s="295">
        <v>2025</v>
      </c>
      <c r="B4273" s="295">
        <v>1</v>
      </c>
      <c r="C4273" s="295" t="s">
        <v>2</v>
      </c>
      <c r="D4273" s="295" t="s">
        <v>2</v>
      </c>
      <c r="E4273" s="296">
        <v>1</v>
      </c>
    </row>
    <row r="4274" spans="1:5" x14ac:dyDescent="0.3">
      <c r="A4274" s="295">
        <v>2025</v>
      </c>
      <c r="B4274" s="295">
        <v>1</v>
      </c>
      <c r="C4274" s="295" t="s">
        <v>259</v>
      </c>
      <c r="D4274" s="295" t="s">
        <v>259</v>
      </c>
      <c r="E4274" s="296">
        <v>1</v>
      </c>
    </row>
    <row r="4275" spans="1:5" x14ac:dyDescent="0.3">
      <c r="A4275" s="295">
        <v>2025</v>
      </c>
      <c r="B4275" s="295">
        <v>1</v>
      </c>
      <c r="C4275" s="295" t="s">
        <v>85</v>
      </c>
      <c r="D4275" s="295" t="s">
        <v>85</v>
      </c>
      <c r="E4275" s="296">
        <v>1</v>
      </c>
    </row>
    <row r="4276" spans="1:5" x14ac:dyDescent="0.3">
      <c r="A4276" s="295">
        <v>2025</v>
      </c>
      <c r="B4276" s="295">
        <v>1</v>
      </c>
      <c r="C4276" s="295" t="s">
        <v>101</v>
      </c>
      <c r="D4276" s="295" t="s">
        <v>101</v>
      </c>
      <c r="E4276" s="296">
        <v>1</v>
      </c>
    </row>
    <row r="4277" spans="1:5" x14ac:dyDescent="0.3">
      <c r="A4277" s="295">
        <v>2025</v>
      </c>
      <c r="B4277" s="295">
        <v>1</v>
      </c>
      <c r="C4277" s="295" t="s">
        <v>179</v>
      </c>
      <c r="D4277" s="295" t="s">
        <v>179</v>
      </c>
      <c r="E4277" s="296">
        <v>1</v>
      </c>
    </row>
    <row r="4278" spans="1:5" x14ac:dyDescent="0.3">
      <c r="A4278" s="295">
        <v>2025</v>
      </c>
      <c r="B4278" s="295">
        <v>1</v>
      </c>
      <c r="C4278" s="295" t="s">
        <v>352</v>
      </c>
      <c r="D4278" s="295" t="s">
        <v>352</v>
      </c>
      <c r="E4278" s="296">
        <v>1</v>
      </c>
    </row>
    <row r="4279" spans="1:5" x14ac:dyDescent="0.3">
      <c r="A4279" s="295">
        <v>2025</v>
      </c>
      <c r="B4279" s="295">
        <v>1</v>
      </c>
      <c r="C4279" s="295" t="s">
        <v>426</v>
      </c>
      <c r="D4279" s="295" t="s">
        <v>426</v>
      </c>
      <c r="E4279" s="296">
        <v>1</v>
      </c>
    </row>
    <row r="4280" spans="1:5" x14ac:dyDescent="0.3">
      <c r="A4280" s="295">
        <v>2025</v>
      </c>
      <c r="B4280" s="295">
        <v>1</v>
      </c>
      <c r="C4280" s="295" t="s">
        <v>427</v>
      </c>
      <c r="D4280" s="295" t="s">
        <v>427</v>
      </c>
      <c r="E4280" s="296">
        <v>1</v>
      </c>
    </row>
    <row r="4281" spans="1:5" x14ac:dyDescent="0.3">
      <c r="A4281" s="295">
        <v>2025</v>
      </c>
      <c r="B4281" s="295">
        <v>1</v>
      </c>
      <c r="C4281" s="295" t="s">
        <v>429</v>
      </c>
      <c r="D4281" s="295" t="s">
        <v>429</v>
      </c>
      <c r="E4281" s="296">
        <v>1</v>
      </c>
    </row>
    <row r="4282" spans="1:5" x14ac:dyDescent="0.3">
      <c r="A4282" s="295">
        <v>2025</v>
      </c>
      <c r="B4282" s="295">
        <v>2</v>
      </c>
      <c r="C4282" s="295" t="s">
        <v>1</v>
      </c>
      <c r="D4282" s="295" t="s">
        <v>2</v>
      </c>
      <c r="E4282" s="296">
        <v>1.0410999999999999</v>
      </c>
    </row>
    <row r="4283" spans="1:5" x14ac:dyDescent="0.3">
      <c r="A4283" s="295">
        <v>2025</v>
      </c>
      <c r="B4283" s="295">
        <v>2</v>
      </c>
      <c r="C4283" s="295" t="s">
        <v>1</v>
      </c>
      <c r="D4283" s="295" t="s">
        <v>259</v>
      </c>
      <c r="E4283" s="296">
        <v>0.82608000000000004</v>
      </c>
    </row>
    <row r="4284" spans="1:5" x14ac:dyDescent="0.3">
      <c r="A4284" s="295">
        <v>2025</v>
      </c>
      <c r="B4284" s="295">
        <v>2</v>
      </c>
      <c r="C4284" s="295" t="s">
        <v>1</v>
      </c>
      <c r="D4284" s="295" t="s">
        <v>85</v>
      </c>
      <c r="E4284" s="296">
        <v>6.0712000000000002</v>
      </c>
    </row>
    <row r="4285" spans="1:5" x14ac:dyDescent="0.3">
      <c r="A4285" s="295">
        <v>2025</v>
      </c>
      <c r="B4285" s="295">
        <v>2</v>
      </c>
      <c r="C4285" s="295" t="s">
        <v>1</v>
      </c>
      <c r="D4285" s="295" t="s">
        <v>101</v>
      </c>
      <c r="E4285" s="296">
        <v>21.219100000000001</v>
      </c>
    </row>
    <row r="4286" spans="1:5" x14ac:dyDescent="0.3">
      <c r="A4286" s="295">
        <v>2025</v>
      </c>
      <c r="B4286" s="295">
        <v>2</v>
      </c>
      <c r="C4286" s="295" t="s">
        <v>1</v>
      </c>
      <c r="D4286" s="295" t="s">
        <v>179</v>
      </c>
      <c r="E4286" s="296">
        <v>997.56100000000004</v>
      </c>
    </row>
    <row r="4287" spans="1:5" x14ac:dyDescent="0.3">
      <c r="A4287" s="295">
        <v>2025</v>
      </c>
      <c r="B4287" s="295">
        <v>2</v>
      </c>
      <c r="C4287" s="295" t="s">
        <v>1</v>
      </c>
      <c r="D4287" s="295" t="s">
        <v>352</v>
      </c>
      <c r="E4287" s="296">
        <v>7.5781999999999998</v>
      </c>
    </row>
    <row r="4288" spans="1:5" x14ac:dyDescent="0.3">
      <c r="A4288" s="295">
        <v>2025</v>
      </c>
      <c r="B4288" s="295">
        <v>2</v>
      </c>
      <c r="C4288" s="295" t="s">
        <v>1</v>
      </c>
      <c r="D4288" s="295" t="s">
        <v>426</v>
      </c>
      <c r="E4288" s="296">
        <v>0.93940000000000001</v>
      </c>
    </row>
    <row r="4289" spans="1:5" x14ac:dyDescent="0.3">
      <c r="A4289" s="295">
        <v>2025</v>
      </c>
      <c r="B4289" s="295">
        <v>2</v>
      </c>
      <c r="C4289" s="295" t="s">
        <v>1</v>
      </c>
      <c r="D4289" s="295" t="s">
        <v>427</v>
      </c>
      <c r="E4289" s="296">
        <v>11.188000000000001</v>
      </c>
    </row>
    <row r="4290" spans="1:5" x14ac:dyDescent="0.3">
      <c r="A4290" s="295">
        <v>2025</v>
      </c>
      <c r="B4290" s="295">
        <v>2</v>
      </c>
      <c r="C4290" s="295" t="s">
        <v>1</v>
      </c>
      <c r="D4290" s="295" t="s">
        <v>429</v>
      </c>
      <c r="E4290" s="296">
        <v>3.9041000000000001</v>
      </c>
    </row>
    <row r="4291" spans="1:5" x14ac:dyDescent="0.3">
      <c r="A4291" s="295">
        <v>2025</v>
      </c>
      <c r="B4291" s="295">
        <v>2</v>
      </c>
      <c r="C4291" s="295" t="s">
        <v>2</v>
      </c>
      <c r="D4291" s="295" t="s">
        <v>1</v>
      </c>
      <c r="E4291" s="296">
        <v>0.96052252425319384</v>
      </c>
    </row>
    <row r="4292" spans="1:5" x14ac:dyDescent="0.3">
      <c r="A4292" s="295">
        <v>2025</v>
      </c>
      <c r="B4292" s="295">
        <v>2</v>
      </c>
      <c r="C4292" s="295" t="s">
        <v>2</v>
      </c>
      <c r="D4292" s="295" t="s">
        <v>259</v>
      </c>
      <c r="E4292" s="296">
        <v>0.79347000000000001</v>
      </c>
    </row>
    <row r="4293" spans="1:5" x14ac:dyDescent="0.3">
      <c r="A4293" s="295">
        <v>2025</v>
      </c>
      <c r="B4293" s="295">
        <v>2</v>
      </c>
      <c r="C4293" s="295" t="s">
        <v>2</v>
      </c>
      <c r="D4293" s="295" t="s">
        <v>85</v>
      </c>
      <c r="E4293" s="296">
        <v>5.8315200000000003</v>
      </c>
    </row>
    <row r="4294" spans="1:5" x14ac:dyDescent="0.3">
      <c r="A4294" s="295">
        <v>2025</v>
      </c>
      <c r="B4294" s="295">
        <v>2</v>
      </c>
      <c r="C4294" s="295" t="s">
        <v>2</v>
      </c>
      <c r="D4294" s="295" t="s">
        <v>101</v>
      </c>
      <c r="E4294" s="296">
        <v>20.381419999999999</v>
      </c>
    </row>
    <row r="4295" spans="1:5" x14ac:dyDescent="0.3">
      <c r="A4295" s="295">
        <v>2025</v>
      </c>
      <c r="B4295" s="295">
        <v>2</v>
      </c>
      <c r="C4295" s="295" t="s">
        <v>2</v>
      </c>
      <c r="D4295" s="295" t="s">
        <v>179</v>
      </c>
      <c r="E4295" s="296">
        <v>958.17980999999997</v>
      </c>
    </row>
    <row r="4296" spans="1:5" x14ac:dyDescent="0.3">
      <c r="A4296" s="295">
        <v>2025</v>
      </c>
      <c r="B4296" s="295">
        <v>2</v>
      </c>
      <c r="C4296" s="295" t="s">
        <v>2</v>
      </c>
      <c r="D4296" s="295" t="s">
        <v>352</v>
      </c>
      <c r="E4296" s="296">
        <v>7.2790299999999997</v>
      </c>
    </row>
    <row r="4297" spans="1:5" x14ac:dyDescent="0.3">
      <c r="A4297" s="295">
        <v>2025</v>
      </c>
      <c r="B4297" s="295">
        <v>2</v>
      </c>
      <c r="C4297" s="295" t="s">
        <v>2</v>
      </c>
      <c r="D4297" s="295" t="s">
        <v>426</v>
      </c>
      <c r="E4297" s="296">
        <v>0.90230999999999995</v>
      </c>
    </row>
    <row r="4298" spans="1:5" x14ac:dyDescent="0.3">
      <c r="A4298" s="295">
        <v>2025</v>
      </c>
      <c r="B4298" s="295">
        <v>2</v>
      </c>
      <c r="C4298" s="295" t="s">
        <v>2</v>
      </c>
      <c r="D4298" s="295" t="s">
        <v>427</v>
      </c>
      <c r="E4298" s="296">
        <v>10.74633</v>
      </c>
    </row>
    <row r="4299" spans="1:5" x14ac:dyDescent="0.3">
      <c r="A4299" s="295">
        <v>2025</v>
      </c>
      <c r="B4299" s="295">
        <v>2</v>
      </c>
      <c r="C4299" s="295" t="s">
        <v>2</v>
      </c>
      <c r="D4299" s="295" t="s">
        <v>429</v>
      </c>
      <c r="E4299" s="296">
        <v>3.7499799999999999</v>
      </c>
    </row>
    <row r="4300" spans="1:5" x14ac:dyDescent="0.3">
      <c r="A4300" s="295">
        <v>2025</v>
      </c>
      <c r="B4300" s="295">
        <v>2</v>
      </c>
      <c r="C4300" s="295" t="s">
        <v>259</v>
      </c>
      <c r="D4300" s="295" t="s">
        <v>1</v>
      </c>
      <c r="E4300" s="296">
        <v>1.2105365097811349</v>
      </c>
    </row>
    <row r="4301" spans="1:5" x14ac:dyDescent="0.3">
      <c r="A4301" s="295">
        <v>2025</v>
      </c>
      <c r="B4301" s="295">
        <v>2</v>
      </c>
      <c r="C4301" s="295" t="s">
        <v>259</v>
      </c>
      <c r="D4301" s="295" t="s">
        <v>2</v>
      </c>
      <c r="E4301" s="296">
        <v>1.2602870933998764</v>
      </c>
    </row>
    <row r="4302" spans="1:5" x14ac:dyDescent="0.3">
      <c r="A4302" s="295">
        <v>2025</v>
      </c>
      <c r="B4302" s="295">
        <v>2</v>
      </c>
      <c r="C4302" s="295" t="s">
        <v>259</v>
      </c>
      <c r="D4302" s="295" t="s">
        <v>85</v>
      </c>
      <c r="E4302" s="296">
        <v>7.3494099999999998</v>
      </c>
    </row>
    <row r="4303" spans="1:5" x14ac:dyDescent="0.3">
      <c r="A4303" s="295">
        <v>2025</v>
      </c>
      <c r="B4303" s="295">
        <v>2</v>
      </c>
      <c r="C4303" s="295" t="s">
        <v>259</v>
      </c>
      <c r="D4303" s="295" t="s">
        <v>101</v>
      </c>
      <c r="E4303" s="296">
        <v>25.686499999999999</v>
      </c>
    </row>
    <row r="4304" spans="1:5" x14ac:dyDescent="0.3">
      <c r="A4304" s="295">
        <v>2025</v>
      </c>
      <c r="B4304" s="295">
        <v>2</v>
      </c>
      <c r="C4304" s="295" t="s">
        <v>259</v>
      </c>
      <c r="D4304" s="295" t="s">
        <v>179</v>
      </c>
      <c r="E4304" s="296">
        <v>1207.58401</v>
      </c>
    </row>
    <row r="4305" spans="1:5" x14ac:dyDescent="0.3">
      <c r="A4305" s="295">
        <v>2025</v>
      </c>
      <c r="B4305" s="295">
        <v>2</v>
      </c>
      <c r="C4305" s="295" t="s">
        <v>259</v>
      </c>
      <c r="D4305" s="295" t="s">
        <v>352</v>
      </c>
      <c r="E4305" s="296">
        <v>9.1736900000000006</v>
      </c>
    </row>
    <row r="4306" spans="1:5" x14ac:dyDescent="0.3">
      <c r="A4306" s="295">
        <v>2025</v>
      </c>
      <c r="B4306" s="295">
        <v>2</v>
      </c>
      <c r="C4306" s="295" t="s">
        <v>259</v>
      </c>
      <c r="D4306" s="295" t="s">
        <v>426</v>
      </c>
      <c r="E4306" s="296">
        <v>1.1371800000000001</v>
      </c>
    </row>
    <row r="4307" spans="1:5" x14ac:dyDescent="0.3">
      <c r="A4307" s="295">
        <v>2025</v>
      </c>
      <c r="B4307" s="295">
        <v>2</v>
      </c>
      <c r="C4307" s="295" t="s">
        <v>259</v>
      </c>
      <c r="D4307" s="295" t="s">
        <v>427</v>
      </c>
      <c r="E4307" s="296">
        <v>13.543480000000001</v>
      </c>
    </row>
    <row r="4308" spans="1:5" x14ac:dyDescent="0.3">
      <c r="A4308" s="295">
        <v>2025</v>
      </c>
      <c r="B4308" s="295">
        <v>2</v>
      </c>
      <c r="C4308" s="295" t="s">
        <v>259</v>
      </c>
      <c r="D4308" s="295" t="s">
        <v>429</v>
      </c>
      <c r="E4308" s="296">
        <v>4.7260600000000004</v>
      </c>
    </row>
    <row r="4309" spans="1:5" x14ac:dyDescent="0.3">
      <c r="A4309" s="295">
        <v>2025</v>
      </c>
      <c r="B4309" s="295">
        <v>2</v>
      </c>
      <c r="C4309" s="295" t="s">
        <v>85</v>
      </c>
      <c r="D4309" s="295" t="s">
        <v>1</v>
      </c>
      <c r="E4309" s="296">
        <v>0.16471208327842929</v>
      </c>
    </row>
    <row r="4310" spans="1:5" x14ac:dyDescent="0.3">
      <c r="A4310" s="295">
        <v>2025</v>
      </c>
      <c r="B4310" s="295">
        <v>2</v>
      </c>
      <c r="C4310" s="295" t="s">
        <v>85</v>
      </c>
      <c r="D4310" s="295" t="s">
        <v>2</v>
      </c>
      <c r="E4310" s="296">
        <v>0.17148187779515461</v>
      </c>
    </row>
    <row r="4311" spans="1:5" x14ac:dyDescent="0.3">
      <c r="A4311" s="295">
        <v>2025</v>
      </c>
      <c r="B4311" s="295">
        <v>2</v>
      </c>
      <c r="C4311" s="295" t="s">
        <v>85</v>
      </c>
      <c r="D4311" s="295" t="s">
        <v>259</v>
      </c>
      <c r="E4311" s="296">
        <v>0.13606534402081255</v>
      </c>
    </row>
    <row r="4312" spans="1:5" x14ac:dyDescent="0.3">
      <c r="A4312" s="295">
        <v>2025</v>
      </c>
      <c r="B4312" s="295">
        <v>2</v>
      </c>
      <c r="C4312" s="295" t="s">
        <v>85</v>
      </c>
      <c r="D4312" s="295" t="s">
        <v>101</v>
      </c>
      <c r="E4312" s="296">
        <v>3.4950399999999999</v>
      </c>
    </row>
    <row r="4313" spans="1:5" x14ac:dyDescent="0.3">
      <c r="A4313" s="295">
        <v>2025</v>
      </c>
      <c r="B4313" s="295">
        <v>2</v>
      </c>
      <c r="C4313" s="295" t="s">
        <v>85</v>
      </c>
      <c r="D4313" s="295" t="s">
        <v>179</v>
      </c>
      <c r="E4313" s="296">
        <v>164.31035</v>
      </c>
    </row>
    <row r="4314" spans="1:5" x14ac:dyDescent="0.3">
      <c r="A4314" s="295">
        <v>2025</v>
      </c>
      <c r="B4314" s="295">
        <v>2</v>
      </c>
      <c r="C4314" s="295" t="s">
        <v>85</v>
      </c>
      <c r="D4314" s="295" t="s">
        <v>352</v>
      </c>
      <c r="E4314" s="296">
        <v>1.2482200000000001</v>
      </c>
    </row>
    <row r="4315" spans="1:5" x14ac:dyDescent="0.3">
      <c r="A4315" s="295">
        <v>2025</v>
      </c>
      <c r="B4315" s="295">
        <v>2</v>
      </c>
      <c r="C4315" s="295" t="s">
        <v>85</v>
      </c>
      <c r="D4315" s="295" t="s">
        <v>426</v>
      </c>
      <c r="E4315" s="296">
        <v>0.15473000000000001</v>
      </c>
    </row>
    <row r="4316" spans="1:5" x14ac:dyDescent="0.3">
      <c r="A4316" s="295">
        <v>2025</v>
      </c>
      <c r="B4316" s="295">
        <v>2</v>
      </c>
      <c r="C4316" s="295" t="s">
        <v>85</v>
      </c>
      <c r="D4316" s="295" t="s">
        <v>427</v>
      </c>
      <c r="E4316" s="296">
        <v>1.8428</v>
      </c>
    </row>
    <row r="4317" spans="1:5" x14ac:dyDescent="0.3">
      <c r="A4317" s="295">
        <v>2025</v>
      </c>
      <c r="B4317" s="295">
        <v>2</v>
      </c>
      <c r="C4317" s="295" t="s">
        <v>85</v>
      </c>
      <c r="D4317" s="295" t="s">
        <v>429</v>
      </c>
      <c r="E4317" s="296">
        <v>1.55508</v>
      </c>
    </row>
    <row r="4318" spans="1:5" x14ac:dyDescent="0.3">
      <c r="A4318" s="295">
        <v>2025</v>
      </c>
      <c r="B4318" s="295">
        <v>2</v>
      </c>
      <c r="C4318" s="295" t="s">
        <v>101</v>
      </c>
      <c r="D4318" s="295" t="s">
        <v>1</v>
      </c>
      <c r="E4318" s="296">
        <v>4.7127352243968877E-2</v>
      </c>
    </row>
    <row r="4319" spans="1:5" x14ac:dyDescent="0.3">
      <c r="A4319" s="295">
        <v>2025</v>
      </c>
      <c r="B4319" s="295">
        <v>2</v>
      </c>
      <c r="C4319" s="295" t="s">
        <v>101</v>
      </c>
      <c r="D4319" s="295" t="s">
        <v>2</v>
      </c>
      <c r="E4319" s="296">
        <v>4.9064294833235371E-2</v>
      </c>
    </row>
    <row r="4320" spans="1:5" x14ac:dyDescent="0.3">
      <c r="A4320" s="295">
        <v>2025</v>
      </c>
      <c r="B4320" s="295">
        <v>2</v>
      </c>
      <c r="C4320" s="295" t="s">
        <v>101</v>
      </c>
      <c r="D4320" s="295" t="s">
        <v>259</v>
      </c>
      <c r="E4320" s="296">
        <v>3.8930955949623341E-2</v>
      </c>
    </row>
    <row r="4321" spans="1:5" x14ac:dyDescent="0.3">
      <c r="A4321" s="295">
        <v>2025</v>
      </c>
      <c r="B4321" s="295">
        <v>2</v>
      </c>
      <c r="C4321" s="295" t="s">
        <v>101</v>
      </c>
      <c r="D4321" s="295" t="s">
        <v>85</v>
      </c>
      <c r="E4321" s="296">
        <v>0.2861197582860282</v>
      </c>
    </row>
    <row r="4322" spans="1:5" x14ac:dyDescent="0.3">
      <c r="A4322" s="295">
        <v>2025</v>
      </c>
      <c r="B4322" s="295">
        <v>2</v>
      </c>
      <c r="C4322" s="295" t="s">
        <v>101</v>
      </c>
      <c r="D4322" s="295" t="s">
        <v>179</v>
      </c>
      <c r="E4322" s="296">
        <v>47.012410000000003</v>
      </c>
    </row>
    <row r="4323" spans="1:5" x14ac:dyDescent="0.3">
      <c r="A4323" s="295">
        <v>2025</v>
      </c>
      <c r="B4323" s="295">
        <v>2</v>
      </c>
      <c r="C4323" s="295" t="s">
        <v>101</v>
      </c>
      <c r="D4323" s="295" t="s">
        <v>352</v>
      </c>
      <c r="E4323" s="296">
        <v>0.35714000000000001</v>
      </c>
    </row>
    <row r="4324" spans="1:5" x14ac:dyDescent="0.3">
      <c r="A4324" s="295">
        <v>2025</v>
      </c>
      <c r="B4324" s="295">
        <v>2</v>
      </c>
      <c r="C4324" s="295" t="s">
        <v>101</v>
      </c>
      <c r="D4324" s="295" t="s">
        <v>426</v>
      </c>
      <c r="E4324" s="296">
        <v>4.4269999999999997E-2</v>
      </c>
    </row>
    <row r="4325" spans="1:5" x14ac:dyDescent="0.3">
      <c r="A4325" s="295">
        <v>2025</v>
      </c>
      <c r="B4325" s="295">
        <v>2</v>
      </c>
      <c r="C4325" s="295" t="s">
        <v>101</v>
      </c>
      <c r="D4325" s="295" t="s">
        <v>427</v>
      </c>
      <c r="E4325" s="296">
        <v>0.52725999999999995</v>
      </c>
    </row>
    <row r="4326" spans="1:5" x14ac:dyDescent="0.3">
      <c r="A4326" s="295">
        <v>2025</v>
      </c>
      <c r="B4326" s="295">
        <v>2</v>
      </c>
      <c r="C4326" s="295" t="s">
        <v>101</v>
      </c>
      <c r="D4326" s="295" t="s">
        <v>429</v>
      </c>
      <c r="E4326" s="296">
        <v>0.18398999999999999</v>
      </c>
    </row>
    <row r="4327" spans="1:5" x14ac:dyDescent="0.3">
      <c r="A4327" s="295">
        <v>2025</v>
      </c>
      <c r="B4327" s="295">
        <v>2</v>
      </c>
      <c r="C4327" s="295" t="s">
        <v>179</v>
      </c>
      <c r="D4327" s="295" t="s">
        <v>1</v>
      </c>
      <c r="E4327" s="296">
        <v>1.0024449632654042E-3</v>
      </c>
    </row>
    <row r="4328" spans="1:5" x14ac:dyDescent="0.3">
      <c r="A4328" s="295">
        <v>2025</v>
      </c>
      <c r="B4328" s="295">
        <v>2</v>
      </c>
      <c r="C4328" s="295" t="s">
        <v>179</v>
      </c>
      <c r="D4328" s="295" t="s">
        <v>2</v>
      </c>
      <c r="E4328" s="296">
        <v>1.0436454510557888E-3</v>
      </c>
    </row>
    <row r="4329" spans="1:5" x14ac:dyDescent="0.3">
      <c r="A4329" s="295">
        <v>2025</v>
      </c>
      <c r="B4329" s="295">
        <v>2</v>
      </c>
      <c r="C4329" s="295" t="s">
        <v>179</v>
      </c>
      <c r="D4329" s="295" t="s">
        <v>259</v>
      </c>
      <c r="E4329" s="296">
        <v>8.2809973610034799E-4</v>
      </c>
    </row>
    <row r="4330" spans="1:5" x14ac:dyDescent="0.3">
      <c r="A4330" s="295">
        <v>2025</v>
      </c>
      <c r="B4330" s="295">
        <v>2</v>
      </c>
      <c r="C4330" s="295" t="s">
        <v>179</v>
      </c>
      <c r="D4330" s="295" t="s">
        <v>85</v>
      </c>
      <c r="E4330" s="296">
        <v>6.0860438797677684E-3</v>
      </c>
    </row>
    <row r="4331" spans="1:5" x14ac:dyDescent="0.3">
      <c r="A4331" s="295">
        <v>2025</v>
      </c>
      <c r="B4331" s="295">
        <v>2</v>
      </c>
      <c r="C4331" s="295" t="s">
        <v>179</v>
      </c>
      <c r="D4331" s="295" t="s">
        <v>101</v>
      </c>
      <c r="E4331" s="296">
        <v>2.127097930099733E-2</v>
      </c>
    </row>
    <row r="4332" spans="1:5" x14ac:dyDescent="0.3">
      <c r="A4332" s="295">
        <v>2025</v>
      </c>
      <c r="B4332" s="295">
        <v>2</v>
      </c>
      <c r="C4332" s="295" t="s">
        <v>179</v>
      </c>
      <c r="D4332" s="295" t="s">
        <v>352</v>
      </c>
      <c r="E4332" s="296">
        <v>0.35714000000000001</v>
      </c>
    </row>
    <row r="4333" spans="1:5" x14ac:dyDescent="0.3">
      <c r="A4333" s="295">
        <v>2025</v>
      </c>
      <c r="B4333" s="295">
        <v>2</v>
      </c>
      <c r="C4333" s="295" t="s">
        <v>179</v>
      </c>
      <c r="D4333" s="295" t="s">
        <v>426</v>
      </c>
      <c r="E4333" s="296">
        <v>4.4269999999999997E-2</v>
      </c>
    </row>
    <row r="4334" spans="1:5" x14ac:dyDescent="0.3">
      <c r="A4334" s="295">
        <v>2025</v>
      </c>
      <c r="B4334" s="295">
        <v>2</v>
      </c>
      <c r="C4334" s="295" t="s">
        <v>179</v>
      </c>
      <c r="D4334" s="295" t="s">
        <v>427</v>
      </c>
      <c r="E4334" s="296">
        <v>0.52725999999999995</v>
      </c>
    </row>
    <row r="4335" spans="1:5" x14ac:dyDescent="0.3">
      <c r="A4335" s="295">
        <v>2025</v>
      </c>
      <c r="B4335" s="295">
        <v>2</v>
      </c>
      <c r="C4335" s="295" t="s">
        <v>179</v>
      </c>
      <c r="D4335" s="295" t="s">
        <v>429</v>
      </c>
      <c r="E4335" s="296">
        <v>0.18398999999999999</v>
      </c>
    </row>
    <row r="4336" spans="1:5" x14ac:dyDescent="0.3">
      <c r="A4336" s="295">
        <v>2025</v>
      </c>
      <c r="B4336" s="295">
        <v>2</v>
      </c>
      <c r="C4336" s="295" t="s">
        <v>352</v>
      </c>
      <c r="D4336" s="295" t="s">
        <v>1</v>
      </c>
      <c r="E4336" s="296">
        <v>0.13195745691589031</v>
      </c>
    </row>
    <row r="4337" spans="1:5" x14ac:dyDescent="0.3">
      <c r="A4337" s="295">
        <v>2025</v>
      </c>
      <c r="B4337" s="295">
        <v>2</v>
      </c>
      <c r="C4337" s="295" t="s">
        <v>352</v>
      </c>
      <c r="D4337" s="295" t="s">
        <v>2</v>
      </c>
      <c r="E4337" s="296">
        <v>0.13738094224093045</v>
      </c>
    </row>
    <row r="4338" spans="1:5" x14ac:dyDescent="0.3">
      <c r="A4338" s="295">
        <v>2025</v>
      </c>
      <c r="B4338" s="295">
        <v>2</v>
      </c>
      <c r="C4338" s="295" t="s">
        <v>352</v>
      </c>
      <c r="D4338" s="295" t="s">
        <v>259</v>
      </c>
      <c r="E4338" s="296">
        <v>0.10900738961094172</v>
      </c>
    </row>
    <row r="4339" spans="1:5" x14ac:dyDescent="0.3">
      <c r="A4339" s="295">
        <v>2025</v>
      </c>
      <c r="B4339" s="295">
        <v>2</v>
      </c>
      <c r="C4339" s="295" t="s">
        <v>352</v>
      </c>
      <c r="D4339" s="295" t="s">
        <v>85</v>
      </c>
      <c r="E4339" s="296">
        <v>0.80114082453413649</v>
      </c>
    </row>
    <row r="4340" spans="1:5" x14ac:dyDescent="0.3">
      <c r="A4340" s="295">
        <v>2025</v>
      </c>
      <c r="B4340" s="295">
        <v>2</v>
      </c>
      <c r="C4340" s="295" t="s">
        <v>352</v>
      </c>
      <c r="D4340" s="295" t="s">
        <v>101</v>
      </c>
      <c r="E4340" s="296">
        <v>2.8000224001792011</v>
      </c>
    </row>
    <row r="4341" spans="1:5" x14ac:dyDescent="0.3">
      <c r="A4341" s="295">
        <v>2025</v>
      </c>
      <c r="B4341" s="295">
        <v>2</v>
      </c>
      <c r="C4341" s="295" t="s">
        <v>352</v>
      </c>
      <c r="D4341" s="295" t="s">
        <v>179</v>
      </c>
      <c r="E4341" s="296">
        <v>2.8000224001792011</v>
      </c>
    </row>
    <row r="4342" spans="1:5" x14ac:dyDescent="0.3">
      <c r="A4342" s="295">
        <v>2025</v>
      </c>
      <c r="B4342" s="295">
        <v>2</v>
      </c>
      <c r="C4342" s="295" t="s">
        <v>352</v>
      </c>
      <c r="D4342" s="295" t="s">
        <v>426</v>
      </c>
      <c r="E4342" s="296">
        <v>0.12396</v>
      </c>
    </row>
    <row r="4343" spans="1:5" x14ac:dyDescent="0.3">
      <c r="A4343" s="295">
        <v>2025</v>
      </c>
      <c r="B4343" s="295">
        <v>2</v>
      </c>
      <c r="C4343" s="295" t="s">
        <v>352</v>
      </c>
      <c r="D4343" s="295" t="s">
        <v>427</v>
      </c>
      <c r="E4343" s="296">
        <v>1.47634</v>
      </c>
    </row>
    <row r="4344" spans="1:5" x14ac:dyDescent="0.3">
      <c r="A4344" s="295">
        <v>2025</v>
      </c>
      <c r="B4344" s="295">
        <v>2</v>
      </c>
      <c r="C4344" s="295" t="s">
        <v>352</v>
      </c>
      <c r="D4344" s="295" t="s">
        <v>429</v>
      </c>
      <c r="E4344" s="296">
        <v>0.51517999999999997</v>
      </c>
    </row>
    <row r="4345" spans="1:5" x14ac:dyDescent="0.3">
      <c r="A4345" s="295">
        <v>2025</v>
      </c>
      <c r="B4345" s="295">
        <v>2</v>
      </c>
      <c r="C4345" s="295" t="s">
        <v>426</v>
      </c>
      <c r="D4345" s="295" t="s">
        <v>1</v>
      </c>
      <c r="E4345" s="296">
        <v>1.0645092612305727</v>
      </c>
    </row>
    <row r="4346" spans="1:5" x14ac:dyDescent="0.3">
      <c r="A4346" s="295">
        <v>2025</v>
      </c>
      <c r="B4346" s="295">
        <v>2</v>
      </c>
      <c r="C4346" s="295" t="s">
        <v>426</v>
      </c>
      <c r="D4346" s="295" t="s">
        <v>2</v>
      </c>
      <c r="E4346" s="296">
        <v>1.108266560273077</v>
      </c>
    </row>
    <row r="4347" spans="1:5" x14ac:dyDescent="0.3">
      <c r="A4347" s="295">
        <v>2025</v>
      </c>
      <c r="B4347" s="295">
        <v>2</v>
      </c>
      <c r="C4347" s="295" t="s">
        <v>426</v>
      </c>
      <c r="D4347" s="295" t="s">
        <v>259</v>
      </c>
      <c r="E4347" s="296">
        <v>0.87936826184069361</v>
      </c>
    </row>
    <row r="4348" spans="1:5" x14ac:dyDescent="0.3">
      <c r="A4348" s="295">
        <v>2025</v>
      </c>
      <c r="B4348" s="295">
        <v>2</v>
      </c>
      <c r="C4348" s="295" t="s">
        <v>426</v>
      </c>
      <c r="D4348" s="295" t="s">
        <v>85</v>
      </c>
      <c r="E4348" s="296">
        <v>6.4628708072125631</v>
      </c>
    </row>
    <row r="4349" spans="1:5" x14ac:dyDescent="0.3">
      <c r="A4349" s="295">
        <v>2025</v>
      </c>
      <c r="B4349" s="295">
        <v>2</v>
      </c>
      <c r="C4349" s="295" t="s">
        <v>426</v>
      </c>
      <c r="D4349" s="295" t="s">
        <v>101</v>
      </c>
      <c r="E4349" s="296">
        <v>22.588660492432801</v>
      </c>
    </row>
    <row r="4350" spans="1:5" x14ac:dyDescent="0.3">
      <c r="A4350" s="295">
        <v>2025</v>
      </c>
      <c r="B4350" s="295">
        <v>2</v>
      </c>
      <c r="C4350" s="295" t="s">
        <v>426</v>
      </c>
      <c r="D4350" s="295" t="s">
        <v>179</v>
      </c>
      <c r="E4350" s="296">
        <v>1.8965975040776848</v>
      </c>
    </row>
    <row r="4351" spans="1:5" x14ac:dyDescent="0.3">
      <c r="A4351" s="295">
        <v>2025</v>
      </c>
      <c r="B4351" s="295">
        <v>2</v>
      </c>
      <c r="C4351" s="295" t="s">
        <v>426</v>
      </c>
      <c r="D4351" s="295" t="s">
        <v>352</v>
      </c>
      <c r="E4351" s="296">
        <v>5.4350779933692053</v>
      </c>
    </row>
    <row r="4352" spans="1:5" x14ac:dyDescent="0.3">
      <c r="A4352" s="295">
        <v>2025</v>
      </c>
      <c r="B4352" s="295">
        <v>2</v>
      </c>
      <c r="C4352" s="295" t="s">
        <v>426</v>
      </c>
      <c r="D4352" s="295" t="s">
        <v>427</v>
      </c>
      <c r="E4352" s="296">
        <v>1.47634</v>
      </c>
    </row>
    <row r="4353" spans="1:5" x14ac:dyDescent="0.3">
      <c r="A4353" s="295">
        <v>2025</v>
      </c>
      <c r="B4353" s="295">
        <v>2</v>
      </c>
      <c r="C4353" s="295" t="s">
        <v>426</v>
      </c>
      <c r="D4353" s="295" t="s">
        <v>429</v>
      </c>
      <c r="E4353" s="296">
        <v>0.51517999999999997</v>
      </c>
    </row>
    <row r="4354" spans="1:5" x14ac:dyDescent="0.3">
      <c r="A4354" s="295">
        <v>2025</v>
      </c>
      <c r="B4354" s="295">
        <v>2</v>
      </c>
      <c r="C4354" s="295" t="s">
        <v>427</v>
      </c>
      <c r="D4354" s="295" t="s">
        <v>1</v>
      </c>
      <c r="E4354" s="296">
        <v>8.9381480157311399E-2</v>
      </c>
    </row>
    <row r="4355" spans="1:5" x14ac:dyDescent="0.3">
      <c r="A4355" s="295">
        <v>2025</v>
      </c>
      <c r="B4355" s="295">
        <v>2</v>
      </c>
      <c r="C4355" s="295" t="s">
        <v>427</v>
      </c>
      <c r="D4355" s="295" t="s">
        <v>2</v>
      </c>
      <c r="E4355" s="296">
        <v>9.3055024366458128E-2</v>
      </c>
    </row>
    <row r="4356" spans="1:5" x14ac:dyDescent="0.3">
      <c r="A4356" s="295">
        <v>2025</v>
      </c>
      <c r="B4356" s="295">
        <v>2</v>
      </c>
      <c r="C4356" s="295" t="s">
        <v>427</v>
      </c>
      <c r="D4356" s="295" t="s">
        <v>259</v>
      </c>
      <c r="E4356" s="296">
        <v>7.3836266602084547E-2</v>
      </c>
    </row>
    <row r="4357" spans="1:5" x14ac:dyDescent="0.3">
      <c r="A4357" s="295">
        <v>2025</v>
      </c>
      <c r="B4357" s="295">
        <v>2</v>
      </c>
      <c r="C4357" s="295" t="s">
        <v>427</v>
      </c>
      <c r="D4357" s="295" t="s">
        <v>85</v>
      </c>
      <c r="E4357" s="296">
        <v>0.54265248534838295</v>
      </c>
    </row>
    <row r="4358" spans="1:5" x14ac:dyDescent="0.3">
      <c r="A4358" s="295">
        <v>2025</v>
      </c>
      <c r="B4358" s="295">
        <v>2</v>
      </c>
      <c r="C4358" s="295" t="s">
        <v>427</v>
      </c>
      <c r="D4358" s="295" t="s">
        <v>101</v>
      </c>
      <c r="E4358" s="296">
        <v>1.8965975040776848</v>
      </c>
    </row>
    <row r="4359" spans="1:5" x14ac:dyDescent="0.3">
      <c r="A4359" s="295">
        <v>2025</v>
      </c>
      <c r="B4359" s="295">
        <v>2</v>
      </c>
      <c r="C4359" s="295" t="s">
        <v>427</v>
      </c>
      <c r="D4359" s="295" t="s">
        <v>179</v>
      </c>
      <c r="E4359" s="296">
        <v>1.8965975040776848</v>
      </c>
    </row>
    <row r="4360" spans="1:5" x14ac:dyDescent="0.3">
      <c r="A4360" s="295">
        <v>2025</v>
      </c>
      <c r="B4360" s="295">
        <v>2</v>
      </c>
      <c r="C4360" s="295" t="s">
        <v>427</v>
      </c>
      <c r="D4360" s="295" t="s">
        <v>352</v>
      </c>
      <c r="E4360" s="296">
        <v>0.67735074576317111</v>
      </c>
    </row>
    <row r="4361" spans="1:5" x14ac:dyDescent="0.3">
      <c r="A4361" s="295">
        <v>2025</v>
      </c>
      <c r="B4361" s="295">
        <v>2</v>
      </c>
      <c r="C4361" s="295" t="s">
        <v>427</v>
      </c>
      <c r="D4361" s="295" t="s">
        <v>426</v>
      </c>
      <c r="E4361" s="296">
        <v>0.67735074576317111</v>
      </c>
    </row>
    <row r="4362" spans="1:5" x14ac:dyDescent="0.3">
      <c r="A4362" s="295">
        <v>2025</v>
      </c>
      <c r="B4362" s="295">
        <v>2</v>
      </c>
      <c r="C4362" s="295" t="s">
        <v>427</v>
      </c>
      <c r="D4362" s="295" t="s">
        <v>429</v>
      </c>
      <c r="E4362" s="296">
        <v>0.34894999999999998</v>
      </c>
    </row>
    <row r="4363" spans="1:5" x14ac:dyDescent="0.3">
      <c r="A4363" s="295">
        <v>2025</v>
      </c>
      <c r="B4363" s="295">
        <v>2</v>
      </c>
      <c r="C4363" s="295" t="s">
        <v>429</v>
      </c>
      <c r="D4363" s="295" t="s">
        <v>1</v>
      </c>
      <c r="E4363" s="296">
        <v>0.25614097999538943</v>
      </c>
    </row>
    <row r="4364" spans="1:5" x14ac:dyDescent="0.3">
      <c r="A4364" s="295">
        <v>2025</v>
      </c>
      <c r="B4364" s="295">
        <v>2</v>
      </c>
      <c r="C4364" s="295" t="s">
        <v>429</v>
      </c>
      <c r="D4364" s="295" t="s">
        <v>2</v>
      </c>
      <c r="E4364" s="296">
        <v>0.26666808889647414</v>
      </c>
    </row>
    <row r="4365" spans="1:5" x14ac:dyDescent="0.3">
      <c r="A4365" s="295">
        <v>2025</v>
      </c>
      <c r="B4365" s="295">
        <v>2</v>
      </c>
      <c r="C4365" s="295" t="s">
        <v>429</v>
      </c>
      <c r="D4365" s="295" t="s">
        <v>259</v>
      </c>
      <c r="E4365" s="296">
        <v>0.21159274321527868</v>
      </c>
    </row>
    <row r="4366" spans="1:5" x14ac:dyDescent="0.3">
      <c r="A4366" s="295">
        <v>2025</v>
      </c>
      <c r="B4366" s="295">
        <v>2</v>
      </c>
      <c r="C4366" s="295" t="s">
        <v>429</v>
      </c>
      <c r="D4366" s="295" t="s">
        <v>85</v>
      </c>
      <c r="E4366" s="296">
        <v>0.64305373356997708</v>
      </c>
    </row>
    <row r="4367" spans="1:5" x14ac:dyDescent="0.3">
      <c r="A4367" s="295">
        <v>2025</v>
      </c>
      <c r="B4367" s="295">
        <v>2</v>
      </c>
      <c r="C4367" s="295" t="s">
        <v>429</v>
      </c>
      <c r="D4367" s="295" t="s">
        <v>101</v>
      </c>
      <c r="E4367" s="296">
        <v>5.4350779933692053</v>
      </c>
    </row>
    <row r="4368" spans="1:5" x14ac:dyDescent="0.3">
      <c r="A4368" s="295">
        <v>2025</v>
      </c>
      <c r="B4368" s="295">
        <v>2</v>
      </c>
      <c r="C4368" s="295" t="s">
        <v>429</v>
      </c>
      <c r="D4368" s="295" t="s">
        <v>179</v>
      </c>
      <c r="E4368" s="296">
        <v>5.4350779933692053</v>
      </c>
    </row>
    <row r="4369" spans="1:5" x14ac:dyDescent="0.3">
      <c r="A4369" s="295">
        <v>2025</v>
      </c>
      <c r="B4369" s="295">
        <v>2</v>
      </c>
      <c r="C4369" s="295" t="s">
        <v>429</v>
      </c>
      <c r="D4369" s="295" t="s">
        <v>352</v>
      </c>
      <c r="E4369" s="296">
        <v>1.9410691408827982</v>
      </c>
    </row>
    <row r="4370" spans="1:5" x14ac:dyDescent="0.3">
      <c r="A4370" s="295">
        <v>2025</v>
      </c>
      <c r="B4370" s="295">
        <v>2</v>
      </c>
      <c r="C4370" s="295" t="s">
        <v>429</v>
      </c>
      <c r="D4370" s="295" t="s">
        <v>426</v>
      </c>
      <c r="E4370" s="296">
        <v>1.9410691408827982</v>
      </c>
    </row>
    <row r="4371" spans="1:5" x14ac:dyDescent="0.3">
      <c r="A4371" s="295">
        <v>2025</v>
      </c>
      <c r="B4371" s="295">
        <v>2</v>
      </c>
      <c r="C4371" s="295" t="s">
        <v>429</v>
      </c>
      <c r="D4371" s="295" t="s">
        <v>427</v>
      </c>
      <c r="E4371" s="296">
        <v>2.8657400773749822</v>
      </c>
    </row>
    <row r="4372" spans="1:5" x14ac:dyDescent="0.3">
      <c r="A4372" s="295">
        <v>2025</v>
      </c>
      <c r="B4372" s="295">
        <v>2</v>
      </c>
      <c r="C4372" s="295" t="s">
        <v>1</v>
      </c>
      <c r="D4372" s="295" t="s">
        <v>1</v>
      </c>
      <c r="E4372" s="296">
        <v>1</v>
      </c>
    </row>
    <row r="4373" spans="1:5" x14ac:dyDescent="0.3">
      <c r="A4373" s="295">
        <v>2025</v>
      </c>
      <c r="B4373" s="295">
        <v>2</v>
      </c>
      <c r="C4373" s="295" t="s">
        <v>2</v>
      </c>
      <c r="D4373" s="295" t="s">
        <v>2</v>
      </c>
      <c r="E4373" s="296">
        <v>1</v>
      </c>
    </row>
    <row r="4374" spans="1:5" x14ac:dyDescent="0.3">
      <c r="A4374" s="295">
        <v>2025</v>
      </c>
      <c r="B4374" s="295">
        <v>2</v>
      </c>
      <c r="C4374" s="295" t="s">
        <v>259</v>
      </c>
      <c r="D4374" s="295" t="s">
        <v>259</v>
      </c>
      <c r="E4374" s="296">
        <v>1</v>
      </c>
    </row>
    <row r="4375" spans="1:5" x14ac:dyDescent="0.3">
      <c r="A4375" s="295">
        <v>2025</v>
      </c>
      <c r="B4375" s="295">
        <v>2</v>
      </c>
      <c r="C4375" s="295" t="s">
        <v>85</v>
      </c>
      <c r="D4375" s="295" t="s">
        <v>85</v>
      </c>
      <c r="E4375" s="296">
        <v>1</v>
      </c>
    </row>
    <row r="4376" spans="1:5" x14ac:dyDescent="0.3">
      <c r="A4376" s="295">
        <v>2025</v>
      </c>
      <c r="B4376" s="295">
        <v>2</v>
      </c>
      <c r="C4376" s="295" t="s">
        <v>101</v>
      </c>
      <c r="D4376" s="295" t="s">
        <v>101</v>
      </c>
      <c r="E4376" s="296">
        <v>1</v>
      </c>
    </row>
    <row r="4377" spans="1:5" x14ac:dyDescent="0.3">
      <c r="A4377" s="295">
        <v>2025</v>
      </c>
      <c r="B4377" s="295">
        <v>2</v>
      </c>
      <c r="C4377" s="295" t="s">
        <v>179</v>
      </c>
      <c r="D4377" s="295" t="s">
        <v>179</v>
      </c>
      <c r="E4377" s="296">
        <v>1</v>
      </c>
    </row>
    <row r="4378" spans="1:5" x14ac:dyDescent="0.3">
      <c r="A4378" s="295">
        <v>2025</v>
      </c>
      <c r="B4378" s="295">
        <v>2</v>
      </c>
      <c r="C4378" s="295" t="s">
        <v>352</v>
      </c>
      <c r="D4378" s="295" t="s">
        <v>352</v>
      </c>
      <c r="E4378" s="296">
        <v>1</v>
      </c>
    </row>
    <row r="4379" spans="1:5" x14ac:dyDescent="0.3">
      <c r="A4379" s="295">
        <v>2025</v>
      </c>
      <c r="B4379" s="295">
        <v>2</v>
      </c>
      <c r="C4379" s="295" t="s">
        <v>426</v>
      </c>
      <c r="D4379" s="295" t="s">
        <v>426</v>
      </c>
      <c r="E4379" s="296">
        <v>1</v>
      </c>
    </row>
    <row r="4380" spans="1:5" x14ac:dyDescent="0.3">
      <c r="A4380" s="295">
        <v>2025</v>
      </c>
      <c r="B4380" s="295">
        <v>2</v>
      </c>
      <c r="C4380" s="295" t="s">
        <v>427</v>
      </c>
      <c r="D4380" s="295" t="s">
        <v>427</v>
      </c>
      <c r="E4380" s="296">
        <v>1</v>
      </c>
    </row>
    <row r="4381" spans="1:5" x14ac:dyDescent="0.3">
      <c r="A4381" s="295">
        <v>2025</v>
      </c>
      <c r="B4381" s="295">
        <v>2</v>
      </c>
      <c r="C4381" s="295" t="s">
        <v>429</v>
      </c>
      <c r="D4381" s="295" t="s">
        <v>429</v>
      </c>
      <c r="E4381" s="296">
        <v>1</v>
      </c>
    </row>
    <row r="4382" spans="1:5" x14ac:dyDescent="0.3">
      <c r="A4382" s="295">
        <v>2025</v>
      </c>
      <c r="B4382" s="295">
        <v>3</v>
      </c>
      <c r="C4382" s="295" t="s">
        <v>1</v>
      </c>
      <c r="D4382" s="295" t="s">
        <v>2</v>
      </c>
      <c r="E4382" s="296">
        <v>1.0814999999999999</v>
      </c>
    </row>
    <row r="4383" spans="1:5" x14ac:dyDescent="0.3">
      <c r="A4383" s="295">
        <v>2025</v>
      </c>
      <c r="B4383" s="295">
        <v>3</v>
      </c>
      <c r="C4383" s="295" t="s">
        <v>1</v>
      </c>
      <c r="D4383" s="295" t="s">
        <v>259</v>
      </c>
      <c r="E4383" s="296">
        <v>0.83535999999999999</v>
      </c>
    </row>
    <row r="4384" spans="1:5" x14ac:dyDescent="0.3">
      <c r="A4384" s="295">
        <v>2025</v>
      </c>
      <c r="B4384" s="295">
        <v>3</v>
      </c>
      <c r="C4384" s="295" t="s">
        <v>1</v>
      </c>
      <c r="D4384" s="295" t="s">
        <v>85</v>
      </c>
      <c r="E4384" s="296">
        <v>6.2507000000000001</v>
      </c>
    </row>
    <row r="4385" spans="1:5" x14ac:dyDescent="0.3">
      <c r="A4385" s="295">
        <v>2025</v>
      </c>
      <c r="B4385" s="295">
        <v>3</v>
      </c>
      <c r="C4385" s="295" t="s">
        <v>1</v>
      </c>
      <c r="D4385" s="295" t="s">
        <v>101</v>
      </c>
      <c r="E4385" s="296">
        <v>22.0627</v>
      </c>
    </row>
    <row r="4386" spans="1:5" x14ac:dyDescent="0.3">
      <c r="A4386" s="295">
        <v>2025</v>
      </c>
      <c r="B4386" s="295">
        <v>3</v>
      </c>
      <c r="C4386" s="295" t="s">
        <v>1</v>
      </c>
      <c r="D4386" s="295" t="s">
        <v>179</v>
      </c>
      <c r="E4386" s="296">
        <v>997.56100000000004</v>
      </c>
    </row>
    <row r="4387" spans="1:5" x14ac:dyDescent="0.3">
      <c r="A4387" s="295">
        <v>2025</v>
      </c>
      <c r="B4387" s="295">
        <v>3</v>
      </c>
      <c r="C4387" s="295" t="s">
        <v>1</v>
      </c>
      <c r="D4387" s="295" t="s">
        <v>352</v>
      </c>
      <c r="E4387" s="296">
        <v>7.8441999999999998</v>
      </c>
    </row>
    <row r="4388" spans="1:5" x14ac:dyDescent="0.3">
      <c r="A4388" s="295">
        <v>2025</v>
      </c>
      <c r="B4388" s="295">
        <v>3</v>
      </c>
      <c r="C4388" s="295" t="s">
        <v>1</v>
      </c>
      <c r="D4388" s="295" t="s">
        <v>426</v>
      </c>
      <c r="E4388" s="296">
        <v>0.95309999999999995</v>
      </c>
    </row>
    <row r="4389" spans="1:5" x14ac:dyDescent="0.3">
      <c r="A4389" s="295">
        <v>2025</v>
      </c>
      <c r="B4389" s="295">
        <v>3</v>
      </c>
      <c r="C4389" s="295" t="s">
        <v>1</v>
      </c>
      <c r="D4389" s="295" t="s">
        <v>427</v>
      </c>
      <c r="E4389" s="296">
        <v>10.849</v>
      </c>
    </row>
    <row r="4390" spans="1:5" x14ac:dyDescent="0.3">
      <c r="A4390" s="295">
        <v>2025</v>
      </c>
      <c r="B4390" s="295">
        <v>3</v>
      </c>
      <c r="C4390" s="295" t="s">
        <v>1</v>
      </c>
      <c r="D4390" s="295" t="s">
        <v>429</v>
      </c>
      <c r="E4390" s="296">
        <v>3.9041000000000001</v>
      </c>
    </row>
    <row r="4391" spans="1:5" x14ac:dyDescent="0.3">
      <c r="A4391" s="295">
        <v>2025</v>
      </c>
      <c r="B4391" s="295">
        <v>3</v>
      </c>
      <c r="C4391" s="295" t="s">
        <v>2</v>
      </c>
      <c r="D4391" s="295" t="s">
        <v>1</v>
      </c>
      <c r="E4391" s="296">
        <v>0.92464170134073054</v>
      </c>
    </row>
    <row r="4392" spans="1:5" x14ac:dyDescent="0.3">
      <c r="A4392" s="295">
        <v>2025</v>
      </c>
      <c r="B4392" s="295">
        <v>3</v>
      </c>
      <c r="C4392" s="295" t="s">
        <v>2</v>
      </c>
      <c r="D4392" s="295" t="s">
        <v>259</v>
      </c>
      <c r="E4392" s="296">
        <v>0.77241000000000004</v>
      </c>
    </row>
    <row r="4393" spans="1:5" x14ac:dyDescent="0.3">
      <c r="A4393" s="295">
        <v>2025</v>
      </c>
      <c r="B4393" s="295">
        <v>3</v>
      </c>
      <c r="C4393" s="295" t="s">
        <v>2</v>
      </c>
      <c r="D4393" s="295" t="s">
        <v>85</v>
      </c>
      <c r="E4393" s="296">
        <v>5.7796599999999998</v>
      </c>
    </row>
    <row r="4394" spans="1:5" x14ac:dyDescent="0.3">
      <c r="A4394" s="295">
        <v>2025</v>
      </c>
      <c r="B4394" s="295">
        <v>3</v>
      </c>
      <c r="C4394" s="295" t="s">
        <v>2</v>
      </c>
      <c r="D4394" s="295" t="s">
        <v>101</v>
      </c>
      <c r="E4394" s="296">
        <v>20.400089999999999</v>
      </c>
    </row>
    <row r="4395" spans="1:5" x14ac:dyDescent="0.3">
      <c r="A4395" s="295">
        <v>2025</v>
      </c>
      <c r="B4395" s="295">
        <v>3</v>
      </c>
      <c r="C4395" s="295" t="s">
        <v>2</v>
      </c>
      <c r="D4395" s="295" t="s">
        <v>179</v>
      </c>
      <c r="E4395" s="296">
        <v>922.38649999999996</v>
      </c>
    </row>
    <row r="4396" spans="1:5" x14ac:dyDescent="0.3">
      <c r="A4396" s="295">
        <v>2025</v>
      </c>
      <c r="B4396" s="295">
        <v>3</v>
      </c>
      <c r="C4396" s="295" t="s">
        <v>2</v>
      </c>
      <c r="D4396" s="295" t="s">
        <v>352</v>
      </c>
      <c r="E4396" s="296">
        <v>7.2530700000000001</v>
      </c>
    </row>
    <row r="4397" spans="1:5" x14ac:dyDescent="0.3">
      <c r="A4397" s="295">
        <v>2025</v>
      </c>
      <c r="B4397" s="295">
        <v>3</v>
      </c>
      <c r="C4397" s="295" t="s">
        <v>2</v>
      </c>
      <c r="D4397" s="295" t="s">
        <v>426</v>
      </c>
      <c r="E4397" s="296">
        <v>0.88127999999999995</v>
      </c>
    </row>
    <row r="4398" spans="1:5" x14ac:dyDescent="0.3">
      <c r="A4398" s="295">
        <v>2025</v>
      </c>
      <c r="B4398" s="295">
        <v>3</v>
      </c>
      <c r="C4398" s="295" t="s">
        <v>2</v>
      </c>
      <c r="D4398" s="295" t="s">
        <v>427</v>
      </c>
      <c r="E4398" s="296">
        <v>10.03144</v>
      </c>
    </row>
    <row r="4399" spans="1:5" x14ac:dyDescent="0.3">
      <c r="A4399" s="295">
        <v>2025</v>
      </c>
      <c r="B4399" s="295">
        <v>3</v>
      </c>
      <c r="C4399" s="295" t="s">
        <v>2</v>
      </c>
      <c r="D4399" s="295" t="s">
        <v>429</v>
      </c>
      <c r="E4399" s="296">
        <v>3.60989</v>
      </c>
    </row>
    <row r="4400" spans="1:5" x14ac:dyDescent="0.3">
      <c r="A4400" s="295">
        <v>2025</v>
      </c>
      <c r="B4400" s="295">
        <v>3</v>
      </c>
      <c r="C4400" s="295" t="s">
        <v>259</v>
      </c>
      <c r="D4400" s="295" t="s">
        <v>1</v>
      </c>
      <c r="E4400" s="296">
        <v>1.1970886803294387</v>
      </c>
    </row>
    <row r="4401" spans="1:5" x14ac:dyDescent="0.3">
      <c r="A4401" s="295">
        <v>2025</v>
      </c>
      <c r="B4401" s="295">
        <v>3</v>
      </c>
      <c r="C4401" s="295" t="s">
        <v>259</v>
      </c>
      <c r="D4401" s="295" t="s">
        <v>2</v>
      </c>
      <c r="E4401" s="296">
        <v>1.2946492147952511</v>
      </c>
    </row>
    <row r="4402" spans="1:5" x14ac:dyDescent="0.3">
      <c r="A4402" s="295">
        <v>2025</v>
      </c>
      <c r="B4402" s="295">
        <v>3</v>
      </c>
      <c r="C4402" s="295" t="s">
        <v>259</v>
      </c>
      <c r="D4402" s="295" t="s">
        <v>85</v>
      </c>
      <c r="E4402" s="296">
        <v>7.48264</v>
      </c>
    </row>
    <row r="4403" spans="1:5" x14ac:dyDescent="0.3">
      <c r="A4403" s="295">
        <v>2025</v>
      </c>
      <c r="B4403" s="295">
        <v>3</v>
      </c>
      <c r="C4403" s="295" t="s">
        <v>259</v>
      </c>
      <c r="D4403" s="295" t="s">
        <v>101</v>
      </c>
      <c r="E4403" s="296">
        <v>26.411010000000001</v>
      </c>
    </row>
    <row r="4404" spans="1:5" x14ac:dyDescent="0.3">
      <c r="A4404" s="295">
        <v>2025</v>
      </c>
      <c r="B4404" s="295">
        <v>3</v>
      </c>
      <c r="C4404" s="295" t="s">
        <v>259</v>
      </c>
      <c r="D4404" s="295" t="s">
        <v>179</v>
      </c>
      <c r="E4404" s="296">
        <v>1194.1689799999999</v>
      </c>
    </row>
    <row r="4405" spans="1:5" x14ac:dyDescent="0.3">
      <c r="A4405" s="295">
        <v>2025</v>
      </c>
      <c r="B4405" s="295">
        <v>3</v>
      </c>
      <c r="C4405" s="295" t="s">
        <v>259</v>
      </c>
      <c r="D4405" s="295" t="s">
        <v>352</v>
      </c>
      <c r="E4405" s="296">
        <v>9.3902000000000001</v>
      </c>
    </row>
    <row r="4406" spans="1:5" x14ac:dyDescent="0.3">
      <c r="A4406" s="295">
        <v>2025</v>
      </c>
      <c r="B4406" s="295">
        <v>3</v>
      </c>
      <c r="C4406" s="295" t="s">
        <v>259</v>
      </c>
      <c r="D4406" s="295" t="s">
        <v>426</v>
      </c>
      <c r="E4406" s="296">
        <v>1.1409499999999999</v>
      </c>
    </row>
    <row r="4407" spans="1:5" x14ac:dyDescent="0.3">
      <c r="A4407" s="295">
        <v>2025</v>
      </c>
      <c r="B4407" s="295">
        <v>3</v>
      </c>
      <c r="C4407" s="295" t="s">
        <v>259</v>
      </c>
      <c r="D4407" s="295" t="s">
        <v>427</v>
      </c>
      <c r="E4407" s="296">
        <v>12.987220000000001</v>
      </c>
    </row>
    <row r="4408" spans="1:5" x14ac:dyDescent="0.3">
      <c r="A4408" s="295">
        <v>2025</v>
      </c>
      <c r="B4408" s="295">
        <v>3</v>
      </c>
      <c r="C4408" s="295" t="s">
        <v>259</v>
      </c>
      <c r="D4408" s="295" t="s">
        <v>429</v>
      </c>
      <c r="E4408" s="296">
        <v>4.6735499999999996</v>
      </c>
    </row>
    <row r="4409" spans="1:5" x14ac:dyDescent="0.3">
      <c r="A4409" s="295">
        <v>2025</v>
      </c>
      <c r="B4409" s="295">
        <v>3</v>
      </c>
      <c r="C4409" s="295" t="s">
        <v>85</v>
      </c>
      <c r="D4409" s="295" t="s">
        <v>1</v>
      </c>
      <c r="E4409" s="296">
        <v>0.15998208200681524</v>
      </c>
    </row>
    <row r="4410" spans="1:5" x14ac:dyDescent="0.3">
      <c r="A4410" s="295">
        <v>2025</v>
      </c>
      <c r="B4410" s="295">
        <v>3</v>
      </c>
      <c r="C4410" s="295" t="s">
        <v>85</v>
      </c>
      <c r="D4410" s="295" t="s">
        <v>2</v>
      </c>
      <c r="E4410" s="296">
        <v>0.17302055830273755</v>
      </c>
    </row>
    <row r="4411" spans="1:5" x14ac:dyDescent="0.3">
      <c r="A4411" s="295">
        <v>2025</v>
      </c>
      <c r="B4411" s="295">
        <v>3</v>
      </c>
      <c r="C4411" s="295" t="s">
        <v>85</v>
      </c>
      <c r="D4411" s="295" t="s">
        <v>259</v>
      </c>
      <c r="E4411" s="296">
        <v>0.13364267157046175</v>
      </c>
    </row>
    <row r="4412" spans="1:5" x14ac:dyDescent="0.3">
      <c r="A4412" s="295">
        <v>2025</v>
      </c>
      <c r="B4412" s="295">
        <v>3</v>
      </c>
      <c r="C4412" s="295" t="s">
        <v>85</v>
      </c>
      <c r="D4412" s="295" t="s">
        <v>101</v>
      </c>
      <c r="E4412" s="296">
        <v>3.5296400000000001</v>
      </c>
    </row>
    <row r="4413" spans="1:5" x14ac:dyDescent="0.3">
      <c r="A4413" s="295">
        <v>2025</v>
      </c>
      <c r="B4413" s="295">
        <v>3</v>
      </c>
      <c r="C4413" s="295" t="s">
        <v>85</v>
      </c>
      <c r="D4413" s="295" t="s">
        <v>179</v>
      </c>
      <c r="E4413" s="296">
        <v>159.59189000000001</v>
      </c>
    </row>
    <row r="4414" spans="1:5" x14ac:dyDescent="0.3">
      <c r="A4414" s="295">
        <v>2025</v>
      </c>
      <c r="B4414" s="295">
        <v>3</v>
      </c>
      <c r="C4414" s="295" t="s">
        <v>85</v>
      </c>
      <c r="D4414" s="295" t="s">
        <v>352</v>
      </c>
      <c r="E4414" s="296">
        <v>1.2549300000000001</v>
      </c>
    </row>
    <row r="4415" spans="1:5" x14ac:dyDescent="0.3">
      <c r="A4415" s="295">
        <v>2025</v>
      </c>
      <c r="B4415" s="295">
        <v>3</v>
      </c>
      <c r="C4415" s="295" t="s">
        <v>85</v>
      </c>
      <c r="D4415" s="295" t="s">
        <v>426</v>
      </c>
      <c r="E4415" s="296">
        <v>0.15248</v>
      </c>
    </row>
    <row r="4416" spans="1:5" x14ac:dyDescent="0.3">
      <c r="A4416" s="295">
        <v>2025</v>
      </c>
      <c r="B4416" s="295">
        <v>3</v>
      </c>
      <c r="C4416" s="295" t="s">
        <v>85</v>
      </c>
      <c r="D4416" s="295" t="s">
        <v>427</v>
      </c>
      <c r="E4416" s="296">
        <v>1.7356499999999999</v>
      </c>
    </row>
    <row r="4417" spans="1:5" x14ac:dyDescent="0.3">
      <c r="A4417" s="295">
        <v>2025</v>
      </c>
      <c r="B4417" s="295">
        <v>3</v>
      </c>
      <c r="C4417" s="295" t="s">
        <v>85</v>
      </c>
      <c r="D4417" s="295" t="s">
        <v>429</v>
      </c>
      <c r="E4417" s="296">
        <v>0.62458999999999998</v>
      </c>
    </row>
    <row r="4418" spans="1:5" x14ac:dyDescent="0.3">
      <c r="A4418" s="295">
        <v>2025</v>
      </c>
      <c r="B4418" s="295">
        <v>3</v>
      </c>
      <c r="C4418" s="295" t="s">
        <v>101</v>
      </c>
      <c r="D4418" s="295" t="s">
        <v>1</v>
      </c>
      <c r="E4418" s="296">
        <v>4.5325368155302845E-2</v>
      </c>
    </row>
    <row r="4419" spans="1:5" x14ac:dyDescent="0.3">
      <c r="A4419" s="295">
        <v>2025</v>
      </c>
      <c r="B4419" s="295">
        <v>3</v>
      </c>
      <c r="C4419" s="295" t="s">
        <v>101</v>
      </c>
      <c r="D4419" s="295" t="s">
        <v>2</v>
      </c>
      <c r="E4419" s="296">
        <v>4.9019391581115575E-2</v>
      </c>
    </row>
    <row r="4420" spans="1:5" x14ac:dyDescent="0.3">
      <c r="A4420" s="295">
        <v>2025</v>
      </c>
      <c r="B4420" s="295">
        <v>3</v>
      </c>
      <c r="C4420" s="295" t="s">
        <v>101</v>
      </c>
      <c r="D4420" s="295" t="s">
        <v>259</v>
      </c>
      <c r="E4420" s="296">
        <v>3.7862997287873505E-2</v>
      </c>
    </row>
    <row r="4421" spans="1:5" x14ac:dyDescent="0.3">
      <c r="A4421" s="295">
        <v>2025</v>
      </c>
      <c r="B4421" s="295">
        <v>3</v>
      </c>
      <c r="C4421" s="295" t="s">
        <v>101</v>
      </c>
      <c r="D4421" s="295" t="s">
        <v>85</v>
      </c>
      <c r="E4421" s="296">
        <v>0.28331501229587153</v>
      </c>
    </row>
    <row r="4422" spans="1:5" x14ac:dyDescent="0.3">
      <c r="A4422" s="295">
        <v>2025</v>
      </c>
      <c r="B4422" s="295">
        <v>3</v>
      </c>
      <c r="C4422" s="295" t="s">
        <v>101</v>
      </c>
      <c r="D4422" s="295" t="s">
        <v>179</v>
      </c>
      <c r="E4422" s="296">
        <v>45.214820000000003</v>
      </c>
    </row>
    <row r="4423" spans="1:5" x14ac:dyDescent="0.3">
      <c r="A4423" s="295">
        <v>2025</v>
      </c>
      <c r="B4423" s="295">
        <v>3</v>
      </c>
      <c r="C4423" s="295" t="s">
        <v>101</v>
      </c>
      <c r="D4423" s="295" t="s">
        <v>352</v>
      </c>
      <c r="E4423" s="296">
        <v>0.35554000000000002</v>
      </c>
    </row>
    <row r="4424" spans="1:5" x14ac:dyDescent="0.3">
      <c r="A4424" s="295">
        <v>2025</v>
      </c>
      <c r="B4424" s="295">
        <v>3</v>
      </c>
      <c r="C4424" s="295" t="s">
        <v>101</v>
      </c>
      <c r="D4424" s="295" t="s">
        <v>426</v>
      </c>
      <c r="E4424" s="296">
        <v>4.3200000000000002E-2</v>
      </c>
    </row>
    <row r="4425" spans="1:5" x14ac:dyDescent="0.3">
      <c r="A4425" s="295">
        <v>2025</v>
      </c>
      <c r="B4425" s="295">
        <v>3</v>
      </c>
      <c r="C4425" s="295" t="s">
        <v>101</v>
      </c>
      <c r="D4425" s="295" t="s">
        <v>427</v>
      </c>
      <c r="E4425" s="296">
        <v>0.49173</v>
      </c>
    </row>
    <row r="4426" spans="1:5" x14ac:dyDescent="0.3">
      <c r="A4426" s="295">
        <v>2025</v>
      </c>
      <c r="B4426" s="295">
        <v>3</v>
      </c>
      <c r="C4426" s="295" t="s">
        <v>101</v>
      </c>
      <c r="D4426" s="295" t="s">
        <v>429</v>
      </c>
      <c r="E4426" s="296">
        <v>0.17695</v>
      </c>
    </row>
    <row r="4427" spans="1:5" x14ac:dyDescent="0.3">
      <c r="A4427" s="295">
        <v>2025</v>
      </c>
      <c r="B4427" s="295">
        <v>3</v>
      </c>
      <c r="C4427" s="295" t="s">
        <v>179</v>
      </c>
      <c r="D4427" s="295" t="s">
        <v>1</v>
      </c>
      <c r="E4427" s="296">
        <v>1.0024449632654042E-3</v>
      </c>
    </row>
    <row r="4428" spans="1:5" x14ac:dyDescent="0.3">
      <c r="A4428" s="295">
        <v>2025</v>
      </c>
      <c r="B4428" s="295">
        <v>3</v>
      </c>
      <c r="C4428" s="295" t="s">
        <v>179</v>
      </c>
      <c r="D4428" s="295" t="s">
        <v>2</v>
      </c>
      <c r="E4428" s="296">
        <v>1.0841442280432336E-3</v>
      </c>
    </row>
    <row r="4429" spans="1:5" x14ac:dyDescent="0.3">
      <c r="A4429" s="295">
        <v>2025</v>
      </c>
      <c r="B4429" s="295">
        <v>3</v>
      </c>
      <c r="C4429" s="295" t="s">
        <v>179</v>
      </c>
      <c r="D4429" s="295" t="s">
        <v>259</v>
      </c>
      <c r="E4429" s="296">
        <v>8.3740242524135916E-4</v>
      </c>
    </row>
    <row r="4430" spans="1:5" x14ac:dyDescent="0.3">
      <c r="A4430" s="295">
        <v>2025</v>
      </c>
      <c r="B4430" s="295">
        <v>3</v>
      </c>
      <c r="C4430" s="295" t="s">
        <v>179</v>
      </c>
      <c r="D4430" s="295" t="s">
        <v>85</v>
      </c>
      <c r="E4430" s="296">
        <v>6.2659825633996809E-3</v>
      </c>
    </row>
    <row r="4431" spans="1:5" x14ac:dyDescent="0.3">
      <c r="A4431" s="295">
        <v>2025</v>
      </c>
      <c r="B4431" s="295">
        <v>3</v>
      </c>
      <c r="C4431" s="295" t="s">
        <v>179</v>
      </c>
      <c r="D4431" s="295" t="s">
        <v>101</v>
      </c>
      <c r="E4431" s="296">
        <v>2.211664228675465E-2</v>
      </c>
    </row>
    <row r="4432" spans="1:5" x14ac:dyDescent="0.3">
      <c r="A4432" s="295">
        <v>2025</v>
      </c>
      <c r="B4432" s="295">
        <v>3</v>
      </c>
      <c r="C4432" s="295" t="s">
        <v>179</v>
      </c>
      <c r="D4432" s="295" t="s">
        <v>352</v>
      </c>
      <c r="E4432" s="296">
        <v>7.8600000000000007E-3</v>
      </c>
    </row>
    <row r="4433" spans="1:5" x14ac:dyDescent="0.3">
      <c r="A4433" s="295">
        <v>2025</v>
      </c>
      <c r="B4433" s="295">
        <v>3</v>
      </c>
      <c r="C4433" s="295" t="s">
        <v>179</v>
      </c>
      <c r="D4433" s="295" t="s">
        <v>426</v>
      </c>
      <c r="E4433" s="296">
        <v>9.6000000000000002E-4</v>
      </c>
    </row>
    <row r="4434" spans="1:5" x14ac:dyDescent="0.3">
      <c r="A4434" s="295">
        <v>2025</v>
      </c>
      <c r="B4434" s="295">
        <v>3</v>
      </c>
      <c r="C4434" s="295" t="s">
        <v>179</v>
      </c>
      <c r="D4434" s="295" t="s">
        <v>427</v>
      </c>
      <c r="E4434" s="296">
        <v>1.0880000000000001E-2</v>
      </c>
    </row>
    <row r="4435" spans="1:5" x14ac:dyDescent="0.3">
      <c r="A4435" s="295">
        <v>2025</v>
      </c>
      <c r="B4435" s="295">
        <v>3</v>
      </c>
      <c r="C4435" s="295" t="s">
        <v>179</v>
      </c>
      <c r="D4435" s="295" t="s">
        <v>429</v>
      </c>
      <c r="E4435" s="296">
        <v>3.9100000000000003E-3</v>
      </c>
    </row>
    <row r="4436" spans="1:5" x14ac:dyDescent="0.3">
      <c r="A4436" s="295">
        <v>2025</v>
      </c>
      <c r="B4436" s="295">
        <v>3</v>
      </c>
      <c r="C4436" s="295" t="s">
        <v>352</v>
      </c>
      <c r="D4436" s="295" t="s">
        <v>1</v>
      </c>
      <c r="E4436" s="296">
        <v>0.12748272609061473</v>
      </c>
    </row>
    <row r="4437" spans="1:5" x14ac:dyDescent="0.3">
      <c r="A4437" s="295">
        <v>2025</v>
      </c>
      <c r="B4437" s="295">
        <v>3</v>
      </c>
      <c r="C4437" s="295" t="s">
        <v>352</v>
      </c>
      <c r="D4437" s="295" t="s">
        <v>2</v>
      </c>
      <c r="E4437" s="296">
        <v>0.1378726525457496</v>
      </c>
    </row>
    <row r="4438" spans="1:5" x14ac:dyDescent="0.3">
      <c r="A4438" s="295">
        <v>2025</v>
      </c>
      <c r="B4438" s="295">
        <v>3</v>
      </c>
      <c r="C4438" s="295" t="s">
        <v>352</v>
      </c>
      <c r="D4438" s="295" t="s">
        <v>259</v>
      </c>
      <c r="E4438" s="296">
        <v>0.10649400438755298</v>
      </c>
    </row>
    <row r="4439" spans="1:5" x14ac:dyDescent="0.3">
      <c r="A4439" s="295">
        <v>2025</v>
      </c>
      <c r="B4439" s="295">
        <v>3</v>
      </c>
      <c r="C4439" s="295" t="s">
        <v>352</v>
      </c>
      <c r="D4439" s="295" t="s">
        <v>85</v>
      </c>
      <c r="E4439" s="296">
        <v>0.79685719522204423</v>
      </c>
    </row>
    <row r="4440" spans="1:5" x14ac:dyDescent="0.3">
      <c r="A4440" s="295">
        <v>2025</v>
      </c>
      <c r="B4440" s="295">
        <v>3</v>
      </c>
      <c r="C4440" s="295" t="s">
        <v>352</v>
      </c>
      <c r="D4440" s="295" t="s">
        <v>101</v>
      </c>
      <c r="E4440" s="296">
        <v>2.812623052258536</v>
      </c>
    </row>
    <row r="4441" spans="1:5" x14ac:dyDescent="0.3">
      <c r="A4441" s="295">
        <v>2025</v>
      </c>
      <c r="B4441" s="295">
        <v>3</v>
      </c>
      <c r="C4441" s="295" t="s">
        <v>352</v>
      </c>
      <c r="D4441" s="295" t="s">
        <v>179</v>
      </c>
      <c r="E4441" s="296">
        <v>127.22646310432569</v>
      </c>
    </row>
    <row r="4442" spans="1:5" x14ac:dyDescent="0.3">
      <c r="A4442" s="295">
        <v>2025</v>
      </c>
      <c r="B4442" s="295">
        <v>3</v>
      </c>
      <c r="C4442" s="295" t="s">
        <v>352</v>
      </c>
      <c r="D4442" s="295" t="s">
        <v>426</v>
      </c>
      <c r="E4442" s="296">
        <v>0.1215</v>
      </c>
    </row>
    <row r="4443" spans="1:5" x14ac:dyDescent="0.3">
      <c r="A4443" s="295">
        <v>2025</v>
      </c>
      <c r="B4443" s="295">
        <v>3</v>
      </c>
      <c r="C4443" s="295" t="s">
        <v>352</v>
      </c>
      <c r="D4443" s="295" t="s">
        <v>427</v>
      </c>
      <c r="E4443" s="296">
        <v>1.38306</v>
      </c>
    </row>
    <row r="4444" spans="1:5" x14ac:dyDescent="0.3">
      <c r="A4444" s="295">
        <v>2025</v>
      </c>
      <c r="B4444" s="295">
        <v>3</v>
      </c>
      <c r="C4444" s="295" t="s">
        <v>352</v>
      </c>
      <c r="D4444" s="295" t="s">
        <v>429</v>
      </c>
      <c r="E4444" s="296">
        <v>0.49770999999999999</v>
      </c>
    </row>
    <row r="4445" spans="1:5" x14ac:dyDescent="0.3">
      <c r="A4445" s="295">
        <v>2025</v>
      </c>
      <c r="B4445" s="295">
        <v>3</v>
      </c>
      <c r="C4445" s="295" t="s">
        <v>426</v>
      </c>
      <c r="D4445" s="295" t="s">
        <v>1</v>
      </c>
      <c r="E4445" s="296">
        <v>1.0492078480747036</v>
      </c>
    </row>
    <row r="4446" spans="1:5" x14ac:dyDescent="0.3">
      <c r="A4446" s="295">
        <v>2025</v>
      </c>
      <c r="B4446" s="295">
        <v>3</v>
      </c>
      <c r="C4446" s="295" t="s">
        <v>426</v>
      </c>
      <c r="D4446" s="295" t="s">
        <v>2</v>
      </c>
      <c r="E4446" s="296">
        <v>1.1347131445170662</v>
      </c>
    </row>
    <row r="4447" spans="1:5" x14ac:dyDescent="0.3">
      <c r="A4447" s="295">
        <v>2025</v>
      </c>
      <c r="B4447" s="295">
        <v>3</v>
      </c>
      <c r="C4447" s="295" t="s">
        <v>426</v>
      </c>
      <c r="D4447" s="295" t="s">
        <v>259</v>
      </c>
      <c r="E4447" s="296">
        <v>0.8764625969586749</v>
      </c>
    </row>
    <row r="4448" spans="1:5" x14ac:dyDescent="0.3">
      <c r="A4448" s="295">
        <v>2025</v>
      </c>
      <c r="B4448" s="295">
        <v>3</v>
      </c>
      <c r="C4448" s="295" t="s">
        <v>426</v>
      </c>
      <c r="D4448" s="295" t="s">
        <v>85</v>
      </c>
      <c r="E4448" s="296">
        <v>6.5582371458551938</v>
      </c>
    </row>
    <row r="4449" spans="1:5" x14ac:dyDescent="0.3">
      <c r="A4449" s="295">
        <v>2025</v>
      </c>
      <c r="B4449" s="295">
        <v>3</v>
      </c>
      <c r="C4449" s="295" t="s">
        <v>426</v>
      </c>
      <c r="D4449" s="295" t="s">
        <v>101</v>
      </c>
      <c r="E4449" s="296">
        <v>23.148148148148145</v>
      </c>
    </row>
    <row r="4450" spans="1:5" x14ac:dyDescent="0.3">
      <c r="A4450" s="295">
        <v>2025</v>
      </c>
      <c r="B4450" s="295">
        <v>3</v>
      </c>
      <c r="C4450" s="295" t="s">
        <v>426</v>
      </c>
      <c r="D4450" s="295" t="s">
        <v>179</v>
      </c>
      <c r="E4450" s="296">
        <v>2.0336363451487607</v>
      </c>
    </row>
    <row r="4451" spans="1:5" x14ac:dyDescent="0.3">
      <c r="A4451" s="295">
        <v>2025</v>
      </c>
      <c r="B4451" s="295">
        <v>3</v>
      </c>
      <c r="C4451" s="295" t="s">
        <v>426</v>
      </c>
      <c r="D4451" s="295" t="s">
        <v>352</v>
      </c>
      <c r="E4451" s="296">
        <v>5.6513139304888389</v>
      </c>
    </row>
    <row r="4452" spans="1:5" x14ac:dyDescent="0.3">
      <c r="A4452" s="295">
        <v>2025</v>
      </c>
      <c r="B4452" s="295">
        <v>3</v>
      </c>
      <c r="C4452" s="295" t="s">
        <v>426</v>
      </c>
      <c r="D4452" s="295" t="s">
        <v>427</v>
      </c>
      <c r="E4452" s="296">
        <v>11.382860000000001</v>
      </c>
    </row>
    <row r="4453" spans="1:5" x14ac:dyDescent="0.3">
      <c r="A4453" s="295">
        <v>2025</v>
      </c>
      <c r="B4453" s="295">
        <v>3</v>
      </c>
      <c r="C4453" s="295" t="s">
        <v>426</v>
      </c>
      <c r="D4453" s="295" t="s">
        <v>429</v>
      </c>
      <c r="E4453" s="296">
        <v>4.0962100000000001</v>
      </c>
    </row>
    <row r="4454" spans="1:5" x14ac:dyDescent="0.3">
      <c r="A4454" s="295">
        <v>2025</v>
      </c>
      <c r="B4454" s="295">
        <v>3</v>
      </c>
      <c r="C4454" s="295" t="s">
        <v>427</v>
      </c>
      <c r="D4454" s="295" t="s">
        <v>1</v>
      </c>
      <c r="E4454" s="296">
        <v>9.2174393953359759E-2</v>
      </c>
    </row>
    <row r="4455" spans="1:5" x14ac:dyDescent="0.3">
      <c r="A4455" s="295">
        <v>2025</v>
      </c>
      <c r="B4455" s="295">
        <v>3</v>
      </c>
      <c r="C4455" s="295" t="s">
        <v>427</v>
      </c>
      <c r="D4455" s="295" t="s">
        <v>2</v>
      </c>
      <c r="E4455" s="296">
        <v>9.9686585375579173E-2</v>
      </c>
    </row>
    <row r="4456" spans="1:5" x14ac:dyDescent="0.3">
      <c r="A4456" s="295">
        <v>2025</v>
      </c>
      <c r="B4456" s="295">
        <v>3</v>
      </c>
      <c r="C4456" s="295" t="s">
        <v>427</v>
      </c>
      <c r="D4456" s="295" t="s">
        <v>259</v>
      </c>
      <c r="E4456" s="296">
        <v>7.6998772639564117E-2</v>
      </c>
    </row>
    <row r="4457" spans="1:5" x14ac:dyDescent="0.3">
      <c r="A4457" s="295">
        <v>2025</v>
      </c>
      <c r="B4457" s="295">
        <v>3</v>
      </c>
      <c r="C4457" s="295" t="s">
        <v>427</v>
      </c>
      <c r="D4457" s="295" t="s">
        <v>85</v>
      </c>
      <c r="E4457" s="296">
        <v>0.57615302624377041</v>
      </c>
    </row>
    <row r="4458" spans="1:5" x14ac:dyDescent="0.3">
      <c r="A4458" s="295">
        <v>2025</v>
      </c>
      <c r="B4458" s="295">
        <v>3</v>
      </c>
      <c r="C4458" s="295" t="s">
        <v>427</v>
      </c>
      <c r="D4458" s="295" t="s">
        <v>101</v>
      </c>
      <c r="E4458" s="296">
        <v>2.0336363451487607</v>
      </c>
    </row>
    <row r="4459" spans="1:5" x14ac:dyDescent="0.3">
      <c r="A4459" s="295">
        <v>2025</v>
      </c>
      <c r="B4459" s="295">
        <v>3</v>
      </c>
      <c r="C4459" s="295" t="s">
        <v>427</v>
      </c>
      <c r="D4459" s="295" t="s">
        <v>179</v>
      </c>
      <c r="E4459" s="296">
        <v>91.911764705882348</v>
      </c>
    </row>
    <row r="4460" spans="1:5" x14ac:dyDescent="0.3">
      <c r="A4460" s="295">
        <v>2025</v>
      </c>
      <c r="B4460" s="295">
        <v>3</v>
      </c>
      <c r="C4460" s="295" t="s">
        <v>427</v>
      </c>
      <c r="D4460" s="295" t="s">
        <v>352</v>
      </c>
      <c r="E4460" s="296">
        <v>0.72303443089959951</v>
      </c>
    </row>
    <row r="4461" spans="1:5" x14ac:dyDescent="0.3">
      <c r="A4461" s="295">
        <v>2025</v>
      </c>
      <c r="B4461" s="295">
        <v>3</v>
      </c>
      <c r="C4461" s="295" t="s">
        <v>427</v>
      </c>
      <c r="D4461" s="295" t="s">
        <v>426</v>
      </c>
      <c r="E4461" s="296">
        <v>8.7851383571439859E-2</v>
      </c>
    </row>
    <row r="4462" spans="1:5" x14ac:dyDescent="0.3">
      <c r="A4462" s="295">
        <v>2025</v>
      </c>
      <c r="B4462" s="295">
        <v>3</v>
      </c>
      <c r="C4462" s="295" t="s">
        <v>427</v>
      </c>
      <c r="D4462" s="295" t="s">
        <v>429</v>
      </c>
      <c r="E4462" s="296">
        <v>0.35986000000000001</v>
      </c>
    </row>
    <row r="4463" spans="1:5" x14ac:dyDescent="0.3">
      <c r="A4463" s="295">
        <v>2025</v>
      </c>
      <c r="B4463" s="295">
        <v>3</v>
      </c>
      <c r="C4463" s="295" t="s">
        <v>429</v>
      </c>
      <c r="D4463" s="295" t="s">
        <v>1</v>
      </c>
      <c r="E4463" s="296">
        <v>0.25614097999538943</v>
      </c>
    </row>
    <row r="4464" spans="1:5" x14ac:dyDescent="0.3">
      <c r="A4464" s="295">
        <v>2025</v>
      </c>
      <c r="B4464" s="295">
        <v>3</v>
      </c>
      <c r="C4464" s="295" t="s">
        <v>429</v>
      </c>
      <c r="D4464" s="295" t="s">
        <v>2</v>
      </c>
      <c r="E4464" s="296">
        <v>0.27701675120294522</v>
      </c>
    </row>
    <row r="4465" spans="1:5" x14ac:dyDescent="0.3">
      <c r="A4465" s="295">
        <v>2025</v>
      </c>
      <c r="B4465" s="295">
        <v>3</v>
      </c>
      <c r="C4465" s="295" t="s">
        <v>429</v>
      </c>
      <c r="D4465" s="295" t="s">
        <v>259</v>
      </c>
      <c r="E4465" s="296">
        <v>0.21397010837585992</v>
      </c>
    </row>
    <row r="4466" spans="1:5" x14ac:dyDescent="0.3">
      <c r="A4466" s="295">
        <v>2025</v>
      </c>
      <c r="B4466" s="295">
        <v>3</v>
      </c>
      <c r="C4466" s="295" t="s">
        <v>429</v>
      </c>
      <c r="D4466" s="295" t="s">
        <v>85</v>
      </c>
      <c r="E4466" s="296">
        <v>1.6010502889895772</v>
      </c>
    </row>
    <row r="4467" spans="1:5" x14ac:dyDescent="0.3">
      <c r="A4467" s="295">
        <v>2025</v>
      </c>
      <c r="B4467" s="295">
        <v>3</v>
      </c>
      <c r="C4467" s="295" t="s">
        <v>429</v>
      </c>
      <c r="D4467" s="295" t="s">
        <v>101</v>
      </c>
      <c r="E4467" s="296">
        <v>5.6513139304888389</v>
      </c>
    </row>
    <row r="4468" spans="1:5" x14ac:dyDescent="0.3">
      <c r="A4468" s="295">
        <v>2025</v>
      </c>
      <c r="B4468" s="295">
        <v>3</v>
      </c>
      <c r="C4468" s="295" t="s">
        <v>429</v>
      </c>
      <c r="D4468" s="295" t="s">
        <v>179</v>
      </c>
      <c r="E4468" s="296">
        <v>255.7544757033248</v>
      </c>
    </row>
    <row r="4469" spans="1:5" x14ac:dyDescent="0.3">
      <c r="A4469" s="295">
        <v>2025</v>
      </c>
      <c r="B4469" s="295">
        <v>3</v>
      </c>
      <c r="C4469" s="295" t="s">
        <v>429</v>
      </c>
      <c r="D4469" s="295" t="s">
        <v>352</v>
      </c>
      <c r="E4469" s="296">
        <v>2.0092021458278917</v>
      </c>
    </row>
    <row r="4470" spans="1:5" x14ac:dyDescent="0.3">
      <c r="A4470" s="295">
        <v>2025</v>
      </c>
      <c r="B4470" s="295">
        <v>3</v>
      </c>
      <c r="C4470" s="295" t="s">
        <v>429</v>
      </c>
      <c r="D4470" s="295" t="s">
        <v>426</v>
      </c>
      <c r="E4470" s="296">
        <v>0.24412810866630372</v>
      </c>
    </row>
    <row r="4471" spans="1:5" x14ac:dyDescent="0.3">
      <c r="A4471" s="295">
        <v>2025</v>
      </c>
      <c r="B4471" s="295">
        <v>3</v>
      </c>
      <c r="C4471" s="295" t="s">
        <v>429</v>
      </c>
      <c r="D4471" s="295" t="s">
        <v>427</v>
      </c>
      <c r="E4471" s="296">
        <v>2.778858444950814</v>
      </c>
    </row>
    <row r="4472" spans="1:5" x14ac:dyDescent="0.3">
      <c r="A4472" s="295">
        <v>2025</v>
      </c>
      <c r="B4472" s="295">
        <v>3</v>
      </c>
      <c r="C4472" s="295" t="s">
        <v>1</v>
      </c>
      <c r="D4472" s="295" t="s">
        <v>1</v>
      </c>
      <c r="E4472" s="296">
        <v>1</v>
      </c>
    </row>
    <row r="4473" spans="1:5" x14ac:dyDescent="0.3">
      <c r="A4473" s="295">
        <v>2025</v>
      </c>
      <c r="B4473" s="295">
        <v>3</v>
      </c>
      <c r="C4473" s="295" t="s">
        <v>2</v>
      </c>
      <c r="D4473" s="295" t="s">
        <v>2</v>
      </c>
      <c r="E4473" s="296">
        <v>1</v>
      </c>
    </row>
    <row r="4474" spans="1:5" x14ac:dyDescent="0.3">
      <c r="A4474" s="295">
        <v>2025</v>
      </c>
      <c r="B4474" s="295">
        <v>3</v>
      </c>
      <c r="C4474" s="295" t="s">
        <v>259</v>
      </c>
      <c r="D4474" s="295" t="s">
        <v>259</v>
      </c>
      <c r="E4474" s="296">
        <v>1</v>
      </c>
    </row>
    <row r="4475" spans="1:5" x14ac:dyDescent="0.3">
      <c r="A4475" s="295">
        <v>2025</v>
      </c>
      <c r="B4475" s="295">
        <v>3</v>
      </c>
      <c r="C4475" s="295" t="s">
        <v>85</v>
      </c>
      <c r="D4475" s="295" t="s">
        <v>85</v>
      </c>
      <c r="E4475" s="296">
        <v>1</v>
      </c>
    </row>
    <row r="4476" spans="1:5" x14ac:dyDescent="0.3">
      <c r="A4476" s="295">
        <v>2025</v>
      </c>
      <c r="B4476" s="295">
        <v>3</v>
      </c>
      <c r="C4476" s="295" t="s">
        <v>101</v>
      </c>
      <c r="D4476" s="295" t="s">
        <v>101</v>
      </c>
      <c r="E4476" s="296">
        <v>1</v>
      </c>
    </row>
    <row r="4477" spans="1:5" x14ac:dyDescent="0.3">
      <c r="A4477" s="295">
        <v>2025</v>
      </c>
      <c r="B4477" s="295">
        <v>3</v>
      </c>
      <c r="C4477" s="295" t="s">
        <v>179</v>
      </c>
      <c r="D4477" s="295" t="s">
        <v>179</v>
      </c>
      <c r="E4477" s="296">
        <v>1</v>
      </c>
    </row>
    <row r="4478" spans="1:5" x14ac:dyDescent="0.3">
      <c r="A4478" s="295">
        <v>2025</v>
      </c>
      <c r="B4478" s="295">
        <v>3</v>
      </c>
      <c r="C4478" s="295" t="s">
        <v>352</v>
      </c>
      <c r="D4478" s="295" t="s">
        <v>352</v>
      </c>
      <c r="E4478" s="296">
        <v>1</v>
      </c>
    </row>
    <row r="4479" spans="1:5" x14ac:dyDescent="0.3">
      <c r="A4479" s="295">
        <v>2025</v>
      </c>
      <c r="B4479" s="295">
        <v>3</v>
      </c>
      <c r="C4479" s="295" t="s">
        <v>426</v>
      </c>
      <c r="D4479" s="295" t="s">
        <v>426</v>
      </c>
      <c r="E4479" s="296">
        <v>1</v>
      </c>
    </row>
    <row r="4480" spans="1:5" x14ac:dyDescent="0.3">
      <c r="A4480" s="295">
        <v>2025</v>
      </c>
      <c r="B4480" s="295">
        <v>3</v>
      </c>
      <c r="C4480" s="295" t="s">
        <v>427</v>
      </c>
      <c r="D4480" s="295" t="s">
        <v>427</v>
      </c>
      <c r="E4480" s="296">
        <v>1</v>
      </c>
    </row>
    <row r="4481" spans="1:5" x14ac:dyDescent="0.3">
      <c r="A4481" s="295">
        <v>2025</v>
      </c>
      <c r="B4481" s="295">
        <v>3</v>
      </c>
      <c r="C4481" s="295" t="s">
        <v>429</v>
      </c>
      <c r="D4481" s="295" t="s">
        <v>429</v>
      </c>
      <c r="E4481" s="296">
        <v>1</v>
      </c>
    </row>
    <row r="4482" spans="1:5" x14ac:dyDescent="0.3">
      <c r="A4482" s="295">
        <v>2025</v>
      </c>
      <c r="B4482" s="295">
        <v>4</v>
      </c>
      <c r="C4482" s="295" t="s">
        <v>1</v>
      </c>
      <c r="D4482" s="295" t="s">
        <v>2</v>
      </c>
      <c r="E4482" s="296">
        <v>1.1373</v>
      </c>
    </row>
    <row r="4483" spans="1:5" x14ac:dyDescent="0.3">
      <c r="A4483" s="295">
        <v>2025</v>
      </c>
      <c r="B4483" s="295">
        <v>4</v>
      </c>
      <c r="C4483" s="295" t="s">
        <v>1</v>
      </c>
      <c r="D4483" s="295" t="s">
        <v>259</v>
      </c>
      <c r="E4483" s="296">
        <v>0.8518</v>
      </c>
    </row>
    <row r="4484" spans="1:5" x14ac:dyDescent="0.3">
      <c r="A4484" s="295">
        <v>2025</v>
      </c>
      <c r="B4484" s="295">
        <v>4</v>
      </c>
      <c r="C4484" s="295" t="s">
        <v>1</v>
      </c>
      <c r="D4484" s="295" t="s">
        <v>85</v>
      </c>
      <c r="E4484" s="296">
        <v>6.3838999999999997</v>
      </c>
    </row>
    <row r="4485" spans="1:5" x14ac:dyDescent="0.3">
      <c r="A4485" s="295">
        <v>2025</v>
      </c>
      <c r="B4485" s="295">
        <v>4</v>
      </c>
      <c r="C4485" s="295" t="s">
        <v>1</v>
      </c>
      <c r="D4485" s="295" t="s">
        <v>101</v>
      </c>
      <c r="E4485" s="296">
        <v>22.202000000000002</v>
      </c>
    </row>
    <row r="4486" spans="1:5" x14ac:dyDescent="0.3">
      <c r="A4486" s="295">
        <v>2025</v>
      </c>
      <c r="B4486" s="295">
        <v>4</v>
      </c>
      <c r="C4486" s="295" t="s">
        <v>1</v>
      </c>
      <c r="D4486" s="295" t="s">
        <v>179</v>
      </c>
      <c r="E4486" s="296">
        <v>1076.8530000000001</v>
      </c>
    </row>
    <row r="4487" spans="1:5" x14ac:dyDescent="0.3">
      <c r="A4487" s="295">
        <v>2025</v>
      </c>
      <c r="B4487" s="295">
        <v>4</v>
      </c>
      <c r="C4487" s="295" t="s">
        <v>1</v>
      </c>
      <c r="D4487" s="295" t="s">
        <v>352</v>
      </c>
      <c r="E4487" s="296">
        <v>8.2635000000000005</v>
      </c>
    </row>
    <row r="4488" spans="1:5" x14ac:dyDescent="0.3">
      <c r="A4488" s="295">
        <v>2025</v>
      </c>
      <c r="B4488" s="295">
        <v>4</v>
      </c>
      <c r="C4488" s="295" t="s">
        <v>1</v>
      </c>
      <c r="D4488" s="295" t="s">
        <v>426</v>
      </c>
      <c r="E4488" s="296">
        <v>0.93889999999999996</v>
      </c>
    </row>
    <row r="4489" spans="1:5" x14ac:dyDescent="0.3">
      <c r="A4489" s="295">
        <v>2025</v>
      </c>
      <c r="B4489" s="295">
        <v>4</v>
      </c>
      <c r="C4489" s="295" t="s">
        <v>1</v>
      </c>
      <c r="D4489" s="295" t="s">
        <v>427</v>
      </c>
      <c r="E4489" s="296">
        <v>10.971500000000001</v>
      </c>
    </row>
    <row r="4490" spans="1:5" x14ac:dyDescent="0.3">
      <c r="A4490" s="295">
        <v>2025</v>
      </c>
      <c r="B4490" s="295">
        <v>4</v>
      </c>
      <c r="C4490" s="295" t="s">
        <v>1</v>
      </c>
      <c r="D4490" s="295" t="s">
        <v>429</v>
      </c>
      <c r="E4490" s="296">
        <v>4.2656999999999998</v>
      </c>
    </row>
    <row r="4491" spans="1:5" x14ac:dyDescent="0.3">
      <c r="A4491" s="295">
        <v>2025</v>
      </c>
      <c r="B4491" s="295">
        <v>4</v>
      </c>
      <c r="C4491" s="295" t="s">
        <v>2</v>
      </c>
      <c r="D4491" s="295" t="s">
        <v>1</v>
      </c>
      <c r="E4491" s="296">
        <v>0.8792754770069463</v>
      </c>
    </row>
    <row r="4492" spans="1:5" x14ac:dyDescent="0.3">
      <c r="A4492" s="295">
        <v>2025</v>
      </c>
      <c r="B4492" s="295">
        <v>4</v>
      </c>
      <c r="C4492" s="295" t="s">
        <v>2</v>
      </c>
      <c r="D4492" s="295" t="s">
        <v>259</v>
      </c>
      <c r="E4492" s="296">
        <v>0.74897000000000002</v>
      </c>
    </row>
    <row r="4493" spans="1:5" x14ac:dyDescent="0.3">
      <c r="A4493" s="295">
        <v>2025</v>
      </c>
      <c r="B4493" s="295">
        <v>4</v>
      </c>
      <c r="C4493" s="295" t="s">
        <v>2</v>
      </c>
      <c r="D4493" s="295" t="s">
        <v>85</v>
      </c>
      <c r="E4493" s="296">
        <v>5.6132099999999996</v>
      </c>
    </row>
    <row r="4494" spans="1:5" x14ac:dyDescent="0.3">
      <c r="A4494" s="295">
        <v>2025</v>
      </c>
      <c r="B4494" s="295">
        <v>4</v>
      </c>
      <c r="C4494" s="295" t="s">
        <v>2</v>
      </c>
      <c r="D4494" s="295" t="s">
        <v>101</v>
      </c>
      <c r="E4494" s="296">
        <v>19.52167</v>
      </c>
    </row>
    <row r="4495" spans="1:5" x14ac:dyDescent="0.3">
      <c r="A4495" s="295">
        <v>2025</v>
      </c>
      <c r="B4495" s="295">
        <v>4</v>
      </c>
      <c r="C4495" s="295" t="s">
        <v>2</v>
      </c>
      <c r="D4495" s="295" t="s">
        <v>179</v>
      </c>
      <c r="E4495" s="296">
        <v>946.85044000000005</v>
      </c>
    </row>
    <row r="4496" spans="1:5" x14ac:dyDescent="0.3">
      <c r="A4496" s="295">
        <v>2025</v>
      </c>
      <c r="B4496" s="295">
        <v>4</v>
      </c>
      <c r="C4496" s="295" t="s">
        <v>2</v>
      </c>
      <c r="D4496" s="295" t="s">
        <v>352</v>
      </c>
      <c r="E4496" s="296">
        <v>7.2658899999999997</v>
      </c>
    </row>
    <row r="4497" spans="1:5" x14ac:dyDescent="0.3">
      <c r="A4497" s="295">
        <v>2025</v>
      </c>
      <c r="B4497" s="295">
        <v>4</v>
      </c>
      <c r="C4497" s="295" t="s">
        <v>2</v>
      </c>
      <c r="D4497" s="295" t="s">
        <v>426</v>
      </c>
      <c r="E4497" s="296">
        <v>0.82555000000000001</v>
      </c>
    </row>
    <row r="4498" spans="1:5" x14ac:dyDescent="0.3">
      <c r="A4498" s="295">
        <v>2025</v>
      </c>
      <c r="B4498" s="295">
        <v>4</v>
      </c>
      <c r="C4498" s="295" t="s">
        <v>2</v>
      </c>
      <c r="D4498" s="295" t="s">
        <v>427</v>
      </c>
      <c r="E4498" s="296">
        <v>9.6469699999999996</v>
      </c>
    </row>
    <row r="4499" spans="1:5" x14ac:dyDescent="0.3">
      <c r="A4499" s="295">
        <v>2025</v>
      </c>
      <c r="B4499" s="295">
        <v>4</v>
      </c>
      <c r="C4499" s="295" t="s">
        <v>2</v>
      </c>
      <c r="D4499" s="295" t="s">
        <v>429</v>
      </c>
      <c r="E4499" s="296">
        <v>3.7507299999999999</v>
      </c>
    </row>
    <row r="4500" spans="1:5" x14ac:dyDescent="0.3">
      <c r="A4500" s="295">
        <v>2025</v>
      </c>
      <c r="B4500" s="295">
        <v>4</v>
      </c>
      <c r="C4500" s="295" t="s">
        <v>259</v>
      </c>
      <c r="D4500" s="295" t="s">
        <v>1</v>
      </c>
      <c r="E4500" s="296">
        <v>1.1739845034045551</v>
      </c>
    </row>
    <row r="4501" spans="1:5" x14ac:dyDescent="0.3">
      <c r="A4501" s="295">
        <v>2025</v>
      </c>
      <c r="B4501" s="295">
        <v>4</v>
      </c>
      <c r="C4501" s="295" t="s">
        <v>259</v>
      </c>
      <c r="D4501" s="295" t="s">
        <v>2</v>
      </c>
      <c r="E4501" s="296">
        <v>1.3351669626286766</v>
      </c>
    </row>
    <row r="4502" spans="1:5" x14ac:dyDescent="0.3">
      <c r="A4502" s="295">
        <v>2025</v>
      </c>
      <c r="B4502" s="295">
        <v>4</v>
      </c>
      <c r="C4502" s="295" t="s">
        <v>259</v>
      </c>
      <c r="D4502" s="295" t="s">
        <v>85</v>
      </c>
      <c r="E4502" s="296">
        <v>7.4946000000000002</v>
      </c>
    </row>
    <row r="4503" spans="1:5" x14ac:dyDescent="0.3">
      <c r="A4503" s="295">
        <v>2025</v>
      </c>
      <c r="B4503" s="295">
        <v>4</v>
      </c>
      <c r="C4503" s="295" t="s">
        <v>259</v>
      </c>
      <c r="D4503" s="295" t="s">
        <v>101</v>
      </c>
      <c r="E4503" s="296">
        <v>26.064800000000002</v>
      </c>
    </row>
    <row r="4504" spans="1:5" x14ac:dyDescent="0.3">
      <c r="A4504" s="295">
        <v>2025</v>
      </c>
      <c r="B4504" s="295">
        <v>4</v>
      </c>
      <c r="C4504" s="295" t="s">
        <v>259</v>
      </c>
      <c r="D4504" s="295" t="s">
        <v>179</v>
      </c>
      <c r="E4504" s="296">
        <v>1264.2087300000001</v>
      </c>
    </row>
    <row r="4505" spans="1:5" x14ac:dyDescent="0.3">
      <c r="A4505" s="295">
        <v>2025</v>
      </c>
      <c r="B4505" s="295">
        <v>4</v>
      </c>
      <c r="C4505" s="295" t="s">
        <v>259</v>
      </c>
      <c r="D4505" s="295" t="s">
        <v>352</v>
      </c>
      <c r="E4505" s="296">
        <v>9.7012199999999993</v>
      </c>
    </row>
    <row r="4506" spans="1:5" x14ac:dyDescent="0.3">
      <c r="A4506" s="295">
        <v>2025</v>
      </c>
      <c r="B4506" s="295">
        <v>4</v>
      </c>
      <c r="C4506" s="295" t="s">
        <v>259</v>
      </c>
      <c r="D4506" s="295" t="s">
        <v>426</v>
      </c>
      <c r="E4506" s="296">
        <v>1.10225</v>
      </c>
    </row>
    <row r="4507" spans="1:5" x14ac:dyDescent="0.3">
      <c r="A4507" s="295">
        <v>2025</v>
      </c>
      <c r="B4507" s="295">
        <v>4</v>
      </c>
      <c r="C4507" s="295" t="s">
        <v>259</v>
      </c>
      <c r="D4507" s="295" t="s">
        <v>427</v>
      </c>
      <c r="E4507" s="296">
        <v>12.880369999999999</v>
      </c>
    </row>
    <row r="4508" spans="1:5" x14ac:dyDescent="0.3">
      <c r="A4508" s="295">
        <v>2025</v>
      </c>
      <c r="B4508" s="295">
        <v>4</v>
      </c>
      <c r="C4508" s="295" t="s">
        <v>259</v>
      </c>
      <c r="D4508" s="295" t="s">
        <v>429</v>
      </c>
      <c r="E4508" s="296">
        <v>5.0078699999999996</v>
      </c>
    </row>
    <row r="4509" spans="1:5" x14ac:dyDescent="0.3">
      <c r="A4509" s="295">
        <v>2025</v>
      </c>
      <c r="B4509" s="295">
        <v>4</v>
      </c>
      <c r="C4509" s="295" t="s">
        <v>85</v>
      </c>
      <c r="D4509" s="295" t="s">
        <v>1</v>
      </c>
      <c r="E4509" s="296">
        <v>0.15664405770767087</v>
      </c>
    </row>
    <row r="4510" spans="1:5" x14ac:dyDescent="0.3">
      <c r="A4510" s="295">
        <v>2025</v>
      </c>
      <c r="B4510" s="295">
        <v>4</v>
      </c>
      <c r="C4510" s="295" t="s">
        <v>85</v>
      </c>
      <c r="D4510" s="295" t="s">
        <v>2</v>
      </c>
      <c r="E4510" s="296">
        <v>0.17815118265662608</v>
      </c>
    </row>
    <row r="4511" spans="1:5" x14ac:dyDescent="0.3">
      <c r="A4511" s="295">
        <v>2025</v>
      </c>
      <c r="B4511" s="295">
        <v>4</v>
      </c>
      <c r="C4511" s="295" t="s">
        <v>85</v>
      </c>
      <c r="D4511" s="295" t="s">
        <v>259</v>
      </c>
      <c r="E4511" s="296">
        <v>0.13342940250313559</v>
      </c>
    </row>
    <row r="4512" spans="1:5" x14ac:dyDescent="0.3">
      <c r="A4512" s="295">
        <v>2025</v>
      </c>
      <c r="B4512" s="295">
        <v>4</v>
      </c>
      <c r="C4512" s="295" t="s">
        <v>85</v>
      </c>
      <c r="D4512" s="295" t="s">
        <v>101</v>
      </c>
      <c r="E4512" s="296">
        <v>3.4778099999999998</v>
      </c>
    </row>
    <row r="4513" spans="1:5" x14ac:dyDescent="0.3">
      <c r="A4513" s="295">
        <v>2025</v>
      </c>
      <c r="B4513" s="295">
        <v>4</v>
      </c>
      <c r="C4513" s="295" t="s">
        <v>85</v>
      </c>
      <c r="D4513" s="295" t="s">
        <v>179</v>
      </c>
      <c r="E4513" s="296">
        <v>168.68261999999999</v>
      </c>
    </row>
    <row r="4514" spans="1:5" x14ac:dyDescent="0.3">
      <c r="A4514" s="295">
        <v>2025</v>
      </c>
      <c r="B4514" s="295">
        <v>4</v>
      </c>
      <c r="C4514" s="295" t="s">
        <v>85</v>
      </c>
      <c r="D4514" s="295" t="s">
        <v>352</v>
      </c>
      <c r="E4514" s="296">
        <v>1.29443</v>
      </c>
    </row>
    <row r="4515" spans="1:5" x14ac:dyDescent="0.3">
      <c r="A4515" s="295">
        <v>2025</v>
      </c>
      <c r="B4515" s="295">
        <v>4</v>
      </c>
      <c r="C4515" s="295" t="s">
        <v>85</v>
      </c>
      <c r="D4515" s="295" t="s">
        <v>426</v>
      </c>
      <c r="E4515" s="296">
        <v>0.14707000000000001</v>
      </c>
    </row>
    <row r="4516" spans="1:5" x14ac:dyDescent="0.3">
      <c r="A4516" s="295">
        <v>2025</v>
      </c>
      <c r="B4516" s="295">
        <v>4</v>
      </c>
      <c r="C4516" s="295" t="s">
        <v>85</v>
      </c>
      <c r="D4516" s="295" t="s">
        <v>427</v>
      </c>
      <c r="E4516" s="296">
        <v>1.71862</v>
      </c>
    </row>
    <row r="4517" spans="1:5" x14ac:dyDescent="0.3">
      <c r="A4517" s="295">
        <v>2025</v>
      </c>
      <c r="B4517" s="295">
        <v>4</v>
      </c>
      <c r="C4517" s="295" t="s">
        <v>85</v>
      </c>
      <c r="D4517" s="295" t="s">
        <v>429</v>
      </c>
      <c r="E4517" s="296">
        <v>0.66820000000000002</v>
      </c>
    </row>
    <row r="4518" spans="1:5" x14ac:dyDescent="0.3">
      <c r="A4518" s="295">
        <v>2025</v>
      </c>
      <c r="B4518" s="295">
        <v>4</v>
      </c>
      <c r="C4518" s="295" t="s">
        <v>101</v>
      </c>
      <c r="D4518" s="295" t="s">
        <v>1</v>
      </c>
      <c r="E4518" s="296">
        <v>4.5040987298441582E-2</v>
      </c>
    </row>
    <row r="4519" spans="1:5" x14ac:dyDescent="0.3">
      <c r="A4519" s="295">
        <v>2025</v>
      </c>
      <c r="B4519" s="295">
        <v>4</v>
      </c>
      <c r="C4519" s="295" t="s">
        <v>101</v>
      </c>
      <c r="D4519" s="295" t="s">
        <v>2</v>
      </c>
      <c r="E4519" s="296">
        <v>5.1225125719264797E-2</v>
      </c>
    </row>
    <row r="4520" spans="1:5" x14ac:dyDescent="0.3">
      <c r="A4520" s="295">
        <v>2025</v>
      </c>
      <c r="B4520" s="295">
        <v>4</v>
      </c>
      <c r="C4520" s="295" t="s">
        <v>101</v>
      </c>
      <c r="D4520" s="295" t="s">
        <v>259</v>
      </c>
      <c r="E4520" s="296">
        <v>3.8365918787023112E-2</v>
      </c>
    </row>
    <row r="4521" spans="1:5" x14ac:dyDescent="0.3">
      <c r="A4521" s="295">
        <v>2025</v>
      </c>
      <c r="B4521" s="295">
        <v>4</v>
      </c>
      <c r="C4521" s="295" t="s">
        <v>101</v>
      </c>
      <c r="D4521" s="295" t="s">
        <v>85</v>
      </c>
      <c r="E4521" s="296">
        <v>0.28753727201888546</v>
      </c>
    </row>
    <row r="4522" spans="1:5" x14ac:dyDescent="0.3">
      <c r="A4522" s="295">
        <v>2025</v>
      </c>
      <c r="B4522" s="295">
        <v>4</v>
      </c>
      <c r="C4522" s="295" t="s">
        <v>101</v>
      </c>
      <c r="D4522" s="295" t="s">
        <v>179</v>
      </c>
      <c r="E4522" s="296">
        <v>48.502519999999997</v>
      </c>
    </row>
    <row r="4523" spans="1:5" x14ac:dyDescent="0.3">
      <c r="A4523" s="295">
        <v>2025</v>
      </c>
      <c r="B4523" s="295">
        <v>4</v>
      </c>
      <c r="C4523" s="295" t="s">
        <v>101</v>
      </c>
      <c r="D4523" s="295" t="s">
        <v>352</v>
      </c>
      <c r="E4523" s="296">
        <v>0.37219999999999998</v>
      </c>
    </row>
    <row r="4524" spans="1:5" x14ac:dyDescent="0.3">
      <c r="A4524" s="295">
        <v>2025</v>
      </c>
      <c r="B4524" s="295">
        <v>4</v>
      </c>
      <c r="C4524" s="295" t="s">
        <v>101</v>
      </c>
      <c r="D4524" s="295" t="s">
        <v>426</v>
      </c>
      <c r="E4524" s="296">
        <v>4.2290000000000001E-2</v>
      </c>
    </row>
    <row r="4525" spans="1:5" x14ac:dyDescent="0.3">
      <c r="A4525" s="295">
        <v>2025</v>
      </c>
      <c r="B4525" s="295">
        <v>4</v>
      </c>
      <c r="C4525" s="295" t="s">
        <v>101</v>
      </c>
      <c r="D4525" s="295" t="s">
        <v>427</v>
      </c>
      <c r="E4525" s="296">
        <v>0.49417</v>
      </c>
    </row>
    <row r="4526" spans="1:5" x14ac:dyDescent="0.3">
      <c r="A4526" s="295">
        <v>2025</v>
      </c>
      <c r="B4526" s="295">
        <v>4</v>
      </c>
      <c r="C4526" s="295" t="s">
        <v>101</v>
      </c>
      <c r="D4526" s="295" t="s">
        <v>429</v>
      </c>
      <c r="E4526" s="296">
        <v>0.19213</v>
      </c>
    </row>
    <row r="4527" spans="1:5" x14ac:dyDescent="0.3">
      <c r="A4527" s="295">
        <v>2025</v>
      </c>
      <c r="B4527" s="295">
        <v>4</v>
      </c>
      <c r="C4527" s="295" t="s">
        <v>179</v>
      </c>
      <c r="D4527" s="295" t="s">
        <v>1</v>
      </c>
      <c r="E4527" s="296">
        <v>9.2863185597291361E-4</v>
      </c>
    </row>
    <row r="4528" spans="1:5" x14ac:dyDescent="0.3">
      <c r="A4528" s="295">
        <v>2025</v>
      </c>
      <c r="B4528" s="295">
        <v>4</v>
      </c>
      <c r="C4528" s="295" t="s">
        <v>179</v>
      </c>
      <c r="D4528" s="295" t="s">
        <v>2</v>
      </c>
      <c r="E4528" s="296">
        <v>1.0561330044901282E-3</v>
      </c>
    </row>
    <row r="4529" spans="1:5" x14ac:dyDescent="0.3">
      <c r="A4529" s="295">
        <v>2025</v>
      </c>
      <c r="B4529" s="295">
        <v>4</v>
      </c>
      <c r="C4529" s="295" t="s">
        <v>179</v>
      </c>
      <c r="D4529" s="295" t="s">
        <v>259</v>
      </c>
      <c r="E4529" s="296">
        <v>7.9100861769875613E-4</v>
      </c>
    </row>
    <row r="4530" spans="1:5" x14ac:dyDescent="0.3">
      <c r="A4530" s="295">
        <v>2025</v>
      </c>
      <c r="B4530" s="295">
        <v>4</v>
      </c>
      <c r="C4530" s="295" t="s">
        <v>179</v>
      </c>
      <c r="D4530" s="295" t="s">
        <v>85</v>
      </c>
      <c r="E4530" s="296">
        <v>5.928293027461869E-3</v>
      </c>
    </row>
    <row r="4531" spans="1:5" x14ac:dyDescent="0.3">
      <c r="A4531" s="295">
        <v>2025</v>
      </c>
      <c r="B4531" s="295">
        <v>4</v>
      </c>
      <c r="C4531" s="295" t="s">
        <v>179</v>
      </c>
      <c r="D4531" s="295" t="s">
        <v>101</v>
      </c>
      <c r="E4531" s="296">
        <v>2.061748544199353E-2</v>
      </c>
    </row>
    <row r="4532" spans="1:5" x14ac:dyDescent="0.3">
      <c r="A4532" s="295">
        <v>2025</v>
      </c>
      <c r="B4532" s="295">
        <v>4</v>
      </c>
      <c r="C4532" s="295" t="s">
        <v>179</v>
      </c>
      <c r="D4532" s="295" t="s">
        <v>352</v>
      </c>
      <c r="E4532" s="296">
        <v>7.6699999999999997E-3</v>
      </c>
    </row>
    <row r="4533" spans="1:5" x14ac:dyDescent="0.3">
      <c r="A4533" s="295">
        <v>2025</v>
      </c>
      <c r="B4533" s="295">
        <v>4</v>
      </c>
      <c r="C4533" s="295" t="s">
        <v>179</v>
      </c>
      <c r="D4533" s="295" t="s">
        <v>426</v>
      </c>
      <c r="E4533" s="296">
        <v>8.7000000000000001E-4</v>
      </c>
    </row>
    <row r="4534" spans="1:5" x14ac:dyDescent="0.3">
      <c r="A4534" s="295">
        <v>2025</v>
      </c>
      <c r="B4534" s="295">
        <v>4</v>
      </c>
      <c r="C4534" s="295" t="s">
        <v>179</v>
      </c>
      <c r="D4534" s="295" t="s">
        <v>427</v>
      </c>
      <c r="E4534" s="296">
        <v>1.0189999999999999E-2</v>
      </c>
    </row>
    <row r="4535" spans="1:5" x14ac:dyDescent="0.3">
      <c r="A4535" s="295">
        <v>2025</v>
      </c>
      <c r="B4535" s="295">
        <v>4</v>
      </c>
      <c r="C4535" s="295" t="s">
        <v>179</v>
      </c>
      <c r="D4535" s="295" t="s">
        <v>429</v>
      </c>
      <c r="E4535" s="296">
        <v>3.96E-3</v>
      </c>
    </row>
    <row r="4536" spans="1:5" x14ac:dyDescent="0.3">
      <c r="A4536" s="295">
        <v>2025</v>
      </c>
      <c r="B4536" s="295">
        <v>4</v>
      </c>
      <c r="C4536" s="295" t="s">
        <v>352</v>
      </c>
      <c r="D4536" s="295" t="s">
        <v>1</v>
      </c>
      <c r="E4536" s="296">
        <v>0.12101409814243358</v>
      </c>
    </row>
    <row r="4537" spans="1:5" x14ac:dyDescent="0.3">
      <c r="A4537" s="295">
        <v>2025</v>
      </c>
      <c r="B4537" s="295">
        <v>4</v>
      </c>
      <c r="C4537" s="295" t="s">
        <v>352</v>
      </c>
      <c r="D4537" s="295" t="s">
        <v>2</v>
      </c>
      <c r="E4537" s="296">
        <v>0.13762938882917303</v>
      </c>
    </row>
    <row r="4538" spans="1:5" x14ac:dyDescent="0.3">
      <c r="A4538" s="295">
        <v>2025</v>
      </c>
      <c r="B4538" s="295">
        <v>4</v>
      </c>
      <c r="C4538" s="295" t="s">
        <v>352</v>
      </c>
      <c r="D4538" s="295" t="s">
        <v>259</v>
      </c>
      <c r="E4538" s="296">
        <v>0.10307981882691043</v>
      </c>
    </row>
    <row r="4539" spans="1:5" x14ac:dyDescent="0.3">
      <c r="A4539" s="295">
        <v>2025</v>
      </c>
      <c r="B4539" s="295">
        <v>4</v>
      </c>
      <c r="C4539" s="295" t="s">
        <v>352</v>
      </c>
      <c r="D4539" s="295" t="s">
        <v>85</v>
      </c>
      <c r="E4539" s="296">
        <v>0.7725408094682602</v>
      </c>
    </row>
    <row r="4540" spans="1:5" x14ac:dyDescent="0.3">
      <c r="A4540" s="295">
        <v>2025</v>
      </c>
      <c r="B4540" s="295">
        <v>4</v>
      </c>
      <c r="C4540" s="295" t="s">
        <v>352</v>
      </c>
      <c r="D4540" s="295" t="s">
        <v>101</v>
      </c>
      <c r="E4540" s="296">
        <v>2.6867275658248255</v>
      </c>
    </row>
    <row r="4541" spans="1:5" x14ac:dyDescent="0.3">
      <c r="A4541" s="295">
        <v>2025</v>
      </c>
      <c r="B4541" s="295">
        <v>4</v>
      </c>
      <c r="C4541" s="295" t="s">
        <v>352</v>
      </c>
      <c r="D4541" s="295" t="s">
        <v>179</v>
      </c>
      <c r="E4541" s="296">
        <v>130.3780964797914</v>
      </c>
    </row>
    <row r="4542" spans="1:5" x14ac:dyDescent="0.3">
      <c r="A4542" s="295">
        <v>2025</v>
      </c>
      <c r="B4542" s="295">
        <v>4</v>
      </c>
      <c r="C4542" s="295" t="s">
        <v>352</v>
      </c>
      <c r="D4542" s="295" t="s">
        <v>426</v>
      </c>
      <c r="E4542" s="296">
        <v>0.11362</v>
      </c>
    </row>
    <row r="4543" spans="1:5" x14ac:dyDescent="0.3">
      <c r="A4543" s="295">
        <v>2025</v>
      </c>
      <c r="B4543" s="295">
        <v>4</v>
      </c>
      <c r="C4543" s="295" t="s">
        <v>352</v>
      </c>
      <c r="D4543" s="295" t="s">
        <v>427</v>
      </c>
      <c r="E4543" s="296">
        <v>1.3277099999999999</v>
      </c>
    </row>
    <row r="4544" spans="1:5" x14ac:dyDescent="0.3">
      <c r="A4544" s="295">
        <v>2025</v>
      </c>
      <c r="B4544" s="295">
        <v>4</v>
      </c>
      <c r="C4544" s="295" t="s">
        <v>352</v>
      </c>
      <c r="D4544" s="295" t="s">
        <v>429</v>
      </c>
      <c r="E4544" s="296">
        <v>0.51620999999999995</v>
      </c>
    </row>
    <row r="4545" spans="1:5" x14ac:dyDescent="0.3">
      <c r="A4545" s="295">
        <v>2025</v>
      </c>
      <c r="B4545" s="295">
        <v>4</v>
      </c>
      <c r="C4545" s="295" t="s">
        <v>426</v>
      </c>
      <c r="D4545" s="295" t="s">
        <v>1</v>
      </c>
      <c r="E4545" s="296">
        <v>1.0650761529449355</v>
      </c>
    </row>
    <row r="4546" spans="1:5" x14ac:dyDescent="0.3">
      <c r="A4546" s="295">
        <v>2025</v>
      </c>
      <c r="B4546" s="295">
        <v>4</v>
      </c>
      <c r="C4546" s="295" t="s">
        <v>426</v>
      </c>
      <c r="D4546" s="295" t="s">
        <v>2</v>
      </c>
      <c r="E4546" s="296">
        <v>1.2113136696747622</v>
      </c>
    </row>
    <row r="4547" spans="1:5" x14ac:dyDescent="0.3">
      <c r="A4547" s="295">
        <v>2025</v>
      </c>
      <c r="B4547" s="295">
        <v>4</v>
      </c>
      <c r="C4547" s="295" t="s">
        <v>426</v>
      </c>
      <c r="D4547" s="295" t="s">
        <v>259</v>
      </c>
      <c r="E4547" s="296">
        <v>0.90723520072578823</v>
      </c>
    </row>
    <row r="4548" spans="1:5" x14ac:dyDescent="0.3">
      <c r="A4548" s="295">
        <v>2025</v>
      </c>
      <c r="B4548" s="295">
        <v>4</v>
      </c>
      <c r="C4548" s="295" t="s">
        <v>426</v>
      </c>
      <c r="D4548" s="295" t="s">
        <v>85</v>
      </c>
      <c r="E4548" s="296">
        <v>6.7994832392738145</v>
      </c>
    </row>
    <row r="4549" spans="1:5" x14ac:dyDescent="0.3">
      <c r="A4549" s="295">
        <v>2025</v>
      </c>
      <c r="B4549" s="295">
        <v>4</v>
      </c>
      <c r="C4549" s="295" t="s">
        <v>426</v>
      </c>
      <c r="D4549" s="295" t="s">
        <v>101</v>
      </c>
      <c r="E4549" s="296">
        <v>23.646252069047055</v>
      </c>
    </row>
    <row r="4550" spans="1:5" x14ac:dyDescent="0.3">
      <c r="A4550" s="295">
        <v>2025</v>
      </c>
      <c r="B4550" s="295">
        <v>4</v>
      </c>
      <c r="C4550" s="295" t="s">
        <v>426</v>
      </c>
      <c r="D4550" s="295" t="s">
        <v>179</v>
      </c>
      <c r="E4550" s="296">
        <v>2.0235951190885726</v>
      </c>
    </row>
    <row r="4551" spans="1:5" x14ac:dyDescent="0.3">
      <c r="A4551" s="295">
        <v>2025</v>
      </c>
      <c r="B4551" s="295">
        <v>4</v>
      </c>
      <c r="C4551" s="295" t="s">
        <v>426</v>
      </c>
      <c r="D4551" s="295" t="s">
        <v>352</v>
      </c>
      <c r="E4551" s="296">
        <v>5.2048092437412175</v>
      </c>
    </row>
    <row r="4552" spans="1:5" x14ac:dyDescent="0.3">
      <c r="A4552" s="295">
        <v>2025</v>
      </c>
      <c r="B4552" s="295">
        <v>4</v>
      </c>
      <c r="C4552" s="295" t="s">
        <v>426</v>
      </c>
      <c r="D4552" s="295" t="s">
        <v>427</v>
      </c>
      <c r="E4552" s="296">
        <v>11.68548</v>
      </c>
    </row>
    <row r="4553" spans="1:5" x14ac:dyDescent="0.3">
      <c r="A4553" s="295">
        <v>2025</v>
      </c>
      <c r="B4553" s="295">
        <v>4</v>
      </c>
      <c r="C4553" s="295" t="s">
        <v>426</v>
      </c>
      <c r="D4553" s="295" t="s">
        <v>429</v>
      </c>
      <c r="E4553" s="296">
        <v>4.5433000000000003</v>
      </c>
    </row>
    <row r="4554" spans="1:5" x14ac:dyDescent="0.3">
      <c r="A4554" s="295">
        <v>2025</v>
      </c>
      <c r="B4554" s="295">
        <v>4</v>
      </c>
      <c r="C4554" s="295" t="s">
        <v>427</v>
      </c>
      <c r="D4554" s="295" t="s">
        <v>1</v>
      </c>
      <c r="E4554" s="296">
        <v>9.1145239939844136E-2</v>
      </c>
    </row>
    <row r="4555" spans="1:5" x14ac:dyDescent="0.3">
      <c r="A4555" s="295">
        <v>2025</v>
      </c>
      <c r="B4555" s="295">
        <v>4</v>
      </c>
      <c r="C4555" s="295" t="s">
        <v>427</v>
      </c>
      <c r="D4555" s="295" t="s">
        <v>2</v>
      </c>
      <c r="E4555" s="296">
        <v>0.10365949101116724</v>
      </c>
    </row>
    <row r="4556" spans="1:5" x14ac:dyDescent="0.3">
      <c r="A4556" s="295">
        <v>2025</v>
      </c>
      <c r="B4556" s="295">
        <v>4</v>
      </c>
      <c r="C4556" s="295" t="s">
        <v>427</v>
      </c>
      <c r="D4556" s="295" t="s">
        <v>259</v>
      </c>
      <c r="E4556" s="296">
        <v>7.7637521282385533E-2</v>
      </c>
    </row>
    <row r="4557" spans="1:5" x14ac:dyDescent="0.3">
      <c r="A4557" s="295">
        <v>2025</v>
      </c>
      <c r="B4557" s="295">
        <v>4</v>
      </c>
      <c r="C4557" s="295" t="s">
        <v>427</v>
      </c>
      <c r="D4557" s="295" t="s">
        <v>85</v>
      </c>
      <c r="E4557" s="296">
        <v>0.58186219175850395</v>
      </c>
    </row>
    <row r="4558" spans="1:5" x14ac:dyDescent="0.3">
      <c r="A4558" s="295">
        <v>2025</v>
      </c>
      <c r="B4558" s="295">
        <v>4</v>
      </c>
      <c r="C4558" s="295" t="s">
        <v>427</v>
      </c>
      <c r="D4558" s="295" t="s">
        <v>101</v>
      </c>
      <c r="E4558" s="296">
        <v>2.0235951190885726</v>
      </c>
    </row>
    <row r="4559" spans="1:5" x14ac:dyDescent="0.3">
      <c r="A4559" s="295">
        <v>2025</v>
      </c>
      <c r="B4559" s="295">
        <v>4</v>
      </c>
      <c r="C4559" s="295" t="s">
        <v>427</v>
      </c>
      <c r="D4559" s="295" t="s">
        <v>179</v>
      </c>
      <c r="E4559" s="296">
        <v>98.135426889106967</v>
      </c>
    </row>
    <row r="4560" spans="1:5" x14ac:dyDescent="0.3">
      <c r="A4560" s="295">
        <v>2025</v>
      </c>
      <c r="B4560" s="295">
        <v>4</v>
      </c>
      <c r="C4560" s="295" t="s">
        <v>427</v>
      </c>
      <c r="D4560" s="295" t="s">
        <v>352</v>
      </c>
      <c r="E4560" s="296">
        <v>0.75317652198145679</v>
      </c>
    </row>
    <row r="4561" spans="1:5" x14ac:dyDescent="0.3">
      <c r="A4561" s="295">
        <v>2025</v>
      </c>
      <c r="B4561" s="295">
        <v>4</v>
      </c>
      <c r="C4561" s="295" t="s">
        <v>427</v>
      </c>
      <c r="D4561" s="295" t="s">
        <v>426</v>
      </c>
      <c r="E4561" s="296">
        <v>8.5576287837555665E-2</v>
      </c>
    </row>
    <row r="4562" spans="1:5" x14ac:dyDescent="0.3">
      <c r="A4562" s="295">
        <v>2025</v>
      </c>
      <c r="B4562" s="295">
        <v>4</v>
      </c>
      <c r="C4562" s="295" t="s">
        <v>427</v>
      </c>
      <c r="D4562" s="295" t="s">
        <v>429</v>
      </c>
      <c r="E4562" s="296">
        <v>0.38879999999999998</v>
      </c>
    </row>
    <row r="4563" spans="1:5" x14ac:dyDescent="0.3">
      <c r="A4563" s="295">
        <v>2025</v>
      </c>
      <c r="B4563" s="295">
        <v>4</v>
      </c>
      <c r="C4563" s="295" t="s">
        <v>429</v>
      </c>
      <c r="D4563" s="295" t="s">
        <v>1</v>
      </c>
      <c r="E4563" s="296">
        <v>0.2344281126192653</v>
      </c>
    </row>
    <row r="4564" spans="1:5" x14ac:dyDescent="0.3">
      <c r="A4564" s="295">
        <v>2025</v>
      </c>
      <c r="B4564" s="295">
        <v>4</v>
      </c>
      <c r="C4564" s="295" t="s">
        <v>429</v>
      </c>
      <c r="D4564" s="295" t="s">
        <v>2</v>
      </c>
      <c r="E4564" s="296">
        <v>0.26661476565895176</v>
      </c>
    </row>
    <row r="4565" spans="1:5" x14ac:dyDescent="0.3">
      <c r="A4565" s="295">
        <v>2025</v>
      </c>
      <c r="B4565" s="295">
        <v>4</v>
      </c>
      <c r="C4565" s="295" t="s">
        <v>429</v>
      </c>
      <c r="D4565" s="295" t="s">
        <v>259</v>
      </c>
      <c r="E4565" s="296">
        <v>0.19968569471651623</v>
      </c>
    </row>
    <row r="4566" spans="1:5" x14ac:dyDescent="0.3">
      <c r="A4566" s="295">
        <v>2025</v>
      </c>
      <c r="B4566" s="295">
        <v>4</v>
      </c>
      <c r="C4566" s="295" t="s">
        <v>429</v>
      </c>
      <c r="D4566" s="295" t="s">
        <v>85</v>
      </c>
      <c r="E4566" s="296">
        <v>1.4965579167913798</v>
      </c>
    </row>
    <row r="4567" spans="1:5" x14ac:dyDescent="0.3">
      <c r="A4567" s="295">
        <v>2025</v>
      </c>
      <c r="B4567" s="295">
        <v>4</v>
      </c>
      <c r="C4567" s="295" t="s">
        <v>429</v>
      </c>
      <c r="D4567" s="295" t="s">
        <v>101</v>
      </c>
      <c r="E4567" s="296">
        <v>5.2048092437412175</v>
      </c>
    </row>
    <row r="4568" spans="1:5" x14ac:dyDescent="0.3">
      <c r="A4568" s="295">
        <v>2025</v>
      </c>
      <c r="B4568" s="295">
        <v>4</v>
      </c>
      <c r="C4568" s="295" t="s">
        <v>429</v>
      </c>
      <c r="D4568" s="295" t="s">
        <v>179</v>
      </c>
      <c r="E4568" s="296">
        <v>252.52525252525254</v>
      </c>
    </row>
    <row r="4569" spans="1:5" x14ac:dyDescent="0.3">
      <c r="A4569" s="295">
        <v>2025</v>
      </c>
      <c r="B4569" s="295">
        <v>4</v>
      </c>
      <c r="C4569" s="295" t="s">
        <v>429</v>
      </c>
      <c r="D4569" s="295" t="s">
        <v>352</v>
      </c>
      <c r="E4569" s="296">
        <v>1.9371961023614424</v>
      </c>
    </row>
    <row r="4570" spans="1:5" x14ac:dyDescent="0.3">
      <c r="A4570" s="295">
        <v>2025</v>
      </c>
      <c r="B4570" s="295">
        <v>4</v>
      </c>
      <c r="C4570" s="295" t="s">
        <v>429</v>
      </c>
      <c r="D4570" s="295" t="s">
        <v>426</v>
      </c>
      <c r="E4570" s="296">
        <v>0.2201043294521603</v>
      </c>
    </row>
    <row r="4571" spans="1:5" x14ac:dyDescent="0.3">
      <c r="A4571" s="295">
        <v>2025</v>
      </c>
      <c r="B4571" s="295">
        <v>4</v>
      </c>
      <c r="C4571" s="295" t="s">
        <v>429</v>
      </c>
      <c r="D4571" s="295" t="s">
        <v>427</v>
      </c>
      <c r="E4571" s="296">
        <v>2.57201646090535</v>
      </c>
    </row>
    <row r="4572" spans="1:5" x14ac:dyDescent="0.3">
      <c r="A4572" s="295">
        <v>2025</v>
      </c>
      <c r="B4572" s="295">
        <v>4</v>
      </c>
      <c r="C4572" s="295" t="s">
        <v>1</v>
      </c>
      <c r="D4572" s="295" t="s">
        <v>1</v>
      </c>
      <c r="E4572" s="296">
        <v>1</v>
      </c>
    </row>
    <row r="4573" spans="1:5" x14ac:dyDescent="0.3">
      <c r="A4573" s="295">
        <v>2025</v>
      </c>
      <c r="B4573" s="295">
        <v>4</v>
      </c>
      <c r="C4573" s="295" t="s">
        <v>2</v>
      </c>
      <c r="D4573" s="295" t="s">
        <v>2</v>
      </c>
      <c r="E4573" s="296">
        <v>1</v>
      </c>
    </row>
    <row r="4574" spans="1:5" x14ac:dyDescent="0.3">
      <c r="A4574" s="295">
        <v>2025</v>
      </c>
      <c r="B4574" s="295">
        <v>4</v>
      </c>
      <c r="C4574" s="295" t="s">
        <v>259</v>
      </c>
      <c r="D4574" s="295" t="s">
        <v>259</v>
      </c>
      <c r="E4574" s="296">
        <v>1</v>
      </c>
    </row>
    <row r="4575" spans="1:5" x14ac:dyDescent="0.3">
      <c r="A4575" s="295">
        <v>2025</v>
      </c>
      <c r="B4575" s="295">
        <v>4</v>
      </c>
      <c r="C4575" s="295" t="s">
        <v>85</v>
      </c>
      <c r="D4575" s="295" t="s">
        <v>85</v>
      </c>
      <c r="E4575" s="296">
        <v>1</v>
      </c>
    </row>
    <row r="4576" spans="1:5" x14ac:dyDescent="0.3">
      <c r="A4576" s="295">
        <v>2025</v>
      </c>
      <c r="B4576" s="295">
        <v>4</v>
      </c>
      <c r="C4576" s="295" t="s">
        <v>101</v>
      </c>
      <c r="D4576" s="295" t="s">
        <v>101</v>
      </c>
      <c r="E4576" s="296">
        <v>1</v>
      </c>
    </row>
    <row r="4577" spans="1:5" x14ac:dyDescent="0.3">
      <c r="A4577" s="295">
        <v>2025</v>
      </c>
      <c r="B4577" s="295">
        <v>4</v>
      </c>
      <c r="C4577" s="295" t="s">
        <v>179</v>
      </c>
      <c r="D4577" s="295" t="s">
        <v>179</v>
      </c>
      <c r="E4577" s="296">
        <v>1</v>
      </c>
    </row>
    <row r="4578" spans="1:5" x14ac:dyDescent="0.3">
      <c r="A4578" s="295">
        <v>2025</v>
      </c>
      <c r="B4578" s="295">
        <v>4</v>
      </c>
      <c r="C4578" s="295" t="s">
        <v>352</v>
      </c>
      <c r="D4578" s="295" t="s">
        <v>352</v>
      </c>
      <c r="E4578" s="296">
        <v>1</v>
      </c>
    </row>
    <row r="4579" spans="1:5" x14ac:dyDescent="0.3">
      <c r="A4579" s="295">
        <v>2025</v>
      </c>
      <c r="B4579" s="295">
        <v>4</v>
      </c>
      <c r="C4579" s="295" t="s">
        <v>426</v>
      </c>
      <c r="D4579" s="295" t="s">
        <v>426</v>
      </c>
      <c r="E4579" s="296">
        <v>1</v>
      </c>
    </row>
    <row r="4580" spans="1:5" x14ac:dyDescent="0.3">
      <c r="A4580" s="295">
        <v>2025</v>
      </c>
      <c r="B4580" s="295">
        <v>4</v>
      </c>
      <c r="C4580" s="295" t="s">
        <v>427</v>
      </c>
      <c r="D4580" s="295" t="s">
        <v>427</v>
      </c>
      <c r="E4580" s="296">
        <v>1</v>
      </c>
    </row>
    <row r="4581" spans="1:5" x14ac:dyDescent="0.3">
      <c r="A4581" s="295">
        <v>2025</v>
      </c>
      <c r="B4581" s="295">
        <v>4</v>
      </c>
      <c r="C4581" s="295" t="s">
        <v>429</v>
      </c>
      <c r="D4581" s="295" t="s">
        <v>429</v>
      </c>
      <c r="E4581" s="296">
        <v>1</v>
      </c>
    </row>
    <row r="4582" spans="1:5" x14ac:dyDescent="0.3">
      <c r="A4582" s="295">
        <v>2025</v>
      </c>
      <c r="B4582" s="295">
        <v>5</v>
      </c>
      <c r="C4582" s="295" t="s">
        <v>1</v>
      </c>
      <c r="D4582" s="295" t="s">
        <v>2</v>
      </c>
      <c r="E4582" s="296">
        <v>1.1338999999999999</v>
      </c>
    </row>
    <row r="4583" spans="1:5" x14ac:dyDescent="0.3">
      <c r="A4583" s="295">
        <v>2025</v>
      </c>
      <c r="B4583" s="295">
        <v>5</v>
      </c>
      <c r="C4583" s="295" t="s">
        <v>1</v>
      </c>
      <c r="D4583" s="295" t="s">
        <v>259</v>
      </c>
      <c r="E4583" s="296">
        <v>0.84119999999999995</v>
      </c>
    </row>
    <row r="4584" spans="1:5" x14ac:dyDescent="0.3">
      <c r="A4584" s="295">
        <v>2025</v>
      </c>
      <c r="B4584" s="295">
        <v>5</v>
      </c>
      <c r="C4584" s="295" t="s">
        <v>1</v>
      </c>
      <c r="D4584" s="295" t="s">
        <v>85</v>
      </c>
      <c r="E4584" s="296">
        <v>6.4405000000000001</v>
      </c>
    </row>
    <row r="4585" spans="1:5" x14ac:dyDescent="0.3">
      <c r="A4585" s="295">
        <v>2025</v>
      </c>
      <c r="B4585" s="295">
        <v>5</v>
      </c>
      <c r="C4585" s="295" t="s">
        <v>1</v>
      </c>
      <c r="D4585" s="295" t="s">
        <v>101</v>
      </c>
      <c r="E4585" s="296">
        <v>21.8766</v>
      </c>
    </row>
    <row r="4586" spans="1:5" x14ac:dyDescent="0.3">
      <c r="A4586" s="295">
        <v>2025</v>
      </c>
      <c r="B4586" s="295">
        <v>5</v>
      </c>
      <c r="C4586" s="295" t="s">
        <v>1</v>
      </c>
      <c r="D4586" s="295" t="s">
        <v>179</v>
      </c>
      <c r="E4586" s="296">
        <v>1071.2860000000001</v>
      </c>
    </row>
    <row r="4587" spans="1:5" x14ac:dyDescent="0.3">
      <c r="A4587" s="295">
        <v>2025</v>
      </c>
      <c r="B4587" s="295">
        <v>5</v>
      </c>
      <c r="C4587" s="295" t="s">
        <v>1</v>
      </c>
      <c r="D4587" s="295" t="s">
        <v>352</v>
      </c>
      <c r="E4587" s="296">
        <v>8.1576000000000004</v>
      </c>
    </row>
    <row r="4588" spans="1:5" x14ac:dyDescent="0.3">
      <c r="A4588" s="295">
        <v>2025</v>
      </c>
      <c r="B4588" s="295">
        <v>5</v>
      </c>
      <c r="C4588" s="295" t="s">
        <v>1</v>
      </c>
      <c r="D4588" s="295" t="s">
        <v>426</v>
      </c>
      <c r="E4588" s="296">
        <v>0.93410000000000004</v>
      </c>
    </row>
    <row r="4589" spans="1:5" x14ac:dyDescent="0.3">
      <c r="A4589" s="295">
        <v>2025</v>
      </c>
      <c r="B4589" s="295">
        <v>5</v>
      </c>
      <c r="C4589" s="295" t="s">
        <v>1</v>
      </c>
      <c r="D4589" s="295" t="s">
        <v>427</v>
      </c>
      <c r="E4589" s="296">
        <v>10.8735</v>
      </c>
    </row>
    <row r="4590" spans="1:5" x14ac:dyDescent="0.3">
      <c r="A4590" s="295">
        <v>2025</v>
      </c>
      <c r="B4590" s="295">
        <v>5</v>
      </c>
      <c r="C4590" s="295" t="s">
        <v>1</v>
      </c>
      <c r="D4590" s="295" t="s">
        <v>429</v>
      </c>
      <c r="E4590" s="296">
        <v>4.2526999999999999</v>
      </c>
    </row>
    <row r="4591" spans="1:5" x14ac:dyDescent="0.3">
      <c r="A4591" s="295">
        <v>2025</v>
      </c>
      <c r="B4591" s="295">
        <v>5</v>
      </c>
      <c r="C4591" s="295" t="s">
        <v>2</v>
      </c>
      <c r="D4591" s="295" t="s">
        <v>1</v>
      </c>
      <c r="E4591" s="296">
        <v>0.8819119851838787</v>
      </c>
    </row>
    <row r="4592" spans="1:5" x14ac:dyDescent="0.3">
      <c r="A4592" s="295">
        <v>2025</v>
      </c>
      <c r="B4592" s="295">
        <v>5</v>
      </c>
      <c r="C4592" s="295" t="s">
        <v>2</v>
      </c>
      <c r="D4592" s="295" t="s">
        <v>259</v>
      </c>
      <c r="E4592" s="296">
        <v>0.74185999999999996</v>
      </c>
    </row>
    <row r="4593" spans="1:5" x14ac:dyDescent="0.3">
      <c r="A4593" s="295">
        <v>2025</v>
      </c>
      <c r="B4593" s="295">
        <v>5</v>
      </c>
      <c r="C4593" s="295" t="s">
        <v>2</v>
      </c>
      <c r="D4593" s="295" t="s">
        <v>85</v>
      </c>
      <c r="E4593" s="296">
        <v>5.6799499999999998</v>
      </c>
    </row>
    <row r="4594" spans="1:5" x14ac:dyDescent="0.3">
      <c r="A4594" s="295">
        <v>2025</v>
      </c>
      <c r="B4594" s="295">
        <v>5</v>
      </c>
      <c r="C4594" s="295" t="s">
        <v>2</v>
      </c>
      <c r="D4594" s="295" t="s">
        <v>101</v>
      </c>
      <c r="E4594" s="296">
        <v>19.293240000000001</v>
      </c>
    </row>
    <row r="4595" spans="1:5" x14ac:dyDescent="0.3">
      <c r="A4595" s="295">
        <v>2025</v>
      </c>
      <c r="B4595" s="295">
        <v>5</v>
      </c>
      <c r="C4595" s="295" t="s">
        <v>2</v>
      </c>
      <c r="D4595" s="295" t="s">
        <v>179</v>
      </c>
      <c r="E4595" s="296">
        <v>944.77995999999996</v>
      </c>
    </row>
    <row r="4596" spans="1:5" x14ac:dyDescent="0.3">
      <c r="A4596" s="295">
        <v>2025</v>
      </c>
      <c r="B4596" s="295">
        <v>5</v>
      </c>
      <c r="C4596" s="295" t="s">
        <v>2</v>
      </c>
      <c r="D4596" s="295" t="s">
        <v>352</v>
      </c>
      <c r="E4596" s="296">
        <v>7.1942899999999996</v>
      </c>
    </row>
    <row r="4597" spans="1:5" x14ac:dyDescent="0.3">
      <c r="A4597" s="295">
        <v>2025</v>
      </c>
      <c r="B4597" s="295">
        <v>5</v>
      </c>
      <c r="C4597" s="295" t="s">
        <v>2</v>
      </c>
      <c r="D4597" s="295" t="s">
        <v>426</v>
      </c>
      <c r="E4597" s="296">
        <v>0.82379000000000002</v>
      </c>
    </row>
    <row r="4598" spans="1:5" x14ac:dyDescent="0.3">
      <c r="A4598" s="295">
        <v>2025</v>
      </c>
      <c r="B4598" s="295">
        <v>5</v>
      </c>
      <c r="C4598" s="295" t="s">
        <v>2</v>
      </c>
      <c r="D4598" s="295" t="s">
        <v>427</v>
      </c>
      <c r="E4598" s="296">
        <v>9.5894700000000004</v>
      </c>
    </row>
    <row r="4599" spans="1:5" x14ac:dyDescent="0.3">
      <c r="A4599" s="295">
        <v>2025</v>
      </c>
      <c r="B4599" s="295">
        <v>5</v>
      </c>
      <c r="C4599" s="295" t="s">
        <v>2</v>
      </c>
      <c r="D4599" s="295" t="s">
        <v>429</v>
      </c>
      <c r="E4599" s="296">
        <v>3.7505099999999998</v>
      </c>
    </row>
    <row r="4600" spans="1:5" x14ac:dyDescent="0.3">
      <c r="A4600" s="295">
        <v>2025</v>
      </c>
      <c r="B4600" s="295">
        <v>5</v>
      </c>
      <c r="C4600" s="295" t="s">
        <v>259</v>
      </c>
      <c r="D4600" s="295" t="s">
        <v>1</v>
      </c>
      <c r="E4600" s="296">
        <v>1.1887779362815027</v>
      </c>
    </row>
    <row r="4601" spans="1:5" x14ac:dyDescent="0.3">
      <c r="A4601" s="295">
        <v>2025</v>
      </c>
      <c r="B4601" s="295">
        <v>5</v>
      </c>
      <c r="C4601" s="295" t="s">
        <v>259</v>
      </c>
      <c r="D4601" s="295" t="s">
        <v>2</v>
      </c>
      <c r="E4601" s="296">
        <v>1.3479632275631521</v>
      </c>
    </row>
    <row r="4602" spans="1:5" x14ac:dyDescent="0.3">
      <c r="A4602" s="295">
        <v>2025</v>
      </c>
      <c r="B4602" s="295">
        <v>5</v>
      </c>
      <c r="C4602" s="295" t="s">
        <v>259</v>
      </c>
      <c r="D4602" s="295" t="s">
        <v>85</v>
      </c>
      <c r="E4602" s="296">
        <v>7.65632</v>
      </c>
    </row>
    <row r="4603" spans="1:5" x14ac:dyDescent="0.3">
      <c r="A4603" s="295">
        <v>2025</v>
      </c>
      <c r="B4603" s="295">
        <v>5</v>
      </c>
      <c r="C4603" s="295" t="s">
        <v>259</v>
      </c>
      <c r="D4603" s="295" t="s">
        <v>101</v>
      </c>
      <c r="E4603" s="296">
        <v>26.006419999999999</v>
      </c>
    </row>
    <row r="4604" spans="1:5" x14ac:dyDescent="0.3">
      <c r="A4604" s="295">
        <v>2025</v>
      </c>
      <c r="B4604" s="295">
        <v>5</v>
      </c>
      <c r="C4604" s="295" t="s">
        <v>259</v>
      </c>
      <c r="D4604" s="295" t="s">
        <v>179</v>
      </c>
      <c r="E4604" s="296">
        <v>1273.52116</v>
      </c>
    </row>
    <row r="4605" spans="1:5" x14ac:dyDescent="0.3">
      <c r="A4605" s="295">
        <v>2025</v>
      </c>
      <c r="B4605" s="295">
        <v>5</v>
      </c>
      <c r="C4605" s="295" t="s">
        <v>259</v>
      </c>
      <c r="D4605" s="295" t="s">
        <v>352</v>
      </c>
      <c r="E4605" s="296">
        <v>9.6975700000000007</v>
      </c>
    </row>
    <row r="4606" spans="1:5" x14ac:dyDescent="0.3">
      <c r="A4606" s="295">
        <v>2025</v>
      </c>
      <c r="B4606" s="295">
        <v>5</v>
      </c>
      <c r="C4606" s="295" t="s">
        <v>259</v>
      </c>
      <c r="D4606" s="295" t="s">
        <v>426</v>
      </c>
      <c r="E4606" s="296">
        <v>1.1104400000000001</v>
      </c>
    </row>
    <row r="4607" spans="1:5" x14ac:dyDescent="0.3">
      <c r="A4607" s="295">
        <v>2025</v>
      </c>
      <c r="B4607" s="295">
        <v>5</v>
      </c>
      <c r="C4607" s="295" t="s">
        <v>259</v>
      </c>
      <c r="D4607" s="295" t="s">
        <v>427</v>
      </c>
      <c r="E4607" s="296">
        <v>12.92618</v>
      </c>
    </row>
    <row r="4608" spans="1:5" x14ac:dyDescent="0.3">
      <c r="A4608" s="295">
        <v>2025</v>
      </c>
      <c r="B4608" s="295">
        <v>5</v>
      </c>
      <c r="C4608" s="295" t="s">
        <v>259</v>
      </c>
      <c r="D4608" s="295" t="s">
        <v>429</v>
      </c>
      <c r="E4608" s="296">
        <v>5.0555199999999996</v>
      </c>
    </row>
    <row r="4609" spans="1:5" x14ac:dyDescent="0.3">
      <c r="A4609" s="295">
        <v>2025</v>
      </c>
      <c r="B4609" s="295">
        <v>5</v>
      </c>
      <c r="C4609" s="295" t="s">
        <v>85</v>
      </c>
      <c r="D4609" s="295" t="s">
        <v>1</v>
      </c>
      <c r="E4609" s="296">
        <v>0.15526744817948918</v>
      </c>
    </row>
    <row r="4610" spans="1:5" x14ac:dyDescent="0.3">
      <c r="A4610" s="295">
        <v>2025</v>
      </c>
      <c r="B4610" s="295">
        <v>5</v>
      </c>
      <c r="C4610" s="295" t="s">
        <v>85</v>
      </c>
      <c r="D4610" s="295" t="s">
        <v>2</v>
      </c>
      <c r="E4610" s="296">
        <v>0.17605788783351967</v>
      </c>
    </row>
    <row r="4611" spans="1:5" x14ac:dyDescent="0.3">
      <c r="A4611" s="295">
        <v>2025</v>
      </c>
      <c r="B4611" s="295">
        <v>5</v>
      </c>
      <c r="C4611" s="295" t="s">
        <v>85</v>
      </c>
      <c r="D4611" s="295" t="s">
        <v>259</v>
      </c>
      <c r="E4611" s="296">
        <v>0.13061105073978099</v>
      </c>
    </row>
    <row r="4612" spans="1:5" x14ac:dyDescent="0.3">
      <c r="A4612" s="295">
        <v>2025</v>
      </c>
      <c r="B4612" s="295">
        <v>5</v>
      </c>
      <c r="C4612" s="295" t="s">
        <v>85</v>
      </c>
      <c r="D4612" s="295" t="s">
        <v>101</v>
      </c>
      <c r="E4612" s="296">
        <v>3.3967200000000002</v>
      </c>
    </row>
    <row r="4613" spans="1:5" x14ac:dyDescent="0.3">
      <c r="A4613" s="295">
        <v>2025</v>
      </c>
      <c r="B4613" s="295">
        <v>5</v>
      </c>
      <c r="C4613" s="295" t="s">
        <v>85</v>
      </c>
      <c r="D4613" s="295" t="s">
        <v>179</v>
      </c>
      <c r="E4613" s="296">
        <v>166.33583999999999</v>
      </c>
    </row>
    <row r="4614" spans="1:5" x14ac:dyDescent="0.3">
      <c r="A4614" s="295">
        <v>2025</v>
      </c>
      <c r="B4614" s="295">
        <v>5</v>
      </c>
      <c r="C4614" s="295" t="s">
        <v>85</v>
      </c>
      <c r="D4614" s="295" t="s">
        <v>352</v>
      </c>
      <c r="E4614" s="296">
        <v>1.26661</v>
      </c>
    </row>
    <row r="4615" spans="1:5" x14ac:dyDescent="0.3">
      <c r="A4615" s="295">
        <v>2025</v>
      </c>
      <c r="B4615" s="295">
        <v>5</v>
      </c>
      <c r="C4615" s="295" t="s">
        <v>85</v>
      </c>
      <c r="D4615" s="295" t="s">
        <v>426</v>
      </c>
      <c r="E4615" s="296">
        <v>0.14504</v>
      </c>
    </row>
    <row r="4616" spans="1:5" x14ac:dyDescent="0.3">
      <c r="A4616" s="295">
        <v>2025</v>
      </c>
      <c r="B4616" s="295">
        <v>5</v>
      </c>
      <c r="C4616" s="295" t="s">
        <v>85</v>
      </c>
      <c r="D4616" s="295" t="s">
        <v>427</v>
      </c>
      <c r="E4616" s="296">
        <v>1.6882999999999999</v>
      </c>
    </row>
    <row r="4617" spans="1:5" x14ac:dyDescent="0.3">
      <c r="A4617" s="295">
        <v>2025</v>
      </c>
      <c r="B4617" s="295">
        <v>5</v>
      </c>
      <c r="C4617" s="295" t="s">
        <v>85</v>
      </c>
      <c r="D4617" s="295" t="s">
        <v>429</v>
      </c>
      <c r="E4617" s="296">
        <v>0.66030999999999995</v>
      </c>
    </row>
    <row r="4618" spans="1:5" x14ac:dyDescent="0.3">
      <c r="A4618" s="295">
        <v>2025</v>
      </c>
      <c r="B4618" s="295">
        <v>5</v>
      </c>
      <c r="C4618" s="295" t="s">
        <v>101</v>
      </c>
      <c r="D4618" s="295" t="s">
        <v>1</v>
      </c>
      <c r="E4618" s="296">
        <v>4.5710942285364271E-2</v>
      </c>
    </row>
    <row r="4619" spans="1:5" x14ac:dyDescent="0.3">
      <c r="A4619" s="295">
        <v>2025</v>
      </c>
      <c r="B4619" s="295">
        <v>5</v>
      </c>
      <c r="C4619" s="295" t="s">
        <v>101</v>
      </c>
      <c r="D4619" s="295" t="s">
        <v>2</v>
      </c>
      <c r="E4619" s="296">
        <v>5.1831625999572903E-2</v>
      </c>
    </row>
    <row r="4620" spans="1:5" x14ac:dyDescent="0.3">
      <c r="A4620" s="295">
        <v>2025</v>
      </c>
      <c r="B4620" s="295">
        <v>5</v>
      </c>
      <c r="C4620" s="295" t="s">
        <v>101</v>
      </c>
      <c r="D4620" s="295" t="s">
        <v>259</v>
      </c>
      <c r="E4620" s="296">
        <v>3.8452043764578135E-2</v>
      </c>
    </row>
    <row r="4621" spans="1:5" x14ac:dyDescent="0.3">
      <c r="A4621" s="295">
        <v>2025</v>
      </c>
      <c r="B4621" s="295">
        <v>5</v>
      </c>
      <c r="C4621" s="295" t="s">
        <v>101</v>
      </c>
      <c r="D4621" s="295" t="s">
        <v>85</v>
      </c>
      <c r="E4621" s="296">
        <v>0.29440165807013824</v>
      </c>
    </row>
    <row r="4622" spans="1:5" x14ac:dyDescent="0.3">
      <c r="A4622" s="295">
        <v>2025</v>
      </c>
      <c r="B4622" s="295">
        <v>5</v>
      </c>
      <c r="C4622" s="295" t="s">
        <v>101</v>
      </c>
      <c r="D4622" s="295" t="s">
        <v>179</v>
      </c>
      <c r="E4622" s="296">
        <v>48.96949</v>
      </c>
    </row>
    <row r="4623" spans="1:5" x14ac:dyDescent="0.3">
      <c r="A4623" s="295">
        <v>2025</v>
      </c>
      <c r="B4623" s="295">
        <v>5</v>
      </c>
      <c r="C4623" s="295" t="s">
        <v>101</v>
      </c>
      <c r="D4623" s="295" t="s">
        <v>352</v>
      </c>
      <c r="E4623" s="296">
        <v>0.37289</v>
      </c>
    </row>
    <row r="4624" spans="1:5" x14ac:dyDescent="0.3">
      <c r="A4624" s="295">
        <v>2025</v>
      </c>
      <c r="B4624" s="295">
        <v>5</v>
      </c>
      <c r="C4624" s="295" t="s">
        <v>101</v>
      </c>
      <c r="D4624" s="295" t="s">
        <v>426</v>
      </c>
      <c r="E4624" s="296">
        <v>4.2700000000000002E-2</v>
      </c>
    </row>
    <row r="4625" spans="1:5" x14ac:dyDescent="0.3">
      <c r="A4625" s="295">
        <v>2025</v>
      </c>
      <c r="B4625" s="295">
        <v>5</v>
      </c>
      <c r="C4625" s="295" t="s">
        <v>101</v>
      </c>
      <c r="D4625" s="295" t="s">
        <v>427</v>
      </c>
      <c r="E4625" s="296">
        <v>0.49703999999999998</v>
      </c>
    </row>
    <row r="4626" spans="1:5" x14ac:dyDescent="0.3">
      <c r="A4626" s="295">
        <v>2025</v>
      </c>
      <c r="B4626" s="295">
        <v>5</v>
      </c>
      <c r="C4626" s="295" t="s">
        <v>101</v>
      </c>
      <c r="D4626" s="295" t="s">
        <v>429</v>
      </c>
      <c r="E4626" s="296">
        <v>0.19439000000000001</v>
      </c>
    </row>
    <row r="4627" spans="1:5" x14ac:dyDescent="0.3">
      <c r="A4627" s="295">
        <v>2025</v>
      </c>
      <c r="B4627" s="295">
        <v>5</v>
      </c>
      <c r="C4627" s="295" t="s">
        <v>179</v>
      </c>
      <c r="D4627" s="295" t="s">
        <v>1</v>
      </c>
      <c r="E4627" s="296">
        <v>9.3345754541737679E-4</v>
      </c>
    </row>
    <row r="4628" spans="1:5" x14ac:dyDescent="0.3">
      <c r="A4628" s="295">
        <v>2025</v>
      </c>
      <c r="B4628" s="295">
        <v>5</v>
      </c>
      <c r="C4628" s="295" t="s">
        <v>179</v>
      </c>
      <c r="D4628" s="295" t="s">
        <v>2</v>
      </c>
      <c r="E4628" s="296">
        <v>1.0584475140645447E-3</v>
      </c>
    </row>
    <row r="4629" spans="1:5" x14ac:dyDescent="0.3">
      <c r="A4629" s="295">
        <v>2025</v>
      </c>
      <c r="B4629" s="295">
        <v>5</v>
      </c>
      <c r="C4629" s="295" t="s">
        <v>179</v>
      </c>
      <c r="D4629" s="295" t="s">
        <v>259</v>
      </c>
      <c r="E4629" s="296">
        <v>7.8522448735755595E-4</v>
      </c>
    </row>
    <row r="4630" spans="1:5" x14ac:dyDescent="0.3">
      <c r="A4630" s="295">
        <v>2025</v>
      </c>
      <c r="B4630" s="295">
        <v>5</v>
      </c>
      <c r="C4630" s="295" t="s">
        <v>179</v>
      </c>
      <c r="D4630" s="295" t="s">
        <v>85</v>
      </c>
      <c r="E4630" s="296">
        <v>6.0119334474157829E-3</v>
      </c>
    </row>
    <row r="4631" spans="1:5" x14ac:dyDescent="0.3">
      <c r="A4631" s="295">
        <v>2025</v>
      </c>
      <c r="B4631" s="295">
        <v>5</v>
      </c>
      <c r="C4631" s="295" t="s">
        <v>179</v>
      </c>
      <c r="D4631" s="295" t="s">
        <v>101</v>
      </c>
      <c r="E4631" s="296">
        <v>2.0420878387747147E-2</v>
      </c>
    </row>
    <row r="4632" spans="1:5" x14ac:dyDescent="0.3">
      <c r="A4632" s="295">
        <v>2025</v>
      </c>
      <c r="B4632" s="295">
        <v>5</v>
      </c>
      <c r="C4632" s="295" t="s">
        <v>179</v>
      </c>
      <c r="D4632" s="295" t="s">
        <v>352</v>
      </c>
      <c r="E4632" s="296">
        <v>7.6099999999999996E-3</v>
      </c>
    </row>
    <row r="4633" spans="1:5" x14ac:dyDescent="0.3">
      <c r="A4633" s="295">
        <v>2025</v>
      </c>
      <c r="B4633" s="295">
        <v>5</v>
      </c>
      <c r="C4633" s="295" t="s">
        <v>179</v>
      </c>
      <c r="D4633" s="295" t="s">
        <v>426</v>
      </c>
      <c r="E4633" s="296">
        <v>8.7000000000000001E-4</v>
      </c>
    </row>
    <row r="4634" spans="1:5" x14ac:dyDescent="0.3">
      <c r="A4634" s="295">
        <v>2025</v>
      </c>
      <c r="B4634" s="295">
        <v>5</v>
      </c>
      <c r="C4634" s="295" t="s">
        <v>179</v>
      </c>
      <c r="D4634" s="295" t="s">
        <v>427</v>
      </c>
      <c r="E4634" s="296">
        <v>1.0149999999999999E-2</v>
      </c>
    </row>
    <row r="4635" spans="1:5" x14ac:dyDescent="0.3">
      <c r="A4635" s="295">
        <v>2025</v>
      </c>
      <c r="B4635" s="295">
        <v>5</v>
      </c>
      <c r="C4635" s="295" t="s">
        <v>179</v>
      </c>
      <c r="D4635" s="295" t="s">
        <v>429</v>
      </c>
      <c r="E4635" s="296">
        <v>3.9699999999999996E-3</v>
      </c>
    </row>
    <row r="4636" spans="1:5" x14ac:dyDescent="0.3">
      <c r="A4636" s="295">
        <v>2025</v>
      </c>
      <c r="B4636" s="295">
        <v>5</v>
      </c>
      <c r="C4636" s="295" t="s">
        <v>352</v>
      </c>
      <c r="D4636" s="295" t="s">
        <v>1</v>
      </c>
      <c r="E4636" s="296">
        <v>0.12258507404138472</v>
      </c>
    </row>
    <row r="4637" spans="1:5" x14ac:dyDescent="0.3">
      <c r="A4637" s="295">
        <v>2025</v>
      </c>
      <c r="B4637" s="295">
        <v>5</v>
      </c>
      <c r="C4637" s="295" t="s">
        <v>352</v>
      </c>
      <c r="D4637" s="295" t="s">
        <v>2</v>
      </c>
      <c r="E4637" s="296">
        <v>0.1389991229155344</v>
      </c>
    </row>
    <row r="4638" spans="1:5" x14ac:dyDescent="0.3">
      <c r="A4638" s="295">
        <v>2025</v>
      </c>
      <c r="B4638" s="295">
        <v>5</v>
      </c>
      <c r="C4638" s="295" t="s">
        <v>352</v>
      </c>
      <c r="D4638" s="295" t="s">
        <v>259</v>
      </c>
      <c r="E4638" s="296">
        <v>0.10311861631315886</v>
      </c>
    </row>
    <row r="4639" spans="1:5" x14ac:dyDescent="0.3">
      <c r="A4639" s="295">
        <v>2025</v>
      </c>
      <c r="B4639" s="295">
        <v>5</v>
      </c>
      <c r="C4639" s="295" t="s">
        <v>352</v>
      </c>
      <c r="D4639" s="295" t="s">
        <v>85</v>
      </c>
      <c r="E4639" s="296">
        <v>0.78950900435019455</v>
      </c>
    </row>
    <row r="4640" spans="1:5" x14ac:dyDescent="0.3">
      <c r="A4640" s="295">
        <v>2025</v>
      </c>
      <c r="B4640" s="295">
        <v>5</v>
      </c>
      <c r="C4640" s="295" t="s">
        <v>352</v>
      </c>
      <c r="D4640" s="295" t="s">
        <v>101</v>
      </c>
      <c r="E4640" s="296">
        <v>2.6817560138378611</v>
      </c>
    </row>
    <row r="4641" spans="1:5" x14ac:dyDescent="0.3">
      <c r="A4641" s="295">
        <v>2025</v>
      </c>
      <c r="B4641" s="295">
        <v>5</v>
      </c>
      <c r="C4641" s="295" t="s">
        <v>352</v>
      </c>
      <c r="D4641" s="295" t="s">
        <v>179</v>
      </c>
      <c r="E4641" s="296">
        <v>131.4060446780552</v>
      </c>
    </row>
    <row r="4642" spans="1:5" x14ac:dyDescent="0.3">
      <c r="A4642" s="295">
        <v>2025</v>
      </c>
      <c r="B4642" s="295">
        <v>5</v>
      </c>
      <c r="C4642" s="295" t="s">
        <v>352</v>
      </c>
      <c r="D4642" s="295" t="s">
        <v>426</v>
      </c>
      <c r="E4642" s="296">
        <v>0.11451</v>
      </c>
    </row>
    <row r="4643" spans="1:5" x14ac:dyDescent="0.3">
      <c r="A4643" s="295">
        <v>2025</v>
      </c>
      <c r="B4643" s="295">
        <v>5</v>
      </c>
      <c r="C4643" s="295" t="s">
        <v>352</v>
      </c>
      <c r="D4643" s="295" t="s">
        <v>427</v>
      </c>
      <c r="E4643" s="296">
        <v>1.3329299999999999</v>
      </c>
    </row>
    <row r="4644" spans="1:5" x14ac:dyDescent="0.3">
      <c r="A4644" s="295">
        <v>2025</v>
      </c>
      <c r="B4644" s="295">
        <v>5</v>
      </c>
      <c r="C4644" s="295" t="s">
        <v>352</v>
      </c>
      <c r="D4644" s="295" t="s">
        <v>429</v>
      </c>
      <c r="E4644" s="296">
        <v>0.52132000000000001</v>
      </c>
    </row>
    <row r="4645" spans="1:5" x14ac:dyDescent="0.3">
      <c r="A4645" s="295">
        <v>2025</v>
      </c>
      <c r="B4645" s="295">
        <v>5</v>
      </c>
      <c r="C4645" s="295" t="s">
        <v>426</v>
      </c>
      <c r="D4645" s="295" t="s">
        <v>1</v>
      </c>
      <c r="E4645" s="296">
        <v>1.0705491917353602</v>
      </c>
    </row>
    <row r="4646" spans="1:5" x14ac:dyDescent="0.3">
      <c r="A4646" s="295">
        <v>2025</v>
      </c>
      <c r="B4646" s="295">
        <v>5</v>
      </c>
      <c r="C4646" s="295" t="s">
        <v>426</v>
      </c>
      <c r="D4646" s="295" t="s">
        <v>2</v>
      </c>
      <c r="E4646" s="296">
        <v>1.2139016011362118</v>
      </c>
    </row>
    <row r="4647" spans="1:5" x14ac:dyDescent="0.3">
      <c r="A4647" s="295">
        <v>2025</v>
      </c>
      <c r="B4647" s="295">
        <v>5</v>
      </c>
      <c r="C4647" s="295" t="s">
        <v>426</v>
      </c>
      <c r="D4647" s="295" t="s">
        <v>259</v>
      </c>
      <c r="E4647" s="296">
        <v>0.90054392853283372</v>
      </c>
    </row>
    <row r="4648" spans="1:5" x14ac:dyDescent="0.3">
      <c r="A4648" s="295">
        <v>2025</v>
      </c>
      <c r="B4648" s="295">
        <v>5</v>
      </c>
      <c r="C4648" s="295" t="s">
        <v>426</v>
      </c>
      <c r="D4648" s="295" t="s">
        <v>85</v>
      </c>
      <c r="E4648" s="296">
        <v>6.8946497517926089</v>
      </c>
    </row>
    <row r="4649" spans="1:5" x14ac:dyDescent="0.3">
      <c r="A4649" s="295">
        <v>2025</v>
      </c>
      <c r="B4649" s="295">
        <v>5</v>
      </c>
      <c r="C4649" s="295" t="s">
        <v>426</v>
      </c>
      <c r="D4649" s="295" t="s">
        <v>101</v>
      </c>
      <c r="E4649" s="296">
        <v>23.419203747072597</v>
      </c>
    </row>
    <row r="4650" spans="1:5" x14ac:dyDescent="0.3">
      <c r="A4650" s="295">
        <v>2025</v>
      </c>
      <c r="B4650" s="295">
        <v>5</v>
      </c>
      <c r="C4650" s="295" t="s">
        <v>426</v>
      </c>
      <c r="D4650" s="295" t="s">
        <v>179</v>
      </c>
      <c r="E4650" s="296">
        <v>2.0119105102205053</v>
      </c>
    </row>
    <row r="4651" spans="1:5" x14ac:dyDescent="0.3">
      <c r="A4651" s="295">
        <v>2025</v>
      </c>
      <c r="B4651" s="295">
        <v>5</v>
      </c>
      <c r="C4651" s="295" t="s">
        <v>426</v>
      </c>
      <c r="D4651" s="295" t="s">
        <v>352</v>
      </c>
      <c r="E4651" s="296">
        <v>5.14429754617007</v>
      </c>
    </row>
    <row r="4652" spans="1:5" x14ac:dyDescent="0.3">
      <c r="A4652" s="295">
        <v>2025</v>
      </c>
      <c r="B4652" s="295">
        <v>5</v>
      </c>
      <c r="C4652" s="295" t="s">
        <v>426</v>
      </c>
      <c r="D4652" s="295" t="s">
        <v>427</v>
      </c>
      <c r="E4652" s="296">
        <v>11.64062</v>
      </c>
    </row>
    <row r="4653" spans="1:5" x14ac:dyDescent="0.3">
      <c r="A4653" s="295">
        <v>2025</v>
      </c>
      <c r="B4653" s="295">
        <v>5</v>
      </c>
      <c r="C4653" s="295" t="s">
        <v>426</v>
      </c>
      <c r="D4653" s="295" t="s">
        <v>429</v>
      </c>
      <c r="E4653" s="296">
        <v>4.5527199999999999</v>
      </c>
    </row>
    <row r="4654" spans="1:5" x14ac:dyDescent="0.3">
      <c r="A4654" s="295">
        <v>2025</v>
      </c>
      <c r="B4654" s="295">
        <v>5</v>
      </c>
      <c r="C4654" s="295" t="s">
        <v>427</v>
      </c>
      <c r="D4654" s="295" t="s">
        <v>1</v>
      </c>
      <c r="E4654" s="296">
        <v>9.1966708051685289E-2</v>
      </c>
    </row>
    <row r="4655" spans="1:5" x14ac:dyDescent="0.3">
      <c r="A4655" s="295">
        <v>2025</v>
      </c>
      <c r="B4655" s="295">
        <v>5</v>
      </c>
      <c r="C4655" s="295" t="s">
        <v>427</v>
      </c>
      <c r="D4655" s="295" t="s">
        <v>2</v>
      </c>
      <c r="E4655" s="296">
        <v>0.10428104994332324</v>
      </c>
    </row>
    <row r="4656" spans="1:5" x14ac:dyDescent="0.3">
      <c r="A4656" s="295">
        <v>2025</v>
      </c>
      <c r="B4656" s="295">
        <v>5</v>
      </c>
      <c r="C4656" s="295" t="s">
        <v>427</v>
      </c>
      <c r="D4656" s="295" t="s">
        <v>259</v>
      </c>
      <c r="E4656" s="296">
        <v>7.736237620085748E-2</v>
      </c>
    </row>
    <row r="4657" spans="1:5" x14ac:dyDescent="0.3">
      <c r="A4657" s="295">
        <v>2025</v>
      </c>
      <c r="B4657" s="295">
        <v>5</v>
      </c>
      <c r="C4657" s="295" t="s">
        <v>427</v>
      </c>
      <c r="D4657" s="295" t="s">
        <v>85</v>
      </c>
      <c r="E4657" s="296">
        <v>0.59231179292779723</v>
      </c>
    </row>
    <row r="4658" spans="1:5" x14ac:dyDescent="0.3">
      <c r="A4658" s="295">
        <v>2025</v>
      </c>
      <c r="B4658" s="295">
        <v>5</v>
      </c>
      <c r="C4658" s="295" t="s">
        <v>427</v>
      </c>
      <c r="D4658" s="295" t="s">
        <v>101</v>
      </c>
      <c r="E4658" s="296">
        <v>2.0119105102205053</v>
      </c>
    </row>
    <row r="4659" spans="1:5" x14ac:dyDescent="0.3">
      <c r="A4659" s="295">
        <v>2025</v>
      </c>
      <c r="B4659" s="295">
        <v>5</v>
      </c>
      <c r="C4659" s="295" t="s">
        <v>427</v>
      </c>
      <c r="D4659" s="295" t="s">
        <v>179</v>
      </c>
      <c r="E4659" s="296">
        <v>98.52216748768474</v>
      </c>
    </row>
    <row r="4660" spans="1:5" x14ac:dyDescent="0.3">
      <c r="A4660" s="295">
        <v>2025</v>
      </c>
      <c r="B4660" s="295">
        <v>5</v>
      </c>
      <c r="C4660" s="295" t="s">
        <v>427</v>
      </c>
      <c r="D4660" s="295" t="s">
        <v>352</v>
      </c>
      <c r="E4660" s="296">
        <v>0.75022694365045428</v>
      </c>
    </row>
    <row r="4661" spans="1:5" x14ac:dyDescent="0.3">
      <c r="A4661" s="295">
        <v>2025</v>
      </c>
      <c r="B4661" s="295">
        <v>5</v>
      </c>
      <c r="C4661" s="295" t="s">
        <v>427</v>
      </c>
      <c r="D4661" s="295" t="s">
        <v>426</v>
      </c>
      <c r="E4661" s="296">
        <v>8.5906077167710995E-2</v>
      </c>
    </row>
    <row r="4662" spans="1:5" x14ac:dyDescent="0.3">
      <c r="A4662" s="295">
        <v>2025</v>
      </c>
      <c r="B4662" s="295">
        <v>5</v>
      </c>
      <c r="C4662" s="295" t="s">
        <v>427</v>
      </c>
      <c r="D4662" s="295" t="s">
        <v>429</v>
      </c>
      <c r="E4662" s="296">
        <v>0.39111000000000001</v>
      </c>
    </row>
    <row r="4663" spans="1:5" x14ac:dyDescent="0.3">
      <c r="A4663" s="295">
        <v>2025</v>
      </c>
      <c r="B4663" s="295">
        <v>5</v>
      </c>
      <c r="C4663" s="295" t="s">
        <v>429</v>
      </c>
      <c r="D4663" s="295" t="s">
        <v>1</v>
      </c>
      <c r="E4663" s="296">
        <v>0.23514473158228891</v>
      </c>
    </row>
    <row r="4664" spans="1:5" x14ac:dyDescent="0.3">
      <c r="A4664" s="295">
        <v>2025</v>
      </c>
      <c r="B4664" s="295">
        <v>5</v>
      </c>
      <c r="C4664" s="295" t="s">
        <v>429</v>
      </c>
      <c r="D4664" s="295" t="s">
        <v>2</v>
      </c>
      <c r="E4664" s="296">
        <v>0.26663040493159601</v>
      </c>
    </row>
    <row r="4665" spans="1:5" x14ac:dyDescent="0.3">
      <c r="A4665" s="295">
        <v>2025</v>
      </c>
      <c r="B4665" s="295">
        <v>5</v>
      </c>
      <c r="C4665" s="295" t="s">
        <v>429</v>
      </c>
      <c r="D4665" s="295" t="s">
        <v>259</v>
      </c>
      <c r="E4665" s="296">
        <v>0.1978035889483179</v>
      </c>
    </row>
    <row r="4666" spans="1:5" x14ac:dyDescent="0.3">
      <c r="A4666" s="295">
        <v>2025</v>
      </c>
      <c r="B4666" s="295">
        <v>5</v>
      </c>
      <c r="C4666" s="295" t="s">
        <v>429</v>
      </c>
      <c r="D4666" s="295" t="s">
        <v>85</v>
      </c>
      <c r="E4666" s="296">
        <v>1.5144401871848072</v>
      </c>
    </row>
    <row r="4667" spans="1:5" x14ac:dyDescent="0.3">
      <c r="A4667" s="295">
        <v>2025</v>
      </c>
      <c r="B4667" s="295">
        <v>5</v>
      </c>
      <c r="C4667" s="295" t="s">
        <v>429</v>
      </c>
      <c r="D4667" s="295" t="s">
        <v>101</v>
      </c>
      <c r="E4667" s="296">
        <v>5.14429754617007</v>
      </c>
    </row>
    <row r="4668" spans="1:5" x14ac:dyDescent="0.3">
      <c r="A4668" s="295">
        <v>2025</v>
      </c>
      <c r="B4668" s="295">
        <v>5</v>
      </c>
      <c r="C4668" s="295" t="s">
        <v>429</v>
      </c>
      <c r="D4668" s="295" t="s">
        <v>179</v>
      </c>
      <c r="E4668" s="296">
        <v>251.88916876574311</v>
      </c>
    </row>
    <row r="4669" spans="1:5" x14ac:dyDescent="0.3">
      <c r="A4669" s="295">
        <v>2025</v>
      </c>
      <c r="B4669" s="295">
        <v>5</v>
      </c>
      <c r="C4669" s="295" t="s">
        <v>429</v>
      </c>
      <c r="D4669" s="295" t="s">
        <v>352</v>
      </c>
      <c r="E4669" s="296">
        <v>1.9182076267935242</v>
      </c>
    </row>
    <row r="4670" spans="1:5" x14ac:dyDescent="0.3">
      <c r="A4670" s="295">
        <v>2025</v>
      </c>
      <c r="B4670" s="295">
        <v>5</v>
      </c>
      <c r="C4670" s="295" t="s">
        <v>429</v>
      </c>
      <c r="D4670" s="295" t="s">
        <v>426</v>
      </c>
      <c r="E4670" s="296">
        <v>0.21964891317717761</v>
      </c>
    </row>
    <row r="4671" spans="1:5" x14ac:dyDescent="0.3">
      <c r="A4671" s="295">
        <v>2025</v>
      </c>
      <c r="B4671" s="295">
        <v>5</v>
      </c>
      <c r="C4671" s="295" t="s">
        <v>429</v>
      </c>
      <c r="D4671" s="295" t="s">
        <v>427</v>
      </c>
      <c r="E4671" s="296">
        <v>2.556825445526834</v>
      </c>
    </row>
    <row r="4672" spans="1:5" x14ac:dyDescent="0.3">
      <c r="A4672" s="295">
        <v>2025</v>
      </c>
      <c r="B4672" s="295">
        <v>5</v>
      </c>
      <c r="C4672" s="295" t="s">
        <v>1</v>
      </c>
      <c r="D4672" s="295" t="s">
        <v>1</v>
      </c>
      <c r="E4672" s="296">
        <v>1</v>
      </c>
    </row>
    <row r="4673" spans="1:5" x14ac:dyDescent="0.3">
      <c r="A4673" s="295">
        <v>2025</v>
      </c>
      <c r="B4673" s="295">
        <v>5</v>
      </c>
      <c r="C4673" s="295" t="s">
        <v>2</v>
      </c>
      <c r="D4673" s="295" t="s">
        <v>2</v>
      </c>
      <c r="E4673" s="296">
        <v>1</v>
      </c>
    </row>
    <row r="4674" spans="1:5" x14ac:dyDescent="0.3">
      <c r="A4674" s="295">
        <v>2025</v>
      </c>
      <c r="B4674" s="295">
        <v>5</v>
      </c>
      <c r="C4674" s="295" t="s">
        <v>259</v>
      </c>
      <c r="D4674" s="295" t="s">
        <v>259</v>
      </c>
      <c r="E4674" s="296">
        <v>1</v>
      </c>
    </row>
    <row r="4675" spans="1:5" x14ac:dyDescent="0.3">
      <c r="A4675" s="295">
        <v>2025</v>
      </c>
      <c r="B4675" s="295">
        <v>5</v>
      </c>
      <c r="C4675" s="295" t="s">
        <v>85</v>
      </c>
      <c r="D4675" s="295" t="s">
        <v>85</v>
      </c>
      <c r="E4675" s="296">
        <v>1</v>
      </c>
    </row>
    <row r="4676" spans="1:5" x14ac:dyDescent="0.3">
      <c r="A4676" s="295">
        <v>2025</v>
      </c>
      <c r="B4676" s="295">
        <v>5</v>
      </c>
      <c r="C4676" s="295" t="s">
        <v>101</v>
      </c>
      <c r="D4676" s="295" t="s">
        <v>101</v>
      </c>
      <c r="E4676" s="296">
        <v>1</v>
      </c>
    </row>
    <row r="4677" spans="1:5" x14ac:dyDescent="0.3">
      <c r="A4677" s="295">
        <v>2025</v>
      </c>
      <c r="B4677" s="295">
        <v>5</v>
      </c>
      <c r="C4677" s="295" t="s">
        <v>179</v>
      </c>
      <c r="D4677" s="295" t="s">
        <v>179</v>
      </c>
      <c r="E4677" s="296">
        <v>1</v>
      </c>
    </row>
    <row r="4678" spans="1:5" x14ac:dyDescent="0.3">
      <c r="A4678" s="295">
        <v>2025</v>
      </c>
      <c r="B4678" s="295">
        <v>5</v>
      </c>
      <c r="C4678" s="295" t="s">
        <v>352</v>
      </c>
      <c r="D4678" s="295" t="s">
        <v>352</v>
      </c>
      <c r="E4678" s="296">
        <v>1</v>
      </c>
    </row>
    <row r="4679" spans="1:5" x14ac:dyDescent="0.3">
      <c r="A4679" s="295">
        <v>2025</v>
      </c>
      <c r="B4679" s="295">
        <v>5</v>
      </c>
      <c r="C4679" s="295" t="s">
        <v>426</v>
      </c>
      <c r="D4679" s="295" t="s">
        <v>426</v>
      </c>
      <c r="E4679" s="296">
        <v>1</v>
      </c>
    </row>
    <row r="4680" spans="1:5" x14ac:dyDescent="0.3">
      <c r="A4680" s="295">
        <v>2025</v>
      </c>
      <c r="B4680" s="295">
        <v>5</v>
      </c>
      <c r="C4680" s="295" t="s">
        <v>427</v>
      </c>
      <c r="D4680" s="295" t="s">
        <v>427</v>
      </c>
      <c r="E4680" s="296">
        <v>1</v>
      </c>
    </row>
    <row r="4681" spans="1:5" x14ac:dyDescent="0.3">
      <c r="A4681" s="295">
        <v>2025</v>
      </c>
      <c r="B4681" s="295">
        <v>5</v>
      </c>
      <c r="C4681" s="295" t="s">
        <v>429</v>
      </c>
      <c r="D4681" s="295" t="s">
        <v>429</v>
      </c>
      <c r="E4681" s="296">
        <v>1</v>
      </c>
    </row>
    <row r="4682" spans="1:5" x14ac:dyDescent="0.3">
      <c r="A4682" s="295">
        <v>2025</v>
      </c>
      <c r="B4682" s="295">
        <v>6</v>
      </c>
      <c r="C4682" s="295" t="s">
        <v>1</v>
      </c>
      <c r="D4682" s="295" t="s">
        <v>2</v>
      </c>
      <c r="E4682" s="296">
        <v>1.1719999999999999</v>
      </c>
    </row>
    <row r="4683" spans="1:5" x14ac:dyDescent="0.3">
      <c r="A4683" s="295">
        <v>2025</v>
      </c>
      <c r="B4683" s="295">
        <v>6</v>
      </c>
      <c r="C4683" s="295" t="s">
        <v>1</v>
      </c>
      <c r="D4683" s="295" t="s">
        <v>259</v>
      </c>
      <c r="E4683" s="296">
        <v>0.85550000000000004</v>
      </c>
    </row>
    <row r="4684" spans="1:5" x14ac:dyDescent="0.3">
      <c r="A4684" s="295">
        <v>2025</v>
      </c>
      <c r="B4684" s="295">
        <v>6</v>
      </c>
      <c r="C4684" s="295" t="s">
        <v>1</v>
      </c>
      <c r="D4684" s="295" t="s">
        <v>85</v>
      </c>
      <c r="E4684" s="296">
        <v>6.4383999999999997</v>
      </c>
    </row>
    <row r="4685" spans="1:5" x14ac:dyDescent="0.3">
      <c r="A4685" s="295">
        <v>2025</v>
      </c>
      <c r="B4685" s="295">
        <v>6</v>
      </c>
      <c r="C4685" s="295" t="s">
        <v>1</v>
      </c>
      <c r="D4685" s="295" t="s">
        <v>101</v>
      </c>
      <c r="E4685" s="296">
        <v>22.0899</v>
      </c>
    </row>
    <row r="4686" spans="1:5" x14ac:dyDescent="0.3">
      <c r="A4686" s="295">
        <v>2025</v>
      </c>
      <c r="B4686" s="295">
        <v>6</v>
      </c>
      <c r="C4686" s="295" t="s">
        <v>1</v>
      </c>
      <c r="D4686" s="295" t="s">
        <v>179</v>
      </c>
      <c r="E4686" s="296">
        <v>1091.7059999999999</v>
      </c>
    </row>
    <row r="4687" spans="1:5" x14ac:dyDescent="0.3">
      <c r="A4687" s="295">
        <v>2025</v>
      </c>
      <c r="B4687" s="295">
        <v>6</v>
      </c>
      <c r="C4687" s="295" t="s">
        <v>1</v>
      </c>
      <c r="D4687" s="295" t="s">
        <v>352</v>
      </c>
      <c r="E4687" s="296">
        <v>8.3970000000000002</v>
      </c>
    </row>
    <row r="4688" spans="1:5" x14ac:dyDescent="0.3">
      <c r="A4688" s="295">
        <v>2025</v>
      </c>
      <c r="B4688" s="295">
        <v>6</v>
      </c>
      <c r="C4688" s="295" t="s">
        <v>1</v>
      </c>
      <c r="D4688" s="295" t="s">
        <v>426</v>
      </c>
      <c r="E4688" s="296">
        <v>0.93469999999999998</v>
      </c>
    </row>
    <row r="4689" spans="1:5" x14ac:dyDescent="0.3">
      <c r="A4689" s="295">
        <v>2025</v>
      </c>
      <c r="B4689" s="295">
        <v>6</v>
      </c>
      <c r="C4689" s="295" t="s">
        <v>1</v>
      </c>
      <c r="D4689" s="295" t="s">
        <v>427</v>
      </c>
      <c r="E4689" s="296">
        <v>11.1465</v>
      </c>
    </row>
    <row r="4690" spans="1:5" x14ac:dyDescent="0.3">
      <c r="A4690" s="295">
        <v>2025</v>
      </c>
      <c r="B4690" s="295">
        <v>6</v>
      </c>
      <c r="C4690" s="295" t="s">
        <v>1</v>
      </c>
      <c r="D4690" s="295" t="s">
        <v>429</v>
      </c>
      <c r="E4690" s="296">
        <v>4.3952</v>
      </c>
    </row>
    <row r="4691" spans="1:5" x14ac:dyDescent="0.3">
      <c r="A4691" s="295">
        <v>2025</v>
      </c>
      <c r="B4691" s="295">
        <v>6</v>
      </c>
      <c r="C4691" s="295" t="s">
        <v>2</v>
      </c>
      <c r="D4691" s="295" t="s">
        <v>1</v>
      </c>
      <c r="E4691" s="296">
        <v>0.85324232081911267</v>
      </c>
    </row>
    <row r="4692" spans="1:5" x14ac:dyDescent="0.3">
      <c r="A4692" s="295">
        <v>2025</v>
      </c>
      <c r="B4692" s="295">
        <v>6</v>
      </c>
      <c r="C4692" s="295" t="s">
        <v>2</v>
      </c>
      <c r="D4692" s="295" t="s">
        <v>259</v>
      </c>
      <c r="E4692" s="296">
        <v>0.72994999999999999</v>
      </c>
    </row>
    <row r="4693" spans="1:5" x14ac:dyDescent="0.3">
      <c r="A4693" s="295">
        <v>2025</v>
      </c>
      <c r="B4693" s="295">
        <v>6</v>
      </c>
      <c r="C4693" s="295" t="s">
        <v>2</v>
      </c>
      <c r="D4693" s="295" t="s">
        <v>85</v>
      </c>
      <c r="E4693" s="296">
        <v>5.4935200000000002</v>
      </c>
    </row>
    <row r="4694" spans="1:5" x14ac:dyDescent="0.3">
      <c r="A4694" s="295">
        <v>2025</v>
      </c>
      <c r="B4694" s="295">
        <v>6</v>
      </c>
      <c r="C4694" s="295" t="s">
        <v>2</v>
      </c>
      <c r="D4694" s="295" t="s">
        <v>101</v>
      </c>
      <c r="E4694" s="296">
        <v>18.848040000000001</v>
      </c>
    </row>
    <row r="4695" spans="1:5" x14ac:dyDescent="0.3">
      <c r="A4695" s="295">
        <v>2025</v>
      </c>
      <c r="B4695" s="295">
        <v>6</v>
      </c>
      <c r="C4695" s="295" t="s">
        <v>2</v>
      </c>
      <c r="D4695" s="295" t="s">
        <v>179</v>
      </c>
      <c r="E4695" s="296">
        <v>931.48976000000005</v>
      </c>
    </row>
    <row r="4696" spans="1:5" x14ac:dyDescent="0.3">
      <c r="A4696" s="295">
        <v>2025</v>
      </c>
      <c r="B4696" s="295">
        <v>6</v>
      </c>
      <c r="C4696" s="295" t="s">
        <v>2</v>
      </c>
      <c r="D4696" s="295" t="s">
        <v>352</v>
      </c>
      <c r="E4696" s="296">
        <v>7.1646799999999997</v>
      </c>
    </row>
    <row r="4697" spans="1:5" x14ac:dyDescent="0.3">
      <c r="A4697" s="295">
        <v>2025</v>
      </c>
      <c r="B4697" s="295">
        <v>6</v>
      </c>
      <c r="C4697" s="295" t="s">
        <v>2</v>
      </c>
      <c r="D4697" s="295" t="s">
        <v>426</v>
      </c>
      <c r="E4697" s="296">
        <v>0.79752999999999996</v>
      </c>
    </row>
    <row r="4698" spans="1:5" x14ac:dyDescent="0.3">
      <c r="A4698" s="295">
        <v>2025</v>
      </c>
      <c r="B4698" s="295">
        <v>6</v>
      </c>
      <c r="C4698" s="295" t="s">
        <v>2</v>
      </c>
      <c r="D4698" s="295" t="s">
        <v>427</v>
      </c>
      <c r="E4698" s="296">
        <v>9.5106699999999993</v>
      </c>
    </row>
    <row r="4699" spans="1:5" x14ac:dyDescent="0.3">
      <c r="A4699" s="295">
        <v>2025</v>
      </c>
      <c r="B4699" s="295">
        <v>6</v>
      </c>
      <c r="C4699" s="295" t="s">
        <v>2</v>
      </c>
      <c r="D4699" s="295" t="s">
        <v>429</v>
      </c>
      <c r="E4699" s="296">
        <v>3.7501699999999998</v>
      </c>
    </row>
    <row r="4700" spans="1:5" x14ac:dyDescent="0.3">
      <c r="A4700" s="295">
        <v>2025</v>
      </c>
      <c r="B4700" s="295">
        <v>6</v>
      </c>
      <c r="C4700" s="295" t="s">
        <v>259</v>
      </c>
      <c r="D4700" s="295" t="s">
        <v>1</v>
      </c>
      <c r="E4700" s="296">
        <v>1.168907071887785</v>
      </c>
    </row>
    <row r="4701" spans="1:5" x14ac:dyDescent="0.3">
      <c r="A4701" s="295">
        <v>2025</v>
      </c>
      <c r="B4701" s="295">
        <v>6</v>
      </c>
      <c r="C4701" s="295" t="s">
        <v>259</v>
      </c>
      <c r="D4701" s="295" t="s">
        <v>2</v>
      </c>
      <c r="E4701" s="296">
        <v>1.3699568463593397</v>
      </c>
    </row>
    <row r="4702" spans="1:5" x14ac:dyDescent="0.3">
      <c r="A4702" s="295">
        <v>2025</v>
      </c>
      <c r="B4702" s="295">
        <v>6</v>
      </c>
      <c r="C4702" s="295" t="s">
        <v>259</v>
      </c>
      <c r="D4702" s="295" t="s">
        <v>85</v>
      </c>
      <c r="E4702" s="296">
        <v>7.5258900000000004</v>
      </c>
    </row>
    <row r="4703" spans="1:5" x14ac:dyDescent="0.3">
      <c r="A4703" s="295">
        <v>2025</v>
      </c>
      <c r="B4703" s="295">
        <v>6</v>
      </c>
      <c r="C4703" s="295" t="s">
        <v>259</v>
      </c>
      <c r="D4703" s="295" t="s">
        <v>101</v>
      </c>
      <c r="E4703" s="296">
        <v>25.82104</v>
      </c>
    </row>
    <row r="4704" spans="1:5" x14ac:dyDescent="0.3">
      <c r="A4704" s="295">
        <v>2025</v>
      </c>
      <c r="B4704" s="295">
        <v>6</v>
      </c>
      <c r="C4704" s="295" t="s">
        <v>259</v>
      </c>
      <c r="D4704" s="295" t="s">
        <v>179</v>
      </c>
      <c r="E4704" s="296">
        <v>1276.10286</v>
      </c>
    </row>
    <row r="4705" spans="1:5" x14ac:dyDescent="0.3">
      <c r="A4705" s="295">
        <v>2025</v>
      </c>
      <c r="B4705" s="295">
        <v>6</v>
      </c>
      <c r="C4705" s="295" t="s">
        <v>259</v>
      </c>
      <c r="D4705" s="295" t="s">
        <v>352</v>
      </c>
      <c r="E4705" s="296">
        <v>9.8153100000000002</v>
      </c>
    </row>
    <row r="4706" spans="1:5" x14ac:dyDescent="0.3">
      <c r="A4706" s="295">
        <v>2025</v>
      </c>
      <c r="B4706" s="295">
        <v>6</v>
      </c>
      <c r="C4706" s="295" t="s">
        <v>259</v>
      </c>
      <c r="D4706" s="295" t="s">
        <v>426</v>
      </c>
      <c r="E4706" s="296">
        <v>1.0925800000000001</v>
      </c>
    </row>
    <row r="4707" spans="1:5" x14ac:dyDescent="0.3">
      <c r="A4707" s="295">
        <v>2025</v>
      </c>
      <c r="B4707" s="295">
        <v>6</v>
      </c>
      <c r="C4707" s="295" t="s">
        <v>259</v>
      </c>
      <c r="D4707" s="295" t="s">
        <v>427</v>
      </c>
      <c r="E4707" s="296">
        <v>13.02922</v>
      </c>
    </row>
    <row r="4708" spans="1:5" x14ac:dyDescent="0.3">
      <c r="A4708" s="295">
        <v>2025</v>
      </c>
      <c r="B4708" s="295">
        <v>6</v>
      </c>
      <c r="C4708" s="295" t="s">
        <v>259</v>
      </c>
      <c r="D4708" s="295" t="s">
        <v>429</v>
      </c>
      <c r="E4708" s="296">
        <v>5.1375799999999998</v>
      </c>
    </row>
    <row r="4709" spans="1:5" x14ac:dyDescent="0.3">
      <c r="A4709" s="295">
        <v>2025</v>
      </c>
      <c r="B4709" s="295">
        <v>6</v>
      </c>
      <c r="C4709" s="295" t="s">
        <v>85</v>
      </c>
      <c r="D4709" s="295" t="s">
        <v>1</v>
      </c>
      <c r="E4709" s="296">
        <v>0.15531809145129225</v>
      </c>
    </row>
    <row r="4710" spans="1:5" x14ac:dyDescent="0.3">
      <c r="A4710" s="295">
        <v>2025</v>
      </c>
      <c r="B4710" s="295">
        <v>6</v>
      </c>
      <c r="C4710" s="295" t="s">
        <v>85</v>
      </c>
      <c r="D4710" s="295" t="s">
        <v>2</v>
      </c>
      <c r="E4710" s="296">
        <v>0.18203264937599206</v>
      </c>
    </row>
    <row r="4711" spans="1:5" x14ac:dyDescent="0.3">
      <c r="A4711" s="295">
        <v>2025</v>
      </c>
      <c r="B4711" s="295">
        <v>6</v>
      </c>
      <c r="C4711" s="295" t="s">
        <v>85</v>
      </c>
      <c r="D4711" s="295" t="s">
        <v>259</v>
      </c>
      <c r="E4711" s="296">
        <v>0.13287465004139046</v>
      </c>
    </row>
    <row r="4712" spans="1:5" x14ac:dyDescent="0.3">
      <c r="A4712" s="295">
        <v>2025</v>
      </c>
      <c r="B4712" s="295">
        <v>6</v>
      </c>
      <c r="C4712" s="295" t="s">
        <v>85</v>
      </c>
      <c r="D4712" s="295" t="s">
        <v>101</v>
      </c>
      <c r="E4712" s="296">
        <v>3.4309599999999998</v>
      </c>
    </row>
    <row r="4713" spans="1:5" x14ac:dyDescent="0.3">
      <c r="A4713" s="295">
        <v>2025</v>
      </c>
      <c r="B4713" s="295">
        <v>6</v>
      </c>
      <c r="C4713" s="295" t="s">
        <v>85</v>
      </c>
      <c r="D4713" s="295" t="s">
        <v>179</v>
      </c>
      <c r="E4713" s="296">
        <v>169.56169</v>
      </c>
    </row>
    <row r="4714" spans="1:5" x14ac:dyDescent="0.3">
      <c r="A4714" s="295">
        <v>2025</v>
      </c>
      <c r="B4714" s="295">
        <v>6</v>
      </c>
      <c r="C4714" s="295" t="s">
        <v>85</v>
      </c>
      <c r="D4714" s="295" t="s">
        <v>352</v>
      </c>
      <c r="E4714" s="296">
        <v>1.3042100000000001</v>
      </c>
    </row>
    <row r="4715" spans="1:5" x14ac:dyDescent="0.3">
      <c r="A4715" s="295">
        <v>2025</v>
      </c>
      <c r="B4715" s="295">
        <v>6</v>
      </c>
      <c r="C4715" s="295" t="s">
        <v>85</v>
      </c>
      <c r="D4715" s="295" t="s">
        <v>426</v>
      </c>
      <c r="E4715" s="296">
        <v>0.14518</v>
      </c>
    </row>
    <row r="4716" spans="1:5" x14ac:dyDescent="0.3">
      <c r="A4716" s="295">
        <v>2025</v>
      </c>
      <c r="B4716" s="295">
        <v>6</v>
      </c>
      <c r="C4716" s="295" t="s">
        <v>85</v>
      </c>
      <c r="D4716" s="295" t="s">
        <v>427</v>
      </c>
      <c r="E4716" s="296">
        <v>1.73125</v>
      </c>
    </row>
    <row r="4717" spans="1:5" x14ac:dyDescent="0.3">
      <c r="A4717" s="295">
        <v>2025</v>
      </c>
      <c r="B4717" s="295">
        <v>6</v>
      </c>
      <c r="C4717" s="295" t="s">
        <v>85</v>
      </c>
      <c r="D4717" s="295" t="s">
        <v>429</v>
      </c>
      <c r="E4717" s="296">
        <v>0.68264999999999998</v>
      </c>
    </row>
    <row r="4718" spans="1:5" x14ac:dyDescent="0.3">
      <c r="A4718" s="295">
        <v>2025</v>
      </c>
      <c r="B4718" s="295">
        <v>6</v>
      </c>
      <c r="C4718" s="295" t="s">
        <v>101</v>
      </c>
      <c r="D4718" s="295" t="s">
        <v>1</v>
      </c>
      <c r="E4718" s="296">
        <v>4.5269557580613767E-2</v>
      </c>
    </row>
    <row r="4719" spans="1:5" x14ac:dyDescent="0.3">
      <c r="A4719" s="295">
        <v>2025</v>
      </c>
      <c r="B4719" s="295">
        <v>6</v>
      </c>
      <c r="C4719" s="295" t="s">
        <v>101</v>
      </c>
      <c r="D4719" s="295" t="s">
        <v>2</v>
      </c>
      <c r="E4719" s="296">
        <v>5.3055914567244122E-2</v>
      </c>
    </row>
    <row r="4720" spans="1:5" x14ac:dyDescent="0.3">
      <c r="A4720" s="295">
        <v>2025</v>
      </c>
      <c r="B4720" s="295">
        <v>6</v>
      </c>
      <c r="C4720" s="295" t="s">
        <v>101</v>
      </c>
      <c r="D4720" s="295" t="s">
        <v>259</v>
      </c>
      <c r="E4720" s="296">
        <v>3.8728107001112275E-2</v>
      </c>
    </row>
    <row r="4721" spans="1:5" x14ac:dyDescent="0.3">
      <c r="A4721" s="295">
        <v>2025</v>
      </c>
      <c r="B4721" s="295">
        <v>6</v>
      </c>
      <c r="C4721" s="295" t="s">
        <v>101</v>
      </c>
      <c r="D4721" s="295" t="s">
        <v>85</v>
      </c>
      <c r="E4721" s="296">
        <v>0.29146361368246793</v>
      </c>
    </row>
    <row r="4722" spans="1:5" x14ac:dyDescent="0.3">
      <c r="A4722" s="295">
        <v>2025</v>
      </c>
      <c r="B4722" s="295">
        <v>6</v>
      </c>
      <c r="C4722" s="295" t="s">
        <v>101</v>
      </c>
      <c r="D4722" s="295" t="s">
        <v>179</v>
      </c>
      <c r="E4722" s="296">
        <v>49.421050000000001</v>
      </c>
    </row>
    <row r="4723" spans="1:5" x14ac:dyDescent="0.3">
      <c r="A4723" s="295">
        <v>2025</v>
      </c>
      <c r="B4723" s="295">
        <v>6</v>
      </c>
      <c r="C4723" s="295" t="s">
        <v>101</v>
      </c>
      <c r="D4723" s="295" t="s">
        <v>352</v>
      </c>
      <c r="E4723" s="296">
        <v>0.38013000000000002</v>
      </c>
    </row>
    <row r="4724" spans="1:5" x14ac:dyDescent="0.3">
      <c r="A4724" s="295">
        <v>2025</v>
      </c>
      <c r="B4724" s="295">
        <v>6</v>
      </c>
      <c r="C4724" s="295" t="s">
        <v>101</v>
      </c>
      <c r="D4724" s="295" t="s">
        <v>426</v>
      </c>
      <c r="E4724" s="296">
        <v>4.231E-2</v>
      </c>
    </row>
    <row r="4725" spans="1:5" x14ac:dyDescent="0.3">
      <c r="A4725" s="295">
        <v>2025</v>
      </c>
      <c r="B4725" s="295">
        <v>6</v>
      </c>
      <c r="C4725" s="295" t="s">
        <v>101</v>
      </c>
      <c r="D4725" s="295" t="s">
        <v>427</v>
      </c>
      <c r="E4725" s="296">
        <v>0.50460000000000005</v>
      </c>
    </row>
    <row r="4726" spans="1:5" x14ac:dyDescent="0.3">
      <c r="A4726" s="295">
        <v>2025</v>
      </c>
      <c r="B4726" s="295">
        <v>6</v>
      </c>
      <c r="C4726" s="295" t="s">
        <v>101</v>
      </c>
      <c r="D4726" s="295" t="s">
        <v>429</v>
      </c>
      <c r="E4726" s="296">
        <v>0.19897000000000001</v>
      </c>
    </row>
    <row r="4727" spans="1:5" x14ac:dyDescent="0.3">
      <c r="A4727" s="295">
        <v>2025</v>
      </c>
      <c r="B4727" s="295">
        <v>6</v>
      </c>
      <c r="C4727" s="295" t="s">
        <v>179</v>
      </c>
      <c r="D4727" s="295" t="s">
        <v>1</v>
      </c>
      <c r="E4727" s="296">
        <v>9.1599753047065795E-4</v>
      </c>
    </row>
    <row r="4728" spans="1:5" x14ac:dyDescent="0.3">
      <c r="A4728" s="295">
        <v>2025</v>
      </c>
      <c r="B4728" s="295">
        <v>6</v>
      </c>
      <c r="C4728" s="295" t="s">
        <v>179</v>
      </c>
      <c r="D4728" s="295" t="s">
        <v>2</v>
      </c>
      <c r="E4728" s="296">
        <v>1.0735491069703224E-3</v>
      </c>
    </row>
    <row r="4729" spans="1:5" x14ac:dyDescent="0.3">
      <c r="A4729" s="295">
        <v>2025</v>
      </c>
      <c r="B4729" s="295">
        <v>6</v>
      </c>
      <c r="C4729" s="295" t="s">
        <v>179</v>
      </c>
      <c r="D4729" s="295" t="s">
        <v>259</v>
      </c>
      <c r="E4729" s="296">
        <v>7.8363588966488178E-4</v>
      </c>
    </row>
    <row r="4730" spans="1:5" x14ac:dyDescent="0.3">
      <c r="A4730" s="295">
        <v>2025</v>
      </c>
      <c r="B4730" s="295">
        <v>6</v>
      </c>
      <c r="C4730" s="295" t="s">
        <v>179</v>
      </c>
      <c r="D4730" s="295" t="s">
        <v>85</v>
      </c>
      <c r="E4730" s="296">
        <v>5.8975585817763439E-3</v>
      </c>
    </row>
    <row r="4731" spans="1:5" x14ac:dyDescent="0.3">
      <c r="A4731" s="295">
        <v>2025</v>
      </c>
      <c r="B4731" s="295">
        <v>6</v>
      </c>
      <c r="C4731" s="295" t="s">
        <v>179</v>
      </c>
      <c r="D4731" s="295" t="s">
        <v>101</v>
      </c>
      <c r="E4731" s="296">
        <v>2.0234292877225394E-2</v>
      </c>
    </row>
    <row r="4732" spans="1:5" x14ac:dyDescent="0.3">
      <c r="A4732" s="295">
        <v>2025</v>
      </c>
      <c r="B4732" s="295">
        <v>6</v>
      </c>
      <c r="C4732" s="295" t="s">
        <v>179</v>
      </c>
      <c r="D4732" s="295" t="s">
        <v>352</v>
      </c>
      <c r="E4732" s="296">
        <v>7.6899999999999998E-3</v>
      </c>
    </row>
    <row r="4733" spans="1:5" x14ac:dyDescent="0.3">
      <c r="A4733" s="295">
        <v>2025</v>
      </c>
      <c r="B4733" s="295">
        <v>6</v>
      </c>
      <c r="C4733" s="295" t="s">
        <v>179</v>
      </c>
      <c r="D4733" s="295" t="s">
        <v>426</v>
      </c>
      <c r="E4733" s="296">
        <v>8.5999999999999998E-4</v>
      </c>
    </row>
    <row r="4734" spans="1:5" x14ac:dyDescent="0.3">
      <c r="A4734" s="295">
        <v>2025</v>
      </c>
      <c r="B4734" s="295">
        <v>6</v>
      </c>
      <c r="C4734" s="295" t="s">
        <v>179</v>
      </c>
      <c r="D4734" s="295" t="s">
        <v>427</v>
      </c>
      <c r="E4734" s="296">
        <v>1.021E-2</v>
      </c>
    </row>
    <row r="4735" spans="1:5" x14ac:dyDescent="0.3">
      <c r="A4735" s="295">
        <v>2025</v>
      </c>
      <c r="B4735" s="295">
        <v>6</v>
      </c>
      <c r="C4735" s="295" t="s">
        <v>179</v>
      </c>
      <c r="D4735" s="295" t="s">
        <v>429</v>
      </c>
      <c r="E4735" s="296">
        <v>4.0299999999999997E-3</v>
      </c>
    </row>
    <row r="4736" spans="1:5" x14ac:dyDescent="0.3">
      <c r="A4736" s="295">
        <v>2025</v>
      </c>
      <c r="B4736" s="295">
        <v>6</v>
      </c>
      <c r="C4736" s="295" t="s">
        <v>352</v>
      </c>
      <c r="D4736" s="295" t="s">
        <v>1</v>
      </c>
      <c r="E4736" s="296">
        <v>0.11909015124449207</v>
      </c>
    </row>
    <row r="4737" spans="1:5" x14ac:dyDescent="0.3">
      <c r="A4737" s="295">
        <v>2025</v>
      </c>
      <c r="B4737" s="295">
        <v>6</v>
      </c>
      <c r="C4737" s="295" t="s">
        <v>352</v>
      </c>
      <c r="D4737" s="295" t="s">
        <v>2</v>
      </c>
      <c r="E4737" s="296">
        <v>0.13957357481422758</v>
      </c>
    </row>
    <row r="4738" spans="1:5" x14ac:dyDescent="0.3">
      <c r="A4738" s="295">
        <v>2025</v>
      </c>
      <c r="B4738" s="295">
        <v>6</v>
      </c>
      <c r="C4738" s="295" t="s">
        <v>352</v>
      </c>
      <c r="D4738" s="295" t="s">
        <v>259</v>
      </c>
      <c r="E4738" s="296">
        <v>0.10188165223513063</v>
      </c>
    </row>
    <row r="4739" spans="1:5" x14ac:dyDescent="0.3">
      <c r="A4739" s="295">
        <v>2025</v>
      </c>
      <c r="B4739" s="295">
        <v>6</v>
      </c>
      <c r="C4739" s="295" t="s">
        <v>352</v>
      </c>
      <c r="D4739" s="295" t="s">
        <v>85</v>
      </c>
      <c r="E4739" s="296">
        <v>0.76674768633885637</v>
      </c>
    </row>
    <row r="4740" spans="1:5" x14ac:dyDescent="0.3">
      <c r="A4740" s="295">
        <v>2025</v>
      </c>
      <c r="B4740" s="295">
        <v>6</v>
      </c>
      <c r="C4740" s="295" t="s">
        <v>352</v>
      </c>
      <c r="D4740" s="295" t="s">
        <v>101</v>
      </c>
      <c r="E4740" s="296">
        <v>2.6306789782442848</v>
      </c>
    </row>
    <row r="4741" spans="1:5" x14ac:dyDescent="0.3">
      <c r="A4741" s="295">
        <v>2025</v>
      </c>
      <c r="B4741" s="295">
        <v>6</v>
      </c>
      <c r="C4741" s="295" t="s">
        <v>352</v>
      </c>
      <c r="D4741" s="295" t="s">
        <v>179</v>
      </c>
      <c r="E4741" s="296">
        <v>130.03901170351105</v>
      </c>
    </row>
    <row r="4742" spans="1:5" x14ac:dyDescent="0.3">
      <c r="A4742" s="295">
        <v>2025</v>
      </c>
      <c r="B4742" s="295">
        <v>6</v>
      </c>
      <c r="C4742" s="295" t="s">
        <v>352</v>
      </c>
      <c r="D4742" s="295" t="s">
        <v>426</v>
      </c>
      <c r="E4742" s="296">
        <v>0.11131000000000001</v>
      </c>
    </row>
    <row r="4743" spans="1:5" x14ac:dyDescent="0.3">
      <c r="A4743" s="295">
        <v>2025</v>
      </c>
      <c r="B4743" s="295">
        <v>6</v>
      </c>
      <c r="C4743" s="295" t="s">
        <v>352</v>
      </c>
      <c r="D4743" s="295" t="s">
        <v>427</v>
      </c>
      <c r="E4743" s="296">
        <v>1.32744</v>
      </c>
    </row>
    <row r="4744" spans="1:5" x14ac:dyDescent="0.3">
      <c r="A4744" s="295">
        <v>2025</v>
      </c>
      <c r="B4744" s="295">
        <v>6</v>
      </c>
      <c r="C4744" s="295" t="s">
        <v>352</v>
      </c>
      <c r="D4744" s="295" t="s">
        <v>429</v>
      </c>
      <c r="E4744" s="296">
        <v>0.52342999999999995</v>
      </c>
    </row>
    <row r="4745" spans="1:5" x14ac:dyDescent="0.3">
      <c r="A4745" s="295">
        <v>2025</v>
      </c>
      <c r="B4745" s="295">
        <v>6</v>
      </c>
      <c r="C4745" s="295" t="s">
        <v>426</v>
      </c>
      <c r="D4745" s="295" t="s">
        <v>1</v>
      </c>
      <c r="E4745" s="296">
        <v>1.0698619878035733</v>
      </c>
    </row>
    <row r="4746" spans="1:5" x14ac:dyDescent="0.3">
      <c r="A4746" s="295">
        <v>2025</v>
      </c>
      <c r="B4746" s="295">
        <v>6</v>
      </c>
      <c r="C4746" s="295" t="s">
        <v>426</v>
      </c>
      <c r="D4746" s="295" t="s">
        <v>2</v>
      </c>
      <c r="E4746" s="296">
        <v>1.2538713277243489</v>
      </c>
    </row>
    <row r="4747" spans="1:5" x14ac:dyDescent="0.3">
      <c r="A4747" s="295">
        <v>2025</v>
      </c>
      <c r="B4747" s="295">
        <v>6</v>
      </c>
      <c r="C4747" s="295" t="s">
        <v>426</v>
      </c>
      <c r="D4747" s="295" t="s">
        <v>259</v>
      </c>
      <c r="E4747" s="296">
        <v>0.91526478610261941</v>
      </c>
    </row>
    <row r="4748" spans="1:5" x14ac:dyDescent="0.3">
      <c r="A4748" s="295">
        <v>2025</v>
      </c>
      <c r="B4748" s="295">
        <v>6</v>
      </c>
      <c r="C4748" s="295" t="s">
        <v>426</v>
      </c>
      <c r="D4748" s="295" t="s">
        <v>85</v>
      </c>
      <c r="E4748" s="296">
        <v>6.8880011020801764</v>
      </c>
    </row>
    <row r="4749" spans="1:5" x14ac:dyDescent="0.3">
      <c r="A4749" s="295">
        <v>2025</v>
      </c>
      <c r="B4749" s="295">
        <v>6</v>
      </c>
      <c r="C4749" s="295" t="s">
        <v>426</v>
      </c>
      <c r="D4749" s="295" t="s">
        <v>101</v>
      </c>
      <c r="E4749" s="296">
        <v>23.63507445048452</v>
      </c>
    </row>
    <row r="4750" spans="1:5" x14ac:dyDescent="0.3">
      <c r="A4750" s="295">
        <v>2025</v>
      </c>
      <c r="B4750" s="295">
        <v>6</v>
      </c>
      <c r="C4750" s="295" t="s">
        <v>426</v>
      </c>
      <c r="D4750" s="295" t="s">
        <v>179</v>
      </c>
      <c r="E4750" s="296">
        <v>1.9817677368212443</v>
      </c>
    </row>
    <row r="4751" spans="1:5" x14ac:dyDescent="0.3">
      <c r="A4751" s="295">
        <v>2025</v>
      </c>
      <c r="B4751" s="295">
        <v>6</v>
      </c>
      <c r="C4751" s="295" t="s">
        <v>426</v>
      </c>
      <c r="D4751" s="295" t="s">
        <v>352</v>
      </c>
      <c r="E4751" s="296">
        <v>5.0258832989897977</v>
      </c>
    </row>
    <row r="4752" spans="1:5" x14ac:dyDescent="0.3">
      <c r="A4752" s="295">
        <v>2025</v>
      </c>
      <c r="B4752" s="295">
        <v>6</v>
      </c>
      <c r="C4752" s="295" t="s">
        <v>426</v>
      </c>
      <c r="D4752" s="295" t="s">
        <v>427</v>
      </c>
      <c r="E4752" s="296">
        <v>11.925219999999999</v>
      </c>
    </row>
    <row r="4753" spans="1:5" x14ac:dyDescent="0.3">
      <c r="A4753" s="295">
        <v>2025</v>
      </c>
      <c r="B4753" s="295">
        <v>6</v>
      </c>
      <c r="C4753" s="295" t="s">
        <v>426</v>
      </c>
      <c r="D4753" s="295" t="s">
        <v>429</v>
      </c>
      <c r="E4753" s="296">
        <v>4.7022599999999999</v>
      </c>
    </row>
    <row r="4754" spans="1:5" x14ac:dyDescent="0.3">
      <c r="A4754" s="295">
        <v>2025</v>
      </c>
      <c r="B4754" s="295">
        <v>6</v>
      </c>
      <c r="C4754" s="295" t="s">
        <v>427</v>
      </c>
      <c r="D4754" s="295" t="s">
        <v>1</v>
      </c>
      <c r="E4754" s="296">
        <v>8.9714260081639977E-2</v>
      </c>
    </row>
    <row r="4755" spans="1:5" x14ac:dyDescent="0.3">
      <c r="A4755" s="295">
        <v>2025</v>
      </c>
      <c r="B4755" s="295">
        <v>6</v>
      </c>
      <c r="C4755" s="295" t="s">
        <v>427</v>
      </c>
      <c r="D4755" s="295" t="s">
        <v>2</v>
      </c>
      <c r="E4755" s="296">
        <v>0.10514506338670147</v>
      </c>
    </row>
    <row r="4756" spans="1:5" x14ac:dyDescent="0.3">
      <c r="A4756" s="295">
        <v>2025</v>
      </c>
      <c r="B4756" s="295">
        <v>6</v>
      </c>
      <c r="C4756" s="295" t="s">
        <v>427</v>
      </c>
      <c r="D4756" s="295" t="s">
        <v>259</v>
      </c>
      <c r="E4756" s="296">
        <v>7.6750565267913198E-2</v>
      </c>
    </row>
    <row r="4757" spans="1:5" x14ac:dyDescent="0.3">
      <c r="A4757" s="295">
        <v>2025</v>
      </c>
      <c r="B4757" s="295">
        <v>6</v>
      </c>
      <c r="C4757" s="295" t="s">
        <v>427</v>
      </c>
      <c r="D4757" s="295" t="s">
        <v>85</v>
      </c>
      <c r="E4757" s="296">
        <v>0.57761732851985559</v>
      </c>
    </row>
    <row r="4758" spans="1:5" x14ac:dyDescent="0.3">
      <c r="A4758" s="295">
        <v>2025</v>
      </c>
      <c r="B4758" s="295">
        <v>6</v>
      </c>
      <c r="C4758" s="295" t="s">
        <v>427</v>
      </c>
      <c r="D4758" s="295" t="s">
        <v>101</v>
      </c>
      <c r="E4758" s="296">
        <v>1.9817677368212443</v>
      </c>
    </row>
    <row r="4759" spans="1:5" x14ac:dyDescent="0.3">
      <c r="A4759" s="295">
        <v>2025</v>
      </c>
      <c r="B4759" s="295">
        <v>6</v>
      </c>
      <c r="C4759" s="295" t="s">
        <v>427</v>
      </c>
      <c r="D4759" s="295" t="s">
        <v>179</v>
      </c>
      <c r="E4759" s="296">
        <v>97.9431929480901</v>
      </c>
    </row>
    <row r="4760" spans="1:5" x14ac:dyDescent="0.3">
      <c r="A4760" s="295">
        <v>2025</v>
      </c>
      <c r="B4760" s="295">
        <v>6</v>
      </c>
      <c r="C4760" s="295" t="s">
        <v>427</v>
      </c>
      <c r="D4760" s="295" t="s">
        <v>352</v>
      </c>
      <c r="E4760" s="296">
        <v>0.7533297173506901</v>
      </c>
    </row>
    <row r="4761" spans="1:5" x14ac:dyDescent="0.3">
      <c r="A4761" s="295">
        <v>2025</v>
      </c>
      <c r="B4761" s="295">
        <v>6</v>
      </c>
      <c r="C4761" s="295" t="s">
        <v>427</v>
      </c>
      <c r="D4761" s="295" t="s">
        <v>426</v>
      </c>
      <c r="E4761" s="296">
        <v>8.3855895321008761E-2</v>
      </c>
    </row>
    <row r="4762" spans="1:5" x14ac:dyDescent="0.3">
      <c r="A4762" s="295">
        <v>2025</v>
      </c>
      <c r="B4762" s="295">
        <v>6</v>
      </c>
      <c r="C4762" s="295" t="s">
        <v>427</v>
      </c>
      <c r="D4762" s="295" t="s">
        <v>429</v>
      </c>
      <c r="E4762" s="296">
        <v>0.39430999999999999</v>
      </c>
    </row>
    <row r="4763" spans="1:5" x14ac:dyDescent="0.3">
      <c r="A4763" s="295">
        <v>2025</v>
      </c>
      <c r="B4763" s="295">
        <v>6</v>
      </c>
      <c r="C4763" s="295" t="s">
        <v>429</v>
      </c>
      <c r="D4763" s="295" t="s">
        <v>1</v>
      </c>
      <c r="E4763" s="296">
        <v>0.22752093192573716</v>
      </c>
    </row>
    <row r="4764" spans="1:5" x14ac:dyDescent="0.3">
      <c r="A4764" s="295">
        <v>2025</v>
      </c>
      <c r="B4764" s="295">
        <v>6</v>
      </c>
      <c r="C4764" s="295" t="s">
        <v>429</v>
      </c>
      <c r="D4764" s="295" t="s">
        <v>2</v>
      </c>
      <c r="E4764" s="296">
        <v>0.2666545783257826</v>
      </c>
    </row>
    <row r="4765" spans="1:5" x14ac:dyDescent="0.3">
      <c r="A4765" s="295">
        <v>2025</v>
      </c>
      <c r="B4765" s="295">
        <v>6</v>
      </c>
      <c r="C4765" s="295" t="s">
        <v>429</v>
      </c>
      <c r="D4765" s="295" t="s">
        <v>259</v>
      </c>
      <c r="E4765" s="296">
        <v>0.19464417099101133</v>
      </c>
    </row>
    <row r="4766" spans="1:5" x14ac:dyDescent="0.3">
      <c r="A4766" s="295">
        <v>2025</v>
      </c>
      <c r="B4766" s="295">
        <v>6</v>
      </c>
      <c r="C4766" s="295" t="s">
        <v>429</v>
      </c>
      <c r="D4766" s="295" t="s">
        <v>85</v>
      </c>
      <c r="E4766" s="296">
        <v>1.4648795136600015</v>
      </c>
    </row>
    <row r="4767" spans="1:5" x14ac:dyDescent="0.3">
      <c r="A4767" s="295">
        <v>2025</v>
      </c>
      <c r="B4767" s="295">
        <v>6</v>
      </c>
      <c r="C4767" s="295" t="s">
        <v>429</v>
      </c>
      <c r="D4767" s="295" t="s">
        <v>101</v>
      </c>
      <c r="E4767" s="296">
        <v>5.0258832989897977</v>
      </c>
    </row>
    <row r="4768" spans="1:5" x14ac:dyDescent="0.3">
      <c r="A4768" s="295">
        <v>2025</v>
      </c>
      <c r="B4768" s="295">
        <v>6</v>
      </c>
      <c r="C4768" s="295" t="s">
        <v>429</v>
      </c>
      <c r="D4768" s="295" t="s">
        <v>179</v>
      </c>
      <c r="E4768" s="296">
        <v>248.1389578163772</v>
      </c>
    </row>
    <row r="4769" spans="1:5" x14ac:dyDescent="0.3">
      <c r="A4769" s="295">
        <v>2025</v>
      </c>
      <c r="B4769" s="295">
        <v>6</v>
      </c>
      <c r="C4769" s="295" t="s">
        <v>429</v>
      </c>
      <c r="D4769" s="295" t="s">
        <v>352</v>
      </c>
      <c r="E4769" s="296">
        <v>1.910475135166116</v>
      </c>
    </row>
    <row r="4770" spans="1:5" x14ac:dyDescent="0.3">
      <c r="A4770" s="295">
        <v>2025</v>
      </c>
      <c r="B4770" s="295">
        <v>6</v>
      </c>
      <c r="C4770" s="295" t="s">
        <v>429</v>
      </c>
      <c r="D4770" s="295" t="s">
        <v>426</v>
      </c>
      <c r="E4770" s="296">
        <v>0.21266369788144424</v>
      </c>
    </row>
    <row r="4771" spans="1:5" x14ac:dyDescent="0.3">
      <c r="A4771" s="295">
        <v>2025</v>
      </c>
      <c r="B4771" s="295">
        <v>6</v>
      </c>
      <c r="C4771" s="295" t="s">
        <v>429</v>
      </c>
      <c r="D4771" s="295" t="s">
        <v>427</v>
      </c>
      <c r="E4771" s="296">
        <v>2.5360756764981867</v>
      </c>
    </row>
    <row r="4772" spans="1:5" x14ac:dyDescent="0.3">
      <c r="A4772" s="295">
        <v>2025</v>
      </c>
      <c r="B4772" s="295">
        <v>6</v>
      </c>
      <c r="C4772" s="295" t="s">
        <v>1</v>
      </c>
      <c r="D4772" s="295" t="s">
        <v>1</v>
      </c>
      <c r="E4772" s="296">
        <v>1</v>
      </c>
    </row>
    <row r="4773" spans="1:5" x14ac:dyDescent="0.3">
      <c r="A4773" s="295">
        <v>2025</v>
      </c>
      <c r="B4773" s="295">
        <v>6</v>
      </c>
      <c r="C4773" s="295" t="s">
        <v>2</v>
      </c>
      <c r="D4773" s="295" t="s">
        <v>2</v>
      </c>
      <c r="E4773" s="296">
        <v>1</v>
      </c>
    </row>
    <row r="4774" spans="1:5" x14ac:dyDescent="0.3">
      <c r="A4774" s="295">
        <v>2025</v>
      </c>
      <c r="B4774" s="295">
        <v>6</v>
      </c>
      <c r="C4774" s="295" t="s">
        <v>259</v>
      </c>
      <c r="D4774" s="295" t="s">
        <v>259</v>
      </c>
      <c r="E4774" s="296">
        <v>1</v>
      </c>
    </row>
    <row r="4775" spans="1:5" x14ac:dyDescent="0.3">
      <c r="A4775" s="295">
        <v>2025</v>
      </c>
      <c r="B4775" s="295">
        <v>6</v>
      </c>
      <c r="C4775" s="295" t="s">
        <v>85</v>
      </c>
      <c r="D4775" s="295" t="s">
        <v>85</v>
      </c>
      <c r="E4775" s="296">
        <v>1</v>
      </c>
    </row>
    <row r="4776" spans="1:5" x14ac:dyDescent="0.3">
      <c r="A4776" s="295">
        <v>2025</v>
      </c>
      <c r="B4776" s="295">
        <v>6</v>
      </c>
      <c r="C4776" s="295" t="s">
        <v>101</v>
      </c>
      <c r="D4776" s="295" t="s">
        <v>101</v>
      </c>
      <c r="E4776" s="296">
        <v>1</v>
      </c>
    </row>
    <row r="4777" spans="1:5" x14ac:dyDescent="0.3">
      <c r="A4777" s="295">
        <v>2025</v>
      </c>
      <c r="B4777" s="295">
        <v>6</v>
      </c>
      <c r="C4777" s="295" t="s">
        <v>179</v>
      </c>
      <c r="D4777" s="295" t="s">
        <v>179</v>
      </c>
      <c r="E4777" s="296">
        <v>1</v>
      </c>
    </row>
    <row r="4778" spans="1:5" x14ac:dyDescent="0.3">
      <c r="A4778" s="295">
        <v>2025</v>
      </c>
      <c r="B4778" s="295">
        <v>6</v>
      </c>
      <c r="C4778" s="295" t="s">
        <v>352</v>
      </c>
      <c r="D4778" s="295" t="s">
        <v>352</v>
      </c>
      <c r="E4778" s="296">
        <v>1</v>
      </c>
    </row>
    <row r="4779" spans="1:5" x14ac:dyDescent="0.3">
      <c r="A4779" s="295">
        <v>2025</v>
      </c>
      <c r="B4779" s="295">
        <v>6</v>
      </c>
      <c r="C4779" s="295" t="s">
        <v>426</v>
      </c>
      <c r="D4779" s="295" t="s">
        <v>426</v>
      </c>
      <c r="E4779" s="296">
        <v>1</v>
      </c>
    </row>
    <row r="4780" spans="1:5" x14ac:dyDescent="0.3">
      <c r="A4780" s="295">
        <v>2025</v>
      </c>
      <c r="B4780" s="295">
        <v>6</v>
      </c>
      <c r="C4780" s="295" t="s">
        <v>427</v>
      </c>
      <c r="D4780" s="295" t="s">
        <v>427</v>
      </c>
      <c r="E4780" s="296">
        <v>1</v>
      </c>
    </row>
    <row r="4781" spans="1:5" x14ac:dyDescent="0.3">
      <c r="A4781" s="295">
        <v>2025</v>
      </c>
      <c r="B4781" s="295">
        <v>6</v>
      </c>
      <c r="C4781" s="295" t="s">
        <v>429</v>
      </c>
      <c r="D4781" s="295" t="s">
        <v>429</v>
      </c>
      <c r="E4781" s="296">
        <v>1</v>
      </c>
    </row>
  </sheetData>
  <sheetProtection algorithmName="SHA-512" hashValue="fFG+Hb6SMyRE5So3e47lMD2nGOUCS4FMhYgkau9+JKf694ORmjDzN3BduZoikyIv+jIvLj28miyI0cOgnLJuDA==" saltValue="4N6GYYoipNYdJEVFOI/JR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/>
  <dimension ref="B1:L14"/>
  <sheetViews>
    <sheetView workbookViewId="0">
      <selection activeCell="I3" sqref="I3"/>
    </sheetView>
  </sheetViews>
  <sheetFormatPr defaultColWidth="8.81640625" defaultRowHeight="14.5" x14ac:dyDescent="0.35"/>
  <cols>
    <col min="1" max="9" width="8.81640625" style="309"/>
    <col min="10" max="11" width="5.08984375" style="309" bestFit="1" customWidth="1"/>
    <col min="12" max="12" width="13.81640625" style="309" bestFit="1" customWidth="1"/>
    <col min="13" max="16384" width="8.81640625" style="309"/>
  </cols>
  <sheetData>
    <row r="1" spans="2:12" x14ac:dyDescent="0.35">
      <c r="D1" s="310" t="s">
        <v>326</v>
      </c>
      <c r="E1" s="310" t="s">
        <v>327</v>
      </c>
      <c r="F1" s="310" t="s">
        <v>328</v>
      </c>
      <c r="G1" s="310" t="s">
        <v>329</v>
      </c>
    </row>
    <row r="2" spans="2:12" x14ac:dyDescent="0.35">
      <c r="D2" s="311">
        <f>SUM(D3:D7)</f>
        <v>22.75</v>
      </c>
      <c r="E2" s="311">
        <f>SUM(E3:E7)</f>
        <v>7.25</v>
      </c>
      <c r="F2" s="311">
        <f t="shared" ref="F2:G2" si="0">SUM(F3:F7)</f>
        <v>2.5</v>
      </c>
      <c r="G2" s="311">
        <f t="shared" si="0"/>
        <v>1</v>
      </c>
      <c r="J2" s="309" t="s">
        <v>330</v>
      </c>
      <c r="K2" s="309" t="s">
        <v>331</v>
      </c>
    </row>
    <row r="3" spans="2:12" x14ac:dyDescent="0.35">
      <c r="B3" s="309">
        <v>500</v>
      </c>
      <c r="D3" s="311"/>
      <c r="E3" s="311"/>
      <c r="F3" s="311"/>
      <c r="G3" s="311"/>
      <c r="J3" s="312">
        <v>-0.05</v>
      </c>
      <c r="L3" s="309" t="s">
        <v>332</v>
      </c>
    </row>
    <row r="4" spans="2:12" x14ac:dyDescent="0.35">
      <c r="B4" s="309">
        <v>400</v>
      </c>
      <c r="C4" s="309">
        <v>3</v>
      </c>
      <c r="D4" s="311">
        <v>1</v>
      </c>
      <c r="E4" s="311"/>
      <c r="F4" s="311"/>
      <c r="G4" s="311"/>
      <c r="J4" s="312">
        <v>-0.15</v>
      </c>
      <c r="K4" s="312">
        <v>-0.05</v>
      </c>
      <c r="L4" s="309" t="s">
        <v>333</v>
      </c>
    </row>
    <row r="5" spans="2:12" x14ac:dyDescent="0.35">
      <c r="B5" s="309">
        <v>300</v>
      </c>
      <c r="C5" s="309">
        <v>2.5</v>
      </c>
      <c r="D5" s="311">
        <f>C4</f>
        <v>3</v>
      </c>
      <c r="E5" s="311">
        <v>1</v>
      </c>
      <c r="F5" s="311"/>
      <c r="G5" s="311"/>
      <c r="J5" s="312">
        <v>-0.25</v>
      </c>
      <c r="K5" s="312">
        <v>-0.15</v>
      </c>
      <c r="L5" s="309" t="s">
        <v>334</v>
      </c>
    </row>
    <row r="6" spans="2:12" x14ac:dyDescent="0.35">
      <c r="B6" s="309">
        <v>200</v>
      </c>
      <c r="C6" s="309">
        <v>1.5</v>
      </c>
      <c r="D6" s="311">
        <f>C4*C5</f>
        <v>7.5</v>
      </c>
      <c r="E6" s="311">
        <f>C5</f>
        <v>2.5</v>
      </c>
      <c r="F6" s="311">
        <v>1</v>
      </c>
      <c r="G6" s="311"/>
      <c r="K6" s="312">
        <v>-0.25</v>
      </c>
      <c r="L6" s="309" t="s">
        <v>335</v>
      </c>
    </row>
    <row r="7" spans="2:12" x14ac:dyDescent="0.35">
      <c r="B7" s="309">
        <v>100</v>
      </c>
      <c r="D7" s="311">
        <f>C4*C5*C6</f>
        <v>11.25</v>
      </c>
      <c r="E7" s="311">
        <f>C5*C6</f>
        <v>3.75</v>
      </c>
      <c r="F7" s="311">
        <f>C6</f>
        <v>1.5</v>
      </c>
      <c r="G7" s="311">
        <v>1</v>
      </c>
    </row>
    <row r="9" spans="2:12" x14ac:dyDescent="0.35">
      <c r="C9" s="309" t="s">
        <v>336</v>
      </c>
    </row>
    <row r="10" spans="2:12" x14ac:dyDescent="0.35">
      <c r="B10" s="309">
        <v>500</v>
      </c>
    </row>
    <row r="11" spans="2:12" x14ac:dyDescent="0.35">
      <c r="B11" s="309">
        <v>400</v>
      </c>
      <c r="C11" s="309">
        <v>1.2</v>
      </c>
    </row>
    <row r="12" spans="2:12" x14ac:dyDescent="0.35">
      <c r="B12" s="309">
        <v>300</v>
      </c>
      <c r="C12" s="309">
        <v>1.1000000000000001</v>
      </c>
    </row>
    <row r="13" spans="2:12" x14ac:dyDescent="0.35">
      <c r="B13" s="309">
        <v>200</v>
      </c>
      <c r="C13" s="309">
        <v>1</v>
      </c>
    </row>
    <row r="14" spans="2:12" x14ac:dyDescent="0.35">
      <c r="B14" s="309">
        <v>100</v>
      </c>
      <c r="C14" s="309">
        <v>1.2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4"/>
  <sheetViews>
    <sheetView workbookViewId="0">
      <selection activeCell="C1" sqref="C1"/>
    </sheetView>
  </sheetViews>
  <sheetFormatPr defaultColWidth="8.81640625" defaultRowHeight="12.5" x14ac:dyDescent="0.25"/>
  <sheetData>
    <row r="1" spans="1:2" x14ac:dyDescent="0.25">
      <c r="A1">
        <v>1</v>
      </c>
      <c r="B1" t="str">
        <f>LEFT(ADDRESS(1,ROW(B1), 4, TRUE), (ROW(B1)&gt;26)+1)</f>
        <v>A</v>
      </c>
    </row>
    <row r="2" spans="1:2" x14ac:dyDescent="0.25">
      <c r="A2">
        <v>2</v>
      </c>
      <c r="B2" t="str">
        <f t="shared" ref="B2:B65" si="0">LEFT(ADDRESS(1,ROW(B2), 4, TRUE), (ROW(B2)&gt;26)+1)</f>
        <v>B</v>
      </c>
    </row>
    <row r="3" spans="1:2" x14ac:dyDescent="0.25">
      <c r="A3">
        <v>3</v>
      </c>
      <c r="B3" t="str">
        <f t="shared" si="0"/>
        <v>C</v>
      </c>
    </row>
    <row r="4" spans="1:2" x14ac:dyDescent="0.25">
      <c r="A4">
        <v>4</v>
      </c>
      <c r="B4" t="str">
        <f t="shared" si="0"/>
        <v>D</v>
      </c>
    </row>
    <row r="5" spans="1:2" x14ac:dyDescent="0.25">
      <c r="A5">
        <v>5</v>
      </c>
      <c r="B5" t="str">
        <f t="shared" si="0"/>
        <v>E</v>
      </c>
    </row>
    <row r="6" spans="1:2" x14ac:dyDescent="0.25">
      <c r="A6">
        <v>6</v>
      </c>
      <c r="B6" t="str">
        <f t="shared" si="0"/>
        <v>F</v>
      </c>
    </row>
    <row r="7" spans="1:2" x14ac:dyDescent="0.25">
      <c r="A7">
        <v>7</v>
      </c>
      <c r="B7" t="str">
        <f t="shared" si="0"/>
        <v>G</v>
      </c>
    </row>
    <row r="8" spans="1:2" x14ac:dyDescent="0.25">
      <c r="A8">
        <v>8</v>
      </c>
      <c r="B8" t="str">
        <f t="shared" si="0"/>
        <v>H</v>
      </c>
    </row>
    <row r="9" spans="1:2" x14ac:dyDescent="0.25">
      <c r="A9">
        <v>9</v>
      </c>
      <c r="B9" t="str">
        <f t="shared" si="0"/>
        <v>I</v>
      </c>
    </row>
    <row r="10" spans="1:2" x14ac:dyDescent="0.25">
      <c r="A10">
        <v>10</v>
      </c>
      <c r="B10" t="str">
        <f t="shared" si="0"/>
        <v>J</v>
      </c>
    </row>
    <row r="11" spans="1:2" x14ac:dyDescent="0.25">
      <c r="A11">
        <v>11</v>
      </c>
      <c r="B11" t="str">
        <f t="shared" si="0"/>
        <v>K</v>
      </c>
    </row>
    <row r="12" spans="1:2" x14ac:dyDescent="0.25">
      <c r="A12">
        <v>12</v>
      </c>
      <c r="B12" t="str">
        <f t="shared" si="0"/>
        <v>L</v>
      </c>
    </row>
    <row r="13" spans="1:2" x14ac:dyDescent="0.25">
      <c r="A13">
        <v>13</v>
      </c>
      <c r="B13" t="str">
        <f t="shared" si="0"/>
        <v>M</v>
      </c>
    </row>
    <row r="14" spans="1:2" x14ac:dyDescent="0.25">
      <c r="A14">
        <v>14</v>
      </c>
      <c r="B14" t="str">
        <f t="shared" si="0"/>
        <v>N</v>
      </c>
    </row>
    <row r="15" spans="1:2" x14ac:dyDescent="0.25">
      <c r="A15">
        <v>15</v>
      </c>
      <c r="B15" t="str">
        <f t="shared" si="0"/>
        <v>O</v>
      </c>
    </row>
    <row r="16" spans="1:2" x14ac:dyDescent="0.25">
      <c r="A16">
        <v>16</v>
      </c>
      <c r="B16" t="str">
        <f t="shared" si="0"/>
        <v>P</v>
      </c>
    </row>
    <row r="17" spans="1:2" x14ac:dyDescent="0.25">
      <c r="A17">
        <v>17</v>
      </c>
      <c r="B17" t="str">
        <f t="shared" si="0"/>
        <v>Q</v>
      </c>
    </row>
    <row r="18" spans="1:2" x14ac:dyDescent="0.25">
      <c r="A18">
        <v>18</v>
      </c>
      <c r="B18" t="str">
        <f t="shared" si="0"/>
        <v>R</v>
      </c>
    </row>
    <row r="19" spans="1:2" x14ac:dyDescent="0.25">
      <c r="A19">
        <v>19</v>
      </c>
      <c r="B19" t="str">
        <f t="shared" si="0"/>
        <v>S</v>
      </c>
    </row>
    <row r="20" spans="1:2" x14ac:dyDescent="0.25">
      <c r="A20">
        <v>20</v>
      </c>
      <c r="B20" t="str">
        <f t="shared" si="0"/>
        <v>T</v>
      </c>
    </row>
    <row r="21" spans="1:2" x14ac:dyDescent="0.25">
      <c r="A21">
        <v>21</v>
      </c>
      <c r="B21" t="str">
        <f t="shared" si="0"/>
        <v>U</v>
      </c>
    </row>
    <row r="22" spans="1:2" x14ac:dyDescent="0.25">
      <c r="A22">
        <v>22</v>
      </c>
      <c r="B22" t="str">
        <f t="shared" si="0"/>
        <v>V</v>
      </c>
    </row>
    <row r="23" spans="1:2" x14ac:dyDescent="0.25">
      <c r="A23">
        <v>23</v>
      </c>
      <c r="B23" t="str">
        <f t="shared" si="0"/>
        <v>W</v>
      </c>
    </row>
    <row r="24" spans="1:2" x14ac:dyDescent="0.25">
      <c r="A24">
        <v>24</v>
      </c>
      <c r="B24" t="str">
        <f t="shared" si="0"/>
        <v>X</v>
      </c>
    </row>
    <row r="25" spans="1:2" x14ac:dyDescent="0.25">
      <c r="A25">
        <v>25</v>
      </c>
      <c r="B25" t="str">
        <f t="shared" si="0"/>
        <v>Y</v>
      </c>
    </row>
    <row r="26" spans="1:2" x14ac:dyDescent="0.25">
      <c r="A26">
        <v>26</v>
      </c>
      <c r="B26" t="str">
        <f t="shared" si="0"/>
        <v>Z</v>
      </c>
    </row>
    <row r="27" spans="1:2" x14ac:dyDescent="0.25">
      <c r="A27">
        <v>27</v>
      </c>
      <c r="B27" t="str">
        <f t="shared" si="0"/>
        <v>AA</v>
      </c>
    </row>
    <row r="28" spans="1:2" x14ac:dyDescent="0.25">
      <c r="A28">
        <v>28</v>
      </c>
      <c r="B28" t="str">
        <f t="shared" si="0"/>
        <v>AB</v>
      </c>
    </row>
    <row r="29" spans="1:2" x14ac:dyDescent="0.25">
      <c r="A29">
        <v>29</v>
      </c>
      <c r="B29" t="str">
        <f t="shared" si="0"/>
        <v>AC</v>
      </c>
    </row>
    <row r="30" spans="1:2" x14ac:dyDescent="0.25">
      <c r="A30">
        <v>30</v>
      </c>
      <c r="B30" t="str">
        <f t="shared" si="0"/>
        <v>AD</v>
      </c>
    </row>
    <row r="31" spans="1:2" x14ac:dyDescent="0.25">
      <c r="A31">
        <v>31</v>
      </c>
      <c r="B31" t="str">
        <f t="shared" si="0"/>
        <v>AE</v>
      </c>
    </row>
    <row r="32" spans="1:2" x14ac:dyDescent="0.25">
      <c r="A32">
        <v>32</v>
      </c>
      <c r="B32" t="str">
        <f t="shared" si="0"/>
        <v>AF</v>
      </c>
    </row>
    <row r="33" spans="1:2" x14ac:dyDescent="0.25">
      <c r="A33">
        <v>33</v>
      </c>
      <c r="B33" t="str">
        <f t="shared" si="0"/>
        <v>AG</v>
      </c>
    </row>
    <row r="34" spans="1:2" x14ac:dyDescent="0.25">
      <c r="A34">
        <v>34</v>
      </c>
      <c r="B34" t="str">
        <f t="shared" si="0"/>
        <v>AH</v>
      </c>
    </row>
    <row r="35" spans="1:2" x14ac:dyDescent="0.25">
      <c r="A35">
        <v>35</v>
      </c>
      <c r="B35" t="str">
        <f t="shared" si="0"/>
        <v>AI</v>
      </c>
    </row>
    <row r="36" spans="1:2" x14ac:dyDescent="0.25">
      <c r="A36">
        <v>36</v>
      </c>
      <c r="B36" t="str">
        <f t="shared" si="0"/>
        <v>AJ</v>
      </c>
    </row>
    <row r="37" spans="1:2" x14ac:dyDescent="0.25">
      <c r="A37">
        <v>37</v>
      </c>
      <c r="B37" t="str">
        <f t="shared" si="0"/>
        <v>AK</v>
      </c>
    </row>
    <row r="38" spans="1:2" x14ac:dyDescent="0.25">
      <c r="A38">
        <v>38</v>
      </c>
      <c r="B38" t="str">
        <f t="shared" si="0"/>
        <v>AL</v>
      </c>
    </row>
    <row r="39" spans="1:2" x14ac:dyDescent="0.25">
      <c r="A39">
        <v>39</v>
      </c>
      <c r="B39" t="str">
        <f t="shared" si="0"/>
        <v>AM</v>
      </c>
    </row>
    <row r="40" spans="1:2" x14ac:dyDescent="0.25">
      <c r="A40">
        <v>40</v>
      </c>
      <c r="B40" t="str">
        <f t="shared" si="0"/>
        <v>AN</v>
      </c>
    </row>
    <row r="41" spans="1:2" x14ac:dyDescent="0.25">
      <c r="A41">
        <v>41</v>
      </c>
      <c r="B41" t="str">
        <f t="shared" si="0"/>
        <v>AO</v>
      </c>
    </row>
    <row r="42" spans="1:2" x14ac:dyDescent="0.25">
      <c r="A42">
        <v>42</v>
      </c>
      <c r="B42" t="str">
        <f t="shared" si="0"/>
        <v>AP</v>
      </c>
    </row>
    <row r="43" spans="1:2" x14ac:dyDescent="0.25">
      <c r="A43">
        <v>43</v>
      </c>
      <c r="B43" t="str">
        <f t="shared" si="0"/>
        <v>AQ</v>
      </c>
    </row>
    <row r="44" spans="1:2" x14ac:dyDescent="0.25">
      <c r="A44">
        <v>44</v>
      </c>
      <c r="B44" t="str">
        <f t="shared" si="0"/>
        <v>AR</v>
      </c>
    </row>
    <row r="45" spans="1:2" x14ac:dyDescent="0.25">
      <c r="A45">
        <v>45</v>
      </c>
      <c r="B45" t="str">
        <f t="shared" si="0"/>
        <v>AS</v>
      </c>
    </row>
    <row r="46" spans="1:2" x14ac:dyDescent="0.25">
      <c r="A46">
        <v>46</v>
      </c>
      <c r="B46" t="str">
        <f t="shared" si="0"/>
        <v>AT</v>
      </c>
    </row>
    <row r="47" spans="1:2" x14ac:dyDescent="0.25">
      <c r="A47">
        <v>47</v>
      </c>
      <c r="B47" t="str">
        <f t="shared" si="0"/>
        <v>AU</v>
      </c>
    </row>
    <row r="48" spans="1:2" x14ac:dyDescent="0.25">
      <c r="A48">
        <v>48</v>
      </c>
      <c r="B48" t="str">
        <f t="shared" si="0"/>
        <v>AV</v>
      </c>
    </row>
    <row r="49" spans="1:2" x14ac:dyDescent="0.25">
      <c r="A49">
        <v>49</v>
      </c>
      <c r="B49" t="str">
        <f t="shared" si="0"/>
        <v>AW</v>
      </c>
    </row>
    <row r="50" spans="1:2" x14ac:dyDescent="0.25">
      <c r="A50">
        <v>50</v>
      </c>
      <c r="B50" t="str">
        <f t="shared" si="0"/>
        <v>AX</v>
      </c>
    </row>
    <row r="51" spans="1:2" x14ac:dyDescent="0.25">
      <c r="A51">
        <v>51</v>
      </c>
      <c r="B51" t="str">
        <f t="shared" si="0"/>
        <v>AY</v>
      </c>
    </row>
    <row r="52" spans="1:2" x14ac:dyDescent="0.25">
      <c r="A52">
        <v>52</v>
      </c>
      <c r="B52" t="str">
        <f t="shared" si="0"/>
        <v>AZ</v>
      </c>
    </row>
    <row r="53" spans="1:2" x14ac:dyDescent="0.25">
      <c r="A53">
        <v>53</v>
      </c>
      <c r="B53" t="str">
        <f t="shared" si="0"/>
        <v>BA</v>
      </c>
    </row>
    <row r="54" spans="1:2" x14ac:dyDescent="0.25">
      <c r="A54">
        <v>54</v>
      </c>
      <c r="B54" t="str">
        <f t="shared" si="0"/>
        <v>BB</v>
      </c>
    </row>
    <row r="55" spans="1:2" x14ac:dyDescent="0.25">
      <c r="A55">
        <v>55</v>
      </c>
      <c r="B55" t="str">
        <f t="shared" si="0"/>
        <v>BC</v>
      </c>
    </row>
    <row r="56" spans="1:2" x14ac:dyDescent="0.25">
      <c r="A56">
        <v>56</v>
      </c>
      <c r="B56" t="str">
        <f t="shared" si="0"/>
        <v>BD</v>
      </c>
    </row>
    <row r="57" spans="1:2" x14ac:dyDescent="0.25">
      <c r="A57">
        <v>57</v>
      </c>
      <c r="B57" t="str">
        <f t="shared" si="0"/>
        <v>BE</v>
      </c>
    </row>
    <row r="58" spans="1:2" x14ac:dyDescent="0.25">
      <c r="A58">
        <v>58</v>
      </c>
      <c r="B58" t="str">
        <f t="shared" si="0"/>
        <v>BF</v>
      </c>
    </row>
    <row r="59" spans="1:2" x14ac:dyDescent="0.25">
      <c r="A59">
        <v>59</v>
      </c>
      <c r="B59" t="str">
        <f t="shared" si="0"/>
        <v>BG</v>
      </c>
    </row>
    <row r="60" spans="1:2" x14ac:dyDescent="0.25">
      <c r="A60">
        <v>60</v>
      </c>
      <c r="B60" t="str">
        <f t="shared" si="0"/>
        <v>BH</v>
      </c>
    </row>
    <row r="61" spans="1:2" x14ac:dyDescent="0.25">
      <c r="A61">
        <v>61</v>
      </c>
      <c r="B61" t="str">
        <f t="shared" si="0"/>
        <v>BI</v>
      </c>
    </row>
    <row r="62" spans="1:2" x14ac:dyDescent="0.25">
      <c r="A62">
        <v>62</v>
      </c>
      <c r="B62" t="str">
        <f t="shared" si="0"/>
        <v>BJ</v>
      </c>
    </row>
    <row r="63" spans="1:2" x14ac:dyDescent="0.25">
      <c r="A63">
        <v>63</v>
      </c>
      <c r="B63" t="str">
        <f t="shared" si="0"/>
        <v>BK</v>
      </c>
    </row>
    <row r="64" spans="1:2" x14ac:dyDescent="0.25">
      <c r="A64">
        <v>64</v>
      </c>
      <c r="B64" t="str">
        <f t="shared" si="0"/>
        <v>BL</v>
      </c>
    </row>
    <row r="65" spans="1:2" x14ac:dyDescent="0.25">
      <c r="A65">
        <v>65</v>
      </c>
      <c r="B65" t="str">
        <f t="shared" si="0"/>
        <v>BM</v>
      </c>
    </row>
    <row r="66" spans="1:2" x14ac:dyDescent="0.25">
      <c r="A66">
        <v>66</v>
      </c>
      <c r="B66" t="str">
        <f t="shared" ref="B66:B129" si="1">LEFT(ADDRESS(1,ROW(B66), 4, TRUE), (ROW(B66)&gt;26)+1)</f>
        <v>BN</v>
      </c>
    </row>
    <row r="67" spans="1:2" x14ac:dyDescent="0.25">
      <c r="A67">
        <v>67</v>
      </c>
      <c r="B67" t="str">
        <f t="shared" si="1"/>
        <v>BO</v>
      </c>
    </row>
    <row r="68" spans="1:2" x14ac:dyDescent="0.25">
      <c r="A68">
        <v>68</v>
      </c>
      <c r="B68" t="str">
        <f t="shared" si="1"/>
        <v>BP</v>
      </c>
    </row>
    <row r="69" spans="1:2" x14ac:dyDescent="0.25">
      <c r="A69">
        <v>69</v>
      </c>
      <c r="B69" t="str">
        <f t="shared" si="1"/>
        <v>BQ</v>
      </c>
    </row>
    <row r="70" spans="1:2" x14ac:dyDescent="0.25">
      <c r="A70">
        <v>70</v>
      </c>
      <c r="B70" t="str">
        <f t="shared" si="1"/>
        <v>BR</v>
      </c>
    </row>
    <row r="71" spans="1:2" x14ac:dyDescent="0.25">
      <c r="A71">
        <v>71</v>
      </c>
      <c r="B71" t="str">
        <f t="shared" si="1"/>
        <v>BS</v>
      </c>
    </row>
    <row r="72" spans="1:2" x14ac:dyDescent="0.25">
      <c r="A72">
        <v>72</v>
      </c>
      <c r="B72" t="str">
        <f t="shared" si="1"/>
        <v>BT</v>
      </c>
    </row>
    <row r="73" spans="1:2" x14ac:dyDescent="0.25">
      <c r="A73">
        <v>73</v>
      </c>
      <c r="B73" t="str">
        <f t="shared" si="1"/>
        <v>BU</v>
      </c>
    </row>
    <row r="74" spans="1:2" x14ac:dyDescent="0.25">
      <c r="A74">
        <v>74</v>
      </c>
      <c r="B74" t="str">
        <f t="shared" si="1"/>
        <v>BV</v>
      </c>
    </row>
    <row r="75" spans="1:2" x14ac:dyDescent="0.25">
      <c r="A75">
        <v>75</v>
      </c>
      <c r="B75" t="str">
        <f t="shared" si="1"/>
        <v>BW</v>
      </c>
    </row>
    <row r="76" spans="1:2" x14ac:dyDescent="0.25">
      <c r="A76">
        <v>76</v>
      </c>
      <c r="B76" t="str">
        <f t="shared" si="1"/>
        <v>BX</v>
      </c>
    </row>
    <row r="77" spans="1:2" x14ac:dyDescent="0.25">
      <c r="A77">
        <v>77</v>
      </c>
      <c r="B77" t="str">
        <f t="shared" si="1"/>
        <v>BY</v>
      </c>
    </row>
    <row r="78" spans="1:2" x14ac:dyDescent="0.25">
      <c r="A78">
        <v>78</v>
      </c>
      <c r="B78" t="str">
        <f t="shared" si="1"/>
        <v>BZ</v>
      </c>
    </row>
    <row r="79" spans="1:2" x14ac:dyDescent="0.25">
      <c r="A79">
        <v>79</v>
      </c>
      <c r="B79" t="str">
        <f t="shared" si="1"/>
        <v>CA</v>
      </c>
    </row>
    <row r="80" spans="1:2" x14ac:dyDescent="0.25">
      <c r="A80">
        <v>80</v>
      </c>
      <c r="B80" t="str">
        <f t="shared" si="1"/>
        <v>CB</v>
      </c>
    </row>
    <row r="81" spans="1:2" x14ac:dyDescent="0.25">
      <c r="A81">
        <v>81</v>
      </c>
      <c r="B81" t="str">
        <f t="shared" si="1"/>
        <v>CC</v>
      </c>
    </row>
    <row r="82" spans="1:2" x14ac:dyDescent="0.25">
      <c r="A82">
        <v>82</v>
      </c>
      <c r="B82" t="str">
        <f t="shared" si="1"/>
        <v>CD</v>
      </c>
    </row>
    <row r="83" spans="1:2" x14ac:dyDescent="0.25">
      <c r="A83">
        <v>83</v>
      </c>
      <c r="B83" t="str">
        <f t="shared" si="1"/>
        <v>CE</v>
      </c>
    </row>
    <row r="84" spans="1:2" x14ac:dyDescent="0.25">
      <c r="A84">
        <v>84</v>
      </c>
      <c r="B84" t="str">
        <f t="shared" si="1"/>
        <v>CF</v>
      </c>
    </row>
    <row r="85" spans="1:2" x14ac:dyDescent="0.25">
      <c r="A85">
        <v>85</v>
      </c>
      <c r="B85" t="str">
        <f t="shared" si="1"/>
        <v>CG</v>
      </c>
    </row>
    <row r="86" spans="1:2" x14ac:dyDescent="0.25">
      <c r="A86">
        <v>86</v>
      </c>
      <c r="B86" t="str">
        <f t="shared" si="1"/>
        <v>CH</v>
      </c>
    </row>
    <row r="87" spans="1:2" x14ac:dyDescent="0.25">
      <c r="A87">
        <v>87</v>
      </c>
      <c r="B87" t="str">
        <f t="shared" si="1"/>
        <v>CI</v>
      </c>
    </row>
    <row r="88" spans="1:2" x14ac:dyDescent="0.25">
      <c r="A88">
        <v>88</v>
      </c>
      <c r="B88" t="str">
        <f t="shared" si="1"/>
        <v>CJ</v>
      </c>
    </row>
    <row r="89" spans="1:2" x14ac:dyDescent="0.25">
      <c r="A89">
        <v>89</v>
      </c>
      <c r="B89" t="str">
        <f t="shared" si="1"/>
        <v>CK</v>
      </c>
    </row>
    <row r="90" spans="1:2" x14ac:dyDescent="0.25">
      <c r="A90">
        <v>90</v>
      </c>
      <c r="B90" t="str">
        <f t="shared" si="1"/>
        <v>CL</v>
      </c>
    </row>
    <row r="91" spans="1:2" x14ac:dyDescent="0.25">
      <c r="A91">
        <v>91</v>
      </c>
      <c r="B91" t="str">
        <f t="shared" si="1"/>
        <v>CM</v>
      </c>
    </row>
    <row r="92" spans="1:2" x14ac:dyDescent="0.25">
      <c r="A92">
        <v>92</v>
      </c>
      <c r="B92" t="str">
        <f t="shared" si="1"/>
        <v>CN</v>
      </c>
    </row>
    <row r="93" spans="1:2" x14ac:dyDescent="0.25">
      <c r="A93">
        <v>93</v>
      </c>
      <c r="B93" t="str">
        <f t="shared" si="1"/>
        <v>CO</v>
      </c>
    </row>
    <row r="94" spans="1:2" x14ac:dyDescent="0.25">
      <c r="A94">
        <v>94</v>
      </c>
      <c r="B94" t="str">
        <f t="shared" si="1"/>
        <v>CP</v>
      </c>
    </row>
    <row r="95" spans="1:2" x14ac:dyDescent="0.25">
      <c r="A95">
        <v>95</v>
      </c>
      <c r="B95" t="str">
        <f t="shared" si="1"/>
        <v>CQ</v>
      </c>
    </row>
    <row r="96" spans="1:2" x14ac:dyDescent="0.25">
      <c r="A96">
        <v>96</v>
      </c>
      <c r="B96" t="str">
        <f t="shared" si="1"/>
        <v>CR</v>
      </c>
    </row>
    <row r="97" spans="1:2" x14ac:dyDescent="0.25">
      <c r="A97">
        <v>97</v>
      </c>
      <c r="B97" t="str">
        <f t="shared" si="1"/>
        <v>CS</v>
      </c>
    </row>
    <row r="98" spans="1:2" x14ac:dyDescent="0.25">
      <c r="A98">
        <v>98</v>
      </c>
      <c r="B98" t="str">
        <f t="shared" si="1"/>
        <v>CT</v>
      </c>
    </row>
    <row r="99" spans="1:2" x14ac:dyDescent="0.25">
      <c r="A99">
        <v>99</v>
      </c>
      <c r="B99" t="str">
        <f t="shared" si="1"/>
        <v>CU</v>
      </c>
    </row>
    <row r="100" spans="1:2" x14ac:dyDescent="0.25">
      <c r="A100">
        <v>100</v>
      </c>
      <c r="B100" t="str">
        <f t="shared" si="1"/>
        <v>CV</v>
      </c>
    </row>
    <row r="101" spans="1:2" x14ac:dyDescent="0.25">
      <c r="A101">
        <v>101</v>
      </c>
      <c r="B101" t="str">
        <f t="shared" si="1"/>
        <v>CW</v>
      </c>
    </row>
    <row r="102" spans="1:2" x14ac:dyDescent="0.25">
      <c r="A102">
        <v>102</v>
      </c>
      <c r="B102" t="str">
        <f t="shared" si="1"/>
        <v>CX</v>
      </c>
    </row>
    <row r="103" spans="1:2" x14ac:dyDescent="0.25">
      <c r="A103">
        <v>103</v>
      </c>
      <c r="B103" t="str">
        <f t="shared" si="1"/>
        <v>CY</v>
      </c>
    </row>
    <row r="104" spans="1:2" x14ac:dyDescent="0.25">
      <c r="A104">
        <v>104</v>
      </c>
      <c r="B104" t="str">
        <f t="shared" si="1"/>
        <v>CZ</v>
      </c>
    </row>
    <row r="105" spans="1:2" x14ac:dyDescent="0.25">
      <c r="A105">
        <v>105</v>
      </c>
      <c r="B105" t="str">
        <f t="shared" si="1"/>
        <v>DA</v>
      </c>
    </row>
    <row r="106" spans="1:2" x14ac:dyDescent="0.25">
      <c r="A106">
        <v>106</v>
      </c>
      <c r="B106" t="str">
        <f t="shared" si="1"/>
        <v>DB</v>
      </c>
    </row>
    <row r="107" spans="1:2" x14ac:dyDescent="0.25">
      <c r="A107">
        <v>107</v>
      </c>
      <c r="B107" t="str">
        <f t="shared" si="1"/>
        <v>DC</v>
      </c>
    </row>
    <row r="108" spans="1:2" x14ac:dyDescent="0.25">
      <c r="A108">
        <v>108</v>
      </c>
      <c r="B108" t="str">
        <f t="shared" si="1"/>
        <v>DD</v>
      </c>
    </row>
    <row r="109" spans="1:2" x14ac:dyDescent="0.25">
      <c r="A109">
        <v>109</v>
      </c>
      <c r="B109" t="str">
        <f t="shared" si="1"/>
        <v>DE</v>
      </c>
    </row>
    <row r="110" spans="1:2" x14ac:dyDescent="0.25">
      <c r="A110">
        <v>110</v>
      </c>
      <c r="B110" t="str">
        <f t="shared" si="1"/>
        <v>DF</v>
      </c>
    </row>
    <row r="111" spans="1:2" x14ac:dyDescent="0.25">
      <c r="A111">
        <v>111</v>
      </c>
      <c r="B111" t="str">
        <f t="shared" si="1"/>
        <v>DG</v>
      </c>
    </row>
    <row r="112" spans="1:2" x14ac:dyDescent="0.25">
      <c r="A112">
        <v>112</v>
      </c>
      <c r="B112" t="str">
        <f t="shared" si="1"/>
        <v>DH</v>
      </c>
    </row>
    <row r="113" spans="1:2" x14ac:dyDescent="0.25">
      <c r="A113">
        <v>113</v>
      </c>
      <c r="B113" t="str">
        <f t="shared" si="1"/>
        <v>DI</v>
      </c>
    </row>
    <row r="114" spans="1:2" x14ac:dyDescent="0.25">
      <c r="A114">
        <v>114</v>
      </c>
      <c r="B114" t="str">
        <f t="shared" si="1"/>
        <v>DJ</v>
      </c>
    </row>
    <row r="115" spans="1:2" x14ac:dyDescent="0.25">
      <c r="A115">
        <v>115</v>
      </c>
      <c r="B115" t="str">
        <f t="shared" si="1"/>
        <v>DK</v>
      </c>
    </row>
    <row r="116" spans="1:2" x14ac:dyDescent="0.25">
      <c r="A116">
        <v>116</v>
      </c>
      <c r="B116" t="str">
        <f t="shared" si="1"/>
        <v>DL</v>
      </c>
    </row>
    <row r="117" spans="1:2" x14ac:dyDescent="0.25">
      <c r="A117">
        <v>117</v>
      </c>
      <c r="B117" t="str">
        <f t="shared" si="1"/>
        <v>DM</v>
      </c>
    </row>
    <row r="118" spans="1:2" x14ac:dyDescent="0.25">
      <c r="A118">
        <v>118</v>
      </c>
      <c r="B118" t="str">
        <f t="shared" si="1"/>
        <v>DN</v>
      </c>
    </row>
    <row r="119" spans="1:2" x14ac:dyDescent="0.25">
      <c r="A119">
        <v>119</v>
      </c>
      <c r="B119" t="str">
        <f t="shared" si="1"/>
        <v>DO</v>
      </c>
    </row>
    <row r="120" spans="1:2" x14ac:dyDescent="0.25">
      <c r="A120">
        <v>120</v>
      </c>
      <c r="B120" t="str">
        <f t="shared" si="1"/>
        <v>DP</v>
      </c>
    </row>
    <row r="121" spans="1:2" x14ac:dyDescent="0.25">
      <c r="A121">
        <v>121</v>
      </c>
      <c r="B121" t="str">
        <f t="shared" si="1"/>
        <v>DQ</v>
      </c>
    </row>
    <row r="122" spans="1:2" x14ac:dyDescent="0.25">
      <c r="A122">
        <v>122</v>
      </c>
      <c r="B122" t="str">
        <f t="shared" si="1"/>
        <v>DR</v>
      </c>
    </row>
    <row r="123" spans="1:2" x14ac:dyDescent="0.25">
      <c r="A123">
        <v>123</v>
      </c>
      <c r="B123" t="str">
        <f t="shared" si="1"/>
        <v>DS</v>
      </c>
    </row>
    <row r="124" spans="1:2" x14ac:dyDescent="0.25">
      <c r="A124">
        <v>124</v>
      </c>
      <c r="B124" t="str">
        <f t="shared" si="1"/>
        <v>DT</v>
      </c>
    </row>
    <row r="125" spans="1:2" x14ac:dyDescent="0.25">
      <c r="A125">
        <v>125</v>
      </c>
      <c r="B125" t="str">
        <f t="shared" si="1"/>
        <v>DU</v>
      </c>
    </row>
    <row r="126" spans="1:2" x14ac:dyDescent="0.25">
      <c r="A126">
        <v>126</v>
      </c>
      <c r="B126" t="str">
        <f t="shared" si="1"/>
        <v>DV</v>
      </c>
    </row>
    <row r="127" spans="1:2" x14ac:dyDescent="0.25">
      <c r="A127">
        <v>127</v>
      </c>
      <c r="B127" t="str">
        <f t="shared" si="1"/>
        <v>DW</v>
      </c>
    </row>
    <row r="128" spans="1:2" x14ac:dyDescent="0.25">
      <c r="A128">
        <v>128</v>
      </c>
      <c r="B128" t="str">
        <f t="shared" si="1"/>
        <v>DX</v>
      </c>
    </row>
    <row r="129" spans="1:2" x14ac:dyDescent="0.25">
      <c r="A129">
        <v>129</v>
      </c>
      <c r="B129" t="str">
        <f t="shared" si="1"/>
        <v>DY</v>
      </c>
    </row>
    <row r="130" spans="1:2" x14ac:dyDescent="0.25">
      <c r="A130">
        <v>130</v>
      </c>
      <c r="B130" t="str">
        <f t="shared" ref="B130:B184" si="2">LEFT(ADDRESS(1,ROW(B130), 4, TRUE), (ROW(B130)&gt;26)+1)</f>
        <v>DZ</v>
      </c>
    </row>
    <row r="131" spans="1:2" x14ac:dyDescent="0.25">
      <c r="A131">
        <v>131</v>
      </c>
      <c r="B131" t="str">
        <f t="shared" si="2"/>
        <v>EA</v>
      </c>
    </row>
    <row r="132" spans="1:2" x14ac:dyDescent="0.25">
      <c r="A132">
        <v>132</v>
      </c>
      <c r="B132" t="str">
        <f t="shared" si="2"/>
        <v>EB</v>
      </c>
    </row>
    <row r="133" spans="1:2" x14ac:dyDescent="0.25">
      <c r="A133">
        <v>133</v>
      </c>
      <c r="B133" t="str">
        <f t="shared" si="2"/>
        <v>EC</v>
      </c>
    </row>
    <row r="134" spans="1:2" x14ac:dyDescent="0.25">
      <c r="A134">
        <v>134</v>
      </c>
      <c r="B134" t="str">
        <f t="shared" si="2"/>
        <v>ED</v>
      </c>
    </row>
    <row r="135" spans="1:2" x14ac:dyDescent="0.25">
      <c r="A135">
        <v>135</v>
      </c>
      <c r="B135" t="str">
        <f t="shared" si="2"/>
        <v>EE</v>
      </c>
    </row>
    <row r="136" spans="1:2" x14ac:dyDescent="0.25">
      <c r="A136">
        <v>136</v>
      </c>
      <c r="B136" t="str">
        <f t="shared" si="2"/>
        <v>EF</v>
      </c>
    </row>
    <row r="137" spans="1:2" x14ac:dyDescent="0.25">
      <c r="A137">
        <v>137</v>
      </c>
      <c r="B137" t="str">
        <f t="shared" si="2"/>
        <v>EG</v>
      </c>
    </row>
    <row r="138" spans="1:2" x14ac:dyDescent="0.25">
      <c r="A138">
        <v>138</v>
      </c>
      <c r="B138" t="str">
        <f t="shared" si="2"/>
        <v>EH</v>
      </c>
    </row>
    <row r="139" spans="1:2" x14ac:dyDescent="0.25">
      <c r="A139">
        <v>139</v>
      </c>
      <c r="B139" t="str">
        <f t="shared" si="2"/>
        <v>EI</v>
      </c>
    </row>
    <row r="140" spans="1:2" x14ac:dyDescent="0.25">
      <c r="A140">
        <v>140</v>
      </c>
      <c r="B140" t="str">
        <f t="shared" si="2"/>
        <v>EJ</v>
      </c>
    </row>
    <row r="141" spans="1:2" x14ac:dyDescent="0.25">
      <c r="A141">
        <v>141</v>
      </c>
      <c r="B141" t="str">
        <f t="shared" si="2"/>
        <v>EK</v>
      </c>
    </row>
    <row r="142" spans="1:2" x14ac:dyDescent="0.25">
      <c r="A142">
        <v>142</v>
      </c>
      <c r="B142" t="str">
        <f t="shared" si="2"/>
        <v>EL</v>
      </c>
    </row>
    <row r="143" spans="1:2" x14ac:dyDescent="0.25">
      <c r="A143">
        <v>143</v>
      </c>
      <c r="B143" t="str">
        <f t="shared" si="2"/>
        <v>EM</v>
      </c>
    </row>
    <row r="144" spans="1:2" x14ac:dyDescent="0.25">
      <c r="A144">
        <v>144</v>
      </c>
      <c r="B144" t="str">
        <f t="shared" si="2"/>
        <v>EN</v>
      </c>
    </row>
    <row r="145" spans="1:2" x14ac:dyDescent="0.25">
      <c r="A145">
        <v>145</v>
      </c>
      <c r="B145" t="str">
        <f t="shared" si="2"/>
        <v>EO</v>
      </c>
    </row>
    <row r="146" spans="1:2" x14ac:dyDescent="0.25">
      <c r="A146">
        <v>146</v>
      </c>
      <c r="B146" t="str">
        <f t="shared" si="2"/>
        <v>EP</v>
      </c>
    </row>
    <row r="147" spans="1:2" x14ac:dyDescent="0.25">
      <c r="A147">
        <v>147</v>
      </c>
      <c r="B147" t="str">
        <f t="shared" si="2"/>
        <v>EQ</v>
      </c>
    </row>
    <row r="148" spans="1:2" x14ac:dyDescent="0.25">
      <c r="A148">
        <v>148</v>
      </c>
      <c r="B148" t="str">
        <f t="shared" si="2"/>
        <v>ER</v>
      </c>
    </row>
    <row r="149" spans="1:2" x14ac:dyDescent="0.25">
      <c r="A149">
        <v>149</v>
      </c>
      <c r="B149" t="str">
        <f t="shared" si="2"/>
        <v>ES</v>
      </c>
    </row>
    <row r="150" spans="1:2" x14ac:dyDescent="0.25">
      <c r="A150">
        <v>150</v>
      </c>
      <c r="B150" t="str">
        <f t="shared" si="2"/>
        <v>ET</v>
      </c>
    </row>
    <row r="151" spans="1:2" x14ac:dyDescent="0.25">
      <c r="A151">
        <v>151</v>
      </c>
      <c r="B151" t="str">
        <f t="shared" si="2"/>
        <v>EU</v>
      </c>
    </row>
    <row r="152" spans="1:2" x14ac:dyDescent="0.25">
      <c r="A152">
        <v>152</v>
      </c>
      <c r="B152" t="str">
        <f t="shared" si="2"/>
        <v>EV</v>
      </c>
    </row>
    <row r="153" spans="1:2" x14ac:dyDescent="0.25">
      <c r="A153">
        <v>153</v>
      </c>
      <c r="B153" t="str">
        <f t="shared" si="2"/>
        <v>EW</v>
      </c>
    </row>
    <row r="154" spans="1:2" x14ac:dyDescent="0.25">
      <c r="A154">
        <v>154</v>
      </c>
      <c r="B154" t="str">
        <f t="shared" si="2"/>
        <v>EX</v>
      </c>
    </row>
    <row r="155" spans="1:2" x14ac:dyDescent="0.25">
      <c r="A155">
        <v>155</v>
      </c>
      <c r="B155" t="str">
        <f t="shared" si="2"/>
        <v>EY</v>
      </c>
    </row>
    <row r="156" spans="1:2" x14ac:dyDescent="0.25">
      <c r="A156">
        <v>156</v>
      </c>
      <c r="B156" t="str">
        <f t="shared" si="2"/>
        <v>EZ</v>
      </c>
    </row>
    <row r="157" spans="1:2" x14ac:dyDescent="0.25">
      <c r="A157">
        <v>157</v>
      </c>
      <c r="B157" t="str">
        <f t="shared" si="2"/>
        <v>FA</v>
      </c>
    </row>
    <row r="158" spans="1:2" x14ac:dyDescent="0.25">
      <c r="A158">
        <v>158</v>
      </c>
      <c r="B158" t="str">
        <f t="shared" si="2"/>
        <v>FB</v>
      </c>
    </row>
    <row r="159" spans="1:2" x14ac:dyDescent="0.25">
      <c r="A159">
        <v>159</v>
      </c>
      <c r="B159" t="str">
        <f t="shared" si="2"/>
        <v>FC</v>
      </c>
    </row>
    <row r="160" spans="1:2" x14ac:dyDescent="0.25">
      <c r="A160">
        <v>160</v>
      </c>
      <c r="B160" t="str">
        <f t="shared" si="2"/>
        <v>FD</v>
      </c>
    </row>
    <row r="161" spans="1:2" x14ac:dyDescent="0.25">
      <c r="A161">
        <v>161</v>
      </c>
      <c r="B161" t="str">
        <f t="shared" si="2"/>
        <v>FE</v>
      </c>
    </row>
    <row r="162" spans="1:2" x14ac:dyDescent="0.25">
      <c r="A162">
        <v>162</v>
      </c>
      <c r="B162" t="str">
        <f t="shared" si="2"/>
        <v>FF</v>
      </c>
    </row>
    <row r="163" spans="1:2" x14ac:dyDescent="0.25">
      <c r="A163">
        <v>163</v>
      </c>
      <c r="B163" t="str">
        <f t="shared" si="2"/>
        <v>FG</v>
      </c>
    </row>
    <row r="164" spans="1:2" x14ac:dyDescent="0.25">
      <c r="A164">
        <v>164</v>
      </c>
      <c r="B164" t="str">
        <f t="shared" si="2"/>
        <v>FH</v>
      </c>
    </row>
    <row r="165" spans="1:2" x14ac:dyDescent="0.25">
      <c r="A165">
        <v>165</v>
      </c>
      <c r="B165" t="str">
        <f t="shared" si="2"/>
        <v>FI</v>
      </c>
    </row>
    <row r="166" spans="1:2" x14ac:dyDescent="0.25">
      <c r="A166">
        <v>166</v>
      </c>
      <c r="B166" t="str">
        <f t="shared" si="2"/>
        <v>FJ</v>
      </c>
    </row>
    <row r="167" spans="1:2" x14ac:dyDescent="0.25">
      <c r="A167">
        <v>167</v>
      </c>
      <c r="B167" t="str">
        <f t="shared" si="2"/>
        <v>FK</v>
      </c>
    </row>
    <row r="168" spans="1:2" x14ac:dyDescent="0.25">
      <c r="A168">
        <v>168</v>
      </c>
      <c r="B168" t="str">
        <f t="shared" si="2"/>
        <v>FL</v>
      </c>
    </row>
    <row r="169" spans="1:2" x14ac:dyDescent="0.25">
      <c r="A169">
        <v>169</v>
      </c>
      <c r="B169" t="str">
        <f t="shared" si="2"/>
        <v>FM</v>
      </c>
    </row>
    <row r="170" spans="1:2" x14ac:dyDescent="0.25">
      <c r="A170">
        <v>170</v>
      </c>
      <c r="B170" t="str">
        <f t="shared" si="2"/>
        <v>FN</v>
      </c>
    </row>
    <row r="171" spans="1:2" x14ac:dyDescent="0.25">
      <c r="A171">
        <v>171</v>
      </c>
      <c r="B171" t="str">
        <f t="shared" si="2"/>
        <v>FO</v>
      </c>
    </row>
    <row r="172" spans="1:2" x14ac:dyDescent="0.25">
      <c r="A172">
        <v>172</v>
      </c>
      <c r="B172" t="str">
        <f t="shared" si="2"/>
        <v>FP</v>
      </c>
    </row>
    <row r="173" spans="1:2" x14ac:dyDescent="0.25">
      <c r="A173">
        <v>173</v>
      </c>
      <c r="B173" t="str">
        <f t="shared" si="2"/>
        <v>FQ</v>
      </c>
    </row>
    <row r="174" spans="1:2" x14ac:dyDescent="0.25">
      <c r="A174">
        <v>174</v>
      </c>
      <c r="B174" t="str">
        <f t="shared" si="2"/>
        <v>FR</v>
      </c>
    </row>
    <row r="175" spans="1:2" x14ac:dyDescent="0.25">
      <c r="A175">
        <v>175</v>
      </c>
      <c r="B175" t="str">
        <f t="shared" si="2"/>
        <v>FS</v>
      </c>
    </row>
    <row r="176" spans="1:2" x14ac:dyDescent="0.25">
      <c r="A176">
        <v>176</v>
      </c>
      <c r="B176" t="str">
        <f t="shared" si="2"/>
        <v>FT</v>
      </c>
    </row>
    <row r="177" spans="1:2" x14ac:dyDescent="0.25">
      <c r="A177">
        <v>177</v>
      </c>
      <c r="B177" t="str">
        <f t="shared" si="2"/>
        <v>FU</v>
      </c>
    </row>
    <row r="178" spans="1:2" x14ac:dyDescent="0.25">
      <c r="A178">
        <v>178</v>
      </c>
      <c r="B178" t="str">
        <f t="shared" si="2"/>
        <v>FV</v>
      </c>
    </row>
    <row r="179" spans="1:2" x14ac:dyDescent="0.25">
      <c r="A179">
        <v>179</v>
      </c>
      <c r="B179" t="str">
        <f t="shared" si="2"/>
        <v>FW</v>
      </c>
    </row>
    <row r="180" spans="1:2" x14ac:dyDescent="0.25">
      <c r="A180">
        <v>180</v>
      </c>
      <c r="B180" t="str">
        <f t="shared" si="2"/>
        <v>FX</v>
      </c>
    </row>
    <row r="181" spans="1:2" x14ac:dyDescent="0.25">
      <c r="A181">
        <v>181</v>
      </c>
      <c r="B181" t="str">
        <f t="shared" si="2"/>
        <v>FY</v>
      </c>
    </row>
    <row r="182" spans="1:2" x14ac:dyDescent="0.25">
      <c r="A182">
        <v>182</v>
      </c>
      <c r="B182" t="str">
        <f t="shared" si="2"/>
        <v>FZ</v>
      </c>
    </row>
    <row r="183" spans="1:2" x14ac:dyDescent="0.25">
      <c r="A183">
        <v>183</v>
      </c>
      <c r="B183" t="str">
        <f t="shared" si="2"/>
        <v>GA</v>
      </c>
    </row>
    <row r="184" spans="1:2" x14ac:dyDescent="0.25">
      <c r="A184">
        <v>184</v>
      </c>
      <c r="B184" t="str">
        <f t="shared" si="2"/>
        <v>GB</v>
      </c>
    </row>
  </sheetData>
  <sheetProtection algorithmName="SHA-512" hashValue="VlOtxVc1h+T6C557GK4pfDKsr0PluBa5Txpc8BrJIAQrsfVPynHl05KL56xUXwe9qruYSo8VPO3ECm/KJRsNSg==" saltValue="kQcFZZkcYFLSeuMKnU5gt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B1:I10"/>
  <sheetViews>
    <sheetView workbookViewId="0">
      <selection activeCell="B7" sqref="B7"/>
    </sheetView>
  </sheetViews>
  <sheetFormatPr defaultColWidth="8.81640625" defaultRowHeight="12.5" x14ac:dyDescent="0.25"/>
  <cols>
    <col min="3" max="3" width="10.08984375" customWidth="1"/>
    <col min="7" max="7" width="10.08984375" bestFit="1" customWidth="1"/>
  </cols>
  <sheetData>
    <row r="1" spans="2:9" x14ac:dyDescent="0.25">
      <c r="B1" s="1" t="s">
        <v>17</v>
      </c>
      <c r="C1" s="1" t="s">
        <v>23</v>
      </c>
      <c r="D1" s="1" t="s">
        <v>24</v>
      </c>
      <c r="G1" s="1" t="s">
        <v>69</v>
      </c>
    </row>
    <row r="2" spans="2:9" x14ac:dyDescent="0.25">
      <c r="B2" s="2" t="s">
        <v>20</v>
      </c>
      <c r="C2" s="1" t="s">
        <v>22</v>
      </c>
      <c r="D2" s="3"/>
      <c r="F2" s="1" t="s">
        <v>2</v>
      </c>
      <c r="G2" s="1" t="s">
        <v>70</v>
      </c>
      <c r="I2" t="s">
        <v>77</v>
      </c>
    </row>
    <row r="3" spans="2:9" x14ac:dyDescent="0.25">
      <c r="B3" s="2" t="s">
        <v>13</v>
      </c>
      <c r="C3" s="1" t="s">
        <v>20</v>
      </c>
      <c r="D3" s="3">
        <v>0.1</v>
      </c>
      <c r="F3" s="1" t="s">
        <v>1</v>
      </c>
      <c r="G3" s="1" t="s">
        <v>71</v>
      </c>
      <c r="I3" t="s">
        <v>78</v>
      </c>
    </row>
    <row r="4" spans="2:9" x14ac:dyDescent="0.25">
      <c r="B4" s="2" t="s">
        <v>16</v>
      </c>
      <c r="C4" s="1" t="s">
        <v>20</v>
      </c>
      <c r="D4" s="3">
        <v>0.1</v>
      </c>
      <c r="G4" s="1" t="s">
        <v>72</v>
      </c>
    </row>
    <row r="5" spans="2:9" x14ac:dyDescent="0.25">
      <c r="B5" s="2" t="s">
        <v>15</v>
      </c>
      <c r="D5" s="3"/>
    </row>
    <row r="6" spans="2:9" x14ac:dyDescent="0.25">
      <c r="B6" s="2" t="s">
        <v>417</v>
      </c>
      <c r="D6" s="3"/>
    </row>
    <row r="7" spans="2:9" x14ac:dyDescent="0.25">
      <c r="B7" s="2" t="s">
        <v>100</v>
      </c>
    </row>
    <row r="8" spans="2:9" x14ac:dyDescent="0.25">
      <c r="B8" s="2" t="s">
        <v>178</v>
      </c>
    </row>
    <row r="9" spans="2:9" x14ac:dyDescent="0.25">
      <c r="B9" s="2" t="s">
        <v>354</v>
      </c>
    </row>
    <row r="10" spans="2:9" x14ac:dyDescent="0.25">
      <c r="B10" s="2" t="s">
        <v>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B2:N57"/>
  <sheetViews>
    <sheetView workbookViewId="0">
      <selection activeCell="D9" sqref="D9"/>
    </sheetView>
  </sheetViews>
  <sheetFormatPr defaultColWidth="8.81640625" defaultRowHeight="12.5" x14ac:dyDescent="0.25"/>
  <cols>
    <col min="14" max="14" width="31.453125" bestFit="1" customWidth="1"/>
  </cols>
  <sheetData>
    <row r="2" spans="2:14" x14ac:dyDescent="0.25">
      <c r="B2" s="1" t="s">
        <v>5</v>
      </c>
      <c r="D2" s="1" t="s">
        <v>23</v>
      </c>
      <c r="N2" t="s">
        <v>261</v>
      </c>
    </row>
    <row r="3" spans="2:14" x14ac:dyDescent="0.25">
      <c r="B3" s="1">
        <v>100</v>
      </c>
      <c r="D3" s="1" t="s">
        <v>22</v>
      </c>
      <c r="N3" t="s">
        <v>262</v>
      </c>
    </row>
    <row r="4" spans="2:14" x14ac:dyDescent="0.25">
      <c r="B4" s="1">
        <v>101</v>
      </c>
      <c r="D4" s="1" t="s">
        <v>20</v>
      </c>
      <c r="N4" t="s">
        <v>263</v>
      </c>
    </row>
    <row r="5" spans="2:14" x14ac:dyDescent="0.25">
      <c r="B5" s="1">
        <v>102</v>
      </c>
      <c r="D5" s="1" t="s">
        <v>13</v>
      </c>
      <c r="N5" t="s">
        <v>264</v>
      </c>
    </row>
    <row r="6" spans="2:14" x14ac:dyDescent="0.25">
      <c r="B6" s="1">
        <v>200</v>
      </c>
      <c r="D6" s="1" t="s">
        <v>16</v>
      </c>
      <c r="N6" t="s">
        <v>265</v>
      </c>
    </row>
    <row r="7" spans="2:14" x14ac:dyDescent="0.25">
      <c r="B7" s="1">
        <v>201</v>
      </c>
      <c r="D7" s="1" t="s">
        <v>15</v>
      </c>
      <c r="N7" t="s">
        <v>266</v>
      </c>
    </row>
    <row r="8" spans="2:14" x14ac:dyDescent="0.25">
      <c r="B8" s="1">
        <v>202</v>
      </c>
      <c r="D8" s="1" t="s">
        <v>21</v>
      </c>
      <c r="N8" t="s">
        <v>267</v>
      </c>
    </row>
    <row r="9" spans="2:14" x14ac:dyDescent="0.25">
      <c r="B9" s="112">
        <v>203</v>
      </c>
      <c r="D9" s="112" t="s">
        <v>100</v>
      </c>
      <c r="N9" t="s">
        <v>268</v>
      </c>
    </row>
    <row r="10" spans="2:14" x14ac:dyDescent="0.25">
      <c r="B10" s="1">
        <v>300</v>
      </c>
      <c r="N10" t="s">
        <v>269</v>
      </c>
    </row>
    <row r="11" spans="2:14" x14ac:dyDescent="0.25">
      <c r="B11" s="1">
        <v>301</v>
      </c>
      <c r="N11" t="s">
        <v>270</v>
      </c>
    </row>
    <row r="12" spans="2:14" x14ac:dyDescent="0.25">
      <c r="B12" s="1">
        <v>302</v>
      </c>
      <c r="N12" t="s">
        <v>271</v>
      </c>
    </row>
    <row r="13" spans="2:14" x14ac:dyDescent="0.25">
      <c r="B13" s="1">
        <v>303</v>
      </c>
      <c r="N13" t="s">
        <v>272</v>
      </c>
    </row>
    <row r="14" spans="2:14" x14ac:dyDescent="0.25">
      <c r="B14" s="1">
        <v>304</v>
      </c>
      <c r="N14" t="s">
        <v>273</v>
      </c>
    </row>
    <row r="15" spans="2:14" x14ac:dyDescent="0.25">
      <c r="B15" s="1">
        <v>400</v>
      </c>
      <c r="N15" t="s">
        <v>274</v>
      </c>
    </row>
    <row r="16" spans="2:14" x14ac:dyDescent="0.25">
      <c r="B16" s="112">
        <v>401</v>
      </c>
      <c r="N16" t="s">
        <v>275</v>
      </c>
    </row>
    <row r="17" spans="2:14" x14ac:dyDescent="0.25">
      <c r="B17">
        <v>402</v>
      </c>
      <c r="N17" t="s">
        <v>276</v>
      </c>
    </row>
    <row r="18" spans="2:14" x14ac:dyDescent="0.25">
      <c r="B18">
        <v>403</v>
      </c>
      <c r="N18" t="s">
        <v>277</v>
      </c>
    </row>
    <row r="19" spans="2:14" x14ac:dyDescent="0.25">
      <c r="B19">
        <v>501</v>
      </c>
      <c r="N19" t="s">
        <v>278</v>
      </c>
    </row>
    <row r="20" spans="2:14" x14ac:dyDescent="0.25">
      <c r="N20" t="s">
        <v>279</v>
      </c>
    </row>
    <row r="21" spans="2:14" x14ac:dyDescent="0.25">
      <c r="N21" t="s">
        <v>280</v>
      </c>
    </row>
    <row r="22" spans="2:14" x14ac:dyDescent="0.25">
      <c r="N22" t="s">
        <v>281</v>
      </c>
    </row>
    <row r="23" spans="2:14" x14ac:dyDescent="0.25">
      <c r="N23" t="s">
        <v>282</v>
      </c>
    </row>
    <row r="24" spans="2:14" x14ac:dyDescent="0.25">
      <c r="N24" t="s">
        <v>283</v>
      </c>
    </row>
    <row r="25" spans="2:14" x14ac:dyDescent="0.25">
      <c r="N25" t="s">
        <v>284</v>
      </c>
    </row>
    <row r="26" spans="2:14" x14ac:dyDescent="0.25">
      <c r="N26" t="s">
        <v>285</v>
      </c>
    </row>
    <row r="27" spans="2:14" x14ac:dyDescent="0.25">
      <c r="N27" t="s">
        <v>286</v>
      </c>
    </row>
    <row r="28" spans="2:14" x14ac:dyDescent="0.25">
      <c r="N28" t="s">
        <v>287</v>
      </c>
    </row>
    <row r="29" spans="2:14" x14ac:dyDescent="0.25">
      <c r="N29" t="s">
        <v>288</v>
      </c>
    </row>
    <row r="30" spans="2:14" x14ac:dyDescent="0.25">
      <c r="N30" t="s">
        <v>289</v>
      </c>
    </row>
    <row r="31" spans="2:14" x14ac:dyDescent="0.25">
      <c r="N31" t="s">
        <v>290</v>
      </c>
    </row>
    <row r="32" spans="2:14" x14ac:dyDescent="0.25">
      <c r="N32" t="s">
        <v>291</v>
      </c>
    </row>
    <row r="33" spans="14:14" x14ac:dyDescent="0.25">
      <c r="N33" t="s">
        <v>292</v>
      </c>
    </row>
    <row r="34" spans="14:14" x14ac:dyDescent="0.25">
      <c r="N34" t="s">
        <v>293</v>
      </c>
    </row>
    <row r="35" spans="14:14" x14ac:dyDescent="0.25">
      <c r="N35" t="s">
        <v>294</v>
      </c>
    </row>
    <row r="36" spans="14:14" x14ac:dyDescent="0.25">
      <c r="N36" t="s">
        <v>295</v>
      </c>
    </row>
    <row r="37" spans="14:14" x14ac:dyDescent="0.25">
      <c r="N37" t="s">
        <v>296</v>
      </c>
    </row>
    <row r="38" spans="14:14" x14ac:dyDescent="0.25">
      <c r="N38" t="s">
        <v>297</v>
      </c>
    </row>
    <row r="39" spans="14:14" x14ac:dyDescent="0.25">
      <c r="N39" t="s">
        <v>298</v>
      </c>
    </row>
    <row r="40" spans="14:14" x14ac:dyDescent="0.25">
      <c r="N40" t="s">
        <v>299</v>
      </c>
    </row>
    <row r="41" spans="14:14" x14ac:dyDescent="0.25">
      <c r="N41" t="s">
        <v>300</v>
      </c>
    </row>
    <row r="42" spans="14:14" x14ac:dyDescent="0.25">
      <c r="N42" t="s">
        <v>301</v>
      </c>
    </row>
    <row r="43" spans="14:14" x14ac:dyDescent="0.25">
      <c r="N43" t="s">
        <v>302</v>
      </c>
    </row>
    <row r="44" spans="14:14" x14ac:dyDescent="0.25">
      <c r="N44" t="s">
        <v>303</v>
      </c>
    </row>
    <row r="45" spans="14:14" x14ac:dyDescent="0.25">
      <c r="N45" t="s">
        <v>304</v>
      </c>
    </row>
    <row r="46" spans="14:14" x14ac:dyDescent="0.25">
      <c r="N46" t="s">
        <v>305</v>
      </c>
    </row>
    <row r="47" spans="14:14" x14ac:dyDescent="0.25">
      <c r="N47" t="s">
        <v>306</v>
      </c>
    </row>
    <row r="48" spans="14:14" x14ac:dyDescent="0.25">
      <c r="N48" t="s">
        <v>307</v>
      </c>
    </row>
    <row r="49" spans="14:14" x14ac:dyDescent="0.25">
      <c r="N49" t="s">
        <v>308</v>
      </c>
    </row>
    <row r="50" spans="14:14" x14ac:dyDescent="0.25">
      <c r="N50" t="s">
        <v>309</v>
      </c>
    </row>
    <row r="51" spans="14:14" x14ac:dyDescent="0.25">
      <c r="N51" t="s">
        <v>310</v>
      </c>
    </row>
    <row r="52" spans="14:14" x14ac:dyDescent="0.25">
      <c r="N52" t="s">
        <v>311</v>
      </c>
    </row>
    <row r="53" spans="14:14" x14ac:dyDescent="0.25">
      <c r="N53" t="s">
        <v>312</v>
      </c>
    </row>
    <row r="54" spans="14:14" x14ac:dyDescent="0.25">
      <c r="N54" t="s">
        <v>313</v>
      </c>
    </row>
    <row r="55" spans="14:14" x14ac:dyDescent="0.25">
      <c r="N55" t="s">
        <v>314</v>
      </c>
    </row>
    <row r="56" spans="14:14" x14ac:dyDescent="0.25">
      <c r="N56" t="s">
        <v>315</v>
      </c>
    </row>
    <row r="57" spans="14:14" x14ac:dyDescent="0.25">
      <c r="N57" t="s">
        <v>316</v>
      </c>
    </row>
  </sheetData>
  <sheetProtection algorithmName="SHA-512" hashValue="yXmR6OlH6zxtYxYEZR/+YTYxFKDzAw2zPPTivaHjHPqnR0DFpFAU5IxwKQi0xo8KBQzp8mosufCGHFptFyrH0A==" saltValue="awUwIdzOV8cz0SlwbWlwn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1C059852A220448F9DFAE1F5A6F216" ma:contentTypeVersion="18" ma:contentTypeDescription="Create a new document." ma:contentTypeScope="" ma:versionID="3107b425104e45184f892fc9e318ad0b">
  <xsd:schema xmlns:xsd="http://www.w3.org/2001/XMLSchema" xmlns:xs="http://www.w3.org/2001/XMLSchema" xmlns:p="http://schemas.microsoft.com/office/2006/metadata/properties" xmlns:ns2="0afd3576-b990-4e28-b077-bfb470d69409" xmlns:ns3="1088fb03-96b7-43ee-8853-860b4739b68b" targetNamespace="http://schemas.microsoft.com/office/2006/metadata/properties" ma:root="true" ma:fieldsID="61aa7b48c3f5112835f477a4602b6a7f" ns2:_="" ns3:_="">
    <xsd:import namespace="0afd3576-b990-4e28-b077-bfb470d69409"/>
    <xsd:import namespace="1088fb03-96b7-43ee-8853-860b4739b6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fd3576-b990-4e28-b077-bfb470d694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150b6185-f315-4a62-a635-52c439669d7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88fb03-96b7-43ee-8853-860b4739b68b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9bf2abf-c920-4132-9c37-0b85e6d4995b}" ma:internalName="TaxCatchAll" ma:showField="CatchAllData" ma:web="1088fb03-96b7-43ee-8853-860b4739b6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088fb03-96b7-43ee-8853-860b4739b68b" xsi:nil="true"/>
    <lcf76f155ced4ddcb4097134ff3c332f xmlns="0afd3576-b990-4e28-b077-bfb470d6940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882E06-9A09-4E3C-9EF3-D5714DC371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fd3576-b990-4e28-b077-bfb470d69409"/>
    <ds:schemaRef ds:uri="1088fb03-96b7-43ee-8853-860b4739b6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120B8B-5645-4B0D-AA22-63F4B6A9678A}">
  <ds:schemaRefs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1088fb03-96b7-43ee-8853-860b4739b68b"/>
    <ds:schemaRef ds:uri="0afd3576-b990-4e28-b077-bfb470d69409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7149828-775A-44F6-B4A3-D8AB23EE3AF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Home</vt:lpstr>
      <vt:lpstr>CMS</vt:lpstr>
      <vt:lpstr>Project Estimations</vt:lpstr>
      <vt:lpstr>Expenses Estimation</vt:lpstr>
      <vt:lpstr>Margin Calculation</vt:lpstr>
      <vt:lpstr>Business Model</vt:lpstr>
      <vt:lpstr>Invoice Plan</vt:lpstr>
      <vt:lpstr>Financial</vt:lpstr>
      <vt:lpstr>CostRate</vt:lpstr>
      <vt:lpstr>Currency</vt:lpstr>
      <vt:lpstr>Config</vt:lpstr>
      <vt:lpstr>Sheet7</vt:lpstr>
      <vt:lpstr>Sheet2</vt:lpstr>
      <vt:lpstr>Sheet1</vt:lpstr>
      <vt:lpstr>CostRate!period_selected</vt:lpstr>
    </vt:vector>
  </TitlesOfParts>
  <Company>Grupo Sonae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Silva</dc:creator>
  <cp:lastModifiedBy>Marcio Borges</cp:lastModifiedBy>
  <cp:lastPrinted>2015-11-04T11:40:33Z</cp:lastPrinted>
  <dcterms:created xsi:type="dcterms:W3CDTF">2006-08-25T21:27:21Z</dcterms:created>
  <dcterms:modified xsi:type="dcterms:W3CDTF">2025-07-25T11:01:30Z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0x010100CF1C059852A220448F9DFAE1F5A6F216</vt:lpwstr>
  </property>
  <property fmtid="{D5CDD505-2E9C-101B-9397-08002B2CF9AE}" pid="3" name="MediaServiceImageTags">
    <vt:lpwstr/>
  </property>
</Properties>
</file>